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999833a63767f/Documents/projects UNCC/"/>
    </mc:Choice>
  </mc:AlternateContent>
  <xr:revisionPtr revIDLastSave="0" documentId="14_{14933179-450F-48D4-B10D-2C2A1D43D8BB}" xr6:coauthVersionLast="47" xr6:coauthVersionMax="47" xr10:uidLastSave="{00000000-0000-0000-0000-000000000000}"/>
  <bookViews>
    <workbookView xWindow="-110" yWindow="-110" windowWidth="19420" windowHeight="11500" xr2:uid="{14D88A45-9EEE-4B8A-A12B-68A1028763A3}"/>
  </bookViews>
  <sheets>
    <sheet name="PROJECT OVERVIEW" sheetId="5" r:id="rId1"/>
    <sheet name="patients" sheetId="2" r:id="rId2"/>
    <sheet name="encounters" sheetId="3" r:id="rId3"/>
    <sheet name="Data validation" sheetId="1" r:id="rId4"/>
    <sheet name="Missing Reason Analysis" sheetId="4" r:id="rId5"/>
  </sheets>
  <definedNames>
    <definedName name="ExternalData_1" localSheetId="1" hidden="1">patients!$A$1:$AB$109</definedName>
    <definedName name="ExternalData_2" localSheetId="2" hidden="1">encounters!$A$1:$O$5572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25" i="1"/>
  <c r="B24" i="1"/>
  <c r="B22" i="1"/>
  <c r="B20" i="1"/>
  <c r="B18" i="1"/>
  <c r="B16" i="1" a="1"/>
  <c r="B14" i="1" a="1"/>
  <c r="B12" i="1"/>
  <c r="B9" i="1"/>
  <c r="B11" i="1"/>
  <c r="B10" i="1"/>
  <c r="B7" i="1"/>
  <c r="B6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70F40-62C0-40D4-BFF1-943BA71D331D}" keepAlive="1" name="Query - encounters" description="Connection to the 'encounters' query in the workbook." type="5" refreshedVersion="8" background="1" saveData="1">
    <dbPr connection="Provider=Microsoft.Mashup.OleDb.1;Data Source=$Workbook$;Location=encounters;Extended Properties=&quot;&quot;" command="SELECT * FROM [encounters]"/>
  </connection>
  <connection id="2" xr16:uid="{9C2AF027-394B-4B17-BF82-D8101C376D30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<sst xmlns="http://schemas.openxmlformats.org/spreadsheetml/2006/main" count="46752" uniqueCount="7324">
  <si>
    <t>Id</t>
  </si>
  <si>
    <t>BIRTHDATE</t>
  </si>
  <si>
    <t>DEATHDATE</t>
  </si>
  <si>
    <t>SSN</t>
  </si>
  <si>
    <t>DRIVERS</t>
  </si>
  <si>
    <t>PASSPORT</t>
  </si>
  <si>
    <t>PREFIX</t>
  </si>
  <si>
    <t>FIRST</t>
  </si>
  <si>
    <t>MIDDLE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</si>
  <si>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</si>
  <si>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</si>
  <si>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</si>
  <si>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</si>
  <si>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</si>
  <si>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</si>
  <si>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</si>
  <si>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</si>
  <si>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</si>
  <si>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</si>
  <si>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</si>
  <si>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</si>
  <si>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FIPS</t>
  </si>
  <si>
    <t>ZIP</t>
  </si>
  <si>
    <t>LAT</t>
  </si>
  <si>
    <t>LON</t>
  </si>
  <si>
    <t>HEALTHCARE_EXPENSES</t>
  </si>
  <si>
    <t>HEALTHCARE_COVERAGE</t>
  </si>
  <si>
    <t>INCOME</t>
  </si>
  <si>
    <t>cc3eac4a-34a7-9a15-1522-8087135631b7</t>
  </si>
  <si>
    <t>999-55-9547</t>
  </si>
  <si>
    <t>S99974479</t>
  </si>
  <si>
    <t>X81842955X</t>
  </si>
  <si>
    <t>Mr.</t>
  </si>
  <si>
    <t>Guillermo498</t>
  </si>
  <si>
    <t/>
  </si>
  <si>
    <t>VonRueden376</t>
  </si>
  <si>
    <t>MD</t>
  </si>
  <si>
    <t>D</t>
  </si>
  <si>
    <t>white</t>
  </si>
  <si>
    <t>nonhispanic</t>
  </si>
  <si>
    <t>M</t>
  </si>
  <si>
    <t>Salem  Massachusetts  US</t>
  </si>
  <si>
    <t>733 Boehm Ville</t>
  </si>
  <si>
    <t>North Brookfield</t>
  </si>
  <si>
    <t>Massachusetts</t>
  </si>
  <si>
    <t>Worcester County</t>
  </si>
  <si>
    <t>8b9df7af-24b3-66ee-afeb-2734ebcbd33c</t>
  </si>
  <si>
    <t>999-32-1995</t>
  </si>
  <si>
    <t>S99911042</t>
  </si>
  <si>
    <t>X98255942X</t>
  </si>
  <si>
    <t>Ms.</t>
  </si>
  <si>
    <t>Jayne73</t>
  </si>
  <si>
    <t>Mira443</t>
  </si>
  <si>
    <t>Bruen238</t>
  </si>
  <si>
    <t>F</t>
  </si>
  <si>
    <t>Ashburnham  Massachusetts  US</t>
  </si>
  <si>
    <t>305 Weimann Underpass</t>
  </si>
  <si>
    <t>Bedford</t>
  </si>
  <si>
    <t>Middlesex County</t>
  </si>
  <si>
    <t>65cbad6a-eb9d-420e-9bab-b4f9c6aab7db</t>
  </si>
  <si>
    <t>999-23-9791</t>
  </si>
  <si>
    <t>S99928100</t>
  </si>
  <si>
    <t>X83081075X</t>
  </si>
  <si>
    <t>Mrs.</t>
  </si>
  <si>
    <t>Grisel924</t>
  </si>
  <si>
    <t>Dortha70</t>
  </si>
  <si>
    <t>Balistreri607</t>
  </si>
  <si>
    <t>O'Reilly797</t>
  </si>
  <si>
    <t>Boston  Massachusetts  US</t>
  </si>
  <si>
    <t>493 Schamberger Tunnel</t>
  </si>
  <si>
    <t>Quincy</t>
  </si>
  <si>
    <t>Norfolk County</t>
  </si>
  <si>
    <t>9a3814bb-f5b0-05f3-928e-fe6640d5aa2a</t>
  </si>
  <si>
    <t>999-56-4831</t>
  </si>
  <si>
    <t>Esperanza675</t>
  </si>
  <si>
    <t>Rachell479</t>
  </si>
  <si>
    <t>Auer97</t>
  </si>
  <si>
    <t>Stoughton  Massachusetts  US</t>
  </si>
  <si>
    <t>666 Ebert Lodge</t>
  </si>
  <si>
    <t>Taunton</t>
  </si>
  <si>
    <t>Bristol County</t>
  </si>
  <si>
    <t>6a703775-432b-ba7d-d53a-c4d7bb0f5b58</t>
  </si>
  <si>
    <t>999-91-2539</t>
  </si>
  <si>
    <t>S99931120</t>
  </si>
  <si>
    <t>X52632004X</t>
  </si>
  <si>
    <t>Arnulfo253</t>
  </si>
  <si>
    <t>Boyer713</t>
  </si>
  <si>
    <t>black</t>
  </si>
  <si>
    <t>Cambridge  Massachusetts  US</t>
  </si>
  <si>
    <t>484 Dickens Route Suite 49</t>
  </si>
  <si>
    <t>Boston</t>
  </si>
  <si>
    <t>Suffolk County</t>
  </si>
  <si>
    <t>355cd402-8f45-353f-013f-ecb627e85106</t>
  </si>
  <si>
    <t>999-34-9423</t>
  </si>
  <si>
    <t>S99915789</t>
  </si>
  <si>
    <t>X98592919X</t>
  </si>
  <si>
    <t>Josef103</t>
  </si>
  <si>
    <t>Nathanael908</t>
  </si>
  <si>
    <t>Champlin946</t>
  </si>
  <si>
    <t>Medford  Massachusetts  US</t>
  </si>
  <si>
    <t>530 Goodwin Mission Suite 74</t>
  </si>
  <si>
    <t>Marlborough</t>
  </si>
  <si>
    <t>c38b96b6-90ae-fabe-6f3c-cfd91d0fb21d</t>
  </si>
  <si>
    <t>999-60-1644</t>
  </si>
  <si>
    <t>Floretta117</t>
  </si>
  <si>
    <t>Bechtelar572</t>
  </si>
  <si>
    <t>Lynn  Massachusetts  US</t>
  </si>
  <si>
    <t>781 Fisher Wynd Suite 41</t>
  </si>
  <si>
    <t>Sudbury</t>
  </si>
  <si>
    <t>239b0c86-371a-3080-fcd9-8379b296bc9a</t>
  </si>
  <si>
    <t>999-68-7691</t>
  </si>
  <si>
    <t>S99965253</t>
  </si>
  <si>
    <t>X51828735X</t>
  </si>
  <si>
    <t>Breana975</t>
  </si>
  <si>
    <t>Gutkowski940</t>
  </si>
  <si>
    <t>Schuppe920</t>
  </si>
  <si>
    <t>Newton  Massachusetts  US</t>
  </si>
  <si>
    <t>307 Kunze Junction Suite 15</t>
  </si>
  <si>
    <t>Lynn</t>
  </si>
  <si>
    <t>Essex County</t>
  </si>
  <si>
    <t>87f7ad7b-85f9-d26d-5a41-9933f4039331</t>
  </si>
  <si>
    <t>999-52-2854</t>
  </si>
  <si>
    <t>S99917277</t>
  </si>
  <si>
    <t>X64190343X</t>
  </si>
  <si>
    <t>Susan422</t>
  </si>
  <si>
    <t>Barrows492</t>
  </si>
  <si>
    <t>Hegmann834</t>
  </si>
  <si>
    <t>New Bedford  Massachusetts  US</t>
  </si>
  <si>
    <t>551 Rau Hollow</t>
  </si>
  <si>
    <t>Newton</t>
  </si>
  <si>
    <t>f5749532-3295-ad01-d9b5-932c997e7a01</t>
  </si>
  <si>
    <t>999-30-1429</t>
  </si>
  <si>
    <t>S99923455</t>
  </si>
  <si>
    <t>X55978805X</t>
  </si>
  <si>
    <t>Merlene950</t>
  </si>
  <si>
    <t>Marlin805</t>
  </si>
  <si>
    <t>Thompson596</t>
  </si>
  <si>
    <t>Kiehn525</t>
  </si>
  <si>
    <t>Pepperell  Massachusetts  US</t>
  </si>
  <si>
    <t>773 Kilback Byway Apt 21</t>
  </si>
  <si>
    <t>Wellesley</t>
  </si>
  <si>
    <t>9389eec9-a5c3-a9e1-b675-93cd1f199532</t>
  </si>
  <si>
    <t>999-30-4092</t>
  </si>
  <si>
    <t>S99977974</t>
  </si>
  <si>
    <t>X33185150X</t>
  </si>
  <si>
    <t>Stephine916</t>
  </si>
  <si>
    <t>Keiko299</t>
  </si>
  <si>
    <t>Christiansen251</t>
  </si>
  <si>
    <t>Mattapoisett  Massachusetts  US</t>
  </si>
  <si>
    <t>770 Ebert Road</t>
  </si>
  <si>
    <t>Woburn</t>
  </si>
  <si>
    <t>7132442e-b0b9-a886-e28d-f83700e5a3bd</t>
  </si>
  <si>
    <t>999-73-8584</t>
  </si>
  <si>
    <t>S99947693</t>
  </si>
  <si>
    <t>X20880322X</t>
  </si>
  <si>
    <t>Carman694</t>
  </si>
  <si>
    <t>Antonio44</t>
  </si>
  <si>
    <t>Bergnaum523</t>
  </si>
  <si>
    <t>Pouros728</t>
  </si>
  <si>
    <t>Deerfield  Massachusetts  US</t>
  </si>
  <si>
    <t>162 Grant Ramp Apt 92</t>
  </si>
  <si>
    <t>Newburyport</t>
  </si>
  <si>
    <t>4e71643c-f046-a74f-c2e2-4049efe17cd4</t>
  </si>
  <si>
    <t>999-86-2155</t>
  </si>
  <si>
    <t>S99999322</t>
  </si>
  <si>
    <t>Dena356</t>
  </si>
  <si>
    <t>Migdalia164</t>
  </si>
  <si>
    <t>Padberg411</t>
  </si>
  <si>
    <t>Chicopee  Massachusetts  US</t>
  </si>
  <si>
    <t>1072 Rutherford Tunnel Apt 12</t>
  </si>
  <si>
    <t>1be83f06-48ef-7bac-7097-b9e0644aeaf8</t>
  </si>
  <si>
    <t>999-42-4352</t>
  </si>
  <si>
    <t>S99919158</t>
  </si>
  <si>
    <t>X65811576X</t>
  </si>
  <si>
    <t>Darren774</t>
  </si>
  <si>
    <t>Jarrett354</t>
  </si>
  <si>
    <t>Rogahn59</t>
  </si>
  <si>
    <t>Taunton  Massachusetts  US</t>
  </si>
  <si>
    <t>1006 Fadel Underpass</t>
  </si>
  <si>
    <t>Leominster</t>
  </si>
  <si>
    <t>30ed72f3-240e-4973-a0b8-25369e1a9c1e</t>
  </si>
  <si>
    <t>999-40-7579</t>
  </si>
  <si>
    <t>Germán350</t>
  </si>
  <si>
    <t>Víctor493</t>
  </si>
  <si>
    <t>Collado928</t>
  </si>
  <si>
    <t>hispanic</t>
  </si>
  <si>
    <t>Juarez  Chihuahua  MX</t>
  </si>
  <si>
    <t>273 Rodriguez Haven</t>
  </si>
  <si>
    <t>Southwick</t>
  </si>
  <si>
    <t>Hampden County</t>
  </si>
  <si>
    <t>6095681c-dfc1-8f20-411c-42cef37189fa</t>
  </si>
  <si>
    <t>999-22-5151</t>
  </si>
  <si>
    <t>S99945438</t>
  </si>
  <si>
    <t>X65478933X</t>
  </si>
  <si>
    <t>Ali918</t>
  </si>
  <si>
    <t>Edward499</t>
  </si>
  <si>
    <t>Krajcik437</t>
  </si>
  <si>
    <t>Peabody  Massachusetts  US</t>
  </si>
  <si>
    <t>765 Ankunding Bridge</t>
  </si>
  <si>
    <t>Concord</t>
  </si>
  <si>
    <t>37549f60-b5a3-69cd-dea6-5a71c4bc23cf</t>
  </si>
  <si>
    <t>999-20-6297</t>
  </si>
  <si>
    <t>S99969667</t>
  </si>
  <si>
    <t>X08122901X</t>
  </si>
  <si>
    <t>Alexandra16</t>
  </si>
  <si>
    <t>Dimple273</t>
  </si>
  <si>
    <t>Mosciski958</t>
  </si>
  <si>
    <t>S</t>
  </si>
  <si>
    <t>Dover  Massachusetts  US</t>
  </si>
  <si>
    <t>485 Heller Fork</t>
  </si>
  <si>
    <t>Waltham</t>
  </si>
  <si>
    <t>06476266-59b1-ded7-4138-3c7543fd4981</t>
  </si>
  <si>
    <t>999-53-8789</t>
  </si>
  <si>
    <t>S99957318</t>
  </si>
  <si>
    <t>X03346748X</t>
  </si>
  <si>
    <t>Armand155</t>
  </si>
  <si>
    <t>McGlynn426</t>
  </si>
  <si>
    <t>Bridgewater  Massachusetts  US</t>
  </si>
  <si>
    <t>1007 Becker Haven Unit 74</t>
  </si>
  <si>
    <t>09c573e2-a45d-aa5e-6a17-3c682155e6e3</t>
  </si>
  <si>
    <t>999-39-1117</t>
  </si>
  <si>
    <t>S99994304</t>
  </si>
  <si>
    <t>Titus37</t>
  </si>
  <si>
    <t>Langosh790</t>
  </si>
  <si>
    <t>Randolph  Massachusetts  US</t>
  </si>
  <si>
    <t>867 Becker Alley</t>
  </si>
  <si>
    <t>Medford</t>
  </si>
  <si>
    <t>8c5b83b2-737e-46cf-953b-414e07ed78e7</t>
  </si>
  <si>
    <t>999-93-6787</t>
  </si>
  <si>
    <t>S99960297</t>
  </si>
  <si>
    <t>X36739216X</t>
  </si>
  <si>
    <t>Raphael767</t>
  </si>
  <si>
    <t>Beau391</t>
  </si>
  <si>
    <t>McLaughlin530</t>
  </si>
  <si>
    <t>112 Wuckert Course Suite 5</t>
  </si>
  <si>
    <t>Saugus</t>
  </si>
  <si>
    <t>b50c66af-4d1c-7987-03d7-e5b65fdf880f</t>
  </si>
  <si>
    <t>999-76-5360</t>
  </si>
  <si>
    <t>S99937586</t>
  </si>
  <si>
    <t>X95950343X</t>
  </si>
  <si>
    <t>Grady603</t>
  </si>
  <si>
    <t>Davis923</t>
  </si>
  <si>
    <t>114 Parker Junction Suite 23</t>
  </si>
  <si>
    <t>Hull</t>
  </si>
  <si>
    <t>Plymouth County</t>
  </si>
  <si>
    <t>cbd1dd48-89c3-3fdb-434e-3f0802738abf</t>
  </si>
  <si>
    <t>999-73-2466</t>
  </si>
  <si>
    <t>S99988479</t>
  </si>
  <si>
    <t>X60655706X</t>
  </si>
  <si>
    <t>Angelina101</t>
  </si>
  <si>
    <t>Adrianna470</t>
  </si>
  <si>
    <t>West559</t>
  </si>
  <si>
    <t>Schuster709</t>
  </si>
  <si>
    <t>Worcester  Massachusetts  US</t>
  </si>
  <si>
    <t>177 Stroman Spur Suite 99</t>
  </si>
  <si>
    <t>Cambridge</t>
  </si>
  <si>
    <t>3c0e60c4-176e-2c4c-3b85-b46be390cf5e</t>
  </si>
  <si>
    <t>999-20-2393</t>
  </si>
  <si>
    <t>S99993354</t>
  </si>
  <si>
    <t>X35812710X</t>
  </si>
  <si>
    <t>Bebe406</t>
  </si>
  <si>
    <t>Miss492</t>
  </si>
  <si>
    <t>Simonis280</t>
  </si>
  <si>
    <t>Larkin917</t>
  </si>
  <si>
    <t>Sudbury  Massachusetts  US</t>
  </si>
  <si>
    <t>1011 Paucek Trafficway Suite 37</t>
  </si>
  <si>
    <t>83093df7-a1e4-b827-72e6-c6d604fd7748</t>
  </si>
  <si>
    <t>999-92-6564</t>
  </si>
  <si>
    <t>S99989278</t>
  </si>
  <si>
    <t>Byron202</t>
  </si>
  <si>
    <t>Carmen818</t>
  </si>
  <si>
    <t>Emard19</t>
  </si>
  <si>
    <t>Foxborough  Massachusetts  US</t>
  </si>
  <si>
    <t>846 Green Estate Unit 47</t>
  </si>
  <si>
    <t>North Andover</t>
  </si>
  <si>
    <t>3a9c6df2-621a-6239-0760-e58544d252f6</t>
  </si>
  <si>
    <t>999-94-6345</t>
  </si>
  <si>
    <t>Gayle448</t>
  </si>
  <si>
    <t>Jean712</t>
  </si>
  <si>
    <t>Zboncak558</t>
  </si>
  <si>
    <t>asian</t>
  </si>
  <si>
    <t>Braintree  Massachusetts  US</t>
  </si>
  <si>
    <t>1063 Hirthe Esplanade Unit 97</t>
  </si>
  <si>
    <t>45f3a7b6-d706-f174-d043-16814aa127ed</t>
  </si>
  <si>
    <t>999-12-8158</t>
  </si>
  <si>
    <t>Chad48</t>
  </si>
  <si>
    <t>Son314</t>
  </si>
  <si>
    <t>Jenkins714</t>
  </si>
  <si>
    <t>Pittsfield  Massachusetts  US</t>
  </si>
  <si>
    <t>737 VonRueden Fort</t>
  </si>
  <si>
    <t>Lowell</t>
  </si>
  <si>
    <t>a45aa142-d1e9-d944-f2c7-05015c90762d</t>
  </si>
  <si>
    <t>999-67-9987</t>
  </si>
  <si>
    <t>S99962762</t>
  </si>
  <si>
    <t>X87296188X</t>
  </si>
  <si>
    <t>Zachariah133</t>
  </si>
  <si>
    <t>Guy979</t>
  </si>
  <si>
    <t>Morar593</t>
  </si>
  <si>
    <t>East Bridgewater  Massachusetts  US</t>
  </si>
  <si>
    <t>307 Sauer Wynd Unit 22</t>
  </si>
  <si>
    <t>Maynard</t>
  </si>
  <si>
    <t>7af6b271-f16d-21e1-882a-7bff71005a7b</t>
  </si>
  <si>
    <t>999-70-6004</t>
  </si>
  <si>
    <t>S99943379</t>
  </si>
  <si>
    <t>X35537179X</t>
  </si>
  <si>
    <t>Benedict104</t>
  </si>
  <si>
    <t>Gibson10</t>
  </si>
  <si>
    <t>Littleton  Massachusetts  US</t>
  </si>
  <si>
    <t>198 Bauch Flat Apt 27</t>
  </si>
  <si>
    <t>Barnstable</t>
  </si>
  <si>
    <t>Barnstable County</t>
  </si>
  <si>
    <t>a406f356-c8b4-54ad-e79c-54a5e15ffc19</t>
  </si>
  <si>
    <t>999-48-1543</t>
  </si>
  <si>
    <t>S99990216</t>
  </si>
  <si>
    <t>X75339161X</t>
  </si>
  <si>
    <t>Brock407</t>
  </si>
  <si>
    <t>Toby274</t>
  </si>
  <si>
    <t>Lockman863</t>
  </si>
  <si>
    <t>Swansea  Massachusetts  US</t>
  </si>
  <si>
    <t>799 Ledner Landing</t>
  </si>
  <si>
    <t>Webster</t>
  </si>
  <si>
    <t>f30304ab-8e45-1cbd-9833-cadf568373b4</t>
  </si>
  <si>
    <t>999-13-4971</t>
  </si>
  <si>
    <t>Elodia940</t>
  </si>
  <si>
    <t>Aurora248</t>
  </si>
  <si>
    <t>Waters156</t>
  </si>
  <si>
    <t>Kingston  Massachusetts  US</t>
  </si>
  <si>
    <t>1056 Skiles Skyway</t>
  </si>
  <si>
    <t>Foxborough</t>
  </si>
  <si>
    <t>fb56f051-a2cd-ac10-dcb0-e0738295fc1f</t>
  </si>
  <si>
    <t>999-79-2591</t>
  </si>
  <si>
    <t>S99939796</t>
  </si>
  <si>
    <t>X76535812X</t>
  </si>
  <si>
    <t>Nada112</t>
  </si>
  <si>
    <t>Nubia715</t>
  </si>
  <si>
    <t>Keeling57</t>
  </si>
  <si>
    <t>638 Beier Bay</t>
  </si>
  <si>
    <t>d21f2794-014b-c66b-3688-888382ab7434</t>
  </si>
  <si>
    <t>999-96-4488</t>
  </si>
  <si>
    <t>S99925374</t>
  </si>
  <si>
    <t>X77878762X</t>
  </si>
  <si>
    <t>Theressa101</t>
  </si>
  <si>
    <t>Tabatha105</t>
  </si>
  <si>
    <t>Carroll471</t>
  </si>
  <si>
    <t>Reichert620</t>
  </si>
  <si>
    <t>St Petersburg  St Petersburg  RU</t>
  </si>
  <si>
    <t>616 Satterfield Key</t>
  </si>
  <si>
    <t>Weymouth</t>
  </si>
  <si>
    <t>3368f8e7-5e00-7794-1e39-f65cb954d43d</t>
  </si>
  <si>
    <t>999-41-3433</t>
  </si>
  <si>
    <t>S99945977</t>
  </si>
  <si>
    <t>X63665867X</t>
  </si>
  <si>
    <t>Matilda472</t>
  </si>
  <si>
    <t>Avery919</t>
  </si>
  <si>
    <t>Kihn564</t>
  </si>
  <si>
    <t>Fahey393</t>
  </si>
  <si>
    <t>W</t>
  </si>
  <si>
    <t>634 Braun Fort</t>
  </si>
  <si>
    <t>029c95e2-d252-d8d3-3626-7f347182d6d7</t>
  </si>
  <si>
    <t>999-29-9098</t>
  </si>
  <si>
    <t>S99990940</t>
  </si>
  <si>
    <t>X99981401X</t>
  </si>
  <si>
    <t>Clemencia569</t>
  </si>
  <si>
    <t>Sina65</t>
  </si>
  <si>
    <t>Gaylord332</t>
  </si>
  <si>
    <t>Mueller846</t>
  </si>
  <si>
    <t>Springfield  Massachusetts  US</t>
  </si>
  <si>
    <t>158 Lesch Port Suite 88</t>
  </si>
  <si>
    <t>Westford</t>
  </si>
  <si>
    <t>e34a6a5e-1d77-508d-8be3-8816e9df8046</t>
  </si>
  <si>
    <t>999-42-9786</t>
  </si>
  <si>
    <t>S99927097</t>
  </si>
  <si>
    <t>X42137903X</t>
  </si>
  <si>
    <t>Magali989</t>
  </si>
  <si>
    <t>Ora550</t>
  </si>
  <si>
    <t>Abbott774</t>
  </si>
  <si>
    <t>North Westport  Massachusetts  US</t>
  </si>
  <si>
    <t>567 Braun Pathway Apt 24</t>
  </si>
  <si>
    <t>a6d0791e-4c15-58e6-c30a-ec25e285ace9</t>
  </si>
  <si>
    <t>999-35-9232</t>
  </si>
  <si>
    <t>Dallas143</t>
  </si>
  <si>
    <t>Rod343</t>
  </si>
  <si>
    <t>Graham902</t>
  </si>
  <si>
    <t>Quincy  Massachusetts  US</t>
  </si>
  <si>
    <t>332 Schultz Extension Suite 26</t>
  </si>
  <si>
    <t>4af53267-820e-7687-87a4-f6716ef64a2e</t>
  </si>
  <si>
    <t>999-22-4619</t>
  </si>
  <si>
    <t>Stephanie963</t>
  </si>
  <si>
    <t>Karie712</t>
  </si>
  <si>
    <t>Zemlak964</t>
  </si>
  <si>
    <t>Methuen  Massachusetts  US</t>
  </si>
  <si>
    <t>656 West Light</t>
  </si>
  <si>
    <t>Fall River</t>
  </si>
  <si>
    <t>1d63466e-0cfd-eb12-77aa-d153393355e5</t>
  </si>
  <si>
    <t>999-80-5340</t>
  </si>
  <si>
    <t>S99912256</t>
  </si>
  <si>
    <t>X49103448X</t>
  </si>
  <si>
    <t>Rick943</t>
  </si>
  <si>
    <t>Rudolph554</t>
  </si>
  <si>
    <t>Kulas532</t>
  </si>
  <si>
    <t>826 Vandervort Fort Apt 52</t>
  </si>
  <si>
    <t>Beverly</t>
  </si>
  <si>
    <t>355a4d50-2628-aa65-c336-deacf4d606fb</t>
  </si>
  <si>
    <t>999-50-4092</t>
  </si>
  <si>
    <t>S99928203</t>
  </si>
  <si>
    <t>X86830915X</t>
  </si>
  <si>
    <t>Emmanuel930</t>
  </si>
  <si>
    <t>Dexter530</t>
  </si>
  <si>
    <t>Considine820</t>
  </si>
  <si>
    <t>Milford  Massachusetts  US</t>
  </si>
  <si>
    <t>319 Ondricka Flat Unit 33</t>
  </si>
  <si>
    <t>Hanover</t>
  </si>
  <si>
    <t>f6745f8a-8107-443e-8946-3e6329d20408</t>
  </si>
  <si>
    <t>999-25-8410</t>
  </si>
  <si>
    <t>S99971401</t>
  </si>
  <si>
    <t>X48587609X</t>
  </si>
  <si>
    <t>Shaun461</t>
  </si>
  <si>
    <t>Javier97</t>
  </si>
  <si>
    <t>Cormier289</t>
  </si>
  <si>
    <t>Leominster  Massachusetts  US</t>
  </si>
  <si>
    <t>573 Prosacco Mill Suite 88</t>
  </si>
  <si>
    <t>e170fdcd-8830-89c4-94b2-aaf7f35ca9c5</t>
  </si>
  <si>
    <t>999-89-3463</t>
  </si>
  <si>
    <t>S99971511</t>
  </si>
  <si>
    <t>X66151576X</t>
  </si>
  <si>
    <t>Christiana224</t>
  </si>
  <si>
    <t>Camellia58</t>
  </si>
  <si>
    <t>O'Kon634</t>
  </si>
  <si>
    <t>Dare640</t>
  </si>
  <si>
    <t>950 Hahn Highlands Unit 20</t>
  </si>
  <si>
    <t>Tewksbury</t>
  </si>
  <si>
    <t>d21fc5fa-6dc5-8058-1d11-5fd631086b72</t>
  </si>
  <si>
    <t>999-72-5061</t>
  </si>
  <si>
    <t>S99986110</t>
  </si>
  <si>
    <t>Luke971</t>
  </si>
  <si>
    <t>Hoeger474</t>
  </si>
  <si>
    <t>Dedham  Massachusetts  US</t>
  </si>
  <si>
    <t>913 VonRueden Route Apt 3</t>
  </si>
  <si>
    <t>Williamstown</t>
  </si>
  <si>
    <t>Berkshire County</t>
  </si>
  <si>
    <t>2e9a9dab-f5b6-8960-d3ce-7834bb5e7344</t>
  </si>
  <si>
    <t>999-52-6267</t>
  </si>
  <si>
    <t>S99977032</t>
  </si>
  <si>
    <t>X64072249X</t>
  </si>
  <si>
    <t>Mario764</t>
  </si>
  <si>
    <t>Florene115</t>
  </si>
  <si>
    <t>Abshire638</t>
  </si>
  <si>
    <t>821 O'Reilly Corner Apt 74</t>
  </si>
  <si>
    <t>Tyngsborough</t>
  </si>
  <si>
    <t>00bcbfc6-c7b9-bd0e-3d95-071f9fba6321</t>
  </si>
  <si>
    <t>999-77-7216</t>
  </si>
  <si>
    <t>S99918880</t>
  </si>
  <si>
    <t>X19076207X</t>
  </si>
  <si>
    <t>Jesica465</t>
  </si>
  <si>
    <t>Leola603</t>
  </si>
  <si>
    <t>Haag279</t>
  </si>
  <si>
    <t>275 Parisian Ramp</t>
  </si>
  <si>
    <t>Shirley</t>
  </si>
  <si>
    <t>0b786670-17af-32e1-b2d2-f77c33874b30</t>
  </si>
  <si>
    <t>999-15-6624</t>
  </si>
  <si>
    <t>S99990005</t>
  </si>
  <si>
    <t>X28635539X</t>
  </si>
  <si>
    <t>Angel97</t>
  </si>
  <si>
    <t>Elvin140</t>
  </si>
  <si>
    <t>Mraz590</t>
  </si>
  <si>
    <t>127 Spencer Estate Unit 97</t>
  </si>
  <si>
    <t>2211f478-b7b4-7711-16cf-84ffb52b9d2b</t>
  </si>
  <si>
    <t>999-44-8196</t>
  </si>
  <si>
    <t>S99957364</t>
  </si>
  <si>
    <t>X69811230X</t>
  </si>
  <si>
    <t>Francine922</t>
  </si>
  <si>
    <t>Necole468</t>
  </si>
  <si>
    <t>Hyatt152</t>
  </si>
  <si>
    <t>Franklin  Massachusetts  US</t>
  </si>
  <si>
    <t>741 Ritchie Mill Unit 51</t>
  </si>
  <si>
    <t>716c6d0a-2a5d-0aaa-9ced-312ed6a943da</t>
  </si>
  <si>
    <t>999-97-3286</t>
  </si>
  <si>
    <t>S99943920</t>
  </si>
  <si>
    <t>X79780818X</t>
  </si>
  <si>
    <t>Lance203</t>
  </si>
  <si>
    <t>Jamel269</t>
  </si>
  <si>
    <t>1097 Macejkovic Heights</t>
  </si>
  <si>
    <t>8ece28c6-f931-b0e0-5c0e-72b8d8d3c86a</t>
  </si>
  <si>
    <t>999-95-3958</t>
  </si>
  <si>
    <t>S99997584</t>
  </si>
  <si>
    <t>X68596103X</t>
  </si>
  <si>
    <t>Aurelio227</t>
  </si>
  <si>
    <t>Humberto482</t>
  </si>
  <si>
    <t>Eichmann909</t>
  </si>
  <si>
    <t>Barnstable  Massachusetts  US</t>
  </si>
  <si>
    <t>154 Weimann Orchard</t>
  </si>
  <si>
    <t>Mattapoisett</t>
  </si>
  <si>
    <t>e503e9b3-d149-653b-92df-ca4a8cb68e16</t>
  </si>
  <si>
    <t>999-20-4987</t>
  </si>
  <si>
    <t>S99953132</t>
  </si>
  <si>
    <t>X93882979X</t>
  </si>
  <si>
    <t>Nilda678</t>
  </si>
  <si>
    <t>Agnus790</t>
  </si>
  <si>
    <t>Wiza601</t>
  </si>
  <si>
    <t>270 Kuhlman Highlands Unit 88</t>
  </si>
  <si>
    <t>3fa46c70-b194-f14c-3d51-e06cfa4bb9e2</t>
  </si>
  <si>
    <t>999-70-2408</t>
  </si>
  <si>
    <t>S99972728</t>
  </si>
  <si>
    <t>X87827897X</t>
  </si>
  <si>
    <t>Preston275</t>
  </si>
  <si>
    <t>Little434</t>
  </si>
  <si>
    <t>West Yarmouth  Massachusetts  US</t>
  </si>
  <si>
    <t>733 Spencer Track Apt 43</t>
  </si>
  <si>
    <t>Edgartown</t>
  </si>
  <si>
    <t>Dukes County</t>
  </si>
  <si>
    <t>fd0d7b3a-307d-07b8-9d7e-2424e1feb9e4</t>
  </si>
  <si>
    <t>999-55-6644</t>
  </si>
  <si>
    <t>S99966711</t>
  </si>
  <si>
    <t>X02309440X</t>
  </si>
  <si>
    <t>Ken316</t>
  </si>
  <si>
    <t>Edison640</t>
  </si>
  <si>
    <t>Grant908</t>
  </si>
  <si>
    <t>113 Runte View</t>
  </si>
  <si>
    <t>ccaa0537-4e7f-99d8-8b79-c7c94c749579</t>
  </si>
  <si>
    <t>999-81-3078</t>
  </si>
  <si>
    <t>S99920390</t>
  </si>
  <si>
    <t>X12783766X</t>
  </si>
  <si>
    <t>Manuela585</t>
  </si>
  <si>
    <t>María Elena653</t>
  </si>
  <si>
    <t>Montoya249</t>
  </si>
  <si>
    <t>Guatemala City  Guatemala  GT</t>
  </si>
  <si>
    <t>221 Huels Mews Suite 30</t>
  </si>
  <si>
    <t>Marblehead</t>
  </si>
  <si>
    <t>6b687f11-0721-ccaf-8796-5e929f37b755</t>
  </si>
  <si>
    <t>999-71-6757</t>
  </si>
  <si>
    <t>S99914673</t>
  </si>
  <si>
    <t>Bryce11</t>
  </si>
  <si>
    <t>Prince887</t>
  </si>
  <si>
    <t>Stoltenberg489</t>
  </si>
  <si>
    <t>Macau  Macao Special Administrative Region of the People's Republic of China  CN</t>
  </si>
  <si>
    <t>870 Doyle Ranch</t>
  </si>
  <si>
    <t>Reading</t>
  </si>
  <si>
    <t>a5816bea-ad10-431f-1281-47baa2cf249b</t>
  </si>
  <si>
    <t>999-73-8463</t>
  </si>
  <si>
    <t>S99994646</t>
  </si>
  <si>
    <t>Tonisha838</t>
  </si>
  <si>
    <t>Theola421</t>
  </si>
  <si>
    <t>172 Morissette Plaza Unit 35</t>
  </si>
  <si>
    <t>Winchester</t>
  </si>
  <si>
    <t>1e32a1a3-3638-cb8c-7253-ff98a97dc0fe</t>
  </si>
  <si>
    <t>999-75-9371</t>
  </si>
  <si>
    <t>Jewell855</t>
  </si>
  <si>
    <t>Hollis7</t>
  </si>
  <si>
    <t>Hammes673</t>
  </si>
  <si>
    <t>904 Treutel Mill</t>
  </si>
  <si>
    <t>Gardner</t>
  </si>
  <si>
    <t>197ec76f-0730-2587-9ff9-a0f60104a782</t>
  </si>
  <si>
    <t>999-71-6952</t>
  </si>
  <si>
    <t>S99993908</t>
  </si>
  <si>
    <t>Reynalda736</t>
  </si>
  <si>
    <t>Janett802</t>
  </si>
  <si>
    <t>Leuschke194</t>
  </si>
  <si>
    <t>Hanover  Massachusetts  US</t>
  </si>
  <si>
    <t>439 Adams Route</t>
  </si>
  <si>
    <t>Norton Center</t>
  </si>
  <si>
    <t>82623afe-e51c-e02e-1dd7-15a4394d0e92</t>
  </si>
  <si>
    <t>999-44-8228</t>
  </si>
  <si>
    <t>S99968693</t>
  </si>
  <si>
    <t>X35895901X</t>
  </si>
  <si>
    <t>Jordan900</t>
  </si>
  <si>
    <t>Lawrence  Massachusetts  US</t>
  </si>
  <si>
    <t>299 Heathcote Wynd Unit 53</t>
  </si>
  <si>
    <t>Acton</t>
  </si>
  <si>
    <t>8d91c36a-1f7e-3842-9f14-8d567ed9cdcd</t>
  </si>
  <si>
    <t>999-24-5790</t>
  </si>
  <si>
    <t>S99991735</t>
  </si>
  <si>
    <t>X76263212X</t>
  </si>
  <si>
    <t>Benito209</t>
  </si>
  <si>
    <t>Clint766</t>
  </si>
  <si>
    <t>Gulgowski816</t>
  </si>
  <si>
    <t>Shanghai  Shanghai Municipality  CN</t>
  </si>
  <si>
    <t>346 Watsica Ranch Apt 49</t>
  </si>
  <si>
    <t>c1453af6-5763-f853-7da2-a16adee55469</t>
  </si>
  <si>
    <t>999-54-9361</t>
  </si>
  <si>
    <t>Marci572</t>
  </si>
  <si>
    <t>Sharleen176</t>
  </si>
  <si>
    <t>Murphy561</t>
  </si>
  <si>
    <t>Attleboro  Massachusetts  US</t>
  </si>
  <si>
    <t>697 Rau Union</t>
  </si>
  <si>
    <t>Stoughton</t>
  </si>
  <si>
    <t>57efda89-b582-bb08-8a2d-e06b2c184bfc</t>
  </si>
  <si>
    <t>999-47-4932</t>
  </si>
  <si>
    <t>S99918750</t>
  </si>
  <si>
    <t>X48794510X</t>
  </si>
  <si>
    <t>Pat3</t>
  </si>
  <si>
    <t>Owen89</t>
  </si>
  <si>
    <t>Rutherford999</t>
  </si>
  <si>
    <t>Cochituate  Massachusetts  US</t>
  </si>
  <si>
    <t>955 Schulist Landing Apt 5</t>
  </si>
  <si>
    <t>e142981b-3577-4115-584d-d9676df7fcff</t>
  </si>
  <si>
    <t>999-49-4084</t>
  </si>
  <si>
    <t>S99929491</t>
  </si>
  <si>
    <t>X43145427X</t>
  </si>
  <si>
    <t>Julian715</t>
  </si>
  <si>
    <t>Johnny786</t>
  </si>
  <si>
    <t>Walsh511</t>
  </si>
  <si>
    <t>Hong Kong  Hong Kong Special Administrative Region  CN</t>
  </si>
  <si>
    <t>102 Littel Fort</t>
  </si>
  <si>
    <t>adec1419-cf81-6640-abe6-cac7c0c1b9d4</t>
  </si>
  <si>
    <t>999-81-2752</t>
  </si>
  <si>
    <t>S99993149</t>
  </si>
  <si>
    <t>X65402212X</t>
  </si>
  <si>
    <t>Nathaniel596</t>
  </si>
  <si>
    <t>Greg949</t>
  </si>
  <si>
    <t>Kuhic920</t>
  </si>
  <si>
    <t>522 O'Conner Harbor Suite 71</t>
  </si>
  <si>
    <t>Norton</t>
  </si>
  <si>
    <t>5780b82b-0419-ffe6-fde4-a2fcce9695f5</t>
  </si>
  <si>
    <t>999-97-8850</t>
  </si>
  <si>
    <t>Audra143</t>
  </si>
  <si>
    <t>Maggio310</t>
  </si>
  <si>
    <t>Somerville  Massachusetts  US</t>
  </si>
  <si>
    <t>568 Treutel Arcade</t>
  </si>
  <si>
    <t>765bd034-e8d7-f102-eb1c-4b7792fc5684</t>
  </si>
  <si>
    <t>999-17-2241</t>
  </si>
  <si>
    <t>Danial835</t>
  </si>
  <si>
    <t>Elwood28</t>
  </si>
  <si>
    <t>Grimes165</t>
  </si>
  <si>
    <t>Southwick  Massachusetts  US</t>
  </si>
  <si>
    <t>324 Turcotte Mews</t>
  </si>
  <si>
    <t>Holyoke</t>
  </si>
  <si>
    <t>edb5a2e3-a981-d33c-5eac-1ca8adde82d3</t>
  </si>
  <si>
    <t>999-62-1779</t>
  </si>
  <si>
    <t>S99961851</t>
  </si>
  <si>
    <t>Eleonor544</t>
  </si>
  <si>
    <t>Crystal2</t>
  </si>
  <si>
    <t>974 Ziemann Approach Apt 34</t>
  </si>
  <si>
    <t>8704c44c-8b97-e35a-3bac-7d5b24de06b3</t>
  </si>
  <si>
    <t>999-65-4123</t>
  </si>
  <si>
    <t>S99978765</t>
  </si>
  <si>
    <t>X80087474X</t>
  </si>
  <si>
    <t>Rosanne862</t>
  </si>
  <si>
    <t>Ivana95</t>
  </si>
  <si>
    <t>Koch169</t>
  </si>
  <si>
    <t>117 Hartmann Wynd Unit 98</t>
  </si>
  <si>
    <t>Oak Bluffs</t>
  </si>
  <si>
    <t>887e4b4e-a3e1-b573-4a16-38386d3e0b88</t>
  </si>
  <si>
    <t>999-96-8651</t>
  </si>
  <si>
    <t>S99969446</t>
  </si>
  <si>
    <t>X53036653X</t>
  </si>
  <si>
    <t>Barton704</t>
  </si>
  <si>
    <t>Upton904</t>
  </si>
  <si>
    <t>Southbridge  Massachusetts  US</t>
  </si>
  <si>
    <t>496 Bechtelar Frontage road Apt 86</t>
  </si>
  <si>
    <t>Canton</t>
  </si>
  <si>
    <t>0f3d04a2-f42e-1429-acef-0becd0a0fcea</t>
  </si>
  <si>
    <t>999-12-4927</t>
  </si>
  <si>
    <t>S99921675</t>
  </si>
  <si>
    <t>X03982820X</t>
  </si>
  <si>
    <t>Leland44</t>
  </si>
  <si>
    <t>King743</t>
  </si>
  <si>
    <t>Grafton  Massachusetts  US</t>
  </si>
  <si>
    <t>719 Renner Ferry Unit 37</t>
  </si>
  <si>
    <t>Belmont</t>
  </si>
  <si>
    <t>9c5b16dc-8a47-896c-4d74-f96f8c98891b</t>
  </si>
  <si>
    <t>999-52-9992</t>
  </si>
  <si>
    <t>S99975153</t>
  </si>
  <si>
    <t>X43678076X</t>
  </si>
  <si>
    <t>Boyce638</t>
  </si>
  <si>
    <t>Parker433</t>
  </si>
  <si>
    <t>Nolan344</t>
  </si>
  <si>
    <t>Onset  Massachusetts  US</t>
  </si>
  <si>
    <t>1036 Crist Road</t>
  </si>
  <si>
    <t>Springfield</t>
  </si>
  <si>
    <t>ad48e669-959c-b6f8-8ddb-dda7a6d37473</t>
  </si>
  <si>
    <t>999-25-6098</t>
  </si>
  <si>
    <t>S99922609</t>
  </si>
  <si>
    <t>X81312887X</t>
  </si>
  <si>
    <t>Babara869</t>
  </si>
  <si>
    <t>Fall River  Massachusetts  US</t>
  </si>
  <si>
    <t>812 VonRueden Trail</t>
  </si>
  <si>
    <t>f870c432-0887-125e-f778-cf5110d3de1d</t>
  </si>
  <si>
    <t>999-94-8121</t>
  </si>
  <si>
    <t>S99944891</t>
  </si>
  <si>
    <t>X11680124X</t>
  </si>
  <si>
    <t>Ellis535</t>
  </si>
  <si>
    <t>Larson43</t>
  </si>
  <si>
    <t>241 Block Alley Apt 74</t>
  </si>
  <si>
    <t>1426480f-ccc7-2393-40bd-f92ccf2b74b2</t>
  </si>
  <si>
    <t>999-96-5090</t>
  </si>
  <si>
    <t>S99974981</t>
  </si>
  <si>
    <t>X93446738X</t>
  </si>
  <si>
    <t>Rogelio17</t>
  </si>
  <si>
    <t>Monahan736</t>
  </si>
  <si>
    <t>654 Harris Viaduct Apt 56</t>
  </si>
  <si>
    <t>4be6b5fb-2a19-943a-9249-7068445be4cc</t>
  </si>
  <si>
    <t>999-92-1780</t>
  </si>
  <si>
    <t>S99965775</t>
  </si>
  <si>
    <t>X85252765X</t>
  </si>
  <si>
    <t>Lamar193</t>
  </si>
  <si>
    <t>Oswaldo857</t>
  </si>
  <si>
    <t>Beer512</t>
  </si>
  <si>
    <t>Amherst  Massachusetts  US</t>
  </si>
  <si>
    <t>420 Cassin Lock</t>
  </si>
  <si>
    <t>Needham</t>
  </si>
  <si>
    <t>031ce8e2-1443-01b4-de6b-61a4084a7166</t>
  </si>
  <si>
    <t>999-32-1323</t>
  </si>
  <si>
    <t>S99990500</t>
  </si>
  <si>
    <t>X92984825X</t>
  </si>
  <si>
    <t>Carmelo33</t>
  </si>
  <si>
    <t>Jonathan639</t>
  </si>
  <si>
    <t>Kirlin939</t>
  </si>
  <si>
    <t>Brockton  Massachusetts  US</t>
  </si>
  <si>
    <t>1055 Ondricka Mews</t>
  </si>
  <si>
    <t>23da8e71-dfb9-9773-1bc1-7b5e31d085b5</t>
  </si>
  <si>
    <t>999-41-6645</t>
  </si>
  <si>
    <t>S99928182</t>
  </si>
  <si>
    <t>X96026960X</t>
  </si>
  <si>
    <t>Bo157</t>
  </si>
  <si>
    <t>August363</t>
  </si>
  <si>
    <t>Klein929</t>
  </si>
  <si>
    <t>623 Pfeffer Street Suite 66</t>
  </si>
  <si>
    <t>97e39468-6488-ca8f-fac2-235a80b4dcf7</t>
  </si>
  <si>
    <t>999-47-6862</t>
  </si>
  <si>
    <t>S99959137</t>
  </si>
  <si>
    <t>X07350182X</t>
  </si>
  <si>
    <t>Enrique929</t>
  </si>
  <si>
    <t>Octavio643</t>
  </si>
  <si>
    <t>Rojas511</t>
  </si>
  <si>
    <t>Santiago de los Caballeros  Santiago  DO</t>
  </si>
  <si>
    <t>591 Walsh Lock Apt 54</t>
  </si>
  <si>
    <t>Mansfield</t>
  </si>
  <si>
    <t>31f368d9-3fdc-a15f-ccdc-fafa74a860e9</t>
  </si>
  <si>
    <t>999-56-3495</t>
  </si>
  <si>
    <t>S99935549</t>
  </si>
  <si>
    <t>X18004189X</t>
  </si>
  <si>
    <t>Manuel446</t>
  </si>
  <si>
    <t>Frami345</t>
  </si>
  <si>
    <t>1094 Hegmann Crossroad</t>
  </si>
  <si>
    <t>ba47a33b-ffb6-25b9-e8bf-e7eabeaee1be</t>
  </si>
  <si>
    <t>999-85-4857</t>
  </si>
  <si>
    <t>S99910439</t>
  </si>
  <si>
    <t>X93139277X</t>
  </si>
  <si>
    <t>Maximo817</t>
  </si>
  <si>
    <t>Jake169</t>
  </si>
  <si>
    <t>Pagac496</t>
  </si>
  <si>
    <t>Danvers  Massachusetts  US</t>
  </si>
  <si>
    <t>666 Bosco View</t>
  </si>
  <si>
    <t>Arlington</t>
  </si>
  <si>
    <t>6d04a400-ad21-5951-b092-c14b6358d4c5</t>
  </si>
  <si>
    <t>999-89-7774</t>
  </si>
  <si>
    <t>Marquitta546</t>
  </si>
  <si>
    <t>Hickle134</t>
  </si>
  <si>
    <t>West Dennis  Massachusetts  US</t>
  </si>
  <si>
    <t>571 Schoen Port</t>
  </si>
  <si>
    <t>Chicopee</t>
  </si>
  <si>
    <t>35f80d0e-eaad-ef68-b762-3a1c12a872c1</t>
  </si>
  <si>
    <t>999-69-3762</t>
  </si>
  <si>
    <t>S99994896</t>
  </si>
  <si>
    <t>X71351822X</t>
  </si>
  <si>
    <t>Brady998</t>
  </si>
  <si>
    <t>Coy949</t>
  </si>
  <si>
    <t>Olson653</t>
  </si>
  <si>
    <t>Swampscott  Massachusetts  US</t>
  </si>
  <si>
    <t>691 Morissette Frontage road</t>
  </si>
  <si>
    <t>Easton</t>
  </si>
  <si>
    <t>babc4b97-d859-0fe4-2874-fb6fe493ae6b</t>
  </si>
  <si>
    <t>999-79-2768</t>
  </si>
  <si>
    <t>Martha161</t>
  </si>
  <si>
    <t>Gilma310</t>
  </si>
  <si>
    <t>Wiegand701</t>
  </si>
  <si>
    <t>Auburn  Massachusetts  US</t>
  </si>
  <si>
    <t>763 Kihn Arcade Apt 9</t>
  </si>
  <si>
    <t>bd4e49cb-391b-d08a-c7ab-b585e7bd5758</t>
  </si>
  <si>
    <t>999-74-3044</t>
  </si>
  <si>
    <t>S99986148</t>
  </si>
  <si>
    <t>X50547654X</t>
  </si>
  <si>
    <t>Tanner110</t>
  </si>
  <si>
    <t>Lubowitz58</t>
  </si>
  <si>
    <t>568 Olson Drive Suite 26</t>
  </si>
  <si>
    <t>Everett</t>
  </si>
  <si>
    <t>f6359fe4-4340-2820-8b76-593a45f5186c</t>
  </si>
  <si>
    <t>999-61-5443</t>
  </si>
  <si>
    <t>S99915234</t>
  </si>
  <si>
    <t>Angelique249</t>
  </si>
  <si>
    <t>Gerhold939</t>
  </si>
  <si>
    <t>Clinton  Massachusetts  US</t>
  </si>
  <si>
    <t>789 O'Conner Corner</t>
  </si>
  <si>
    <t>Marshfield Hills</t>
  </si>
  <si>
    <t>afb99eee-0bd5-8853-8a32-fad74da7b103</t>
  </si>
  <si>
    <t>999-42-9141</t>
  </si>
  <si>
    <t>S99983260</t>
  </si>
  <si>
    <t>X41505593X</t>
  </si>
  <si>
    <t>Will178</t>
  </si>
  <si>
    <t>Jamison785</t>
  </si>
  <si>
    <t>Haley279</t>
  </si>
  <si>
    <t>Marseille  Provence-Alpes-Cote d'Azur  FR</t>
  </si>
  <si>
    <t>382 Torp Frontage road</t>
  </si>
  <si>
    <t>Mendon</t>
  </si>
  <si>
    <t>5dae1e9e-46fb-5537-54f4-8837a56dd3d5</t>
  </si>
  <si>
    <t>999-42-1045</t>
  </si>
  <si>
    <t>S99945941</t>
  </si>
  <si>
    <t>X14326752X</t>
  </si>
  <si>
    <t>John539</t>
  </si>
  <si>
    <t>Bill567</t>
  </si>
  <si>
    <t>D'Amore443</t>
  </si>
  <si>
    <t>1067 Adams Stravenue</t>
  </si>
  <si>
    <t>Middleborough Center</t>
  </si>
  <si>
    <t>d309f605-948b-962f-ca72-878ce8b8d154</t>
  </si>
  <si>
    <t>999-47-7295</t>
  </si>
  <si>
    <t>S99932113</t>
  </si>
  <si>
    <t>X49601579X</t>
  </si>
  <si>
    <t>Star250</t>
  </si>
  <si>
    <t>Ruecker817</t>
  </si>
  <si>
    <t>125 Hilpert Meadow Suite 82</t>
  </si>
  <si>
    <t>Watertown</t>
  </si>
  <si>
    <t>2fb99851-6f31-04a6-be96-6fef4663e208</t>
  </si>
  <si>
    <t>999-73-2790</t>
  </si>
  <si>
    <t>S99965285</t>
  </si>
  <si>
    <t>X54924936X</t>
  </si>
  <si>
    <t>Michale231</t>
  </si>
  <si>
    <t>Gail741</t>
  </si>
  <si>
    <t>Ankunding277</t>
  </si>
  <si>
    <t>269 Roob Tunnel Unit 10</t>
  </si>
  <si>
    <t>f67eaca3-2366-7ee2-6887-a5bd449b54a6</t>
  </si>
  <si>
    <t>999-51-5224</t>
  </si>
  <si>
    <t>S99950313</t>
  </si>
  <si>
    <t>X11203465X</t>
  </si>
  <si>
    <t>Lou594</t>
  </si>
  <si>
    <t>Emanuel231</t>
  </si>
  <si>
    <t>Lowell  Massachusetts  US</t>
  </si>
  <si>
    <t>1051 Schaden Port Apt 52</t>
  </si>
  <si>
    <t>Norwood</t>
  </si>
  <si>
    <t>96de62ae-1b00-58d8-77f9-cd25414e16be</t>
  </si>
  <si>
    <t>999-37-5871</t>
  </si>
  <si>
    <t>S99915896</t>
  </si>
  <si>
    <t>X67992657X</t>
  </si>
  <si>
    <t>Thuy136</t>
  </si>
  <si>
    <t>May125</t>
  </si>
  <si>
    <t>Monument Beach  Massachusetts  US</t>
  </si>
  <si>
    <t>273 Turcotte Byway</t>
  </si>
  <si>
    <t>46fcc34a-97a1-f038-9bb1-4ae87116ae61</t>
  </si>
  <si>
    <t>999-32-2672</t>
  </si>
  <si>
    <t>S99910697</t>
  </si>
  <si>
    <t>X65469533X</t>
  </si>
  <si>
    <t>Micaela928</t>
  </si>
  <si>
    <t>Josefina523</t>
  </si>
  <si>
    <t>Rendón540</t>
  </si>
  <si>
    <t>Manzanares924</t>
  </si>
  <si>
    <t>Roseau  Saint George  DM</t>
  </si>
  <si>
    <t>1046 Tillman View Apt 28</t>
  </si>
  <si>
    <t>Northbridge</t>
  </si>
  <si>
    <t>6c4283c9-228b-2774-7d25-fbb5a14bdc1b</t>
  </si>
  <si>
    <t>999-84-9378</t>
  </si>
  <si>
    <t>S99980313</t>
  </si>
  <si>
    <t>X05507266X</t>
  </si>
  <si>
    <t>Tony646</t>
  </si>
  <si>
    <t>Schoen8</t>
  </si>
  <si>
    <t>Incheon  Incheon  KR</t>
  </si>
  <si>
    <t>651 Brown Rue Suite 81</t>
  </si>
  <si>
    <t>Framingham</t>
  </si>
  <si>
    <t>30889246-5f7d-9305-542f-55cb89e1f4de</t>
  </si>
  <si>
    <t>999-42-4889</t>
  </si>
  <si>
    <t>Dudley365</t>
  </si>
  <si>
    <t>Elijah719</t>
  </si>
  <si>
    <t>Torphy630</t>
  </si>
  <si>
    <t>231 Schiller Esplanade Unit 87</t>
  </si>
  <si>
    <t>New Bedford</t>
  </si>
  <si>
    <t>e7c068bb-6d29-27d3-0b8b-ec0406cc91b7</t>
  </si>
  <si>
    <t>999-89-5168</t>
  </si>
  <si>
    <t>S99930603</t>
  </si>
  <si>
    <t>X69958463X</t>
  </si>
  <si>
    <t>Nan75</t>
  </si>
  <si>
    <t>Staci390</t>
  </si>
  <si>
    <t>Bednar518</t>
  </si>
  <si>
    <t>Woburn  Massachusetts  US</t>
  </si>
  <si>
    <t>952 Hermiston Trail</t>
  </si>
  <si>
    <t>ee4b7339-ca58-b6af-c199-04b6d5761c73</t>
  </si>
  <si>
    <t>999-98-1610</t>
  </si>
  <si>
    <t>Stanton715</t>
  </si>
  <si>
    <t>Antony83</t>
  </si>
  <si>
    <t>Schimmel440</t>
  </si>
  <si>
    <t>Palmer  Massachusetts  US</t>
  </si>
  <si>
    <t>330 Jakubowski Rest</t>
  </si>
  <si>
    <t>Granby</t>
  </si>
  <si>
    <t>Hampshire County</t>
  </si>
  <si>
    <t>3935e8a9-9b9f-fd00-fe22-bcb810d0330b</t>
  </si>
  <si>
    <t>999-18-7703</t>
  </si>
  <si>
    <t>S99998408</t>
  </si>
  <si>
    <t>X45499310X</t>
  </si>
  <si>
    <t>Basilia559</t>
  </si>
  <si>
    <t>Renae431</t>
  </si>
  <si>
    <t>Hagenes547</t>
  </si>
  <si>
    <t>1057 Barrows Ferry</t>
  </si>
  <si>
    <t>Belchertown</t>
  </si>
  <si>
    <t>1dabc422-e007-d5ee-791f-9e08a8fd9b6a</t>
  </si>
  <si>
    <t>999-28-6636</t>
  </si>
  <si>
    <t>Hester117</t>
  </si>
  <si>
    <t>Marna905</t>
  </si>
  <si>
    <t>Spinka232</t>
  </si>
  <si>
    <t>Chelmsford  Massachusetts  US</t>
  </si>
  <si>
    <t>203 Spencer Terrace</t>
  </si>
  <si>
    <t>3732fde5-efc6-d57a-517b-0500f2177181</t>
  </si>
  <si>
    <t>999-26-3815</t>
  </si>
  <si>
    <t>S99956155</t>
  </si>
  <si>
    <t>X14076838X</t>
  </si>
  <si>
    <t>Danny396</t>
  </si>
  <si>
    <t>Frederic454</t>
  </si>
  <si>
    <t>Jacobs452</t>
  </si>
  <si>
    <t>Lee  Massachusetts  US</t>
  </si>
  <si>
    <t>308 Friesen Ramp Suite 39</t>
  </si>
  <si>
    <t>9c26986a-d81d-62f0-ee7a-ab8bb6377434</t>
  </si>
  <si>
    <t>999-35-5297</t>
  </si>
  <si>
    <t>S99971801</t>
  </si>
  <si>
    <t>X70857061X</t>
  </si>
  <si>
    <t>Barbra486</t>
  </si>
  <si>
    <t>Yaeko585</t>
  </si>
  <si>
    <t>Conn188</t>
  </si>
  <si>
    <t>Schaefer657</t>
  </si>
  <si>
    <t>158 Cormier Overpass</t>
  </si>
  <si>
    <t>Stow</t>
  </si>
  <si>
    <t>3314e296-2326-2826-271d-a7be5b896db9</t>
  </si>
  <si>
    <t>999-47-6897</t>
  </si>
  <si>
    <t>S99931304</t>
  </si>
  <si>
    <t>X54049127X</t>
  </si>
  <si>
    <t>Micah422</t>
  </si>
  <si>
    <t>Sherie778</t>
  </si>
  <si>
    <t>Shanahan202</t>
  </si>
  <si>
    <t>Hirthe744</t>
  </si>
  <si>
    <t>Bourne  Massachusetts  US</t>
  </si>
  <si>
    <t>991 Orn Dam Suite 51</t>
  </si>
  <si>
    <t>Holden</t>
  </si>
  <si>
    <t>72b1ca95-c4f0-269d-28bf-ba36b25a9aa6</t>
  </si>
  <si>
    <t>999-56-4688</t>
  </si>
  <si>
    <t>S99962168</t>
  </si>
  <si>
    <t>X34533144X</t>
  </si>
  <si>
    <t>Brittany443</t>
  </si>
  <si>
    <t>Mante251</t>
  </si>
  <si>
    <t>391 Gutkowski Promenade Unit 2</t>
  </si>
  <si>
    <t>d537941e-1fb7-9868-939a-a26252da8be1</t>
  </si>
  <si>
    <t>999-56-6306</t>
  </si>
  <si>
    <t>S99947433</t>
  </si>
  <si>
    <t>X28691914X</t>
  </si>
  <si>
    <t>Hui924</t>
  </si>
  <si>
    <t>Mariella503</t>
  </si>
  <si>
    <t>Franecki195</t>
  </si>
  <si>
    <t>Upton  Massachusetts  US</t>
  </si>
  <si>
    <t>481 Jerde Street Suite 0</t>
  </si>
  <si>
    <t>Lenox</t>
  </si>
  <si>
    <t>3eec36b2-71cc-13c4-489a-495c45318bc3</t>
  </si>
  <si>
    <t>999-53-1040</t>
  </si>
  <si>
    <t>S99932458</t>
  </si>
  <si>
    <t>X28211351X</t>
  </si>
  <si>
    <t>Madalyn472</t>
  </si>
  <si>
    <t>Crist667</t>
  </si>
  <si>
    <t>Plymouth  Massachusetts  US</t>
  </si>
  <si>
    <t>711 Hyatt Glen</t>
  </si>
  <si>
    <t>Leicester</t>
  </si>
  <si>
    <t>dc77ef0d-1846-94fd-cce5-a7a555009d17</t>
  </si>
  <si>
    <t>999-90-7172</t>
  </si>
  <si>
    <t>Marylee823</t>
  </si>
  <si>
    <t>Fisher429</t>
  </si>
  <si>
    <t>Sunderland  Massachusetts  US</t>
  </si>
  <si>
    <t>386 Berge Avenue Suite 20</t>
  </si>
  <si>
    <t>3099d813-4f5c-fc43-31d8-7bba5dc84bed</t>
  </si>
  <si>
    <t>999-26-8722</t>
  </si>
  <si>
    <t>Booker670</t>
  </si>
  <si>
    <t>Tyrone215</t>
  </si>
  <si>
    <t>Jakubowski832</t>
  </si>
  <si>
    <t>Waltham  Massachusetts  US</t>
  </si>
  <si>
    <t>176 Rohan Divide</t>
  </si>
  <si>
    <t>Brockton</t>
  </si>
  <si>
    <t>c823813e-2588-4814-6eb4-824974791862</t>
  </si>
  <si>
    <t>999-78-5034</t>
  </si>
  <si>
    <t>S99920813</t>
  </si>
  <si>
    <t>X25792171X</t>
  </si>
  <si>
    <t>Mathilde204</t>
  </si>
  <si>
    <t>Carin553</t>
  </si>
  <si>
    <t>Hettinger594</t>
  </si>
  <si>
    <t>495 Stoltenberg Approach</t>
  </si>
  <si>
    <t>Marshfield</t>
  </si>
  <si>
    <t>bca1691f-8839-1d66-ed01-471134d55738</t>
  </si>
  <si>
    <t>999-94-3814</t>
  </si>
  <si>
    <t>S99989599</t>
  </si>
  <si>
    <t>X58161126X</t>
  </si>
  <si>
    <t>Cole117</t>
  </si>
  <si>
    <t>Dario75</t>
  </si>
  <si>
    <t>Corwin846</t>
  </si>
  <si>
    <t>Ashland  Massachusetts  US</t>
  </si>
  <si>
    <t>566 Hartmann Parade</t>
  </si>
  <si>
    <t>ca443842-f546-d34c-a69b-b044cfe007d9</t>
  </si>
  <si>
    <t>999-90-9792</t>
  </si>
  <si>
    <t>S99965498</t>
  </si>
  <si>
    <t>X09185689X</t>
  </si>
  <si>
    <t>Gianna370</t>
  </si>
  <si>
    <t>Malena136</t>
  </si>
  <si>
    <t>Shields502</t>
  </si>
  <si>
    <t>North Attleborough  Massachusetts  US</t>
  </si>
  <si>
    <t>410 Olson Glen Suite 72</t>
  </si>
  <si>
    <t>5693c080-f485-91e7-54b9-ad9a8c12af62</t>
  </si>
  <si>
    <t>999-35-4010</t>
  </si>
  <si>
    <t>S99986979</t>
  </si>
  <si>
    <t>X35073499X</t>
  </si>
  <si>
    <t>Maurice742</t>
  </si>
  <si>
    <t>Marcos263</t>
  </si>
  <si>
    <t>628 Emard Walk Suite 0</t>
  </si>
  <si>
    <t>Andover</t>
  </si>
  <si>
    <t>START</t>
  </si>
  <si>
    <t>STOP</t>
  </si>
  <si>
    <t>PATIENT</t>
  </si>
  <si>
    <t>ORGANIZATION</t>
  </si>
  <si>
    <t>PROVIDER</t>
  </si>
  <si>
    <t>PAYER</t>
  </si>
  <si>
    <t>ENCOUNTERCLASS</t>
  </si>
  <si>
    <t>CODE</t>
  </si>
  <si>
    <t>DESCRIPTION</t>
  </si>
  <si>
    <t>BASE_ENCOUNTER_COST</t>
  </si>
  <si>
    <t>TOTAL_CLAIM_COST</t>
  </si>
  <si>
    <t>PAYER_COVERAGE</t>
  </si>
  <si>
    <t>REASONCODE</t>
  </si>
  <si>
    <t>REASONDESCRIPTION</t>
  </si>
  <si>
    <t>cc3eac4a-34a7-9a15-13f3-57f4a6b934f9</t>
  </si>
  <si>
    <t>a3327df4-d092-350b-b551-e60c82076c9a</t>
  </si>
  <si>
    <t>a7db224a-b937-3e39-be28-5431d106bfdb</t>
  </si>
  <si>
    <t>e03e23c9-4df1-3eb6-a62d-f70f02301496</t>
  </si>
  <si>
    <t>wellness</t>
  </si>
  <si>
    <t>General examination of patient (procedure)</t>
  </si>
  <si>
    <t>cc3eac4a-34a7-9a15-1dc5-a353457420c6</t>
  </si>
  <si>
    <t>734afbd6-4794-363b-9bc0-6a3981533ed5</t>
  </si>
  <si>
    <t>cc3eac4a-34a7-9a15-94b5-26ac8c6c7134</t>
  </si>
  <si>
    <t>cc3eac4a-34a7-9a15-2a3d-1a1ba491a8ac</t>
  </si>
  <si>
    <t>0133f751-9229-3cfd-815f-b6d4979bdd6a</t>
  </si>
  <si>
    <t>cc3eac4a-34a7-9a15-99df-e3a0393fa95e</t>
  </si>
  <si>
    <t>cc3eac4a-34a7-9a15-d602-66b0bd935203</t>
  </si>
  <si>
    <t>e59fb2d5-508c-38c6-af2e-21d8216dd2b0</t>
  </si>
  <si>
    <t>0c7ec305-444a-3054-9718-196281023a20</t>
  </si>
  <si>
    <t>ambulatory</t>
  </si>
  <si>
    <t>Encounter for symptom (procedure)</t>
  </si>
  <si>
    <t>Acute bronchitis (disorder)</t>
  </si>
  <si>
    <t>cc3eac4a-34a7-9a15-25f1-0d3ead2180b6</t>
  </si>
  <si>
    <t>Viral sinusitis (disorder)</t>
  </si>
  <si>
    <t>cc3eac4a-34a7-9a15-da83-de2c625ae978</t>
  </si>
  <si>
    <t>cc3eac4a-34a7-9a15-197d-c8faa82aee51</t>
  </si>
  <si>
    <t>Encounter for check up (procedure)</t>
  </si>
  <si>
    <t>Patient referral for dental care (procedure)</t>
  </si>
  <si>
    <t>cc3eac4a-34a7-9a15-747e-7510e2463417</t>
  </si>
  <si>
    <t>cc3eac4a-34a7-9a15-88f3-730564694133</t>
  </si>
  <si>
    <t>cc3eac4a-34a7-9a15-f753-5f808d4cf215</t>
  </si>
  <si>
    <t>outpatient</t>
  </si>
  <si>
    <t>Administration of vaccine to produce active immunity (procedure)</t>
  </si>
  <si>
    <t>cc3eac4a-34a7-9a15-ca00-ed6e196c4120</t>
  </si>
  <si>
    <t>cc3eac4a-34a7-9a15-ca32-5d73928c0a72</t>
  </si>
  <si>
    <t>cc3eac4a-34a7-9a15-473f-34cd7ed0707a</t>
  </si>
  <si>
    <t>cc3eac4a-34a7-9a15-65ed-a29acec55dc1</t>
  </si>
  <si>
    <t>cc3eac4a-34a7-9a15-a77a-027dab52c156</t>
  </si>
  <si>
    <t>cc3eac4a-34a7-9a15-0045-5d8e18d8dd42</t>
  </si>
  <si>
    <t>8b9df7af-24b3-66ee-5a2b-56f7415801c1</t>
  </si>
  <si>
    <t>00ffb204-07b4-3c72-a678-fa252e6cf86c</t>
  </si>
  <si>
    <t>a814538f-c305-35f6-93ff-645e767c9352</t>
  </si>
  <si>
    <t>Well child visit (procedure)</t>
  </si>
  <si>
    <t>8b9df7af-24b3-66ee-d46c-520a00b76fa8</t>
  </si>
  <si>
    <t>8b9df7af-24b3-66ee-4f78-03cdb6ff5bba</t>
  </si>
  <si>
    <t>2836d9ac-c6a6-39d1-8f13-fdf0fc8928f4</t>
  </si>
  <si>
    <t>51936775-54b2-3316-b84c-195ddefe763c</t>
  </si>
  <si>
    <t>Prenatal initial visit (regime/therapy)</t>
  </si>
  <si>
    <t>Normal pregnancy (finding)</t>
  </si>
  <si>
    <t>8b9df7af-24b3-66ee-d48d-a93131227737</t>
  </si>
  <si>
    <t>Prenatal visit (regime/therapy)</t>
  </si>
  <si>
    <t>8b9df7af-24b3-66ee-4471-11430487e72a</t>
  </si>
  <si>
    <t>8b9df7af-24b3-66ee-b97e-1c176cec62b8</t>
  </si>
  <si>
    <t>8b9df7af-24b3-66ee-9d06-83dc92f9a5ef</t>
  </si>
  <si>
    <t>8b9df7af-24b3-66ee-9cc4-2984f0ec47fe</t>
  </si>
  <si>
    <t>8b9df7af-24b3-66ee-1167-3b1eca5a2d7e</t>
  </si>
  <si>
    <t>8b9df7af-24b3-66ee-e180-382ed946a8f9</t>
  </si>
  <si>
    <t>8b9df7af-24b3-66ee-78c2-50cf19fce820</t>
  </si>
  <si>
    <t>8b9df7af-24b3-66ee-28ef-815aae24040e</t>
  </si>
  <si>
    <t>8b9df7af-24b3-66ee-478d-13b9c49a3711</t>
  </si>
  <si>
    <t>8b9df7af-24b3-66ee-06bd-475d45a43175</t>
  </si>
  <si>
    <t>8b9df7af-24b3-66ee-7fad-869b4430a8aa</t>
  </si>
  <si>
    <t>1ddd51d1-7297-3c3b-bad5-98aecd5e4a79</t>
  </si>
  <si>
    <t>978b6103-bc5e-3c77-a066-133aa89bbbf1</t>
  </si>
  <si>
    <t>emergency</t>
  </si>
  <si>
    <t>Obstetric emergency hospital admission (procedure)</t>
  </si>
  <si>
    <t>8b9df7af-24b3-66ee-4eeb-9468ea972e4f</t>
  </si>
  <si>
    <t>Postnatal visit (regime/therapy)</t>
  </si>
  <si>
    <t>8b9df7af-24b3-66ee-7f91-c7e4c7fa1bfc</t>
  </si>
  <si>
    <t>8b9df7af-24b3-66ee-0403-196b85240811</t>
  </si>
  <si>
    <t>8b9df7af-24b3-66ee-a2e0-1afc2a82be80</t>
  </si>
  <si>
    <t>8b9df7af-24b3-66ee-b5e3-425f8288f353</t>
  </si>
  <si>
    <t>8b9df7af-24b3-66ee-91d1-5f83576c9c1f</t>
  </si>
  <si>
    <t>8b9df7af-24b3-66ee-587c-25de867f4519</t>
  </si>
  <si>
    <t>8b9df7af-24b3-66ee-8585-435498f3c0f5</t>
  </si>
  <si>
    <t>8b9df7af-24b3-66ee-b42c-bbf046bc0ab8</t>
  </si>
  <si>
    <t>8b9df7af-24b3-66ee-6e92-99e3acd14bac</t>
  </si>
  <si>
    <t>8b9df7af-24b3-66ee-31b1-033f231db143</t>
  </si>
  <si>
    <t>8b9df7af-24b3-66ee-4272-0881a1395d49</t>
  </si>
  <si>
    <t>8b9df7af-24b3-66ee-b19d-4331a0dc2a85</t>
  </si>
  <si>
    <t>8b9df7af-24b3-66ee-7a57-9152a0fd284b</t>
  </si>
  <si>
    <t>df166300-5a78-3502-a46a-832842197811</t>
  </si>
  <si>
    <t>8b9df7af-24b3-66ee-987c-a47acb8b28a9</t>
  </si>
  <si>
    <t>8b9df7af-24b3-66ee-8975-1ef03abfc74d</t>
  </si>
  <si>
    <t>8b9df7af-24b3-66ee-5ca7-72a6a1f9f6bc</t>
  </si>
  <si>
    <t>Acute infective cystitis (disorder)</t>
  </si>
  <si>
    <t>8b9df7af-24b3-66ee-4ddb-21d867a9468e</t>
  </si>
  <si>
    <t>8b9df7af-24b3-66ee-5d36-10b5aa04c135</t>
  </si>
  <si>
    <t>8b9df7af-24b3-66ee-c09b-0032c401e2c2</t>
  </si>
  <si>
    <t>8b9df7af-24b3-66ee-55a2-0fb29e44e440</t>
  </si>
  <si>
    <t>Congenital uterine anomaly (disorder)</t>
  </si>
  <si>
    <t>8b9df7af-24b3-66ee-e0f9-1ae395abeb9d</t>
  </si>
  <si>
    <t>8b9df7af-24b3-66ee-80e6-bc5c888da0bc</t>
  </si>
  <si>
    <t>8b9df7af-24b3-66ee-276d-b0d31e4b09ba</t>
  </si>
  <si>
    <t>8b9df7af-24b3-66ee-9c34-e83c58fe8a61</t>
  </si>
  <si>
    <t>8fa6c185-e44e-3e34-8bd8-39be8694f4ce</t>
  </si>
  <si>
    <t>8b9df7af-24b3-66ee-f894-82c17d1ea6db</t>
  </si>
  <si>
    <t>8b9df7af-24b3-66ee-29f0-922778478d6d</t>
  </si>
  <si>
    <t>65cbad6a-eb9d-420e-3f14-179e0a19da2e</t>
  </si>
  <si>
    <t>31e00f85-6909-3d9f-afc6-5ae507ab0c06</t>
  </si>
  <si>
    <t>98cb411d-622d-3bc7-8237-db45749a3351</t>
  </si>
  <si>
    <t>65cbad6a-eb9d-420e-dcb6-99076c13b909</t>
  </si>
  <si>
    <t>e2eab39c-5195-34aa-b35f-e89e37cfed01</t>
  </si>
  <si>
    <t>bd19ee55-7b5f-3edb-9d74-a279232ace7a</t>
  </si>
  <si>
    <t>Blighted ovum (disorder)</t>
  </si>
  <si>
    <t>65cbad6a-eb9d-420e-fb31-5e187739ba91</t>
  </si>
  <si>
    <t>65cbad6a-eb9d-420e-61a7-d16dedd45743</t>
  </si>
  <si>
    <t>65cbad6a-eb9d-420e-eae3-f36ab69d7822</t>
  </si>
  <si>
    <t>65cbad6a-eb9d-420e-4c77-271414e1453f</t>
  </si>
  <si>
    <t>65cbad6a-eb9d-420e-16c1-2706bd12c159</t>
  </si>
  <si>
    <t>a735bf55-83e9-331a-899d-a82a60b9f60c</t>
  </si>
  <si>
    <t>65cbad6a-eb9d-420e-5ffe-48701db7582e</t>
  </si>
  <si>
    <t>Encounter for problem (procedure)</t>
  </si>
  <si>
    <t>Loss of teeth (disorder)</t>
  </si>
  <si>
    <t>65cbad6a-eb9d-420e-aef5-3f6b7c21c719</t>
  </si>
  <si>
    <t>65cbad6a-eb9d-420e-a0a1-bdea0e245db8</t>
  </si>
  <si>
    <t>65cbad6a-eb9d-420e-32d1-80d7bf5c030d</t>
  </si>
  <si>
    <t>8b9df7af-24b3-66ee-9dcb-d8741bb2695c</t>
  </si>
  <si>
    <t>Acute viral pharyngitis (disorder)</t>
  </si>
  <si>
    <t>9a3814bb-f5b0-05f3-3c53-f8c9735ec82c</t>
  </si>
  <si>
    <t>afc661fd-71d9-3fc3-adf2-3fc3b5e8a140</t>
  </si>
  <si>
    <t>4f69f42f-d99c-3263-986f-9ef6450d0be9</t>
  </si>
  <si>
    <t>Tree nut (substance)</t>
  </si>
  <si>
    <t>8b9df7af-24b3-66ee-185a-88d5f175c333</t>
  </si>
  <si>
    <t>9a3814bb-f5b0-05f3-7f8d-c24687b1fda7</t>
  </si>
  <si>
    <t>Allergic disposition (finding)</t>
  </si>
  <si>
    <t>65cbad6a-eb9d-420e-802d-9c94561b5a98</t>
  </si>
  <si>
    <t>65cbad6a-eb9d-420e-d24a-e5f1ba757a9e</t>
  </si>
  <si>
    <t>8b9df7af-24b3-66ee-9804-e0e8b3da4793</t>
  </si>
  <si>
    <t>9a3814bb-f5b0-05f3-fd4c-254dd9709c4a</t>
  </si>
  <si>
    <t>b574fc4f-313c-38a4-9baf-7e12e431a499</t>
  </si>
  <si>
    <t>ffa29343-48ef-3bad-b921-69da80c7406d</t>
  </si>
  <si>
    <t>9a3814bb-f5b0-05f3-75e2-7ee3319679d2</t>
  </si>
  <si>
    <t>65cbad6a-eb9d-420e-d730-51652ff5a678</t>
  </si>
  <si>
    <t>9a3814bb-f5b0-05f3-3f8b-754f16ccdc6a</t>
  </si>
  <si>
    <t>9a3814bb-f5b0-05f3-8607-12bcd1ea3eba</t>
  </si>
  <si>
    <t>Childhood asthma (disorder)</t>
  </si>
  <si>
    <t>8b9df7af-24b3-66ee-6c30-b58c004451a0</t>
  </si>
  <si>
    <t>9a3814bb-f5b0-05f3-5b77-adbaaf993479</t>
  </si>
  <si>
    <t>8b9df7af-24b3-66ee-1210-f68874be88a5</t>
  </si>
  <si>
    <t>8b9df7af-24b3-66ee-aaa8-477cddb35e9b</t>
  </si>
  <si>
    <t>9a3814bb-f5b0-05f3-6f85-20b8fe1a53e0</t>
  </si>
  <si>
    <t>Asthma follow-up (regime/therapy)</t>
  </si>
  <si>
    <t>8b9df7af-24b3-66ee-17bc-5e79e81c237e</t>
  </si>
  <si>
    <t>9a3814bb-f5b0-05f3-f5e5-86c32271300f</t>
  </si>
  <si>
    <t>bccd7d67-203c-3d93-b6b0-bff5a146cd1d</t>
  </si>
  <si>
    <t>25a63771-aea1-310b-ad1e-004c7a015b49</t>
  </si>
  <si>
    <t>urgentcare</t>
  </si>
  <si>
    <t>Urgent care clinic (environment)</t>
  </si>
  <si>
    <t>8b9df7af-24b3-66ee-b7c8-f014ff07652b</t>
  </si>
  <si>
    <t>8b9df7af-24b3-66ee-eb41-51c775e7f964</t>
  </si>
  <si>
    <t>Emergency room admission (procedure)</t>
  </si>
  <si>
    <t>Sprain (morphologic abnormality)</t>
  </si>
  <si>
    <t>8b9df7af-24b3-66ee-4651-4c7a9f177207</t>
  </si>
  <si>
    <t>9a3814bb-f5b0-05f3-e0dc-309e11331886</t>
  </si>
  <si>
    <t>8b9df7af-24b3-66ee-2136-18486708d4cb</t>
  </si>
  <si>
    <t>8b9df7af-24b3-66ee-7f9c-54810c4e1d9a</t>
  </si>
  <si>
    <t>9a3814bb-f5b0-05f3-64ee-20a4a3ba6c0c</t>
  </si>
  <si>
    <t>9a3814bb-f5b0-05f3-230f-6985db10794d</t>
  </si>
  <si>
    <t>8b9df7af-24b3-66ee-17a0-a4332e1be12b</t>
  </si>
  <si>
    <t>65cbad6a-eb9d-420e-17d0-e115ed697eef</t>
  </si>
  <si>
    <t>9a3814bb-f5b0-05f3-2250-ae200a0ef6f1</t>
  </si>
  <si>
    <t>Acute bacterial sinusitis (disorder)</t>
  </si>
  <si>
    <t>9a3814bb-f5b0-05f3-a43f-3241e9cb896f</t>
  </si>
  <si>
    <t>9a3814bb-f5b0-05f3-b856-6d47e4b2e36e</t>
  </si>
  <si>
    <t>9a3814bb-f5b0-05f3-4fb0-647d12ee1490</t>
  </si>
  <si>
    <t>8b9df7af-24b3-66ee-54c5-e64e1a58f927</t>
  </si>
  <si>
    <t>Patient-initiated encounter (procedure)</t>
  </si>
  <si>
    <t>8b9df7af-24b3-66ee-2790-1781792485b4</t>
  </si>
  <si>
    <t>8b9df7af-24b3-66ee-7598-ee5379ec466e</t>
  </si>
  <si>
    <t>65cbad6a-eb9d-420e-4aff-42d0a7eb0810</t>
  </si>
  <si>
    <t>8b9df7af-24b3-66ee-d35e-86dac93d3bc7</t>
  </si>
  <si>
    <t>65cbad6a-eb9d-420e-cb98-2a75b5b04b47</t>
  </si>
  <si>
    <t>8b9df7af-24b3-66ee-d2b9-bc48cbb4ab75</t>
  </si>
  <si>
    <t>8b9df7af-24b3-66ee-1ebd-36cda2ea80f3</t>
  </si>
  <si>
    <t>8b9df7af-24b3-66ee-3bd8-99c55bc704a1</t>
  </si>
  <si>
    <t>8b9df7af-24b3-66ee-0699-652a802bf405</t>
  </si>
  <si>
    <t>8b9df7af-24b3-66ee-642b-5775fe565710</t>
  </si>
  <si>
    <t>Consultation for treatment (procedure)</t>
  </si>
  <si>
    <t>Contraception care (regime/therapy)</t>
  </si>
  <si>
    <t>9a3814bb-f5b0-05f3-dc32-28cb99d5b416</t>
  </si>
  <si>
    <t>8b9df7af-24b3-66ee-6b2d-786a018c04a3</t>
  </si>
  <si>
    <t>Patient encounter procedure (procedure)</t>
  </si>
  <si>
    <t>9a3814bb-f5b0-05f3-4909-86e1cbc82d22</t>
  </si>
  <si>
    <t>Perennial allergic rhinitis with seasonal variation (disorder)</t>
  </si>
  <si>
    <t>9a3814bb-f5b0-05f3-074a-f57f8d982676</t>
  </si>
  <si>
    <t>8b9df7af-24b3-66ee-e934-5036fa74adaf</t>
  </si>
  <si>
    <t>8b9df7af-24b3-66ee-fc9f-74f403548317</t>
  </si>
  <si>
    <t>8b9df7af-24b3-66ee-6977-093eb32c9351</t>
  </si>
  <si>
    <t>8b9df7af-24b3-66ee-b5c2-2c183b6f64da</t>
  </si>
  <si>
    <t>9a3814bb-f5b0-05f3-fee0-b557bc5b1d34</t>
  </si>
  <si>
    <t>8b9df7af-24b3-66ee-d0c0-7a83657e5aa2</t>
  </si>
  <si>
    <t>8b9df7af-24b3-66ee-3b2d-88de9f25cd70</t>
  </si>
  <si>
    <t>8b9df7af-24b3-66ee-2a44-d77cc104c24b</t>
  </si>
  <si>
    <t>9a3814bb-f5b0-05f3-9206-3042e7a75083</t>
  </si>
  <si>
    <t>8b9df7af-24b3-66ee-bf90-f3660887778c</t>
  </si>
  <si>
    <t>8b9df7af-24b3-66ee-b703-e162169e58c2</t>
  </si>
  <si>
    <t>Gingivitis (disorder)</t>
  </si>
  <si>
    <t>65cbad6a-eb9d-420e-e583-f53289e71e90</t>
  </si>
  <si>
    <t>8b9df7af-24b3-66ee-b7fa-c5907474839c</t>
  </si>
  <si>
    <t>9a3814bb-f5b0-05f3-652a-d61c0c19617d</t>
  </si>
  <si>
    <t>9a3814bb-f5b0-05f3-5b9e-1c747c9bef10</t>
  </si>
  <si>
    <t>65cbad6a-eb9d-420e-5d27-8dbe153b9ace</t>
  </si>
  <si>
    <t>9a3814bb-f5b0-05f3-0942-95c84e537b88</t>
  </si>
  <si>
    <t>9a3814bb-f5b0-05f3-6ea8-79f53ba33c72</t>
  </si>
  <si>
    <t>Streptococcal sore throat (disorder)</t>
  </si>
  <si>
    <t>9a3814bb-f5b0-05f3-6f9f-4d5f03daf23a</t>
  </si>
  <si>
    <t>65cbad6a-eb9d-420e-7de1-2b2961d601c0</t>
  </si>
  <si>
    <t>9a3814bb-f5b0-05f3-a55a-498bd0064bd9</t>
  </si>
  <si>
    <t>9a3814bb-f5b0-05f3-173a-1276dc11f969</t>
  </si>
  <si>
    <t>9a3814bb-f5b0-05f3-d39e-cf2100cb0ab9</t>
  </si>
  <si>
    <t>9a3814bb-f5b0-05f3-4c97-bdf8295b8a0b</t>
  </si>
  <si>
    <t>9a3814bb-f5b0-05f3-1a49-bec247006f2e</t>
  </si>
  <si>
    <t>65cbad6a-eb9d-420e-7096-68be1f0875eb</t>
  </si>
  <si>
    <t>74ab949d-17ac-3309-83a0-13b4405c66aa</t>
  </si>
  <si>
    <t>35fedf4a-4da7-315e-a103-dbcfea0540fa</t>
  </si>
  <si>
    <t>Ischemic heart disease (disorder)</t>
  </si>
  <si>
    <t>65cbad6a-eb9d-420e-fcf5-197afc1cd1d8</t>
  </si>
  <si>
    <t>65cbad6a-eb9d-420e-8b03-3cb4fe1dea67</t>
  </si>
  <si>
    <t>65cbad6a-eb9d-420e-297c-43f9a9096506</t>
  </si>
  <si>
    <t>65cbad6a-eb9d-420e-dfb3-7b7cc860ed4b</t>
  </si>
  <si>
    <t>9a3814bb-f5b0-05f3-9d5d-5b85d9fc6d0c</t>
  </si>
  <si>
    <t>65cbad6a-eb9d-420e-38e2-1e59dd7d813f</t>
  </si>
  <si>
    <t>65cbad6a-eb9d-420e-0c28-4eb837f969bc</t>
  </si>
  <si>
    <t>9a3814bb-f5b0-05f3-38a7-d04d770223c1</t>
  </si>
  <si>
    <t>9a3814bb-f5b0-05f3-42c4-51d4baaa898c</t>
  </si>
  <si>
    <t>65cbad6a-eb9d-420e-e18f-06567b11bab4</t>
  </si>
  <si>
    <t>9a3814bb-f5b0-05f3-08d8-ff809fb6a22c</t>
  </si>
  <si>
    <t>65cbad6a-eb9d-420e-85e2-7f279505905d</t>
  </si>
  <si>
    <t>65cbad6a-eb9d-420e-0f2d-402e1aa618cf</t>
  </si>
  <si>
    <t>9a3814bb-f5b0-05f3-f853-69d65aca1542</t>
  </si>
  <si>
    <t>65cbad6a-eb9d-420e-6765-d9156d8d9b6b</t>
  </si>
  <si>
    <t>9a3814bb-f5b0-05f3-d5d2-0e67c98717f7</t>
  </si>
  <si>
    <t>9a3814bb-f5b0-05f3-d4fc-a488cd5ae1ea</t>
  </si>
  <si>
    <t>9a3814bb-f5b0-05f3-a210-1453648ef3bc</t>
  </si>
  <si>
    <t>263d1b03-1560-3fc3-b93d-c33a0cbd5837</t>
  </si>
  <si>
    <t>42dfd2f9-1027-3e4c-a336-3858dcfcb492</t>
  </si>
  <si>
    <t>Laceration - injury (disorder)</t>
  </si>
  <si>
    <t>65cbad6a-eb9d-420e-4900-5472c217c1f3</t>
  </si>
  <si>
    <t>65cbad6a-eb9d-420e-52e3-53ae4760ca67</t>
  </si>
  <si>
    <t>9a3814bb-f5b0-05f3-f3c7-7e3f60d12ec1</t>
  </si>
  <si>
    <t>9a3814bb-f5b0-05f3-b6af-12cc25dd601d</t>
  </si>
  <si>
    <t>65cbad6a-eb9d-420e-e7cd-d5d14c10f4de</t>
  </si>
  <si>
    <t>Follow-up encounter (procedure)</t>
  </si>
  <si>
    <t>9a3814bb-f5b0-05f3-e4d0-1f4e3f48d49e</t>
  </si>
  <si>
    <t>65cbad6a-eb9d-420e-2f67-761e3d58aff8</t>
  </si>
  <si>
    <t>65cbad6a-eb9d-420e-f440-94ba212e4d11</t>
  </si>
  <si>
    <t>9a3814bb-f5b0-05f3-ed8d-715fba402558</t>
  </si>
  <si>
    <t>65cbad6a-eb9d-420e-c6da-5cfe2ca83535</t>
  </si>
  <si>
    <t>b8d40f5c-9e4d-3639-89ef-8bf375cb3184</t>
  </si>
  <si>
    <t>a51e707e-c955-3c60-8557-e79b4efee27a</t>
  </si>
  <si>
    <t>hospice</t>
  </si>
  <si>
    <t>Admission to hospice (procedure)</t>
  </si>
  <si>
    <t>Alzheimer's disease (disorder)</t>
  </si>
  <si>
    <t>9a3814bb-f5b0-05f3-9d73-dcb9860d8bda</t>
  </si>
  <si>
    <t>Emergency hospital admission for asthma (procedure)</t>
  </si>
  <si>
    <t>9a3814bb-f5b0-05f3-8f6e-9a15b5a948c0</t>
  </si>
  <si>
    <t>9a3814bb-f5b0-05f3-f546-8c0f5c6fe803</t>
  </si>
  <si>
    <t>65cbad6a-eb9d-420e-86bf-3aea121f5309</t>
  </si>
  <si>
    <t>65cbad6a-eb9d-420e-bc6a-1ea991ec33b8</t>
  </si>
  <si>
    <t>65cbad6a-eb9d-420e-cc2d-d2bce5446461</t>
  </si>
  <si>
    <t>9a3814bb-f5b0-05f3-8a36-71495c57357a</t>
  </si>
  <si>
    <t>65cbad6a-eb9d-420e-b29e-9f5a4097e8f8</t>
  </si>
  <si>
    <t>6a703775-432b-ba7d-3f93-ea8d466a92a5</t>
  </si>
  <si>
    <t>9adfae03-673d-365d-9052-f705098fa3e4</t>
  </si>
  <si>
    <t>28e98af0-d17a-345c-8fc6-6662b16c17c4</t>
  </si>
  <si>
    <t>Sinusitis (disorder)</t>
  </si>
  <si>
    <t>6a703775-432b-ba7d-567e-e37728875f6b</t>
  </si>
  <si>
    <t>72f50aa0-d8c9-34dc-ac58-c428323f3bcd</t>
  </si>
  <si>
    <t>c6fde204-071e-39e4-b582-9f064386b375</t>
  </si>
  <si>
    <t>6a703775-432b-ba7d-ba38-b48923476cdd</t>
  </si>
  <si>
    <t>6a703775-432b-ba7d-6046-b031af6a687e</t>
  </si>
  <si>
    <t>6a703775-432b-ba7d-892c-98977158a794</t>
  </si>
  <si>
    <t>6a703775-432b-ba7d-77d9-2fb4dece664c</t>
  </si>
  <si>
    <t>6a703775-432b-ba7d-8f41-85e12c767fa2</t>
  </si>
  <si>
    <t>6a703775-432b-ba7d-0a31-917111e9a587</t>
  </si>
  <si>
    <t>6a703775-432b-ba7d-7e24-f438474ce178</t>
  </si>
  <si>
    <t>6a703775-432b-ba7d-e331-32d2fbc77a76</t>
  </si>
  <si>
    <t>6a703775-432b-ba7d-7de6-222151f0b7db</t>
  </si>
  <si>
    <t>6a703775-432b-ba7d-7763-ceacc64f5878</t>
  </si>
  <si>
    <t>6a703775-432b-ba7d-ce73-e1d5a5b1d37e</t>
  </si>
  <si>
    <t>6a703775-432b-ba7d-d0ba-498ac5cc4b0f</t>
  </si>
  <si>
    <t>355cd402-8f45-353f-9e4f-7fb45f1a02d0</t>
  </si>
  <si>
    <t>a730c5e6-a15f-3e36-8112-8579e507d330</t>
  </si>
  <si>
    <t>fac3c5b7-5517-37fc-8ba9-c2ff6840be56</t>
  </si>
  <si>
    <t>355cd402-8f45-353f-4ca1-6bc923aa32d3</t>
  </si>
  <si>
    <t>355cd402-8f45-353f-a3cc-1bce4e2d22f9</t>
  </si>
  <si>
    <t>ab701a70-a658-340e-8f69-ee196a7d40c6</t>
  </si>
  <si>
    <t>fb885f7c-4155-39b9-bc7e-e1a1c5ebcf1f</t>
  </si>
  <si>
    <t>355cd402-8f45-353f-5189-d4a08215b463</t>
  </si>
  <si>
    <t>355cd402-8f45-353f-ddcf-9fc3195844fe</t>
  </si>
  <si>
    <t>352f2e3b-0708-3eb4-9f7e-e73a685bf379</t>
  </si>
  <si>
    <t>4ba67eac-a99d-34c8-9055-4cf0013c75cc</t>
  </si>
  <si>
    <t>355cd402-8f45-353f-9d86-7796def9af0c</t>
  </si>
  <si>
    <t>355cd402-8f45-353f-75fa-51b846024d8b</t>
  </si>
  <si>
    <t>355cd402-8f45-353f-7d81-41419abc0b3e</t>
  </si>
  <si>
    <t>355cd402-8f45-353f-b0a4-509225aaf371</t>
  </si>
  <si>
    <t>355cd402-8f45-353f-5e3e-1b23228a7c5e</t>
  </si>
  <si>
    <t>355cd402-8f45-353f-1912-e967f1c137e0</t>
  </si>
  <si>
    <t>Localized  primary osteoarthritis of the hand (disorder)</t>
  </si>
  <si>
    <t>355cd402-8f45-353f-6f7d-c8d267f69b15</t>
  </si>
  <si>
    <t>a525d084-5a8f-3859-a048-2130a4092ec8</t>
  </si>
  <si>
    <t>72169acb-3501-3504-b175-fe06b9ef2202</t>
  </si>
  <si>
    <t>Fracture of mandible (disorder)</t>
  </si>
  <si>
    <t>355cd402-8f45-353f-45f4-97121ef38e7d</t>
  </si>
  <si>
    <t>355cd402-8f45-353f-0d67-50a419bea3f6</t>
  </si>
  <si>
    <t>355cd402-8f45-353f-b5fe-ab995e860b84</t>
  </si>
  <si>
    <t>355cd402-8f45-353f-c5f2-148b79f46d17</t>
  </si>
  <si>
    <t>355cd402-8f45-353f-2a6b-d8b5e297465f</t>
  </si>
  <si>
    <t>355cd402-8f45-353f-7da6-0154208efe61</t>
  </si>
  <si>
    <t>c38b96b6-90ae-fabe-2c56-75d1741c477b</t>
  </si>
  <si>
    <t>b5e6f1bd-c744-3556-9775-5ff8399eea33</t>
  </si>
  <si>
    <t>3367d933-1fe2-3895-b49f-87da1122a2e5</t>
  </si>
  <si>
    <t>26aab0cd-6aba-3e1b-ac5b-05c8867e762c</t>
  </si>
  <si>
    <t>c38b96b6-90ae-fabe-3d03-a93c7e8343a4</t>
  </si>
  <si>
    <t>c38b96b6-90ae-fabe-d6a4-25370ca04317</t>
  </si>
  <si>
    <t>c38b96b6-90ae-fabe-fae5-f0f8a269a787</t>
  </si>
  <si>
    <t>c38b96b6-90ae-fabe-64e7-49c11c4bf08f</t>
  </si>
  <si>
    <t>c38b96b6-90ae-fabe-6e64-9de049421c74</t>
  </si>
  <si>
    <t>c38b96b6-90ae-fabe-f809-d9fa5cd639c4</t>
  </si>
  <si>
    <t>c38b96b6-90ae-fabe-40c0-eab8b78b0a5a</t>
  </si>
  <si>
    <t>05fcf001-ab24-3d7d-85f7-f64942d82738</t>
  </si>
  <si>
    <t>9876dc61-49f0-3488-809b-5dc9adac813b</t>
  </si>
  <si>
    <t>Otitis media (disorder)</t>
  </si>
  <si>
    <t>c38b96b6-90ae-fabe-e13b-42cc19a4ab62</t>
  </si>
  <si>
    <t>c38b96b6-90ae-fabe-f38e-e4b4185331c6</t>
  </si>
  <si>
    <t>c38b96b6-90ae-fabe-5899-77a0ebf2b9d0</t>
  </si>
  <si>
    <t>c38b96b6-90ae-fabe-091c-8ae0e55d3dbd</t>
  </si>
  <si>
    <t>c38b96b6-90ae-fabe-defb-706a164f1112</t>
  </si>
  <si>
    <t>c38b96b6-90ae-fabe-3eea-1a9a07175b52</t>
  </si>
  <si>
    <t>c38b96b6-90ae-fabe-4102-0d19042d8ab5</t>
  </si>
  <si>
    <t>c38b96b6-90ae-fabe-6d09-5cf2454e20bb</t>
  </si>
  <si>
    <t>c38b96b6-90ae-fabe-dfc8-e8435121130c</t>
  </si>
  <si>
    <t>c38b96b6-90ae-fabe-afe6-2f45be988ae3</t>
  </si>
  <si>
    <t>c38b96b6-90ae-fabe-7109-0a038369cde2</t>
  </si>
  <si>
    <t>c38b96b6-90ae-fabe-ece3-4ee00e1d8da8</t>
  </si>
  <si>
    <t>c38b96b6-90ae-fabe-ae39-ec5e6e73429c</t>
  </si>
  <si>
    <t>c38b96b6-90ae-fabe-3807-0b4e110e9828</t>
  </si>
  <si>
    <t>c38b96b6-90ae-fabe-0ab4-bd5e913e1311</t>
  </si>
  <si>
    <t>c38b96b6-90ae-fabe-f7fd-9703bd58a092</t>
  </si>
  <si>
    <t>239b0c86-371a-3080-583a-1327b97f90c1</t>
  </si>
  <si>
    <t>89171335-b9c0-3326-98d6-a837d432b9fd</t>
  </si>
  <si>
    <t>66830869-c952-3647-bf73-8b58b6cbdca4</t>
  </si>
  <si>
    <t>239b0c86-371a-3080-4fc1-023f6c279cb5</t>
  </si>
  <si>
    <t>239b0c86-371a-3080-a233-d4a7bb71d391</t>
  </si>
  <si>
    <t>239b0c86-371a-3080-76ff-6c53260cef25</t>
  </si>
  <si>
    <t>dd3307db-114c-3f11-be44-a9eef6bb3fc5</t>
  </si>
  <si>
    <t>febd162a-a116-3b23-908c-fc6992cd1845</t>
  </si>
  <si>
    <t>239b0c86-371a-3080-3705-07c92462fe0d</t>
  </si>
  <si>
    <t>239b0c86-371a-3080-4c61-740bae151fb8</t>
  </si>
  <si>
    <t>239b0c86-371a-3080-d705-55c103ebe520</t>
  </si>
  <si>
    <t>239b0c86-371a-3080-21af-7582d7d624b7</t>
  </si>
  <si>
    <t>239b0c86-371a-3080-5a95-3f1faf102297</t>
  </si>
  <si>
    <t>0a8a4b11-d0b8-3cd2-92cd-983de5189cfa</t>
  </si>
  <si>
    <t>30ae29c5-af14-340d-92d9-6563bc0335f9</t>
  </si>
  <si>
    <t>239b0c86-371a-3080-63cb-55792a22ce1e</t>
  </si>
  <si>
    <t>239b0c86-371a-3080-1921-fc20d50e762c</t>
  </si>
  <si>
    <t>239b0c86-371a-3080-d2e1-0ef6160fa37e</t>
  </si>
  <si>
    <t>239b0c86-371a-3080-a747-1569955c5adb</t>
  </si>
  <si>
    <t>239b0c86-371a-3080-90e2-720148158646</t>
  </si>
  <si>
    <t>239b0c86-371a-3080-2c39-ea1a55405f24</t>
  </si>
  <si>
    <t>239b0c86-371a-3080-2a80-536ffd0830ab</t>
  </si>
  <si>
    <t>239b0c86-371a-3080-c6b6-64e2d9eef026</t>
  </si>
  <si>
    <t>239b0c86-371a-3080-2525-2dd1449b5d98</t>
  </si>
  <si>
    <t>239b0c86-371a-3080-5c63-19137a19645e</t>
  </si>
  <si>
    <t>239b0c86-371a-3080-8cb7-caf8d0bccfb3</t>
  </si>
  <si>
    <t>239b0c86-371a-3080-5731-cf137eeb7e2d</t>
  </si>
  <si>
    <t>239b0c86-371a-3080-fa24-fe1b553753cc</t>
  </si>
  <si>
    <t>239b0c86-371a-3080-5c3b-9056b9113129</t>
  </si>
  <si>
    <t>239b0c86-371a-3080-da2b-bee98c0e8ed6</t>
  </si>
  <si>
    <t>239b0c86-371a-3080-3401-f06deeabcd58</t>
  </si>
  <si>
    <t>a14e698d-a9ba-3eae-9c8b-682ec726433d</t>
  </si>
  <si>
    <t>d3e4f7c6-32c4-3b53-9ea1-87b81d3376fc</t>
  </si>
  <si>
    <t>239b0c86-371a-3080-9b32-2894ac29b6fa</t>
  </si>
  <si>
    <t>239b0c86-371a-3080-f892-ea08f9fdbdfa</t>
  </si>
  <si>
    <t>239b0c86-371a-3080-c2a5-81a39720127c</t>
  </si>
  <si>
    <t>239b0c86-371a-3080-a1d5-21ea652c2c51</t>
  </si>
  <si>
    <t>239b0c86-371a-3080-529f-c94be9c07755</t>
  </si>
  <si>
    <t>87f7ad7b-85f9-d26d-6ace-0a1185fb78d1</t>
  </si>
  <si>
    <t>f1664435-2eca-3eff-bd1a-13701e7ad1bd</t>
  </si>
  <si>
    <t>7a40e3fd-1c53-3d13-a07b-3a50ad3d68ba</t>
  </si>
  <si>
    <t>239b0c86-371a-3080-5d16-a79cfd29843c</t>
  </si>
  <si>
    <t>87f7ad7b-85f9-d26d-2738-9080392bfe67</t>
  </si>
  <si>
    <t>19a3afba-b409-3650-a0ab-f3faf6e391ef</t>
  </si>
  <si>
    <t>b2e78e97-6916-32dc-a96a-2d67d24b8270</t>
  </si>
  <si>
    <t>Complete miscarriage (disorder)</t>
  </si>
  <si>
    <t>87f7ad7b-85f9-d26d-98dd-55637e225cfe</t>
  </si>
  <si>
    <t>239b0c86-371a-3080-cb32-73f087a66bda</t>
  </si>
  <si>
    <t>239b0c86-371a-3080-bb63-6afd569b1ef2</t>
  </si>
  <si>
    <t>239b0c86-371a-3080-e532-c4cf2a692624</t>
  </si>
  <si>
    <t>239b0c86-371a-3080-6120-abc460eff99c</t>
  </si>
  <si>
    <t>239b0c86-371a-3080-5ce9-50d053801203</t>
  </si>
  <si>
    <t>239b0c86-371a-3080-e494-4c4d16711b1b</t>
  </si>
  <si>
    <t>239b0c86-371a-3080-cabf-b6f2b116d003</t>
  </si>
  <si>
    <t>239b0c86-371a-3080-9ab7-8b267995152f</t>
  </si>
  <si>
    <t>239b0c86-371a-3080-2179-4f0c635cb815</t>
  </si>
  <si>
    <t>239b0c86-371a-3080-49a5-dbd6302f9dc1</t>
  </si>
  <si>
    <t>239b0c86-371a-3080-4e67-4df1f96f9eea</t>
  </si>
  <si>
    <t>239b0c86-371a-3080-e4bb-f93e65b86270</t>
  </si>
  <si>
    <t>87f7ad7b-85f9-d26d-528c-75a0a272f300</t>
  </si>
  <si>
    <t>e68de1a0-767e-3466-b9a6-43948ee073d3</t>
  </si>
  <si>
    <t>a660d3e5-6770-3a81-a586-77b312f5ef69</t>
  </si>
  <si>
    <t>Impacted molars (disorder)</t>
  </si>
  <si>
    <t>87f7ad7b-85f9-d26d-9676-37fa1dd512ce</t>
  </si>
  <si>
    <t>87f7ad7b-85f9-d26d-c42f-6f71be3e4b0b</t>
  </si>
  <si>
    <t>87f7ad7b-85f9-d26d-4cad-f4f86bd71724</t>
  </si>
  <si>
    <t>d0894f6b-78d7-338d-82ad-b63de4d40014</t>
  </si>
  <si>
    <t>52d976a6-7d7e-3109-96e6-732b66f54669</t>
  </si>
  <si>
    <t>87f7ad7b-85f9-d26d-1d74-1aac2639cbc8</t>
  </si>
  <si>
    <t>87f7ad7b-85f9-d26d-6205-1b948e1b37be</t>
  </si>
  <si>
    <t>239b0c86-371a-3080-eacc-19377fafa53a</t>
  </si>
  <si>
    <t>239b0c86-371a-3080-4049-0285d0b4518c</t>
  </si>
  <si>
    <t>239b0c86-371a-3080-819e-685ce9cf4ffa</t>
  </si>
  <si>
    <t>239b0c86-371a-3080-c538-81d26b024ff7</t>
  </si>
  <si>
    <t>87f7ad7b-85f9-d26d-8404-84e3b121240b</t>
  </si>
  <si>
    <t>Appendicitis (disorder)</t>
  </si>
  <si>
    <t>87f7ad7b-85f9-d26d-2bc9-54896a9dc2e4</t>
  </si>
  <si>
    <t>a2cc09de-c1e2-3126-8c09-d49f95225281</t>
  </si>
  <si>
    <t>3c7aa1c1-9d69-3425-b601-48988bab0163</t>
  </si>
  <si>
    <t>inpatient</t>
  </si>
  <si>
    <t>87f7ad7b-85f9-d26d-fc24-e40761f6971c</t>
  </si>
  <si>
    <t>239b0c86-371a-3080-0c0a-f7ee5d0a77c3</t>
  </si>
  <si>
    <t>87f7ad7b-85f9-d26d-308d-3c022a1a32d5</t>
  </si>
  <si>
    <t>239b0c86-371a-3080-50a9-a52cedafbe13</t>
  </si>
  <si>
    <t>239b0c86-371a-3080-3b65-7b4fa24e244f</t>
  </si>
  <si>
    <t>239b0c86-371a-3080-8f3c-6df842fd3d0d</t>
  </si>
  <si>
    <t>239b0c86-371a-3080-e114-0f92ec76c7fa</t>
  </si>
  <si>
    <t>239b0c86-371a-3080-08d2-d10f08926e02</t>
  </si>
  <si>
    <t>87f7ad7b-85f9-d26d-8fd2-ceda10957c9c</t>
  </si>
  <si>
    <t>87f7ad7b-85f9-d26d-bb84-66575820aa54</t>
  </si>
  <si>
    <t>239b0c86-371a-3080-63d3-2a5accf8ce04</t>
  </si>
  <si>
    <t>239b0c86-371a-3080-c5ad-1c0f353ae7c7</t>
  </si>
  <si>
    <t>239b0c86-371a-3080-1dd0-0c519384ef64</t>
  </si>
  <si>
    <t>239b0c86-371a-3080-eca3-7b0794d2f4d5</t>
  </si>
  <si>
    <t>239b0c86-371a-3080-e10b-744151fca259</t>
  </si>
  <si>
    <t>239b0c86-371a-3080-1e57-cf86a2510d4b</t>
  </si>
  <si>
    <t>87f7ad7b-85f9-d26d-167e-9c4816bd35f9</t>
  </si>
  <si>
    <t>Screening for malignant neoplasm of colon (procedure)</t>
  </si>
  <si>
    <t>87f7ad7b-85f9-d26d-a5b9-d11c9b138579</t>
  </si>
  <si>
    <t>87f7ad7b-85f9-d26d-5832-02f6b7a712d7</t>
  </si>
  <si>
    <t>87f7ad7b-85f9-d26d-2a4e-d117289c562c</t>
  </si>
  <si>
    <t>87f7ad7b-85f9-d26d-e330-a68f417ab6e4</t>
  </si>
  <si>
    <t>87f7ad7b-85f9-d26d-2b6f-2ff581d9f5d4</t>
  </si>
  <si>
    <t>Suspected disease caused by Severe acute respiratory coronavirus 2 (situation)</t>
  </si>
  <si>
    <t>87f7ad7b-85f9-d26d-934e-c7375bed15a3</t>
  </si>
  <si>
    <t>87f7ad7b-85f9-d26d-5f08-f4398ac29a86</t>
  </si>
  <si>
    <t>87f7ad7b-85f9-d26d-4fbd-b31201c4ee13</t>
  </si>
  <si>
    <t>87f7ad7b-85f9-d26d-f261-433d205b50fa</t>
  </si>
  <si>
    <t>87f7ad7b-85f9-d26d-e0dd-4693ca635e6b</t>
  </si>
  <si>
    <t>Essential hypertension (disorder)</t>
  </si>
  <si>
    <t>87f7ad7b-85f9-d26d-b7c2-0d595a4f6917</t>
  </si>
  <si>
    <t>87f7ad7b-85f9-d26d-8751-b1e329116ba7</t>
  </si>
  <si>
    <t>87f7ad7b-85f9-d26d-ddd6-f6df356d7112</t>
  </si>
  <si>
    <t>87f7ad7b-85f9-d26d-09ee-5e327026a48e</t>
  </si>
  <si>
    <t>87f7ad7b-85f9-d26d-8968-938d7d6962f9</t>
  </si>
  <si>
    <t>87f7ad7b-85f9-d26d-b61b-88b4a390193b</t>
  </si>
  <si>
    <t>87f7ad7b-85f9-d26d-8ed1-78321688f54b</t>
  </si>
  <si>
    <t>87f7ad7b-85f9-d26d-42fa-0b23756aa084</t>
  </si>
  <si>
    <t>87f7ad7b-85f9-d26d-cf1a-95b514289d63</t>
  </si>
  <si>
    <t>f5749532-3295-ad01-d458-6563c570663c</t>
  </si>
  <si>
    <t>df3f566c-97e5-31ed-b0fe-4b452666f736</t>
  </si>
  <si>
    <t>b8f4f640-1844-3dc4-ac53-bc340b054c32</t>
  </si>
  <si>
    <t>d31fccc3-1767-390d-966a-22a5156f4219</t>
  </si>
  <si>
    <t>f5749532-3295-ad01-e596-ecdf3cf1e767</t>
  </si>
  <si>
    <t>f5749532-3295-ad01-ff01-45763dd7c52b</t>
  </si>
  <si>
    <t>3b021cb6-4745-3d9d-8436-230055f770bd</t>
  </si>
  <si>
    <t>3aadffc5-0246-3fc8-8981-6c99c5a22e8b</t>
  </si>
  <si>
    <t>Anemia (disorder)</t>
  </si>
  <si>
    <t>f5749532-3295-ad01-64d4-ecb86b7d8653</t>
  </si>
  <si>
    <t>f5749532-3295-ad01-f559-54b5bf1bdefd</t>
  </si>
  <si>
    <t>f5749532-3295-ad01-b198-0b8422f92d43</t>
  </si>
  <si>
    <t>f5749532-3295-ad01-245e-b4c477ee898a</t>
  </si>
  <si>
    <t>f5749532-3295-ad01-c53e-0cfd46599b2c</t>
  </si>
  <si>
    <t>f5749532-3295-ad01-0f8c-1aea90e943c6</t>
  </si>
  <si>
    <t>f5749532-3295-ad01-0049-abe9f9382d17</t>
  </si>
  <si>
    <t>f5749532-3295-ad01-f3bc-407311274bf6</t>
  </si>
  <si>
    <t>f5749532-3295-ad01-26b1-0b0a46d08586</t>
  </si>
  <si>
    <t>f5749532-3295-ad01-7458-0a7edc951fd9</t>
  </si>
  <si>
    <t>f5749532-3295-ad01-c495-dc0a50f64d58</t>
  </si>
  <si>
    <t>f5749532-3295-ad01-0103-e324fc633aff</t>
  </si>
  <si>
    <t>f5749532-3295-ad01-6506-a9bcd107ca02</t>
  </si>
  <si>
    <t>f5749532-3295-ad01-5d0e-c3905bcb60fe</t>
  </si>
  <si>
    <t>f5749532-3295-ad01-85bf-2ba1c9e089e2</t>
  </si>
  <si>
    <t>f5749532-3295-ad01-9331-d44e8c930ae1</t>
  </si>
  <si>
    <t>f5749532-3295-ad01-7a44-711db61d3a16</t>
  </si>
  <si>
    <t>f5749532-3295-ad01-eb9d-d574a10d9f8e</t>
  </si>
  <si>
    <t>f5749532-3295-ad01-e964-e9a8ef9d6c89</t>
  </si>
  <si>
    <t>f5749532-3295-ad01-b661-5d3b99d5bb71</t>
  </si>
  <si>
    <t>f5749532-3295-ad01-ad12-bd0e89f74c09</t>
  </si>
  <si>
    <t>f5749532-3295-ad01-48aa-eb6c4531d139</t>
  </si>
  <si>
    <t>f5749532-3295-ad01-493d-dffc15d5dae5</t>
  </si>
  <si>
    <t>f5749532-3295-ad01-4142-7c51d7bba5be</t>
  </si>
  <si>
    <t>f5749532-3295-ad01-61e6-c7911e74323d</t>
  </si>
  <si>
    <t>f5749532-3295-ad01-1f5f-89549394d085</t>
  </si>
  <si>
    <t>f5749532-3295-ad01-8323-452805a161ec</t>
  </si>
  <si>
    <t>f5749532-3295-ad01-a568-149b495f8778</t>
  </si>
  <si>
    <t>f5749532-3295-ad01-6cbd-ec9547d6551c</t>
  </si>
  <si>
    <t>f5749532-3295-ad01-b7a2-ddd897c9e7da</t>
  </si>
  <si>
    <t>f5749532-3295-ad01-f7b3-590b37932e3b</t>
  </si>
  <si>
    <t>f5749532-3295-ad01-8285-7d02efa5284b</t>
  </si>
  <si>
    <t>f5749532-3295-ad01-8601-92ba8138d033</t>
  </si>
  <si>
    <t>9389eec9-a5c3-a9e1-4c38-70dca811fe9b</t>
  </si>
  <si>
    <t>ad82d624-72eb-3c7d-a76d-79f2668d1390</t>
  </si>
  <si>
    <t>876be811-c588-38a4-ae9d-d6d24ddacb8c</t>
  </si>
  <si>
    <t>9389eec9-a5c3-a9e1-668d-f126350322a4</t>
  </si>
  <si>
    <t>5018c664-e283-30eb-932a-529d9a19b3b5</t>
  </si>
  <si>
    <t>a7f200fe-ebb4-340f-87b6-cc924271580f</t>
  </si>
  <si>
    <t>9389eec9-a5c3-a9e1-a371-841def40f943</t>
  </si>
  <si>
    <t>9389eec9-a5c3-a9e1-ecd6-a456432c56f2</t>
  </si>
  <si>
    <t>9389eec9-a5c3-a9e1-419c-23e600484574</t>
  </si>
  <si>
    <t>9389eec9-a5c3-a9e1-80f1-c11cb839ddce</t>
  </si>
  <si>
    <t>9389eec9-a5c3-a9e1-0136-291f289128f9</t>
  </si>
  <si>
    <t>9389eec9-a5c3-a9e1-f46c-43bae3357f23</t>
  </si>
  <si>
    <t>9389eec9-a5c3-a9e1-aac8-9bb64ab88101</t>
  </si>
  <si>
    <t>9389eec9-a5c3-a9e1-ea30-1a945c5da86a</t>
  </si>
  <si>
    <t>9389eec9-a5c3-a9e1-593f-97645f5c913b</t>
  </si>
  <si>
    <t>9389eec9-a5c3-a9e1-2bfa-f0581f00b317</t>
  </si>
  <si>
    <t>9389eec9-a5c3-a9e1-d79f-351a18c0b608</t>
  </si>
  <si>
    <t>11ba6a26-59b4-3728-a268-6dc9929962b4</t>
  </si>
  <si>
    <t>3378210d-d67d-3d1c-9540-1916b1e62509</t>
  </si>
  <si>
    <t>9389eec9-a5c3-a9e1-0adb-1e857aeec7f4</t>
  </si>
  <si>
    <t>9389eec9-a5c3-a9e1-b529-e6c8be475edb</t>
  </si>
  <si>
    <t>9389eec9-a5c3-a9e1-c45c-e7bc49418e1a</t>
  </si>
  <si>
    <t>9389eec9-a5c3-a9e1-a483-8fc335f38902</t>
  </si>
  <si>
    <t>9389eec9-a5c3-a9e1-53ee-50502d6395bf</t>
  </si>
  <si>
    <t>9389eec9-a5c3-a9e1-a2d6-1fc55e98e868</t>
  </si>
  <si>
    <t>9389eec9-a5c3-a9e1-10af-ba718d11f940</t>
  </si>
  <si>
    <t>9389eec9-a5c3-a9e1-ce33-16c8b32db101</t>
  </si>
  <si>
    <t>9389eec9-a5c3-a9e1-50a5-8c4a53614136</t>
  </si>
  <si>
    <t>9389eec9-a5c3-a9e1-df33-33f0c4999786</t>
  </si>
  <si>
    <t>Chronic pain (finding)</t>
  </si>
  <si>
    <t>9389eec9-a5c3-a9e1-fb0c-3ac48e85daa9</t>
  </si>
  <si>
    <t>9389eec9-a5c3-a9e1-dd36-fed085906cdd</t>
  </si>
  <si>
    <t>9389eec9-a5c3-a9e1-5a26-6b6f4ff159ea</t>
  </si>
  <si>
    <t>9389eec9-a5c3-a9e1-207f-348a088b07b1</t>
  </si>
  <si>
    <t>9389eec9-a5c3-a9e1-fa68-f012be6e268f</t>
  </si>
  <si>
    <t>9389eec9-a5c3-a9e1-7766-91bdcb5af10a</t>
  </si>
  <si>
    <t>9389eec9-a5c3-a9e1-dc36-a7a66317d6cc</t>
  </si>
  <si>
    <t>9389eec9-a5c3-a9e1-8a64-8d23bb1749c9</t>
  </si>
  <si>
    <t>9389eec9-a5c3-a9e1-d2df-0933372e036e</t>
  </si>
  <si>
    <t>9389eec9-a5c3-a9e1-9f6e-85e7a4fca6c6</t>
  </si>
  <si>
    <t>9389eec9-a5c3-a9e1-b453-8729aa04507d</t>
  </si>
  <si>
    <t>9389eec9-a5c3-a9e1-c8d2-45eca7c8e2ce</t>
  </si>
  <si>
    <t>9389eec9-a5c3-a9e1-ff78-d12fdb4dcc7a</t>
  </si>
  <si>
    <t>9389eec9-a5c3-a9e1-2492-62dd51004cc1</t>
  </si>
  <si>
    <t>9389eec9-a5c3-a9e1-13e8-b5956e8cc3f3</t>
  </si>
  <si>
    <t>7132442e-b0b9-a886-bed2-7f538e542b05</t>
  </si>
  <si>
    <t>d6b03647-983f-3162-af9e-b12aea026f13</t>
  </si>
  <si>
    <t>3784ea9b-e9f0-3c9e-9960-f2542424b9a3</t>
  </si>
  <si>
    <t>b046940f-1664-3047-bca7-dfa76be352a4</t>
  </si>
  <si>
    <t>7132442e-b0b9-a886-eb08-907164c08dcf</t>
  </si>
  <si>
    <t>9389eec9-a5c3-a9e1-b70a-8248bac7942a</t>
  </si>
  <si>
    <t>9389eec9-a5c3-a9e1-d085-203734e9ad90</t>
  </si>
  <si>
    <t>9389eec9-a5c3-a9e1-2aca-35f58d503b6f</t>
  </si>
  <si>
    <t>9389eec9-a5c3-a9e1-3514-e54cc93212dc</t>
  </si>
  <si>
    <t>9389eec9-a5c3-a9e1-b659-22980fe96038</t>
  </si>
  <si>
    <t>9389eec9-a5c3-a9e1-b46d-d83859776de2</t>
  </si>
  <si>
    <t>9389eec9-a5c3-a9e1-aa6e-a4058045fc7d</t>
  </si>
  <si>
    <t>9389eec9-a5c3-a9e1-1943-d5cf752d1ace</t>
  </si>
  <si>
    <t>9389eec9-a5c3-a9e1-0b8d-38a082614d13</t>
  </si>
  <si>
    <t>9389eec9-a5c3-a9e1-d91f-3f6833946a79</t>
  </si>
  <si>
    <t>9389eec9-a5c3-a9e1-f0db-de49eab962b0</t>
  </si>
  <si>
    <t>9389eec9-a5c3-a9e1-1e69-a4c845cbc53b</t>
  </si>
  <si>
    <t>9389eec9-a5c3-a9e1-f344-0ad5f0d8be30</t>
  </si>
  <si>
    <t>7132442e-b0b9-a886-620c-21e21ab91983</t>
  </si>
  <si>
    <t>7132442e-b0b9-a886-9c04-e8d342e3eb0b</t>
  </si>
  <si>
    <t>9389eec9-a5c3-a9e1-0e1b-a08e2a7abfdc</t>
  </si>
  <si>
    <t>7132442e-b0b9-a886-91d2-dd922ea627bd</t>
  </si>
  <si>
    <t>ecd3b321-0a8a-3ce6-81f0-982dd77fce43</t>
  </si>
  <si>
    <t>8c3246e0-e9e5-3040-95dd-fe78528bb113</t>
  </si>
  <si>
    <t>9389eec9-a5c3-a9e1-d053-009e527fe5f9</t>
  </si>
  <si>
    <t>9389eec9-a5c3-a9e1-ef5a-f89e9440a005</t>
  </si>
  <si>
    <t>7132442e-b0b9-a886-31ee-4b12bcc81cda</t>
  </si>
  <si>
    <t>7132442e-b0b9-a886-a145-067b606a5674</t>
  </si>
  <si>
    <t>7132442e-b0b9-a886-ef00-9f75fc589cbb</t>
  </si>
  <si>
    <t>9389eec9-a5c3-a9e1-258f-3f50bab548a1</t>
  </si>
  <si>
    <t>9389eec9-a5c3-a9e1-97ed-8c4784b88c75</t>
  </si>
  <si>
    <t>9389eec9-a5c3-a9e1-99ef-263786ec63cd</t>
  </si>
  <si>
    <t>7132442e-b0b9-a886-ed59-d2701d86ac01</t>
  </si>
  <si>
    <t>7132442e-b0b9-a886-160f-9a02d6be76ae</t>
  </si>
  <si>
    <t>7132442e-b0b9-a886-a241-e6540dbf1920</t>
  </si>
  <si>
    <t>Fetus with chromosomal abnormality (disorder)</t>
  </si>
  <si>
    <t>7132442e-b0b9-a886-ad2e-8411a6c0d0a7</t>
  </si>
  <si>
    <t>7132442e-b0b9-a886-7448-385cb5d501f5</t>
  </si>
  <si>
    <t>7132442e-b0b9-a886-4c03-c1c3c0bbacd6</t>
  </si>
  <si>
    <t>7132442e-b0b9-a886-e6b3-450b100b1494</t>
  </si>
  <si>
    <t>7132442e-b0b9-a886-da83-c201dc3154d6</t>
  </si>
  <si>
    <t>7132442e-b0b9-a886-2bea-32785bbdeba2</t>
  </si>
  <si>
    <t>7132442e-b0b9-a886-fca3-948ca137d029</t>
  </si>
  <si>
    <t>7132442e-b0b9-a886-fe92-7f0d89912259</t>
  </si>
  <si>
    <t>7132442e-b0b9-a886-8d08-b3e8d05ad4e9</t>
  </si>
  <si>
    <t>7132442e-b0b9-a886-e7a2-a57021b22e87</t>
  </si>
  <si>
    <t>7132442e-b0b9-a886-05be-65df068c3d6a</t>
  </si>
  <si>
    <t>7132442e-b0b9-a886-1e63-322384eb2922</t>
  </si>
  <si>
    <t>7132442e-b0b9-a886-c9f4-333cf26d82c2</t>
  </si>
  <si>
    <t>7132442e-b0b9-a886-818a-250528165e26</t>
  </si>
  <si>
    <t>7132442e-b0b9-a886-0459-9340d4890046</t>
  </si>
  <si>
    <t>363631be-d437-3548-98c2-d10b909c1721</t>
  </si>
  <si>
    <t>0e96f02e-0dbf-31f2-b7b9-1a7c49f5f7ef</t>
  </si>
  <si>
    <t>7132442e-b0b9-a886-4138-b570193f1642</t>
  </si>
  <si>
    <t>9ce6072b-d039-3cde-8eaf-950211b8ae88</t>
  </si>
  <si>
    <t>517e705f-fc32-3ef1-8c0c-52263ed2b781</t>
  </si>
  <si>
    <t>7132442e-b0b9-a886-4363-331f905c18a8</t>
  </si>
  <si>
    <t>7132442e-b0b9-a886-cbf8-f7bf1b29008b</t>
  </si>
  <si>
    <t>7132442e-b0b9-a886-ea3f-a73adf5feff5</t>
  </si>
  <si>
    <t>7132442e-b0b9-a886-2b3f-b873e6926b9f</t>
  </si>
  <si>
    <t>7132442e-b0b9-a886-2a9b-875ff84b1c48</t>
  </si>
  <si>
    <t>7132442e-b0b9-a886-ce01-741e991e3025</t>
  </si>
  <si>
    <t>7132442e-b0b9-a886-9155-bb137b73c35e</t>
  </si>
  <si>
    <t>7132442e-b0b9-a886-beee-62912fa2c614</t>
  </si>
  <si>
    <t>Sterilization requested (situation)</t>
  </si>
  <si>
    <t>7132442e-b0b9-a886-ffb8-bf1fe921f656</t>
  </si>
  <si>
    <t>18a96051-91f4-3cba-af96-056ea14dfee0</t>
  </si>
  <si>
    <t>9a833596-f732-3464-b0fd-8482fbef120a</t>
  </si>
  <si>
    <t>Admission to surgical department (procedure)</t>
  </si>
  <si>
    <t>7132442e-b0b9-a886-99ba-a6a75f8e294a</t>
  </si>
  <si>
    <t>7132442e-b0b9-a886-3665-34ac7e917376</t>
  </si>
  <si>
    <t>7132442e-b0b9-a886-dd3e-61db29e37a5f</t>
  </si>
  <si>
    <t>7132442e-b0b9-a886-6c29-693da418b191</t>
  </si>
  <si>
    <t>4e71643c-f046-a74f-b275-7ddd3f657e2d</t>
  </si>
  <si>
    <t>9f2f60a6-87a4-3f45-b753-b63b5b7e9993</t>
  </si>
  <si>
    <t>6b1f432d-ada3-36fd-bdec-1e516d5038eb</t>
  </si>
  <si>
    <t>4e71643c-f046-a74f-0727-36cee026e266</t>
  </si>
  <si>
    <t>4e71643c-f046-a74f-c78a-5166953a003a</t>
  </si>
  <si>
    <t>4e71643c-f046-a74f-4870-3c3bbe41636b</t>
  </si>
  <si>
    <t>4e71643c-f046-a74f-7921-518140dfc848</t>
  </si>
  <si>
    <t>4e71643c-f046-a74f-a2d8-6cfdb30edbfc</t>
  </si>
  <si>
    <t>4e71643c-f046-a74f-a208-3447dcb0634f</t>
  </si>
  <si>
    <t>4e71643c-f046-a74f-c8cf-fc4d2dc0b4e7</t>
  </si>
  <si>
    <t>4e71643c-f046-a74f-590b-6c9edd44e9df</t>
  </si>
  <si>
    <t>be509ccb-bfb7-3b87-8945-8426b689ef9d</t>
  </si>
  <si>
    <t>a4c2a727-44d2-3281-a1f9-92c68b434a8f</t>
  </si>
  <si>
    <t>Fracture of bone (disorder)</t>
  </si>
  <si>
    <t>4e71643c-f046-a74f-5556-ab0d9c7f5593</t>
  </si>
  <si>
    <t>4e71643c-f046-a74f-1fa0-2ab8b22c7b2b</t>
  </si>
  <si>
    <t>Fracture of forearm (disorder)</t>
  </si>
  <si>
    <t>4e71643c-f046-a74f-7c3a-efb4614b6c12</t>
  </si>
  <si>
    <t>4e71643c-f046-a74f-aa81-cac778552d1a</t>
  </si>
  <si>
    <t>4e71643c-f046-a74f-479c-f1ed08c583bb</t>
  </si>
  <si>
    <t>4e71643c-f046-a74f-e981-82a11d13a732</t>
  </si>
  <si>
    <t>4e71643c-f046-a74f-bf9c-f3159139739c</t>
  </si>
  <si>
    <t>4e71643c-f046-a74f-2744-5d3cea98379a</t>
  </si>
  <si>
    <t>4e71643c-f046-a74f-9479-c4012c55db6b</t>
  </si>
  <si>
    <t>4e71643c-f046-a74f-0df3-2931055f90c5</t>
  </si>
  <si>
    <t>4e71643c-f046-a74f-fd43-7e3648f98326</t>
  </si>
  <si>
    <t>4e71643c-f046-a74f-5065-ac4a7ca757d9</t>
  </si>
  <si>
    <t>4e71643c-f046-a74f-5ba0-3f194b34f319</t>
  </si>
  <si>
    <t>4e71643c-f046-a74f-5a90-837b3b239a05</t>
  </si>
  <si>
    <t>1be83f06-48ef-7bac-8755-ef7707745eec</t>
  </si>
  <si>
    <t>e09d4c49-c2ef-3b0f-9a46-3719d9219306</t>
  </si>
  <si>
    <t>7c077da9-ebd9-338b-b2e2-d1e425a182e0</t>
  </si>
  <si>
    <t>1be83f06-48ef-7bac-db5d-b5140afd8ae8</t>
  </si>
  <si>
    <t>88e28a1c-aad9-36d0-832b-b579ecb95c3d</t>
  </si>
  <si>
    <t>8d262055-c5dc-30df-be47-547efe9aaffb</t>
  </si>
  <si>
    <t>1be83f06-48ef-7bac-8498-ddda6d0ec77c</t>
  </si>
  <si>
    <t>1be83f06-48ef-7bac-18cb-89c388178e5f</t>
  </si>
  <si>
    <t>1be83f06-48ef-7bac-9872-3232c74bd73d</t>
  </si>
  <si>
    <t>1be83f06-48ef-7bac-7f7d-ca207c764faf</t>
  </si>
  <si>
    <t>1be83f06-48ef-7bac-85c1-824445636520</t>
  </si>
  <si>
    <t>1be83f06-48ef-7bac-8db2-3aee574565ff</t>
  </si>
  <si>
    <t>1be83f06-48ef-7bac-08a7-81af371e9c35</t>
  </si>
  <si>
    <t>1be83f06-48ef-7bac-4dc4-3336b677389e</t>
  </si>
  <si>
    <t>ce89d7ed-54eb-3eae-881a-15df8e631c47</t>
  </si>
  <si>
    <t>fe081a31-aed0-3802-8233-035146385e79</t>
  </si>
  <si>
    <t>Asthma (disorder)</t>
  </si>
  <si>
    <t>1be83f06-48ef-7bac-c0a1-77d0bbf953ba</t>
  </si>
  <si>
    <t>1be83f06-48ef-7bac-423e-24cd46dbee72</t>
  </si>
  <si>
    <t>1be83f06-48ef-7bac-e439-b0ba60b65183</t>
  </si>
  <si>
    <t>Fracture of clavicle (disorder)</t>
  </si>
  <si>
    <t>1be83f06-48ef-7bac-ec67-3cad4602add4</t>
  </si>
  <si>
    <t>1be83f06-48ef-7bac-3b8c-8b98ce6ed0f9</t>
  </si>
  <si>
    <t>1be83f06-48ef-7bac-6556-ddefd3c3c345</t>
  </si>
  <si>
    <t>1be83f06-48ef-7bac-2b3e-8863b3e4d42f</t>
  </si>
  <si>
    <t>1be83f06-48ef-7bac-ec98-46e19490d597</t>
  </si>
  <si>
    <t>1be83f06-48ef-7bac-1fc8-2d91f1b4d675</t>
  </si>
  <si>
    <t>1be83f06-48ef-7bac-8001-6423279b4adc</t>
  </si>
  <si>
    <t>1be83f06-48ef-7bac-4daf-9852466d456c</t>
  </si>
  <si>
    <t>1be83f06-48ef-7bac-8b1d-d7513998805a</t>
  </si>
  <si>
    <t>1be83f06-48ef-7bac-d981-0e55664aef4c</t>
  </si>
  <si>
    <t>1be83f06-48ef-7bac-46ea-e3003b55094c</t>
  </si>
  <si>
    <t>1be83f06-48ef-7bac-c2cc-37d84abf66d3</t>
  </si>
  <si>
    <t>1be83f06-48ef-7bac-57fc-3e3927b09ccd</t>
  </si>
  <si>
    <t>1be83f06-48ef-7bac-c157-fd41dcd63a22</t>
  </si>
  <si>
    <t>1be83f06-48ef-7bac-d7c2-918ba4dfac8c</t>
  </si>
  <si>
    <t>1be83f06-48ef-7bac-c87d-c2e803079bfb</t>
  </si>
  <si>
    <t>1be83f06-48ef-7bac-cf5e-86efacc237ad</t>
  </si>
  <si>
    <t>1be83f06-48ef-7bac-d446-a4a57a4d98e2</t>
  </si>
  <si>
    <t>1be83f06-48ef-7bac-f22d-e92fce73ce1a</t>
  </si>
  <si>
    <t>1be83f06-48ef-7bac-90aa-9162b8306c56</t>
  </si>
  <si>
    <t>1be83f06-48ef-7bac-7734-781f512d7591</t>
  </si>
  <si>
    <t>1be83f06-48ef-7bac-ace1-bf22327cab4e</t>
  </si>
  <si>
    <t>1be83f06-48ef-7bac-53b2-6c500b11b534</t>
  </si>
  <si>
    <t>1be83f06-48ef-7bac-0d66-91b9f6a9283f</t>
  </si>
  <si>
    <t>Ophthalmic examination and evaluation (procedure)</t>
  </si>
  <si>
    <t>Diabetes mellitus type 2 (disorder)</t>
  </si>
  <si>
    <t>1be83f06-48ef-7bac-9bb6-aefe6979aeaa</t>
  </si>
  <si>
    <t>Death Certification</t>
  </si>
  <si>
    <t>Acute ST segment elevation myocardial infarction (disorder)</t>
  </si>
  <si>
    <t>30ed72f3-240e-4973-e1a8-773cae1a59fb</t>
  </si>
  <si>
    <t>c4e5b33c-17b8-3f51-a8ba-a327d54e642a</t>
  </si>
  <si>
    <t>a0bee193-3c6c-31b3-8af2-42f296be0311</t>
  </si>
  <si>
    <t>30ed72f3-240e-4973-df59-d1a3beb1541e</t>
  </si>
  <si>
    <t>30ed72f3-240e-4973-def7-19bae748e765</t>
  </si>
  <si>
    <t>88975fd9-b47e-3af6-af78-c58e1ecf0d5e</t>
  </si>
  <si>
    <t>1df1de29-47cf-3e4b-9877-06087ef9226c</t>
  </si>
  <si>
    <t>30ed72f3-240e-4973-03df-2dcf57bb526e</t>
  </si>
  <si>
    <t>30ed72f3-240e-4973-8ffe-fd1a5def4e60</t>
  </si>
  <si>
    <t>30ed72f3-240e-4973-3f3e-14c81b3cfce6</t>
  </si>
  <si>
    <t>30ed72f3-240e-4973-5c44-0d7b49cf550f</t>
  </si>
  <si>
    <t>30ed72f3-240e-4973-0c7f-e4da5762dbb9</t>
  </si>
  <si>
    <t>30ed72f3-240e-4973-fecb-bfcbfe13ca34</t>
  </si>
  <si>
    <t>30ed72f3-240e-4973-e02f-76cef560c123</t>
  </si>
  <si>
    <t>30ed72f3-240e-4973-db9f-f470ff8fda8f</t>
  </si>
  <si>
    <t>30ed72f3-240e-4973-5b0c-5a30915755f3</t>
  </si>
  <si>
    <t>30ed72f3-240e-4973-a73f-bdf99d17b476</t>
  </si>
  <si>
    <t>30ed72f3-240e-4973-f748-952ecabb3e60</t>
  </si>
  <si>
    <t>30ed72f3-240e-4973-d6da-8e13c85177cb</t>
  </si>
  <si>
    <t>30ed72f3-240e-4973-483f-3a6fc0dfc38f</t>
  </si>
  <si>
    <t>30ed72f3-240e-4973-9149-44ec5077fd30</t>
  </si>
  <si>
    <t>bebc1dac-6c42-3225-b0ba-23278cdf2a62</t>
  </si>
  <si>
    <t>09dc86f8-1bef-3e2f-9a29-ed4bf233ef65</t>
  </si>
  <si>
    <t>30ed72f3-240e-4973-c91c-c79f6401f7c8</t>
  </si>
  <si>
    <t>30ed72f3-240e-4973-50d8-63e6e942c7b4</t>
  </si>
  <si>
    <t>30ed72f3-240e-4973-9a4a-2732b62ce2c3</t>
  </si>
  <si>
    <t>30ed72f3-240e-4973-0feb-d9661e74785e</t>
  </si>
  <si>
    <t>30ed72f3-240e-4973-62bf-72d207a70794</t>
  </si>
  <si>
    <t>30ed72f3-240e-4973-f404-7c6157fd1dfa</t>
  </si>
  <si>
    <t>30ed72f3-240e-4973-824a-fdcaa8678099</t>
  </si>
  <si>
    <t>30ed72f3-240e-4973-5709-e46cb5d848fa</t>
  </si>
  <si>
    <t>30ed72f3-240e-4973-6427-6b8fabf327cf</t>
  </si>
  <si>
    <t>30ed72f3-240e-4973-5ff6-be057a919655</t>
  </si>
  <si>
    <t>6095681c-dfc1-8f20-0814-7b85dc934ede</t>
  </si>
  <si>
    <t>9dbd44ba-59b2-3d1d-ac91-3880af8081d2</t>
  </si>
  <si>
    <t>47b873a4-934e-35c8-bb49-71c79d64cc0a</t>
  </si>
  <si>
    <t>6095681c-dfc1-8f20-72cb-02f8a4eda6f0</t>
  </si>
  <si>
    <t>6095681c-dfc1-8f20-73e3-eff033cd60c8</t>
  </si>
  <si>
    <t>06cc2462-430f-3322-9c87-7e971125f510</t>
  </si>
  <si>
    <t>747fcccb-8c6a-3956-87a6-436687727f5c</t>
  </si>
  <si>
    <t>6095681c-dfc1-8f20-c91b-9a56cc8db074</t>
  </si>
  <si>
    <t>6095681c-dfc1-8f20-50de-c6dd78c0ccfd</t>
  </si>
  <si>
    <t>6095681c-dfc1-8f20-e0a1-b2f2610e05e1</t>
  </si>
  <si>
    <t>6095681c-dfc1-8f20-8f68-46114938e66c</t>
  </si>
  <si>
    <t>b3ada130-6443-3a8e-98c7-4ec127a2b0c4</t>
  </si>
  <si>
    <t>97845c8f-ac04-3882-b5e3-710cb7f09385</t>
  </si>
  <si>
    <t>6095681c-dfc1-8f20-a48f-991f7259a03e</t>
  </si>
  <si>
    <t>6095681c-dfc1-8f20-3af5-988ca0c1cd41</t>
  </si>
  <si>
    <t>6095681c-dfc1-8f20-e1d1-43f99f699c54</t>
  </si>
  <si>
    <t>6095681c-dfc1-8f20-e1ad-a730b1fee016</t>
  </si>
  <si>
    <t>6095681c-dfc1-8f20-929e-34c3b2480375</t>
  </si>
  <si>
    <t>6095681c-dfc1-8f20-3523-966b3002b8f8</t>
  </si>
  <si>
    <t>5fcff9db-16e4-3e56-aa78-abbc16338097</t>
  </si>
  <si>
    <t>ef159c90-21f2-34a3-ab95-4c0598b5fedf</t>
  </si>
  <si>
    <t>6095681c-dfc1-8f20-c0b7-0cc2eed2a3ba</t>
  </si>
  <si>
    <t>6095681c-dfc1-8f20-dbf7-f6f6f0f630f0</t>
  </si>
  <si>
    <t>6095681c-dfc1-8f20-6d4c-7a24596ee746</t>
  </si>
  <si>
    <t>6095681c-dfc1-8f20-1af4-acd8852752c0</t>
  </si>
  <si>
    <t>37549f60-b5a3-69cd-134f-352b28dfcfa1</t>
  </si>
  <si>
    <t>34f0b10a-5e29-31de-a75e-e0bb03c0c0d4</t>
  </si>
  <si>
    <t>9c2b0eea-4f9c-3e28-8543-d9e554621e7a</t>
  </si>
  <si>
    <t>6095681c-dfc1-8f20-7409-6f37c8d4beaa</t>
  </si>
  <si>
    <t>37549f60-b5a3-69cd-4e2f-95a457419b8d</t>
  </si>
  <si>
    <t>37549f60-b5a3-69cd-1f2b-5b0e1daa6e75</t>
  </si>
  <si>
    <t>Contact dermatitis (disorder)</t>
  </si>
  <si>
    <t>37549f60-b5a3-69cd-bd30-c7a0b0133ccf</t>
  </si>
  <si>
    <t>6095681c-dfc1-8f20-db8f-ef7286e1134f</t>
  </si>
  <si>
    <t>37549f60-b5a3-69cd-3713-58026f28b858</t>
  </si>
  <si>
    <t>37549f60-b5a3-69cd-3f70-3e071a481b7f</t>
  </si>
  <si>
    <t>37549f60-b5a3-69cd-2d72-8965f27ddcc9</t>
  </si>
  <si>
    <t>Tubal pregnancy (disorder)</t>
  </si>
  <si>
    <t>37549f60-b5a3-69cd-1bd9-1134287ee64f</t>
  </si>
  <si>
    <t>37549f60-b5a3-69cd-472b-bbfa6ccfe9f8</t>
  </si>
  <si>
    <t>37549f60-b5a3-69cd-ad4a-2091412653c2</t>
  </si>
  <si>
    <t>37549f60-b5a3-69cd-f0d0-8b874531a764</t>
  </si>
  <si>
    <t>37549f60-b5a3-69cd-6f05-913e40a20748</t>
  </si>
  <si>
    <t>37549f60-b5a3-69cd-4ea5-4f85bef1e645</t>
  </si>
  <si>
    <t>37549f60-b5a3-69cd-8b07-510c222fe7c5</t>
  </si>
  <si>
    <t>37549f60-b5a3-69cd-3665-0a9c986774be</t>
  </si>
  <si>
    <t>37549f60-b5a3-69cd-6c13-767fd9c9e5ad</t>
  </si>
  <si>
    <t>37549f60-b5a3-69cd-cbc9-c5faab358567</t>
  </si>
  <si>
    <t>37549f60-b5a3-69cd-a515-63877cb9e999</t>
  </si>
  <si>
    <t>37549f60-b5a3-69cd-a580-8fb7eeb38c45</t>
  </si>
  <si>
    <t>37549f60-b5a3-69cd-ea6a-57bed1c3fe64</t>
  </si>
  <si>
    <t>37549f60-b5a3-69cd-c9a7-584d358bfd15</t>
  </si>
  <si>
    <t>37549f60-b5a3-69cd-60b7-dfbf3fae57f3</t>
  </si>
  <si>
    <t>6095681c-dfc1-8f20-a893-758fcd6eca5a</t>
  </si>
  <si>
    <t>6095681c-dfc1-8f20-2844-2ff659ea9ce0</t>
  </si>
  <si>
    <t>37549f60-b5a3-69cd-4544-25d68a7bade2</t>
  </si>
  <si>
    <t>6095681c-dfc1-8f20-4d96-923c1d00521b</t>
  </si>
  <si>
    <t>37549f60-b5a3-69cd-4d4e-7437d3cf41eb</t>
  </si>
  <si>
    <t>37549f60-b5a3-69cd-746c-025c76449e91</t>
  </si>
  <si>
    <t>6095681c-dfc1-8f20-076e-50b9f94922d5</t>
  </si>
  <si>
    <t>37549f60-b5a3-69cd-af28-26d4f3ff0312</t>
  </si>
  <si>
    <t>37549f60-b5a3-69cd-914b-f940a59de94c</t>
  </si>
  <si>
    <t>37549f60-b5a3-69cd-ae79-c9a9fc0a286b</t>
  </si>
  <si>
    <t>37549f60-b5a3-69cd-5871-347b884fd7e4</t>
  </si>
  <si>
    <t>37549f60-b5a3-69cd-cae0-419093807284</t>
  </si>
  <si>
    <t>37549f60-b5a3-69cd-3780-d92dcfc4ba38</t>
  </si>
  <si>
    <t>06476266-59b1-ded7-0b28-5f2bea992e2c</t>
  </si>
  <si>
    <t>Perennial allergic rhinitis (disorder)</t>
  </si>
  <si>
    <t>06476266-59b1-ded7-ff06-6b60ea5a5119</t>
  </si>
  <si>
    <t>06476266-59b1-ded7-177d-3c1525fb618e</t>
  </si>
  <si>
    <t>4bde4cbc-55f7-3501-90eb-2c88178c7be1</t>
  </si>
  <si>
    <t>52ccd717-b271-39fa-8e38-57798a522e8a</t>
  </si>
  <si>
    <t>06476266-59b1-ded7-b379-bb6fbc4d2462</t>
  </si>
  <si>
    <t>06476266-59b1-ded7-7150-3cf74ea2c77b</t>
  </si>
  <si>
    <t>06476266-59b1-ded7-760a-e2c18c07743a</t>
  </si>
  <si>
    <t>06476266-59b1-ded7-ad3d-b715a847a506</t>
  </si>
  <si>
    <t>06476266-59b1-ded7-ffd2-055949b361b4</t>
  </si>
  <si>
    <t>06476266-59b1-ded7-55ab-40446be409aa</t>
  </si>
  <si>
    <t>06476266-59b1-ded7-1b35-912d3dc9df5e</t>
  </si>
  <si>
    <t>06476266-59b1-ded7-40c2-4ba9d2d9955b</t>
  </si>
  <si>
    <t>06476266-59b1-ded7-fe56-5f6a4b572a72</t>
  </si>
  <si>
    <t>06476266-59b1-ded7-426e-cd3846e73d52</t>
  </si>
  <si>
    <t>06476266-59b1-ded7-eb2b-bfd70bb75214</t>
  </si>
  <si>
    <t>06476266-59b1-ded7-2e7a-e9d1fd7e26a8</t>
  </si>
  <si>
    <t>06476266-59b1-ded7-1632-5a8222cbdbf9</t>
  </si>
  <si>
    <t>06476266-59b1-ded7-800e-b2b5727da596</t>
  </si>
  <si>
    <t>06476266-59b1-ded7-130c-1ccc8f23fa73</t>
  </si>
  <si>
    <t>6c7fe370-02c4-3537-8f5e-373b2168b933</t>
  </si>
  <si>
    <t>972e6472-6f0f-38e2-8c9f-da3fe6d855f5</t>
  </si>
  <si>
    <t>Injury of neck (disorder)</t>
  </si>
  <si>
    <t>06476266-59b1-ded7-bd44-58709f74bf0d</t>
  </si>
  <si>
    <t>a94f4f6e-88ad-39ff-a935-dc87f13327b1</t>
  </si>
  <si>
    <t>40885415-69c7-3534-9bc2-7f440bb863a4</t>
  </si>
  <si>
    <t>snf</t>
  </si>
  <si>
    <t>Hospital admission (procedure)</t>
  </si>
  <si>
    <t>Patient transfer to skilled nursing facility (procedure)</t>
  </si>
  <si>
    <t>06476266-59b1-ded7-ea06-e413dce407dd</t>
  </si>
  <si>
    <t>06476266-59b1-ded7-35b8-1cc0eecd628a</t>
  </si>
  <si>
    <t>06476266-59b1-ded7-b2a3-d75371861b8b</t>
  </si>
  <si>
    <t>06476266-59b1-ded7-49a1-2b2d0d5840e4</t>
  </si>
  <si>
    <t>06476266-59b1-ded7-3117-200c77824bce</t>
  </si>
  <si>
    <t>06476266-59b1-ded7-c098-9de4e4342322</t>
  </si>
  <si>
    <t>06476266-59b1-ded7-df7e-f5e2761c1fee</t>
  </si>
  <si>
    <t>06476266-59b1-ded7-f21c-7b412112021f</t>
  </si>
  <si>
    <t>06476266-59b1-ded7-813c-a596b961126c</t>
  </si>
  <si>
    <t>06476266-59b1-ded7-6bdb-6662552845dc</t>
  </si>
  <si>
    <t>09c573e2-a45d-aa5e-e125-e0a32e74bbe9</t>
  </si>
  <si>
    <t>e2a8b444-9b8f-36ff-84c4-05ee98589482</t>
  </si>
  <si>
    <t>5adecba6-20dc-3fb7-9753-6e69ce4d0165</t>
  </si>
  <si>
    <t>09c573e2-a45d-aa5e-0a3d-ee451ccfc600</t>
  </si>
  <si>
    <t>09c573e2-a45d-aa5e-7db5-2aa5a2380b24</t>
  </si>
  <si>
    <t>18061fd5-fda8-3e2d-87f0-0f3c87211bcc</t>
  </si>
  <si>
    <t>430ccdd9-d3bd-3fbb-814e-543a1ce358a6</t>
  </si>
  <si>
    <t>09c573e2-a45d-aa5e-11a5-cafd916e447b</t>
  </si>
  <si>
    <t>09c573e2-a45d-aa5e-d24f-e3924739b3f1</t>
  </si>
  <si>
    <t>Fracture of ankle (disorder)</t>
  </si>
  <si>
    <t>09c573e2-a45d-aa5e-0244-7b5532f6a220</t>
  </si>
  <si>
    <t>09c573e2-a45d-aa5e-9312-962a996c22e6</t>
  </si>
  <si>
    <t>09c573e2-a45d-aa5e-e48d-b61e46b8218c</t>
  </si>
  <si>
    <t>09c573e2-a45d-aa5e-bf99-95e0f8c44b3e</t>
  </si>
  <si>
    <t>09c573e2-a45d-aa5e-fcb6-fc78a353bb52</t>
  </si>
  <si>
    <t>09c573e2-a45d-aa5e-180e-fa010db7e60a</t>
  </si>
  <si>
    <t>09c573e2-a45d-aa5e-d21b-f241ddc69a2b</t>
  </si>
  <si>
    <t>09c573e2-a45d-aa5e-b5d2-3b6cef253fef</t>
  </si>
  <si>
    <t>09c573e2-a45d-aa5e-09b8-7a5ab06799f9</t>
  </si>
  <si>
    <t>09c573e2-a45d-aa5e-60b5-0e0a7691f54e</t>
  </si>
  <si>
    <t>bac9dc0c-cb0f-3fa6-aa12-819dd0fb922a</t>
  </si>
  <si>
    <t>47684c3a-477d-374f-b29a-529866226a70</t>
  </si>
  <si>
    <t>09c573e2-a45d-aa5e-e5e2-75fbba640f24</t>
  </si>
  <si>
    <t>09c573e2-a45d-aa5e-6953-e35083d0586c</t>
  </si>
  <si>
    <t>09c573e2-a45d-aa5e-8954-5dbcda08aa3b</t>
  </si>
  <si>
    <t>09c573e2-a45d-aa5e-4605-823b2eac0ab1</t>
  </si>
  <si>
    <t>09c573e2-a45d-aa5e-ca12-83099555c3ed</t>
  </si>
  <si>
    <t>09c573e2-a45d-aa5e-8ce6-441f026a03e3</t>
  </si>
  <si>
    <t>09c573e2-a45d-aa5e-457c-0e8ee0c55615</t>
  </si>
  <si>
    <t>09c573e2-a45d-aa5e-ec90-d13d0736cb58</t>
  </si>
  <si>
    <t>09c573e2-a45d-aa5e-6ec4-9d10900a87f4</t>
  </si>
  <si>
    <t>09c573e2-a45d-aa5e-2e7e-df51efa9403d</t>
  </si>
  <si>
    <t>8c5b83b2-737e-46cf-5157-50f1dff0093b</t>
  </si>
  <si>
    <t>c6b019eb-28ec-36f6-abf3-bcc4d1d58966</t>
  </si>
  <si>
    <t>899bb3ca-9a1c-3acf-b5c6-8bba64c55fca</t>
  </si>
  <si>
    <t>8c5b83b2-737e-46cf-0f88-d6c60b6293c2</t>
  </si>
  <si>
    <t>8c5b83b2-737e-46cf-80d3-d09fe21dd361</t>
  </si>
  <si>
    <t>8c5b83b2-737e-46cf-005e-a9a918c7d6d8</t>
  </si>
  <si>
    <t>8c5b83b2-737e-46cf-592e-78088e41a6f6</t>
  </si>
  <si>
    <t>8c5b83b2-737e-46cf-1f4d-5ad73c81e895</t>
  </si>
  <si>
    <t>b6eeaaf7-1683-3bcb-b6ee-81ce304636ef</t>
  </si>
  <si>
    <t>f62521f3-d947-35b4-b1e6-82347e878051</t>
  </si>
  <si>
    <t>8c5b83b2-737e-46cf-b13f-925020672922</t>
  </si>
  <si>
    <t>8c5b83b2-737e-46cf-a3e1-74edca75641e</t>
  </si>
  <si>
    <t>8c5b83b2-737e-46cf-f9a0-bc65823d2da3</t>
  </si>
  <si>
    <t>8c5b83b2-737e-46cf-c89a-99baaa575f31</t>
  </si>
  <si>
    <t>8c5b83b2-737e-46cf-899e-f4f153072da6</t>
  </si>
  <si>
    <t>8c5b83b2-737e-46cf-42cf-b1f98b4e6ead</t>
  </si>
  <si>
    <t>8c5b83b2-737e-46cf-c0d7-535c96d04e04</t>
  </si>
  <si>
    <t>8c5b83b2-737e-46cf-c45f-f94f00c6a100</t>
  </si>
  <si>
    <t>8c5b83b2-737e-46cf-ca77-5c9212eaf544</t>
  </si>
  <si>
    <t>8c5b83b2-737e-46cf-3a37-aeeeee1437e8</t>
  </si>
  <si>
    <t>8c5b83b2-737e-46cf-dd5d-e0a20c62d34d</t>
  </si>
  <si>
    <t>Injury of tendon of the rotator cuff of shoulder (disorder)</t>
  </si>
  <si>
    <t>8c5b83b2-737e-46cf-e8df-e6079d28f4e4</t>
  </si>
  <si>
    <t>8c5b83b2-737e-46cf-f2cf-8fe3ef317c42</t>
  </si>
  <si>
    <t>8c5b83b2-737e-46cf-a779-bae98fa2653a</t>
  </si>
  <si>
    <t>8c5b83b2-737e-46cf-2c6a-a7210e70def0</t>
  </si>
  <si>
    <t>8c5b83b2-737e-46cf-0ca9-f192a67b0291</t>
  </si>
  <si>
    <t>Postoperative follow-up visit (procedure)</t>
  </si>
  <si>
    <t>Alveolitis of jaw (disorder)</t>
  </si>
  <si>
    <t>8c5b83b2-737e-46cf-1c57-11cdfe4c09fe</t>
  </si>
  <si>
    <t>b50c66af-4d1c-7987-8c16-48ce948ff199</t>
  </si>
  <si>
    <t>eee00932-ca82-36bc-b7e8-e3fff6dbaeaa</t>
  </si>
  <si>
    <t>25162b3c-536e-3fe6-af7b-eb5f22af6899</t>
  </si>
  <si>
    <t>b50c66af-4d1c-7987-0d77-d464d6dbbac9</t>
  </si>
  <si>
    <t>86880e58-8753-3c63-b057-33781df70528</t>
  </si>
  <si>
    <t>703c4f39-834c-3f8d-87c8-1281a42e0915</t>
  </si>
  <si>
    <t>b50c66af-4d1c-7987-e82c-029741a3a527</t>
  </si>
  <si>
    <t>b50c66af-4d1c-7987-7e4c-04cb2561897e</t>
  </si>
  <si>
    <t>b50c66af-4d1c-7987-fd4a-134ce203ab4d</t>
  </si>
  <si>
    <t>b50c66af-4d1c-7987-820c-d88748bd6785</t>
  </si>
  <si>
    <t>b50c66af-4d1c-7987-7a41-dd005c12766a</t>
  </si>
  <si>
    <t>b50c66af-4d1c-7987-07c0-c6580076b163</t>
  </si>
  <si>
    <t>b50c66af-4d1c-7987-5156-29b236804948</t>
  </si>
  <si>
    <t>b50c66af-4d1c-7987-65fc-8eef19c20056</t>
  </si>
  <si>
    <t>b50c66af-4d1c-7987-e72f-7e20c7c80842</t>
  </si>
  <si>
    <t>b50c66af-4d1c-7987-abfe-49a98999aacc</t>
  </si>
  <si>
    <t>b50c66af-4d1c-7987-6b0a-9ecd72fb90b1</t>
  </si>
  <si>
    <t>b50c66af-4d1c-7987-46e9-3c2385992fa7</t>
  </si>
  <si>
    <t>b50c66af-4d1c-7987-384a-605798c4db6a</t>
  </si>
  <si>
    <t>b50c66af-4d1c-7987-1d2e-47571a9b8cf7</t>
  </si>
  <si>
    <t>b50c66af-4d1c-7987-5d56-352bba05b99e</t>
  </si>
  <si>
    <t>b50c66af-4d1c-7987-ff6f-0d8fdda85479</t>
  </si>
  <si>
    <t>b50c66af-4d1c-7987-0edb-d571fc63521a</t>
  </si>
  <si>
    <t>b50c66af-4d1c-7987-61ab-93a8bf106b6e</t>
  </si>
  <si>
    <t>b50c66af-4d1c-7987-21c5-4ec2a3741955</t>
  </si>
  <si>
    <t>b50c66af-4d1c-7987-92e6-3bc465f7f116</t>
  </si>
  <si>
    <t>b50c66af-4d1c-7987-9ef6-441e49f32707</t>
  </si>
  <si>
    <t>b50c66af-4d1c-7987-6ee0-17dcf81986b2</t>
  </si>
  <si>
    <t>b50c66af-4d1c-7987-072f-c6995d0737b2</t>
  </si>
  <si>
    <t>b50c66af-4d1c-7987-6c76-b970e5206e99</t>
  </si>
  <si>
    <t>b50c66af-4d1c-7987-1599-2d9d27baa115</t>
  </si>
  <si>
    <t>b50c66af-4d1c-7987-95b5-8a57dbdd447a</t>
  </si>
  <si>
    <t>b50c66af-4d1c-7987-7763-29a83b5be88e</t>
  </si>
  <si>
    <t>cbd1dd48-89c3-3fdb-4c55-8339f6db668e</t>
  </si>
  <si>
    <t>3d5fbf38-c781-3e04-8c7e-5a402611b7d4</t>
  </si>
  <si>
    <t>6c4e41ee-3ecf-303b-89e3-c590131bf36e</t>
  </si>
  <si>
    <t>cbd1dd48-89c3-3fdb-5897-db74470f0281</t>
  </si>
  <si>
    <t>cbd1dd48-89c3-3fdb-f538-21ffa1cf7758</t>
  </si>
  <si>
    <t>94ac48ba-e215-3ab9-ba88-a0b926d29cef</t>
  </si>
  <si>
    <t>b30e58ed-699e-3382-a179-77e448498dab</t>
  </si>
  <si>
    <t>Sepsis (disorder)</t>
  </si>
  <si>
    <t>cbd1dd48-89c3-3fdb-9632-4c35f07d0035</t>
  </si>
  <si>
    <t>cbd1dd48-89c3-3fdb-1806-3e52d3308490</t>
  </si>
  <si>
    <t>cbd1dd48-89c3-3fdb-9de9-a764c7d73cdd</t>
  </si>
  <si>
    <t>cbd1dd48-89c3-3fdb-f531-a5b933c34715</t>
  </si>
  <si>
    <t>cbd1dd48-89c3-3fdb-2150-f61be81274e9</t>
  </si>
  <si>
    <t>cbd1dd48-89c3-3fdb-b0f6-3c724d34b8f8</t>
  </si>
  <si>
    <t>cbd1dd48-89c3-3fdb-76d1-dde4591fbf51</t>
  </si>
  <si>
    <t>cbd1dd48-89c3-3fdb-c183-0f43f2ef6c72</t>
  </si>
  <si>
    <t>cbd1dd48-89c3-3fdb-39df-0a53520a2348</t>
  </si>
  <si>
    <t>cbd1dd48-89c3-3fdb-b2fa-2c21683e9997</t>
  </si>
  <si>
    <t>cbd1dd48-89c3-3fdb-4013-fffce211ac37</t>
  </si>
  <si>
    <t>cbd1dd48-89c3-3fdb-d881-d7e318749846</t>
  </si>
  <si>
    <t>cbd1dd48-89c3-3fdb-2bbd-61fc96f7453a</t>
  </si>
  <si>
    <t>cbd1dd48-89c3-3fdb-21f7-3e79cdf2614b</t>
  </si>
  <si>
    <t>cbd1dd48-89c3-3fdb-50a7-adf6adcd3384</t>
  </si>
  <si>
    <t>cbd1dd48-89c3-3fdb-52f0-a3176d2de8cf</t>
  </si>
  <si>
    <t>cbd1dd48-89c3-3fdb-18fb-0e9e34ce7b96</t>
  </si>
  <si>
    <t>cbd1dd48-89c3-3fdb-5a5e-f4f4b921b875</t>
  </si>
  <si>
    <t>cbd1dd48-89c3-3fdb-8e28-f45017e9a8d8</t>
  </si>
  <si>
    <t>cbd1dd48-89c3-3fdb-60f6-25fa9b517b1b</t>
  </si>
  <si>
    <t>cbd1dd48-89c3-3fdb-dc59-40c566fa1154</t>
  </si>
  <si>
    <t>cbd1dd48-89c3-3fdb-b209-92743358aae9</t>
  </si>
  <si>
    <t>d18ef2e6-ef40-324c-be54-34a5ee865625</t>
  </si>
  <si>
    <t>cbd1dd48-89c3-3fdb-5201-64b2090ddb2b</t>
  </si>
  <si>
    <t>cbd1dd48-89c3-3fdb-653c-1b696a51df47</t>
  </si>
  <si>
    <t>cbd1dd48-89c3-3fdb-06e0-9067662da7f1</t>
  </si>
  <si>
    <t>cbd1dd48-89c3-3fdb-be6f-c355f8dd100f</t>
  </si>
  <si>
    <t>cbd1dd48-89c3-3fdb-c575-4970dd2c7d5d</t>
  </si>
  <si>
    <t>cbd1dd48-89c3-3fdb-8de1-66420123dadf</t>
  </si>
  <si>
    <t>cbd1dd48-89c3-3fdb-04b3-cff1fea3e0ce</t>
  </si>
  <si>
    <t>cbd1dd48-89c3-3fdb-543e-a59ffbf27a2e</t>
  </si>
  <si>
    <t>cbd1dd48-89c3-3fdb-f08a-e0c6bb360a6c</t>
  </si>
  <si>
    <t>cbd1dd48-89c3-3fdb-c423-1ed0a66e4851</t>
  </si>
  <si>
    <t>cbd1dd48-89c3-3fdb-2b28-d3b8d99c9a9c</t>
  </si>
  <si>
    <t>cbd1dd48-89c3-3fdb-0d31-0e3a7d51eb4a</t>
  </si>
  <si>
    <t>cbd1dd48-89c3-3fdb-7062-455c0372b165</t>
  </si>
  <si>
    <t>cbd1dd48-89c3-3fdb-a272-fdaa6bb6fb5e</t>
  </si>
  <si>
    <t>cbd1dd48-89c3-3fdb-0318-8affbf08baca</t>
  </si>
  <si>
    <t>cbd1dd48-89c3-3fdb-c1c7-d58fc96d1466</t>
  </si>
  <si>
    <t>cbd1dd48-89c3-3fdb-0908-ce8ad9f849d2</t>
  </si>
  <si>
    <t>cbd1dd48-89c3-3fdb-7d63-0ad0a5274a64</t>
  </si>
  <si>
    <t>cbd1dd48-89c3-3fdb-aedd-8a39021e2688</t>
  </si>
  <si>
    <t>3c0e60c4-176e-2c4c-056b-08216c7c29b6</t>
  </si>
  <si>
    <t>3c0e60c4-176e-2c4c-89b0-2da3613a18cf</t>
  </si>
  <si>
    <t>1e11392b-1278-3e70-93cd-f396cbd0c265</t>
  </si>
  <si>
    <t>19044a97-68c4-38fd-a298-37d7032843f6</t>
  </si>
  <si>
    <t>3c0e60c4-176e-2c4c-2894-d8ac1e090dd0</t>
  </si>
  <si>
    <t>3c0e60c4-176e-2c4c-0c8f-7f0a51c7d0c3</t>
  </si>
  <si>
    <t>3c0e60c4-176e-2c4c-1dcb-16fb8f38bd6a</t>
  </si>
  <si>
    <t>19439108-9835-38fe-8ee2-1226a355cfba</t>
  </si>
  <si>
    <t>ed65f203-9903-3e38-8514-48dc9e619249</t>
  </si>
  <si>
    <t>Emergency hospital admission (procedure)</t>
  </si>
  <si>
    <t>3c0e60c4-176e-2c4c-7cd0-9e0584fa68ab</t>
  </si>
  <si>
    <t>3c0e60c4-176e-2c4c-40c5-850ce1f89762</t>
  </si>
  <si>
    <t>3c0e60c4-176e-2c4c-822e-7a3fc11a526b</t>
  </si>
  <si>
    <t>Osteoarthritis of knee (disorder)</t>
  </si>
  <si>
    <t>3c0e60c4-176e-2c4c-349f-d1d329fb6404</t>
  </si>
  <si>
    <t>3c0e60c4-176e-2c4c-9290-555edae2b6a7</t>
  </si>
  <si>
    <t>Hyperlipidemia (disorder)</t>
  </si>
  <si>
    <t>3c0e60c4-176e-2c4c-23e2-149988895a02</t>
  </si>
  <si>
    <t>3c0e60c4-176e-2c4c-e394-eeb9d703e40d</t>
  </si>
  <si>
    <t>3c0e60c4-176e-2c4c-fb53-5a9856fe20d5</t>
  </si>
  <si>
    <t>3c0e60c4-176e-2c4c-6448-35f83f99d1b0</t>
  </si>
  <si>
    <t>3c0e60c4-176e-2c4c-49b1-d513537f62e7</t>
  </si>
  <si>
    <t>3c0e60c4-176e-2c4c-bfbb-69aeee1d0547</t>
  </si>
  <si>
    <t>3c0e60c4-176e-2c4c-333a-c75799536233</t>
  </si>
  <si>
    <t>3c0e60c4-176e-2c4c-2947-dc66031f66d2</t>
  </si>
  <si>
    <t>3c0e60c4-176e-2c4c-bcae-2a639da493e7</t>
  </si>
  <si>
    <t>3c0e60c4-176e-2c4c-b67d-c85805ad1c23</t>
  </si>
  <si>
    <t>3c0e60c4-176e-2c4c-b91f-cb8d6177d6a9</t>
  </si>
  <si>
    <t>3c0e60c4-176e-2c4c-ea57-28f16fd723dc</t>
  </si>
  <si>
    <t>3c0e60c4-176e-2c4c-6aa1-03dd4a17d88e</t>
  </si>
  <si>
    <t>3c0e60c4-176e-2c4c-1829-ed730e314e9b</t>
  </si>
  <si>
    <t>3c0e60c4-176e-2c4c-4df8-d88514239bcc</t>
  </si>
  <si>
    <t>3c0e60c4-176e-2c4c-20b3-6ebba68ec2c8</t>
  </si>
  <si>
    <t>3c0e60c4-176e-2c4c-0a32-35af09b6bb78</t>
  </si>
  <si>
    <t>3c0e60c4-176e-2c4c-b586-cd94e00b52a6</t>
  </si>
  <si>
    <t>3c0e60c4-176e-2c4c-e22b-8b0dee3dec05</t>
  </si>
  <si>
    <t>3c0e60c4-176e-2c4c-17e6-60368f3cfcec</t>
  </si>
  <si>
    <t>3c0e60c4-176e-2c4c-6d8a-bbe10fc064a7</t>
  </si>
  <si>
    <t>3c0e60c4-176e-2c4c-8cb3-d574b01c246e</t>
  </si>
  <si>
    <t>3c0e60c4-176e-2c4c-36ec-501b2fc57a1e</t>
  </si>
  <si>
    <t>3c0e60c4-176e-2c4c-0c32-44bc43b0ab46</t>
  </si>
  <si>
    <t>3c0e60c4-176e-2c4c-3834-9c4ca57dc13b</t>
  </si>
  <si>
    <t>3c0e60c4-176e-2c4c-2615-9d62c6bc29cf</t>
  </si>
  <si>
    <t>3c0e60c4-176e-2c4c-41c8-abfe8088439b</t>
  </si>
  <si>
    <t>3c0e60c4-176e-2c4c-036f-f2713a09f04a</t>
  </si>
  <si>
    <t>3c0e60c4-176e-2c4c-9acb-5ba82605ff70</t>
  </si>
  <si>
    <t>3c0e60c4-176e-2c4c-cc5c-7df9d26e2c23</t>
  </si>
  <si>
    <t>3c0e60c4-176e-2c4c-6b0b-7ed2f4cd7eed</t>
  </si>
  <si>
    <t>3c0e60c4-176e-2c4c-a163-ad3586d59f5d</t>
  </si>
  <si>
    <t>3c0e60c4-176e-2c4c-7362-774178171ee6</t>
  </si>
  <si>
    <t>Abnormal findings diagnostic imaging heart+coronary circulat (finding)</t>
  </si>
  <si>
    <t>3c0e60c4-176e-2c4c-ecce-35e921cb2d2c</t>
  </si>
  <si>
    <t>Patient transfer to intensive care unit (procedure)</t>
  </si>
  <si>
    <t>History of coronary artery bypass grafting (situation)</t>
  </si>
  <si>
    <t>3c0e60c4-176e-2c4c-d4b7-576959c57f62</t>
  </si>
  <si>
    <t>Admission to ward (procedure)</t>
  </si>
  <si>
    <t>3c0e60c4-176e-2c4c-4573-67ed3d149c72</t>
  </si>
  <si>
    <t>3c0e60c4-176e-2c4c-9fbd-48221c12578b</t>
  </si>
  <si>
    <t>3c0e60c4-176e-2c4c-9480-ecfef183377b</t>
  </si>
  <si>
    <t>3c0e60c4-176e-2c4c-a5d4-97996f2a6181</t>
  </si>
  <si>
    <t>3c0e60c4-176e-2c4c-5a79-4efee6e0af4a</t>
  </si>
  <si>
    <t>3c0e60c4-176e-2c4c-43af-4d3a19c17f1b</t>
  </si>
  <si>
    <t>3c0e60c4-176e-2c4c-86de-10f3d9c2cc0c</t>
  </si>
  <si>
    <t>3c0e60c4-176e-2c4c-0cd6-7dee0afd0de0</t>
  </si>
  <si>
    <t>3c0e60c4-176e-2c4c-1c9f-5d5d4a94d9f1</t>
  </si>
  <si>
    <t>3c0e60c4-176e-2c4c-d2da-eaaf4d8bea0b</t>
  </si>
  <si>
    <t>83093df7-a1e4-b827-be3e-2eea7c39e98b</t>
  </si>
  <si>
    <t>53f086de-2fc7-3d35-92c2-aca4ed944e7f</t>
  </si>
  <si>
    <t>5797d1e8-b8c3-3a27-8d36-d93242f3bd12</t>
  </si>
  <si>
    <t>83093df7-a1e4-b827-a944-208533d7b47b</t>
  </si>
  <si>
    <t>7a75decf-7d3f-3b0d-8c2b-3abf0a8c7f58</t>
  </si>
  <si>
    <t>a1b97c2a-6222-30d6-ba2f-4bbab53dd774</t>
  </si>
  <si>
    <t>83093df7-a1e4-b827-e1b4-aece8e5a599f</t>
  </si>
  <si>
    <t>83093df7-a1e4-b827-256c-f242238075e0</t>
  </si>
  <si>
    <t>83093df7-a1e4-b827-0b1f-610e8188d262</t>
  </si>
  <si>
    <t>83093df7-a1e4-b827-1af2-c252a592fbd4</t>
  </si>
  <si>
    <t>83093df7-a1e4-b827-90f9-eaeee98f1f04</t>
  </si>
  <si>
    <t>83093df7-a1e4-b827-cf91-1d81d018c654</t>
  </si>
  <si>
    <t>83093df7-a1e4-b827-ec35-4f898790b3a4</t>
  </si>
  <si>
    <t>83093df7-a1e4-b827-e83b-9caf2552b87e</t>
  </si>
  <si>
    <t>83093df7-a1e4-b827-cc02-6335b974c638</t>
  </si>
  <si>
    <t>83093df7-a1e4-b827-9820-7ef6be20644c</t>
  </si>
  <si>
    <t>83093df7-a1e4-b827-1d5f-5697e3aba0a5</t>
  </si>
  <si>
    <t>83093df7-a1e4-b827-a188-e6e3a33df48c</t>
  </si>
  <si>
    <t>83093df7-a1e4-b827-40c5-1edf0955d97b</t>
  </si>
  <si>
    <t>83093df7-a1e4-b827-2ad7-6c084423a6a4</t>
  </si>
  <si>
    <t>83093df7-a1e4-b827-3396-bdd8829af079</t>
  </si>
  <si>
    <t>83093df7-a1e4-b827-3e76-9fa984311901</t>
  </si>
  <si>
    <t>83093df7-a1e4-b827-87dd-578ba734551a</t>
  </si>
  <si>
    <t>83093df7-a1e4-b827-1f10-39a59a8ca5ab</t>
  </si>
  <si>
    <t>83093df7-a1e4-b827-cc95-06075c087429</t>
  </si>
  <si>
    <t>83093df7-a1e4-b827-567e-9ea93ee14b40</t>
  </si>
  <si>
    <t>83093df7-a1e4-b827-520f-8e09ffce32d9</t>
  </si>
  <si>
    <t>83093df7-a1e4-b827-83c4-019220f36dde</t>
  </si>
  <si>
    <t>83093df7-a1e4-b827-d0f4-c2c1f8aee421</t>
  </si>
  <si>
    <t>83093df7-a1e4-b827-9a47-f31c91185d52</t>
  </si>
  <si>
    <t>3a9c6df2-621a-6239-099b-1136d1a78b9a</t>
  </si>
  <si>
    <t>39c15c0f-5c49-311e-99d2-1fb99d80e06e</t>
  </si>
  <si>
    <t>13a607f1-5369-353c-8884-40572ca6c2a9</t>
  </si>
  <si>
    <t>3a9c6df2-621a-6239-19a3-d871c2e06d6c</t>
  </si>
  <si>
    <t>3a9c6df2-621a-6239-7ffa-d603308ac9a5</t>
  </si>
  <si>
    <t>3a9c6df2-621a-6239-aaa8-09a99017d548</t>
  </si>
  <si>
    <t>3a9c6df2-621a-6239-3cd5-e95476d7f1c4</t>
  </si>
  <si>
    <t>22249c0a-8ce9-3726-a3bb-b037c773ce5c</t>
  </si>
  <si>
    <t>6e0e62ba-6eea-380a-b7d5-fa26dfe29e1e</t>
  </si>
  <si>
    <t>Acute allergic reaction (disorder)</t>
  </si>
  <si>
    <t>3a9c6df2-621a-6239-0d83-1ff307176ae4</t>
  </si>
  <si>
    <t>82c72223-f521-3a34-9b9b-4ff366365399</t>
  </si>
  <si>
    <t>48161b80-5072-3523-81e7-3329b8e71887</t>
  </si>
  <si>
    <t>Cow's milk (substance)</t>
  </si>
  <si>
    <t>3a9c6df2-621a-6239-1778-331bfa6f27fa</t>
  </si>
  <si>
    <t>3a9c6df2-621a-6239-54b2-ebfb0a2bad3a</t>
  </si>
  <si>
    <t>Atopic dermatitis (disorder)</t>
  </si>
  <si>
    <t>3a9c6df2-621a-6239-92df-8c85d84f5a1d</t>
  </si>
  <si>
    <t>3a9c6df2-621a-6239-6d4b-ecb806966738</t>
  </si>
  <si>
    <t>3a9c6df2-621a-6239-c167-a9d22aaa93a7</t>
  </si>
  <si>
    <t>3a9c6df2-621a-6239-25f3-6c499e9440f9</t>
  </si>
  <si>
    <t>3a9c6df2-621a-6239-8326-04d1f556d1bc</t>
  </si>
  <si>
    <t>3a9c6df2-621a-6239-41a6-44441a30292b</t>
  </si>
  <si>
    <t>3a9c6df2-621a-6239-6c60-2959fb482949</t>
  </si>
  <si>
    <t>3a9c6df2-621a-6239-7ed2-84b2cfe99ac1</t>
  </si>
  <si>
    <t>3a9c6df2-621a-6239-562f-deba64894c64</t>
  </si>
  <si>
    <t>3a9c6df2-621a-6239-88bd-77ded2664c9b</t>
  </si>
  <si>
    <t>3a9c6df2-621a-6239-7c8e-f30fcdb8d109</t>
  </si>
  <si>
    <t>45f3a7b6-d706-f174-3963-38c8f88c9402</t>
  </si>
  <si>
    <t>2e8b42f8-4300-30a9-a576-d513d1021a0a</t>
  </si>
  <si>
    <t>56c4f30b-7d23-3d4e-92dd-b5b84fd0edf4</t>
  </si>
  <si>
    <t>45f3a7b6-d706-f174-a825-dd1db6145981</t>
  </si>
  <si>
    <t>45f3a7b6-d706-f174-5275-16c7c370b545</t>
  </si>
  <si>
    <t>45f3a7b6-d706-f174-c21b-2c952185a1ac</t>
  </si>
  <si>
    <t>45f3a7b6-d706-f174-f7f3-2e09752dcf81</t>
  </si>
  <si>
    <t>45f3a7b6-d706-f174-72f7-f5282fdbe809</t>
  </si>
  <si>
    <t>45f3a7b6-d706-f174-952f-a802aad8857a</t>
  </si>
  <si>
    <t>45f3a7b6-d706-f174-bb63-e149d4d696ce</t>
  </si>
  <si>
    <t>45f3a7b6-d706-f174-763f-3c0fdd7cc489</t>
  </si>
  <si>
    <t>45f3a7b6-d706-f174-4147-32cd15559da3</t>
  </si>
  <si>
    <t>Shellfish (substance)</t>
  </si>
  <si>
    <t>45f3a7b6-d706-f174-13ee-73516a1139ab</t>
  </si>
  <si>
    <t>45f3a7b6-d706-f174-e3d1-5d503bfc0598</t>
  </si>
  <si>
    <t>45f3a7b6-d706-f174-ff5e-bcf585dd8530</t>
  </si>
  <si>
    <t>45f3a7b6-d706-f174-9075-a9f2e04c7585</t>
  </si>
  <si>
    <t>45f3a7b6-d706-f174-bec3-dc101c87299d</t>
  </si>
  <si>
    <t>45f3a7b6-d706-f174-c417-702668de17b5</t>
  </si>
  <si>
    <t>45f3a7b6-d706-f174-1f82-615fd2d92e85</t>
  </si>
  <si>
    <t>45f3a7b6-d706-f174-4b16-ae80d8010511</t>
  </si>
  <si>
    <t>45f3a7b6-d706-f174-1ce3-a19c06a5d62e</t>
  </si>
  <si>
    <t>Seasonal allergic rhinitis (disorder)</t>
  </si>
  <si>
    <t>45f3a7b6-d706-f174-6f47-6e914e4787af</t>
  </si>
  <si>
    <t>45f3a7b6-d706-f174-5a5f-a6a7b7347502</t>
  </si>
  <si>
    <t>45f3a7b6-d706-f174-0603-792f0d9a8d8a</t>
  </si>
  <si>
    <t>45f3a7b6-d706-f174-e63a-3a68946df226</t>
  </si>
  <si>
    <t>45f3a7b6-d706-f174-80d0-b769d7952397</t>
  </si>
  <si>
    <t>45f3a7b6-d706-f174-f19c-75b342882124</t>
  </si>
  <si>
    <t>45f3a7b6-d706-f174-3c92-7d580fae5fdd</t>
  </si>
  <si>
    <t>a45aa142-d1e9-d944-c1f4-f6668098bff3</t>
  </si>
  <si>
    <t>9b8a7a25-b923-3710-9f3c-d42919a3f54f</t>
  </si>
  <si>
    <t>d30fad99-3add-3b0b-8990-285481947e7d</t>
  </si>
  <si>
    <t>a45aa142-d1e9-d944-1e9f-167d15a41321</t>
  </si>
  <si>
    <t>a45aa142-d1e9-d944-ee8b-fd10ca5036b8</t>
  </si>
  <si>
    <t>a45aa142-d1e9-d944-8162-3eedfb0c66f1</t>
  </si>
  <si>
    <t>a45aa142-d1e9-d944-0601-bb545ffb2640</t>
  </si>
  <si>
    <t>a45aa142-d1e9-d944-f8e1-db94c15a84f6</t>
  </si>
  <si>
    <t>a45aa142-d1e9-d944-e39f-b8f466633d48</t>
  </si>
  <si>
    <t>Sleep disorder (disorder)</t>
  </si>
  <si>
    <t>a45aa142-d1e9-d944-291c-8797ce950b0e</t>
  </si>
  <si>
    <t>a45aa142-d1e9-d944-91d9-2413ee3789f5</t>
  </si>
  <si>
    <t>a45aa142-d1e9-d944-0d51-b6ad385c0257</t>
  </si>
  <si>
    <t>a45aa142-d1e9-d944-1961-bd25a5604c86</t>
  </si>
  <si>
    <t>a45aa142-d1e9-d944-b3be-f203a1133324</t>
  </si>
  <si>
    <t>a45aa142-d1e9-d944-dbae-274bab32c2d4</t>
  </si>
  <si>
    <t>a45aa142-d1e9-d944-ca8b-662adb59f254</t>
  </si>
  <si>
    <t>a45aa142-d1e9-d944-7d94-b7a4727ee9e0</t>
  </si>
  <si>
    <t>a45aa142-d1e9-d944-9b79-ed050c5c437e</t>
  </si>
  <si>
    <t>a45aa142-d1e9-d944-ed7d-1e0377f962ec</t>
  </si>
  <si>
    <t>a45aa142-d1e9-d944-468b-95737be878ee</t>
  </si>
  <si>
    <t>a45aa142-d1e9-d944-e0ac-ae992466d750</t>
  </si>
  <si>
    <t>a45aa142-d1e9-d944-4db6-82315b2aae4b</t>
  </si>
  <si>
    <t>a45aa142-d1e9-d944-ded5-611103e0a346</t>
  </si>
  <si>
    <t>a45aa142-d1e9-d944-4071-97dbb86a8d2d</t>
  </si>
  <si>
    <t>virtual</t>
  </si>
  <si>
    <t>a45aa142-d1e9-d944-aa98-b70ca2fc5f35</t>
  </si>
  <si>
    <t>a45aa142-d1e9-d944-682a-12fe63f8c986</t>
  </si>
  <si>
    <t>1de7e7d9-9a7a-3a3f-bf4c-b4de450711f2</t>
  </si>
  <si>
    <t>673d2b7f-fd5d-31e4-b38d-5e8903c00ef2</t>
  </si>
  <si>
    <t>a45aa142-d1e9-d944-02cd-ef5d957c7191</t>
  </si>
  <si>
    <t>a45aa142-d1e9-d944-51d4-2e5d04159791</t>
  </si>
  <si>
    <t>a45aa142-d1e9-d944-d065-dde88e630ee1</t>
  </si>
  <si>
    <t>a45aa142-d1e9-d944-983c-90c905f05db1</t>
  </si>
  <si>
    <t>a45aa142-d1e9-d944-4a46-1c797c62a8c3</t>
  </si>
  <si>
    <t>a45aa142-d1e9-d944-a228-0106691a1bb0</t>
  </si>
  <si>
    <t>a45aa142-d1e9-d944-3ca4-47497accd8c4</t>
  </si>
  <si>
    <t>a45aa142-d1e9-d944-4bfa-2ffea1ce169d</t>
  </si>
  <si>
    <t>a45aa142-d1e9-d944-3234-e3eacf9f600b</t>
  </si>
  <si>
    <t>a45aa142-d1e9-d944-c94a-c45e4a329489</t>
  </si>
  <si>
    <t>Polyp of colon (disorder)</t>
  </si>
  <si>
    <t>a45aa142-d1e9-d944-e32e-ce20a780c782</t>
  </si>
  <si>
    <t>a45aa142-d1e9-d944-2e10-b448a239a958</t>
  </si>
  <si>
    <t>a45aa142-d1e9-d944-a7ea-d10d0512d7a7</t>
  </si>
  <si>
    <t>a45aa142-d1e9-d944-6ccd-4a576d315ecb</t>
  </si>
  <si>
    <t>7af6b271-f16d-21e1-8e1c-236c2e6a930d</t>
  </si>
  <si>
    <t>104079d4-560e-3eb8-9a48-d495835a3997</t>
  </si>
  <si>
    <t>16805431-483b-32fc-a2e2-d759d8386a64</t>
  </si>
  <si>
    <t>7af6b271-f16d-21e1-e6a8-a4b3adf967f8</t>
  </si>
  <si>
    <t>7af6b271-f16d-21e1-fbf0-a1ae80800ac0</t>
  </si>
  <si>
    <t>7af6b271-f16d-21e1-e187-547120fdd937</t>
  </si>
  <si>
    <t>9d989fcf-4ad9-3972-ada3-f275d967781e</t>
  </si>
  <si>
    <t>e8103601-9fd7-328b-bc38-c6dabfa8f059</t>
  </si>
  <si>
    <t>7af6b271-f16d-21e1-916f-92be9ea3b513</t>
  </si>
  <si>
    <t>7af6b271-f16d-21e1-ad6b-df71202db81e</t>
  </si>
  <si>
    <t>7af6b271-f16d-21e1-3082-4d25791611cf</t>
  </si>
  <si>
    <t>7af6b271-f16d-21e1-35b3-45395b3db0f0</t>
  </si>
  <si>
    <t>7af6b271-f16d-21e1-ca1a-9877edfe3678</t>
  </si>
  <si>
    <t>7af6b271-f16d-21e1-5267-d1e8b8efe1ca</t>
  </si>
  <si>
    <t>7af6b271-f16d-21e1-5db7-9a6e8c3bf68a</t>
  </si>
  <si>
    <t>7af6b271-f16d-21e1-cfe5-013b5d15f297</t>
  </si>
  <si>
    <t>7af6b271-f16d-21e1-4848-929bf827ab9e</t>
  </si>
  <si>
    <t>7af6b271-f16d-21e1-7541-54e2a158fa89</t>
  </si>
  <si>
    <t>7af6b271-f16d-21e1-d638-82cff51a9fd1</t>
  </si>
  <si>
    <t>7af6b271-f16d-21e1-c987-c6878ea047bf</t>
  </si>
  <si>
    <t>7af6b271-f16d-21e1-a7d2-2b2575c0b41a</t>
  </si>
  <si>
    <t>7af6b271-f16d-21e1-35a3-9e98675324a4</t>
  </si>
  <si>
    <t>7af6b271-f16d-21e1-36bd-b22bb44d20fc</t>
  </si>
  <si>
    <t>7af6b271-f16d-21e1-c8df-a90991bea1c1</t>
  </si>
  <si>
    <t>7af6b271-f16d-21e1-c4f2-009f322f5452</t>
  </si>
  <si>
    <t>7af6b271-f16d-21e1-859f-2d6621517acd</t>
  </si>
  <si>
    <t>7af6b271-f16d-21e1-5034-ff30d8866eed</t>
  </si>
  <si>
    <t>7af6b271-f16d-21e1-93c5-aec2d8d13e83</t>
  </si>
  <si>
    <t>7af6b271-f16d-21e1-47af-7515011510d7</t>
  </si>
  <si>
    <t>7af6b271-f16d-21e1-f027-9e5fdaa3402e</t>
  </si>
  <si>
    <t>7af6b271-f16d-21e1-018b-def5e5dac706</t>
  </si>
  <si>
    <t>7af6b271-f16d-21e1-c80a-ca52f5c71f0f</t>
  </si>
  <si>
    <t>7af6b271-f16d-21e1-447c-96aa9ef2411d</t>
  </si>
  <si>
    <t>7af6b271-f16d-21e1-aa53-42afca5a1bc7</t>
  </si>
  <si>
    <t>7af6b271-f16d-21e1-cc9a-aa7f337614ab</t>
  </si>
  <si>
    <t>7af6b271-f16d-21e1-1662-f0914d4f70a1</t>
  </si>
  <si>
    <t>7af6b271-f16d-21e1-722a-c585aafdfea4</t>
  </si>
  <si>
    <t>7af6b271-f16d-21e1-e9db-fed45d4dba21</t>
  </si>
  <si>
    <t>7af6b271-f16d-21e1-3e7b-f7376fcb1e05</t>
  </si>
  <si>
    <t>7af6b271-f16d-21e1-25d1-6a5f11a10317</t>
  </si>
  <si>
    <t>b69bccdc-5ad3-3ded-a018-3cd8f369c9d2</t>
  </si>
  <si>
    <t>a82e3555-6eae-3547-a7f9-fe1891fa55f4</t>
  </si>
  <si>
    <t>7af6b271-f16d-21e1-ff78-ca4e771c7285</t>
  </si>
  <si>
    <t>0592d4e5-a0fb-3143-83cd-8e5a6b066a96</t>
  </si>
  <si>
    <t>9069fd9f-e1aa-3b63-b8bb-ce37b676a504</t>
  </si>
  <si>
    <t>7af6b271-f16d-21e1-e86a-4d1d571af6e6</t>
  </si>
  <si>
    <t>7af6b271-f16d-21e1-0428-2e4035069ed3</t>
  </si>
  <si>
    <t>7af6b271-f16d-21e1-ceab-040f73258c99</t>
  </si>
  <si>
    <t>7af6b271-f16d-21e1-a81b-5ac8443b449b</t>
  </si>
  <si>
    <t>7af6b271-f16d-21e1-4328-278fe7ff7719</t>
  </si>
  <si>
    <t>7af6b271-f16d-21e1-d9e6-5433deba0339</t>
  </si>
  <si>
    <t>7af6b271-f16d-21e1-aca4-0da2c89e39ab</t>
  </si>
  <si>
    <t>7af6b271-f16d-21e1-ccb4-1ecdabefb36f</t>
  </si>
  <si>
    <t>7af6b271-f16d-21e1-538a-ed5b5da35af3</t>
  </si>
  <si>
    <t>7af6b271-f16d-21e1-5cbf-92f5a01cf17e</t>
  </si>
  <si>
    <t>7af6b271-f16d-21e1-2765-f562f6fdc015</t>
  </si>
  <si>
    <t>7af6b271-f16d-21e1-8a53-65fe43a98be3</t>
  </si>
  <si>
    <t>7af6b271-f16d-21e1-c8ea-56cb51c4ca36</t>
  </si>
  <si>
    <t>7af6b271-f16d-21e1-8591-898bdad53004</t>
  </si>
  <si>
    <t>7af6b271-f16d-21e1-ba0c-7b1e1de8eef9</t>
  </si>
  <si>
    <t>7af6b271-f16d-21e1-136d-ed1eeab5ac4c</t>
  </si>
  <si>
    <t>7af6b271-f16d-21e1-77e8-d6fc78fd025a</t>
  </si>
  <si>
    <t>7af6b271-f16d-21e1-4264-5a1a76bca96f</t>
  </si>
  <si>
    <t>7af6b271-f16d-21e1-a3fd-225504f884a1</t>
  </si>
  <si>
    <t>7af6b271-f16d-21e1-7a2c-eb7bed181b58</t>
  </si>
  <si>
    <t>7af6b271-f16d-21e1-04d4-169ca3011f23</t>
  </si>
  <si>
    <t>7af6b271-f16d-21e1-6c70-9b946bce81e6</t>
  </si>
  <si>
    <t>7af6b271-f16d-21e1-7d75-804b84127c7d</t>
  </si>
  <si>
    <t>7af6b271-f16d-21e1-88a8-e60228cfb046</t>
  </si>
  <si>
    <t>7af6b271-f16d-21e1-1bf8-ab6d17103be3</t>
  </si>
  <si>
    <t>7af6b271-f16d-21e1-ca59-79113f071264</t>
  </si>
  <si>
    <t>7af6b271-f16d-21e1-4598-2eb81658674f</t>
  </si>
  <si>
    <t>615416de-5217-3c11-9828-2d4bacd1d9cb</t>
  </si>
  <si>
    <t>b0b8cac0-9fd0-3df8-abed-2609c7831edb</t>
  </si>
  <si>
    <t>7af6b271-f16d-21e1-ef7e-4920d39bbcd3</t>
  </si>
  <si>
    <t>7af6b271-f16d-21e1-e8ed-3d12c46dd113</t>
  </si>
  <si>
    <t>a406f356-c8b4-54ad-ca7c-9561dbdd9ed9</t>
  </si>
  <si>
    <t>a2a41caf-758f-3962-8e5f-e6e603f93d17</t>
  </si>
  <si>
    <t>254872a4-7ff2-3b70-997b-49b37a0046eb</t>
  </si>
  <si>
    <t>Eggs (edible) (substance)</t>
  </si>
  <si>
    <t>a406f356-c8b4-54ad-560a-98ba116ad8d0</t>
  </si>
  <si>
    <t>a406f356-c8b4-54ad-93d7-e66098750b07</t>
  </si>
  <si>
    <t>4ff8b164-4cf5-3ab4-b0f2-7ce8fda920e5</t>
  </si>
  <si>
    <t>ae59c705-afc7-31b2-971f-7cf749210e73</t>
  </si>
  <si>
    <t>a406f356-c8b4-54ad-ad0d-784d83a4cb42</t>
  </si>
  <si>
    <t>a406f356-c8b4-54ad-8afd-4759ace93fbb</t>
  </si>
  <si>
    <t>a406f356-c8b4-54ad-4a52-8dd4200b1c16</t>
  </si>
  <si>
    <t>4d3ec6c2-f6aa-3d7b-adcc-e7107dac8530</t>
  </si>
  <si>
    <t>7a188fe0-beda-347c-be40-120313730d08</t>
  </si>
  <si>
    <t>a406f356-c8b4-54ad-c184-46e725ceb8e4</t>
  </si>
  <si>
    <t>a406f356-c8b4-54ad-bce1-9c6131007a11</t>
  </si>
  <si>
    <t>a406f356-c8b4-54ad-3807-d81ddc7d3c8a</t>
  </si>
  <si>
    <t>a406f356-c8b4-54ad-4af2-f24dac26f433</t>
  </si>
  <si>
    <t>a406f356-c8b4-54ad-0d28-75e38f0245b3</t>
  </si>
  <si>
    <t>a406f356-c8b4-54ad-9d1b-6ee03f89f93e</t>
  </si>
  <si>
    <t>a406f356-c8b4-54ad-7a07-bb8616684a01</t>
  </si>
  <si>
    <t>a406f356-c8b4-54ad-486b-382043d0b8bb</t>
  </si>
  <si>
    <t>a406f356-c8b4-54ad-ad37-f72a5994d5fc</t>
  </si>
  <si>
    <t>a406f356-c8b4-54ad-5d7b-f3ed98482704</t>
  </si>
  <si>
    <t>f30304ab-8e45-1cbd-e9f3-fca0678b9f51</t>
  </si>
  <si>
    <t>2f735290-1603-31b5-b561-7c8e0d413170</t>
  </si>
  <si>
    <t>7ae80cde-6177-3bb4-825f-8810d4c2a14a</t>
  </si>
  <si>
    <t>f30304ab-8e45-1cbd-1b3b-7e0ffbe13f36</t>
  </si>
  <si>
    <t>f30304ab-8e45-1cbd-3e8a-2add4a50516f</t>
  </si>
  <si>
    <t>63cb4d95-04a9-3a35-b5d9-f89e0377a48d</t>
  </si>
  <si>
    <t>aac4346d-d422-3dbf-bc38-465c77525f42</t>
  </si>
  <si>
    <t>f30304ab-8e45-1cbd-265d-c570cd8ff12f</t>
  </si>
  <si>
    <t>f30304ab-8e45-1cbd-e868-66199daf880e</t>
  </si>
  <si>
    <t>f30304ab-8e45-1cbd-00d1-4b52f051a7d4</t>
  </si>
  <si>
    <t>f30304ab-8e45-1cbd-1ac5-2f61265d7bef</t>
  </si>
  <si>
    <t>f30304ab-8e45-1cbd-8f30-96b0269c984d</t>
  </si>
  <si>
    <t>f30304ab-8e45-1cbd-0d13-378caf6b943b</t>
  </si>
  <si>
    <t>f30304ab-8e45-1cbd-7838-83a5c9c982f0</t>
  </si>
  <si>
    <t>f30304ab-8e45-1cbd-d4b6-ec39d16a0d0a</t>
  </si>
  <si>
    <t>f30304ab-8e45-1cbd-6272-76939edccec5</t>
  </si>
  <si>
    <t>f30304ab-8e45-1cbd-911a-7b54fd7a3640</t>
  </si>
  <si>
    <t>f30304ab-8e45-1cbd-9001-cd80a94eee5d</t>
  </si>
  <si>
    <t>f30304ab-8e45-1cbd-7179-0e4e3460b397</t>
  </si>
  <si>
    <t>f30304ab-8e45-1cbd-6977-7845bbe92ab4</t>
  </si>
  <si>
    <t>f30304ab-8e45-1cbd-67b4-4248793fc303</t>
  </si>
  <si>
    <t>f30304ab-8e45-1cbd-24e1-16cdf70f8e33</t>
  </si>
  <si>
    <t>6b9c5830-a278-38ff-887f-ccefd74cf8e8</t>
  </si>
  <si>
    <t>cc231454-8c12-32c7-bbd4-a1ae234ebf40</t>
  </si>
  <si>
    <t>f30304ab-8e45-1cbd-713f-41ac56ce943e</t>
  </si>
  <si>
    <t>f30304ab-8e45-1cbd-b3df-26028bc9bb51</t>
  </si>
  <si>
    <t>f30304ab-8e45-1cbd-c85e-8943b2aa3963</t>
  </si>
  <si>
    <t>f30304ab-8e45-1cbd-bafe-9353b65fda12</t>
  </si>
  <si>
    <t>f30304ab-8e45-1cbd-7040-1a04104db872</t>
  </si>
  <si>
    <t>f30304ab-8e45-1cbd-1863-ec7ea31130d6</t>
  </si>
  <si>
    <t>f30304ab-8e45-1cbd-ed6d-1fb3f9b169db</t>
  </si>
  <si>
    <t>f30304ab-8e45-1cbd-f85c-947cb02cd959</t>
  </si>
  <si>
    <t>f30304ab-8e45-1cbd-c58a-7ed6222e947f</t>
  </si>
  <si>
    <t>f30304ab-8e45-1cbd-6679-174a9b2f1234</t>
  </si>
  <si>
    <t>fb56f051-a2cd-ac10-be27-94e4e35e4f63</t>
  </si>
  <si>
    <t>6cf8a214-8d57-3267-85e5-7719e15cd63e</t>
  </si>
  <si>
    <t>5a65232f-4323-3b7d-a9a5-a001f6c323a8</t>
  </si>
  <si>
    <t>fb56f051-a2cd-ac10-31cc-71df144f1881</t>
  </si>
  <si>
    <t>ace1ac31-036a-38fd-b451-b3b87157c717</t>
  </si>
  <si>
    <t>df770d9c-95c9-3880-b9fd-8196295aa7db</t>
  </si>
  <si>
    <t>fb56f051-a2cd-ac10-c3ba-0b4830e55b1f</t>
  </si>
  <si>
    <t>fb56f051-a2cd-ac10-5376-da5a323ad251</t>
  </si>
  <si>
    <t>0a2252ba-33de-322f-8f0a-e5b0141f1780</t>
  </si>
  <si>
    <t>f777c1ad-747e-3dbb-bd1c-f274a5baa638</t>
  </si>
  <si>
    <t>fb56f051-a2cd-ac10-dcaa-334ec75ff962</t>
  </si>
  <si>
    <t>Fracture subluxation of wrist (disorder)</t>
  </si>
  <si>
    <t>fb56f051-a2cd-ac10-681a-f0ff64888461</t>
  </si>
  <si>
    <t>fb56f051-a2cd-ac10-89ad-f699b5cbd84a</t>
  </si>
  <si>
    <t>fb56f051-a2cd-ac10-5a62-d4c78503cf7e</t>
  </si>
  <si>
    <t>fb56f051-a2cd-ac10-2670-ba3661c61b4a</t>
  </si>
  <si>
    <t>fb56f051-a2cd-ac10-5ab4-cf33e6fe99d8</t>
  </si>
  <si>
    <t>fb56f051-a2cd-ac10-85a5-fd270c4e176e</t>
  </si>
  <si>
    <t>fb56f051-a2cd-ac10-0625-5a8b3f8ea601</t>
  </si>
  <si>
    <t>fb56f051-a2cd-ac10-a7ac-00e9b5a21083</t>
  </si>
  <si>
    <t>fb56f051-a2cd-ac10-b2b4-32a6c61a8352</t>
  </si>
  <si>
    <t>fb56f051-a2cd-ac10-fc52-fd71954d15ac</t>
  </si>
  <si>
    <t>fb56f051-a2cd-ac10-7d62-ae8bb1799e73</t>
  </si>
  <si>
    <t>fb56f051-a2cd-ac10-0791-8aa092e2bebc</t>
  </si>
  <si>
    <t>fb56f051-a2cd-ac10-5ed0-13b831d347b8</t>
  </si>
  <si>
    <t>fb56f051-a2cd-ac10-8eae-7e021b9c338b</t>
  </si>
  <si>
    <t>fb56f051-a2cd-ac10-efa9-6695a9ead846</t>
  </si>
  <si>
    <t>fb56f051-a2cd-ac10-7bd9-e9ddd3fdc574</t>
  </si>
  <si>
    <t>fb56f051-a2cd-ac10-a65f-4600ef8ee910</t>
  </si>
  <si>
    <t>fb56f051-a2cd-ac10-3f5c-8e7ea0563194</t>
  </si>
  <si>
    <t>fb56f051-a2cd-ac10-ead1-bfadd90ad8a7</t>
  </si>
  <si>
    <t>fb56f051-a2cd-ac10-11c5-5487f7d67edf</t>
  </si>
  <si>
    <t>fb56f051-a2cd-ac10-00a6-d11ee35a0338</t>
  </si>
  <si>
    <t>fb56f051-a2cd-ac10-8100-591a63cc7d65</t>
  </si>
  <si>
    <t>fb56f051-a2cd-ac10-5693-3fdbe08a5d39</t>
  </si>
  <si>
    <t>fb56f051-a2cd-ac10-519b-f02860d5423d</t>
  </si>
  <si>
    <t>fb56f051-a2cd-ac10-2432-fe1aa264a824</t>
  </si>
  <si>
    <t>fb56f051-a2cd-ac10-a41c-2e07242aa477</t>
  </si>
  <si>
    <t>fb56f051-a2cd-ac10-3caf-567ac726ab76</t>
  </si>
  <si>
    <t>fb56f051-a2cd-ac10-4b11-dfbf3fb5ea73</t>
  </si>
  <si>
    <t>fb56f051-a2cd-ac10-9a80-77fa82c7c357</t>
  </si>
  <si>
    <t>fb56f051-a2cd-ac10-d0ed-ee6431850780</t>
  </si>
  <si>
    <t>fb56f051-a2cd-ac10-810e-b5af32935a86</t>
  </si>
  <si>
    <t>fb56f051-a2cd-ac10-dc23-b570ade4fc9c</t>
  </si>
  <si>
    <t>fb56f051-a2cd-ac10-9761-9b7dd1d885ff</t>
  </si>
  <si>
    <t>fb56f051-a2cd-ac10-e0d0-d3b310bdcf1d</t>
  </si>
  <si>
    <t>fb56f051-a2cd-ac10-e94c-3d8d925b0e68</t>
  </si>
  <si>
    <t>fb56f051-a2cd-ac10-da6e-27536db3fa38</t>
  </si>
  <si>
    <t>fb56f051-a2cd-ac10-08fc-0c68cfc436ad</t>
  </si>
  <si>
    <t>fb56f051-a2cd-ac10-2642-3cfc4d3ae208</t>
  </si>
  <si>
    <t>fb56f051-a2cd-ac10-7047-d2d70c7aa964</t>
  </si>
  <si>
    <t>fb56f051-a2cd-ac10-3049-48136cc82ea6</t>
  </si>
  <si>
    <t>Chronic congestive heart failure (disorder)</t>
  </si>
  <si>
    <t>fb56f051-a2cd-ac10-aca6-d050c68e3b0f</t>
  </si>
  <si>
    <t>fb56f051-a2cd-ac10-8596-9e5e2c2c47ed</t>
  </si>
  <si>
    <t>fb56f051-a2cd-ac10-875d-a6962187ae82</t>
  </si>
  <si>
    <t>fb56f051-a2cd-ac10-f734-857680bc7ede</t>
  </si>
  <si>
    <t>fb56f051-a2cd-ac10-b841-bbca5c9e6bc9</t>
  </si>
  <si>
    <t>fb56f051-a2cd-ac10-4bd6-4668285953c4</t>
  </si>
  <si>
    <t>fb56f051-a2cd-ac10-9f71-ae441c6f7e45</t>
  </si>
  <si>
    <t>fb56f051-a2cd-ac10-76ef-13959deae12a</t>
  </si>
  <si>
    <t>Admission to intensive care unit (procedure)</t>
  </si>
  <si>
    <t>fb56f051-a2cd-ac10-ea1a-f70d2201eae0</t>
  </si>
  <si>
    <t>fb56f051-a2cd-ac10-6296-d84faf79da1a</t>
  </si>
  <si>
    <t>fb56f051-a2cd-ac10-343f-ae86b54ad0c8</t>
  </si>
  <si>
    <t>7445ae34-b648-3d3a-b8cf-0eb630061b6e</t>
  </si>
  <si>
    <t>c1f73df7-df01-3d7e-948f-a86eae0b04df</t>
  </si>
  <si>
    <t>fb56f051-a2cd-ac10-2cb5-711b2d420441</t>
  </si>
  <si>
    <t>d21f2794-014b-c66b-3e23-ae48e51848ef</t>
  </si>
  <si>
    <t>aa682136-a4df-3942-9f50-e6fcee6c0b73</t>
  </si>
  <si>
    <t>e5b6626d-a260-3b94-a6de-91c007ffad61</t>
  </si>
  <si>
    <t>d21f2794-014b-c66b-1d42-519e351a0009</t>
  </si>
  <si>
    <t>15e26ce3-9006-3ce2-9327-493180a15ec1</t>
  </si>
  <si>
    <t>ff68dcf2-41e9-317c-84f8-1474ea7c4b62</t>
  </si>
  <si>
    <t>d21f2794-014b-c66b-6cff-5dade4579749</t>
  </si>
  <si>
    <t>d21f2794-014b-c66b-dec7-1ccfcdb78ddc</t>
  </si>
  <si>
    <t>d21f2794-014b-c66b-25d8-fcce93c4ef01</t>
  </si>
  <si>
    <t>d21f2794-014b-c66b-1a15-711d7eaef6c5</t>
  </si>
  <si>
    <t>d21f2794-014b-c66b-1730-cfcd88918006</t>
  </si>
  <si>
    <t>d21f2794-014b-c66b-d08c-3ab0c869a697</t>
  </si>
  <si>
    <t>d21f2794-014b-c66b-4581-99a6aa895d95</t>
  </si>
  <si>
    <t>d21f2794-014b-c66b-51e8-ec41b54547f3</t>
  </si>
  <si>
    <t>d21f2794-014b-c66b-9b3d-a41c1ca3e818</t>
  </si>
  <si>
    <t>d21f2794-014b-c66b-1bb1-0145fac2835c</t>
  </si>
  <si>
    <t>d21f2794-014b-c66b-3d95-26bedb43f5a3</t>
  </si>
  <si>
    <t>d21f2794-014b-c66b-649a-536a37d30ce4</t>
  </si>
  <si>
    <t>d21f2794-014b-c66b-225b-8abb84fe093c</t>
  </si>
  <si>
    <t>d21f2794-014b-c66b-efd7-ff5a1689ae7c</t>
  </si>
  <si>
    <t>d21f2794-014b-c66b-56a8-88f9e762c0b2</t>
  </si>
  <si>
    <t>d21f2794-014b-c66b-d851-941f6114d2c0</t>
  </si>
  <si>
    <t>d21f2794-014b-c66b-22d9-60a17475efe4</t>
  </si>
  <si>
    <t>d21f2794-014b-c66b-f5e6-f297b9e9e24c</t>
  </si>
  <si>
    <t>2ca615f3-87f7-3283-a447-d919a883b676</t>
  </si>
  <si>
    <t>a07ed308-d247-3b39-9e38-401332ca99f3</t>
  </si>
  <si>
    <t>d21f2794-014b-c66b-b2c4-0e584691c40a</t>
  </si>
  <si>
    <t>d21f2794-014b-c66b-45d0-2b401c12ee81</t>
  </si>
  <si>
    <t>d21f2794-014b-c66b-83a0-4840e08f984b</t>
  </si>
  <si>
    <t>d21f2794-014b-c66b-69b3-29dd92edf4a2</t>
  </si>
  <si>
    <t>d21f2794-014b-c66b-c9e2-d8da34d47c57</t>
  </si>
  <si>
    <t>d21f2794-014b-c66b-8402-91872e4571b9</t>
  </si>
  <si>
    <t>d21f2794-014b-c66b-d8a7-8a73045c89ad</t>
  </si>
  <si>
    <t>d21f2794-014b-c66b-05fd-f6056aa67cbb</t>
  </si>
  <si>
    <t>d21f2794-014b-c66b-9bd4-972030964c67</t>
  </si>
  <si>
    <t>3368f8e7-5e00-7794-b41d-a453106359c1</t>
  </si>
  <si>
    <t>587f07bd-7d69-3291-9aea-abef74f30045</t>
  </si>
  <si>
    <t>c843dcc9-51ee-3232-882e-7d5bea223db0</t>
  </si>
  <si>
    <t>3368f8e7-5e00-7794-0427-b5d9e5b3e2c5</t>
  </si>
  <si>
    <t>3368f8e7-5e00-7794-f2be-c8ab8fa2980d</t>
  </si>
  <si>
    <t>3368f8e7-5e00-7794-5ad1-34628969c39b</t>
  </si>
  <si>
    <t>3368f8e7-5e00-7794-b279-ac75c00108e0</t>
  </si>
  <si>
    <t>3368f8e7-5e00-7794-b12f-4b8141b4fdd9</t>
  </si>
  <si>
    <t>3368f8e7-5e00-7794-03ad-cc95be6f8530</t>
  </si>
  <si>
    <t>3368f8e7-5e00-7794-63b8-69193eff3aed</t>
  </si>
  <si>
    <t>3368f8e7-5e00-7794-db97-375680c34cc4</t>
  </si>
  <si>
    <t>3368f8e7-5e00-7794-0f12-e9ba9c0bdeb2</t>
  </si>
  <si>
    <t>3368f8e7-5e00-7794-9bf5-eeb0bbbbc8d8</t>
  </si>
  <si>
    <t>3368f8e7-5e00-7794-052b-b9d8e6305935</t>
  </si>
  <si>
    <t>3368f8e7-5e00-7794-000f-3fc51bd77168</t>
  </si>
  <si>
    <t>3368f8e7-5e00-7794-19e8-346d54117757</t>
  </si>
  <si>
    <t>3368f8e7-5e00-7794-2343-938677f10175</t>
  </si>
  <si>
    <t>3368f8e7-5e00-7794-c8b0-f739e7ac2e5a</t>
  </si>
  <si>
    <t>3368f8e7-5e00-7794-ec26-b134082330c4</t>
  </si>
  <si>
    <t>3368f8e7-5e00-7794-5a4f-6df5f28b71cf</t>
  </si>
  <si>
    <t>3368f8e7-5e00-7794-a3ea-8a9f9352c955</t>
  </si>
  <si>
    <t>3368f8e7-5e00-7794-2668-c9b7c6a2f7e9</t>
  </si>
  <si>
    <t>3368f8e7-5e00-7794-2dee-76b9ac38f317</t>
  </si>
  <si>
    <t>3368f8e7-5e00-7794-2bae-fa0c6f990929</t>
  </si>
  <si>
    <t>3368f8e7-5e00-7794-91ef-81afa8440d1a</t>
  </si>
  <si>
    <t>3368f8e7-5e00-7794-3ad7-efd9d0d055f8</t>
  </si>
  <si>
    <t>3368f8e7-5e00-7794-8906-a2f50681267e</t>
  </si>
  <si>
    <t>3368f8e7-5e00-7794-ce5a-290fb6bc6530</t>
  </si>
  <si>
    <t>3368f8e7-5e00-7794-2c3e-43deefca396c</t>
  </si>
  <si>
    <t>3368f8e7-5e00-7794-8add-067822e8a71b</t>
  </si>
  <si>
    <t>029c95e2-d252-d8d3-302e-1019a4c51bea</t>
  </si>
  <si>
    <t>10ffe7b1-2f94-3f12-9288-679da05a1ec9</t>
  </si>
  <si>
    <t>791445d2-4cda-3c08-8d50-1adaaa89f8f8</t>
  </si>
  <si>
    <t>029c95e2-d252-d8d3-365e-7cbeb2bc3a13</t>
  </si>
  <si>
    <t>029c95e2-d252-d8d3-e8d7-3b8dd705a8c1</t>
  </si>
  <si>
    <t>029c95e2-d252-d8d3-3a26-84a48aa0d6fb</t>
  </si>
  <si>
    <t>029c95e2-d252-d8d3-8e9f-b576e3c404b6</t>
  </si>
  <si>
    <t>029c95e2-d252-d8d3-4ff0-660f796f4167</t>
  </si>
  <si>
    <t>029c95e2-d252-d8d3-0ea1-d3cfe1877d57</t>
  </si>
  <si>
    <t>029c95e2-d252-d8d3-d052-728547a16a2e</t>
  </si>
  <si>
    <t>029c95e2-d252-d8d3-29d0-7ab78aa260c5</t>
  </si>
  <si>
    <t>029c95e2-d252-d8d3-a1a7-9788a0d941ba</t>
  </si>
  <si>
    <t>029c95e2-d252-d8d3-950f-59c4ad245bfb</t>
  </si>
  <si>
    <t>029c95e2-d252-d8d3-9581-d543de5842e3</t>
  </si>
  <si>
    <t>029c95e2-d252-d8d3-684e-ca613f35f30b</t>
  </si>
  <si>
    <t>029c95e2-d252-d8d3-66b7-a32e92ba60c4</t>
  </si>
  <si>
    <t>029c95e2-d252-d8d3-dc44-e219c71e0fa9</t>
  </si>
  <si>
    <t>029c95e2-d252-d8d3-936b-a14f1290e39f</t>
  </si>
  <si>
    <t>029c95e2-d252-d8d3-97ab-7bca6382dab1</t>
  </si>
  <si>
    <t>029c95e2-d252-d8d3-e618-02c22c934526</t>
  </si>
  <si>
    <t>e34a6a5e-1d77-508d-3f65-4ab7eb2902ab</t>
  </si>
  <si>
    <t>e34a6a5e-1d77-508d-b2d5-c8bd57af7d5a</t>
  </si>
  <si>
    <t>0e3a24c3-b772-3059-b3fd-8a4710068a82</t>
  </si>
  <si>
    <t>858d6763-13c7-3066-9bba-b4e7fe805671</t>
  </si>
  <si>
    <t>e34a6a5e-1d77-508d-c128-551e959572f0</t>
  </si>
  <si>
    <t>e34a6a5e-1d77-508d-d5b0-c8501f3ec0e2</t>
  </si>
  <si>
    <t>e34a6a5e-1d77-508d-d254-c976e950054d</t>
  </si>
  <si>
    <t>e34a6a5e-1d77-508d-5ccb-6650ff7a6211</t>
  </si>
  <si>
    <t>e34a6a5e-1d77-508d-7a77-e15f104d697e</t>
  </si>
  <si>
    <t>e34a6a5e-1d77-508d-77a5-a9466c0dc37b</t>
  </si>
  <si>
    <t>e34a6a5e-1d77-508d-a025-6feca335d77c</t>
  </si>
  <si>
    <t>e34a6a5e-1d77-508d-5db0-8397e971a90d</t>
  </si>
  <si>
    <t>029c95e2-d252-d8d3-4546-ce59f5ae0b76</t>
  </si>
  <si>
    <t>029c95e2-d252-d8d3-64b5-d00460165018</t>
  </si>
  <si>
    <t>e34a6a5e-1d77-508d-ef63-a951fa0fba76</t>
  </si>
  <si>
    <t>029c95e2-d252-d8d3-aebb-2c33a4698d04</t>
  </si>
  <si>
    <t>029c95e2-d252-d8d3-afe9-2e2b243fcaec</t>
  </si>
  <si>
    <t>e34a6a5e-1d77-508d-7f32-92674319982c</t>
  </si>
  <si>
    <t>e34a6a5e-1d77-508d-9f39-137908c0c841</t>
  </si>
  <si>
    <t>029c95e2-d252-d8d3-d6fa-2c9519f88b87</t>
  </si>
  <si>
    <t>029c95e2-d252-d8d3-1867-23ba6f57c827</t>
  </si>
  <si>
    <t>e34a6a5e-1d77-508d-53b6-6a361c4bbd65</t>
  </si>
  <si>
    <t>e34a6a5e-1d77-508d-711c-d8e0271c650b</t>
  </si>
  <si>
    <t>029c95e2-d252-d8d3-58cd-a7d4e890e0e2</t>
  </si>
  <si>
    <t>029c95e2-d252-d8d3-4147-314878604345</t>
  </si>
  <si>
    <t>e34a6a5e-1d77-508d-20c5-f49607a46f9a</t>
  </si>
  <si>
    <t>Videotelephony encounter (procedure)</t>
  </si>
  <si>
    <t>029c95e2-d252-d8d3-9d7c-5e6910dbe500</t>
  </si>
  <si>
    <t>029c95e2-d252-d8d3-3f58-eddec46c2c11</t>
  </si>
  <si>
    <t>e34a6a5e-1d77-508d-0c1c-ac0a39473576</t>
  </si>
  <si>
    <t>029c95e2-d252-d8d3-fa2d-3964f9bf06de</t>
  </si>
  <si>
    <t>e34a6a5e-1d77-508d-044d-372a89f08d28</t>
  </si>
  <si>
    <t>e34a6a5e-1d77-508d-8a2c-76b0b324d33a</t>
  </si>
  <si>
    <t>e34a6a5e-1d77-508d-d81c-7a987e9a3fab</t>
  </si>
  <si>
    <t>e34a6a5e-1d77-508d-e4e8-00aacb1f2de9</t>
  </si>
  <si>
    <t>e34a6a5e-1d77-508d-cf98-164902e6462c</t>
  </si>
  <si>
    <t>029c95e2-d252-d8d3-9472-1fd467ae4731</t>
  </si>
  <si>
    <t>e34a6a5e-1d77-508d-9ae5-50132dd0d519</t>
  </si>
  <si>
    <t>029c95e2-d252-d8d3-0375-0f4e0e0454d7</t>
  </si>
  <si>
    <t>e34a6a5e-1d77-508d-ba7b-1b257533ebca</t>
  </si>
  <si>
    <t>e34a6a5e-1d77-508d-8ac4-58226ac25605</t>
  </si>
  <si>
    <t>e34a6a5e-1d77-508d-ecf7-dd010ec08d2b</t>
  </si>
  <si>
    <t>029c95e2-d252-d8d3-d01d-62930ff25a36</t>
  </si>
  <si>
    <t>029c95e2-d252-d8d3-e7ea-7ab928ece3a0</t>
  </si>
  <si>
    <t>029c95e2-d252-d8d3-0c9e-f3e260c23109</t>
  </si>
  <si>
    <t>029c95e2-d252-d8d3-50ef-fea983a4446c</t>
  </si>
  <si>
    <t>029c95e2-d252-d8d3-4244-928d0b83f368</t>
  </si>
  <si>
    <t>029c95e2-d252-d8d3-144c-7701bcef10d7</t>
  </si>
  <si>
    <t>029c95e2-d252-d8d3-346b-5730a1651d44</t>
  </si>
  <si>
    <t>029c95e2-d252-d8d3-22a0-9ffcfaa62a10</t>
  </si>
  <si>
    <t>Burn injury (morphologic abnormality)</t>
  </si>
  <si>
    <t>029c95e2-d252-d8d3-f49b-88d537384629</t>
  </si>
  <si>
    <t>8a87ef73-eaa2-340a-bec5-c3cef01ef836</t>
  </si>
  <si>
    <t>0806af5c-078a-36cc-8336-c51f9186a2eb</t>
  </si>
  <si>
    <t>029c95e2-d252-d8d3-1b68-517f3db0add4</t>
  </si>
  <si>
    <t>Epidermal burn of skin (disorder)</t>
  </si>
  <si>
    <t>029c95e2-d252-d8d3-6751-1baf80492b3a</t>
  </si>
  <si>
    <t>029c95e2-d252-d8d3-3103-667fd3d7aa50</t>
  </si>
  <si>
    <t>029c95e2-d252-d8d3-a200-5c4a0ef8b2df</t>
  </si>
  <si>
    <t>029c95e2-d252-d8d3-90b3-d47037aa2a78</t>
  </si>
  <si>
    <t>029c95e2-d252-d8d3-1d9c-3d2d09747dd5</t>
  </si>
  <si>
    <t>029c95e2-d252-d8d3-2abf-0c7210e8023a</t>
  </si>
  <si>
    <t>Osteoarthritis of hip (disorder)</t>
  </si>
  <si>
    <t>029c95e2-d252-d8d3-94ad-3388053bf3b4</t>
  </si>
  <si>
    <t>029c95e2-d252-d8d3-c94d-14ea38271057</t>
  </si>
  <si>
    <t>029c95e2-d252-d8d3-61c8-59c88a5eee15</t>
  </si>
  <si>
    <t>a6d0791e-4c15-58e6-51de-179cfa5c5a26</t>
  </si>
  <si>
    <t>a6d0791e-4c15-58e6-f2a6-e9dc32bfbf00</t>
  </si>
  <si>
    <t>a6d0791e-4c15-58e6-696c-b0036ac9ab47</t>
  </si>
  <si>
    <t>a6d0791e-4c15-58e6-d7b2-0e8d5819803f</t>
  </si>
  <si>
    <t>a6d0791e-4c15-58e6-b9c3-0dbe2ebe74f2</t>
  </si>
  <si>
    <t>a6d0791e-4c15-58e6-f61f-97e163d45019</t>
  </si>
  <si>
    <t>a6d0791e-4c15-58e6-3e6b-8cfdb519c16a</t>
  </si>
  <si>
    <t>a6d0791e-4c15-58e6-7584-3e3225ef28af</t>
  </si>
  <si>
    <t>a6d0791e-4c15-58e6-e8c1-ca705a676c46</t>
  </si>
  <si>
    <t>70e3ad4f-b9ff-3f3e-9990-2cd7e23a9d1c</t>
  </si>
  <si>
    <t>7b0db8ab-786e-338c-beba-9e5d67182e44</t>
  </si>
  <si>
    <t>a6d0791e-4c15-58e6-8daa-7e005454026f</t>
  </si>
  <si>
    <t>a6d0791e-4c15-58e6-cd41-d7daa21fed63</t>
  </si>
  <si>
    <t>a6d0791e-4c15-58e6-033a-6d001559d4d9</t>
  </si>
  <si>
    <t>a6d0791e-4c15-58e6-ef95-2d1009928364</t>
  </si>
  <si>
    <t>4af53267-820e-7687-43ce-99973ce0cb46</t>
  </si>
  <si>
    <t>fb4a08b8-57ee-382b-b3cb-43d94f1bb4c0</t>
  </si>
  <si>
    <t>8dee57b0-a969-3a0a-99b3-099240429e00</t>
  </si>
  <si>
    <t>4af53267-820e-7687-7507-da868cbd854f</t>
  </si>
  <si>
    <t>76281d34-caff-30e0-8545-bcdf33182109</t>
  </si>
  <si>
    <t>046efffa-5f3f-3d01-8a0e-43057e2be60a</t>
  </si>
  <si>
    <t>4af53267-820e-7687-8328-b7a629f87dd1</t>
  </si>
  <si>
    <t>4af53267-820e-7687-efdd-05535f115b82</t>
  </si>
  <si>
    <t>bf556284-7513-3620-a10e-5393183a9a87</t>
  </si>
  <si>
    <t>b3783ae2-16cf-3ca1-bb70-ab62b99dc43e</t>
  </si>
  <si>
    <t>4af53267-820e-7687-27ff-f7150cdb9a6e</t>
  </si>
  <si>
    <t>4af53267-820e-7687-bfa7-b423df323a1e</t>
  </si>
  <si>
    <t>4af53267-820e-7687-70e0-485d32bcfa63</t>
  </si>
  <si>
    <t>4af53267-820e-7687-aeff-58b01699b5d7</t>
  </si>
  <si>
    <t>4af53267-820e-7687-5576-f86fa3b47853</t>
  </si>
  <si>
    <t>4af53267-820e-7687-1060-801077239e8c</t>
  </si>
  <si>
    <t>4af53267-820e-7687-0d4a-4cb55cc3f6b9</t>
  </si>
  <si>
    <t>4af53267-820e-7687-ff5b-371ce5bd2764</t>
  </si>
  <si>
    <t>4af53267-820e-7687-e15f-036fa6695755</t>
  </si>
  <si>
    <t>4af53267-820e-7687-74e3-6db56d43ab3c</t>
  </si>
  <si>
    <t>4af53267-820e-7687-b6e8-1f8e36f03db8</t>
  </si>
  <si>
    <t>4af53267-820e-7687-ade8-826a45e00942</t>
  </si>
  <si>
    <t>4af53267-820e-7687-8b04-81f74e0a75a1</t>
  </si>
  <si>
    <t>4af53267-820e-7687-2f5d-9d4612f17306</t>
  </si>
  <si>
    <t>4af53267-820e-7687-d1fb-b0ec9fcce8a7</t>
  </si>
  <si>
    <t>4af53267-820e-7687-ed4b-8b40a6f4315a</t>
  </si>
  <si>
    <t>4af53267-820e-7687-3056-c7d42e51d185</t>
  </si>
  <si>
    <t>4af53267-820e-7687-1e76-d80eef1d4e14</t>
  </si>
  <si>
    <t>4af53267-820e-7687-d35f-41940515cb96</t>
  </si>
  <si>
    <t>4af53267-820e-7687-2914-aced94af920e</t>
  </si>
  <si>
    <t>4af53267-820e-7687-a686-a5876353f831</t>
  </si>
  <si>
    <t>4af53267-820e-7687-45e5-c77aee25e072</t>
  </si>
  <si>
    <t>4af53267-820e-7687-b510-47d4dc6b8c9c</t>
  </si>
  <si>
    <t>1d63466e-0cfd-eb12-6f25-6253030e6685</t>
  </si>
  <si>
    <t>5f7663da-4b19-3629-b8f2-fb07d75421d9</t>
  </si>
  <si>
    <t>081ca9b3-c6f0-3d99-b5d4-8e55fed12b63</t>
  </si>
  <si>
    <t>1d63466e-0cfd-eb12-078b-7c1e59f012fb</t>
  </si>
  <si>
    <t>1d63466e-0cfd-eb12-faff-f211e8dab0f4</t>
  </si>
  <si>
    <t>1d63466e-0cfd-eb12-239d-df9bcbcda3e7</t>
  </si>
  <si>
    <t>440fa4b8-c731-3cf5-81d9-aa3f30a37b95</t>
  </si>
  <si>
    <t>bd0d9d9d-ef57-383d-85c7-4eb4c49f6473</t>
  </si>
  <si>
    <t>1d63466e-0cfd-eb12-6d75-3379042518f2</t>
  </si>
  <si>
    <t>1d63466e-0cfd-eb12-6acc-480e20359753</t>
  </si>
  <si>
    <t>1d63466e-0cfd-eb12-a0b2-dec3b555f261</t>
  </si>
  <si>
    <t>1d63466e-0cfd-eb12-82ce-a042fd331cd1</t>
  </si>
  <si>
    <t>1d63466e-0cfd-eb12-28cf-4d4ea8699a7f</t>
  </si>
  <si>
    <t>1d63466e-0cfd-eb12-64d2-02c4c75478cf</t>
  </si>
  <si>
    <t>1d63466e-0cfd-eb12-eb4c-0142ed96d40b</t>
  </si>
  <si>
    <t>1d63466e-0cfd-eb12-0993-a57f39fb1dee</t>
  </si>
  <si>
    <t>1d63466e-0cfd-eb12-dde9-462fb9852ba8</t>
  </si>
  <si>
    <t>1d63466e-0cfd-eb12-9912-dfe95e92dff1</t>
  </si>
  <si>
    <t>1d63466e-0cfd-eb12-e47f-5de60e437176</t>
  </si>
  <si>
    <t>1d63466e-0cfd-eb12-06fe-510b14c095fc</t>
  </si>
  <si>
    <t>1d63466e-0cfd-eb12-40e9-8feed080b478</t>
  </si>
  <si>
    <t>1d63466e-0cfd-eb12-f951-153397413067</t>
  </si>
  <si>
    <t>1d63466e-0cfd-eb12-94ff-aa4e08a03837</t>
  </si>
  <si>
    <t>1d63466e-0cfd-eb12-7735-22bb20e36bb6</t>
  </si>
  <si>
    <t>1d63466e-0cfd-eb12-da1a-a163e2447d97</t>
  </si>
  <si>
    <t>1d63466e-0cfd-eb12-b07a-cf6b2db83995</t>
  </si>
  <si>
    <t>945104f1-4b95-3eed-bd02-5efa0afbf34d</t>
  </si>
  <si>
    <t>3542df0e-a8b8-38db-a81e-b7dc3242efcd</t>
  </si>
  <si>
    <t>Malignant neoplasm of colon (disorder)</t>
  </si>
  <si>
    <t>1d63466e-0cfd-eb12-4e8a-1d4ec3b55480</t>
  </si>
  <si>
    <t>1d63466e-0cfd-eb12-fc3e-dbdac058d902</t>
  </si>
  <si>
    <t>1d63466e-0cfd-eb12-f137-68c3326a1936</t>
  </si>
  <si>
    <t>1d63466e-0cfd-eb12-7abd-6ddfab5af360</t>
  </si>
  <si>
    <t>ee7fab6f-6438-394f-b1f2-3e452f8f055a</t>
  </si>
  <si>
    <t>4e505a6b-e43c-3325-bc14-bc7f7744e1dd</t>
  </si>
  <si>
    <t>Concussion injury of brain (disorder)</t>
  </si>
  <si>
    <t>1d63466e-0cfd-eb12-a751-98a34a540860</t>
  </si>
  <si>
    <t>Concussion with loss of consciousness (disorder)</t>
  </si>
  <si>
    <t>1d63466e-0cfd-eb12-254a-47ac3916ff6a</t>
  </si>
  <si>
    <t>1d63466e-0cfd-eb12-bd78-0fe004653b22</t>
  </si>
  <si>
    <t>1d63466e-0cfd-eb12-c084-51c38334f687</t>
  </si>
  <si>
    <t>1d63466e-0cfd-eb12-4188-1dc9d9f16205</t>
  </si>
  <si>
    <t>1d63466e-0cfd-eb12-6899-7b247a84c02e</t>
  </si>
  <si>
    <t>1d63466e-0cfd-eb12-90a4-e5619c1e38f6</t>
  </si>
  <si>
    <t>1d63466e-0cfd-eb12-e13e-71b180faecd1</t>
  </si>
  <si>
    <t>1d63466e-0cfd-eb12-e194-7e6dba60304d</t>
  </si>
  <si>
    <t>1d63466e-0cfd-eb12-371d-ad41a33812ce</t>
  </si>
  <si>
    <t>1d63466e-0cfd-eb12-2a40-1f81357e5a18</t>
  </si>
  <si>
    <t>1d63466e-0cfd-eb12-f64b-1d810742f729</t>
  </si>
  <si>
    <t>1d63466e-0cfd-eb12-4eb5-0ad9b26c312a</t>
  </si>
  <si>
    <t>1d63466e-0cfd-eb12-c617-600b75f132fd</t>
  </si>
  <si>
    <t>1d63466e-0cfd-eb12-64e5-4847d162bcb5</t>
  </si>
  <si>
    <t>1d63466e-0cfd-eb12-0fe6-f4644c8db0bb</t>
  </si>
  <si>
    <t>1d63466e-0cfd-eb12-304b-48a2dfd5accf</t>
  </si>
  <si>
    <t>1d63466e-0cfd-eb12-a6bf-3fc00f5b700c</t>
  </si>
  <si>
    <t>Myocardial infarction (disorder)</t>
  </si>
  <si>
    <t>1d63466e-0cfd-eb12-0618-368296563a90</t>
  </si>
  <si>
    <t>Acute non-ST segment elevation myocardial infarction (disorder)</t>
  </si>
  <si>
    <t>1d63466e-0cfd-eb12-0ced-e0bb01f8059c</t>
  </si>
  <si>
    <t>1d63466e-0cfd-eb12-e4d0-24567692b436</t>
  </si>
  <si>
    <t>1d63466e-0cfd-eb12-45eb-bf95ad35f4cc</t>
  </si>
  <si>
    <t>1d63466e-0cfd-eb12-8e7b-f41157f1f5cf</t>
  </si>
  <si>
    <t>1d63466e-0cfd-eb12-06e5-414cc6c0a273</t>
  </si>
  <si>
    <t>1d63466e-0cfd-eb12-c5df-11c27acd8861</t>
  </si>
  <si>
    <t>1d63466e-0cfd-eb12-1023-a90eb5f765a8</t>
  </si>
  <si>
    <t>1d63466e-0cfd-eb12-3f42-76b478c00540</t>
  </si>
  <si>
    <t>1d63466e-0cfd-eb12-6ba7-65e9bf978a83</t>
  </si>
  <si>
    <t>1d63466e-0cfd-eb12-3158-566e4dcd39cd</t>
  </si>
  <si>
    <t>1d63466e-0cfd-eb12-299b-67e25538a06e</t>
  </si>
  <si>
    <t>355a4d50-2628-aa65-04ca-fe19db5e9d00</t>
  </si>
  <si>
    <t>Physician visit with evaluation AND/OR management service (procedure)</t>
  </si>
  <si>
    <t>Cerebral palsy (disorder)</t>
  </si>
  <si>
    <t>355a4d50-2628-aa65-39c8-b2e3a91b8380</t>
  </si>
  <si>
    <t>e1892a2c-6dca-3c4c-93b7-0e00a9eb8b61</t>
  </si>
  <si>
    <t>ad591f6e-61a6-3c70-a19b-5e2e7e6b6d08</t>
  </si>
  <si>
    <t>355a4d50-2628-aa65-082b-a5aeedbc2ebb</t>
  </si>
  <si>
    <t>355a4d50-2628-aa65-1ca2-7b29b7698d98</t>
  </si>
  <si>
    <t>355a4d50-2628-aa65-c29e-b23dbc1ce593</t>
  </si>
  <si>
    <t>355a4d50-2628-aa65-2a32-3893104517aa</t>
  </si>
  <si>
    <t>355a4d50-2628-aa65-f854-03969552e0ad</t>
  </si>
  <si>
    <t>355a4d50-2628-aa65-c7b4-bfba7a5c752a</t>
  </si>
  <si>
    <t>355a4d50-2628-aa65-a85e-042665c2ed87</t>
  </si>
  <si>
    <t>355a4d50-2628-aa65-3026-ec21edfa374a</t>
  </si>
  <si>
    <t>355a4d50-2628-aa65-53e4-77c678414690</t>
  </si>
  <si>
    <t>355a4d50-2628-aa65-daed-0a8095c40967</t>
  </si>
  <si>
    <t>355a4d50-2628-aa65-b89f-83b67c34eba8</t>
  </si>
  <si>
    <t>355a4d50-2628-aa65-e677-355cd76c4c67</t>
  </si>
  <si>
    <t>355a4d50-2628-aa65-9015-8f41a325dc43</t>
  </si>
  <si>
    <t>355a4d50-2628-aa65-526c-69e4fddc8acf</t>
  </si>
  <si>
    <t>355a4d50-2628-aa65-d093-994cb4394b77</t>
  </si>
  <si>
    <t>355a4d50-2628-aa65-8b77-e50003f414d3</t>
  </si>
  <si>
    <t>355a4d50-2628-aa65-27ec-1c902f8701d7</t>
  </si>
  <si>
    <t>355a4d50-2628-aa65-309f-b6bc1d0a88a3</t>
  </si>
  <si>
    <t>355a4d50-2628-aa65-c175-5c13dc14e6c0</t>
  </si>
  <si>
    <t>355a4d50-2628-aa65-d5b3-b6e364604e7b</t>
  </si>
  <si>
    <t>355a4d50-2628-aa65-e9b3-1d71e5f1d781</t>
  </si>
  <si>
    <t>355a4d50-2628-aa65-da98-102b7260c9d5</t>
  </si>
  <si>
    <t>355a4d50-2628-aa65-9e89-b81d1890847e</t>
  </si>
  <si>
    <t>355a4d50-2628-aa65-f72a-84ff440da1c1</t>
  </si>
  <si>
    <t>355a4d50-2628-aa65-33c9-b1eee23d69cd</t>
  </si>
  <si>
    <t>355a4d50-2628-aa65-4576-b081183edf6a</t>
  </si>
  <si>
    <t>355a4d50-2628-aa65-5c8b-934eaba8c339</t>
  </si>
  <si>
    <t>355a4d50-2628-aa65-5c0a-c559d00196d1</t>
  </si>
  <si>
    <t>355a4d50-2628-aa65-45a9-5cd7dd66f0cb</t>
  </si>
  <si>
    <t>355a4d50-2628-aa65-f173-3fae5b3fbea9</t>
  </si>
  <si>
    <t>355a4d50-2628-aa65-5670-d65f6355f190</t>
  </si>
  <si>
    <t>355a4d50-2628-aa65-8060-eb8f9fd09d8e</t>
  </si>
  <si>
    <t>83769f98-fff3-3535-8781-6ace5957136f</t>
  </si>
  <si>
    <t>a861a3ec-dbe3-3e8c-a3bb-63cbe5edd780</t>
  </si>
  <si>
    <t>355a4d50-2628-aa65-9cbd-3efbf72b19c6</t>
  </si>
  <si>
    <t>355a4d50-2628-aa65-21df-3e8680071510</t>
  </si>
  <si>
    <t>355a4d50-2628-aa65-6855-0941f13cfa44</t>
  </si>
  <si>
    <t>355a4d50-2628-aa65-2643-074e33aebc4b</t>
  </si>
  <si>
    <t>355a4d50-2628-aa65-5967-8b1339aa29f9</t>
  </si>
  <si>
    <t>355a4d50-2628-aa65-6341-ca47a4da8e80</t>
  </si>
  <si>
    <t>355a4d50-2628-aa65-ae9d-581d83906ee5</t>
  </si>
  <si>
    <t>355a4d50-2628-aa65-813c-8c29797e1bad</t>
  </si>
  <si>
    <t>355a4d50-2628-aa65-43bd-20a4414149c4</t>
  </si>
  <si>
    <t>355a4d50-2628-aa65-b356-bc930f7495d6</t>
  </si>
  <si>
    <t>355a4d50-2628-aa65-6939-8e249bef327a</t>
  </si>
  <si>
    <t>355a4d50-2628-aa65-6752-40c50a7a5346</t>
  </si>
  <si>
    <t>355a4d50-2628-aa65-39d5-6deb8c6075eb</t>
  </si>
  <si>
    <t>355a4d50-2628-aa65-c029-34da5af5888d</t>
  </si>
  <si>
    <t>355a4d50-2628-aa65-31a5-3b7c9838a55c</t>
  </si>
  <si>
    <t>355a4d50-2628-aa65-f3d4-94cbee9bbf7c</t>
  </si>
  <si>
    <t>355a4d50-2628-aa65-10ed-d96a69189fc2</t>
  </si>
  <si>
    <t>355a4d50-2628-aa65-af97-e76a6cb513eb</t>
  </si>
  <si>
    <t>355a4d50-2628-aa65-49fa-9ae21ee5aa26</t>
  </si>
  <si>
    <t>355a4d50-2628-aa65-c421-e246c3a0307d</t>
  </si>
  <si>
    <t>355a4d50-2628-aa65-7d7f-0af0bd1baf44</t>
  </si>
  <si>
    <t>355a4d50-2628-aa65-b6ba-b89162e4da88</t>
  </si>
  <si>
    <t>355a4d50-2628-aa65-a05e-7f2327cba6f9</t>
  </si>
  <si>
    <t>355a4d50-2628-aa65-af36-c5f6e47850b4</t>
  </si>
  <si>
    <t>355a4d50-2628-aa65-90cf-cb5a16f0b64d</t>
  </si>
  <si>
    <t>355a4d50-2628-aa65-0361-6091de617d40</t>
  </si>
  <si>
    <t>355a4d50-2628-aa65-9995-88336b4e8544</t>
  </si>
  <si>
    <t>355a4d50-2628-aa65-a637-d6ecf07f5218</t>
  </si>
  <si>
    <t>355a4d50-2628-aa65-2268-731acf68bdcf</t>
  </si>
  <si>
    <t>355a4d50-2628-aa65-ebe9-5b8f3bdbf7dd</t>
  </si>
  <si>
    <t>355a4d50-2628-aa65-9296-000ec60f8ce9</t>
  </si>
  <si>
    <t>355a4d50-2628-aa65-c78a-8f8efa3ab9a5</t>
  </si>
  <si>
    <t>355a4d50-2628-aa65-f4d1-2db1e7a9b80b</t>
  </si>
  <si>
    <t>355a4d50-2628-aa65-2ac3-5f22c6624cd0</t>
  </si>
  <si>
    <t>355a4d50-2628-aa65-02ea-989f32b33d76</t>
  </si>
  <si>
    <t>355a4d50-2628-aa65-894d-a45b1d7b2fe7</t>
  </si>
  <si>
    <t>355a4d50-2628-aa65-7edc-4afa28cf7a61</t>
  </si>
  <si>
    <t>355a4d50-2628-aa65-e7c5-7f1c409118c5</t>
  </si>
  <si>
    <t>355a4d50-2628-aa65-e944-58bafe391680</t>
  </si>
  <si>
    <t>355a4d50-2628-aa65-56b5-5f2ef47703a3</t>
  </si>
  <si>
    <t>355a4d50-2628-aa65-6d20-6435c85f3c3f</t>
  </si>
  <si>
    <t>355a4d50-2628-aa65-71e3-7b49de1d7b23</t>
  </si>
  <si>
    <t>355a4d50-2628-aa65-7d8d-672606beb0b6</t>
  </si>
  <si>
    <t>355a4d50-2628-aa65-3a4f-4be1c7fbd771</t>
  </si>
  <si>
    <t>355a4d50-2628-aa65-4175-538c038d11ff</t>
  </si>
  <si>
    <t>355a4d50-2628-aa65-78c1-60e459a327e0</t>
  </si>
  <si>
    <t>355a4d50-2628-aa65-f6f4-0eff7b1ca84c</t>
  </si>
  <si>
    <t>355a4d50-2628-aa65-4fc2-9c989acf2dd7</t>
  </si>
  <si>
    <t>355a4d50-2628-aa65-8379-82b305b81cdd</t>
  </si>
  <si>
    <t>355a4d50-2628-aa65-1cf4-9e52b48fc497</t>
  </si>
  <si>
    <t>355a4d50-2628-aa65-50c8-12f9bf5733e4</t>
  </si>
  <si>
    <t>355a4d50-2628-aa65-1e6e-0bc55feca2ce</t>
  </si>
  <si>
    <t>355a4d50-2628-aa65-31ac-59da17933968</t>
  </si>
  <si>
    <t>355a4d50-2628-aa65-77e1-59a402455737</t>
  </si>
  <si>
    <t>355a4d50-2628-aa65-9a3f-d517b8ea73dd</t>
  </si>
  <si>
    <t>355a4d50-2628-aa65-8cd4-d9bc4aae8ebf</t>
  </si>
  <si>
    <t>355a4d50-2628-aa65-166d-762c32788f6c</t>
  </si>
  <si>
    <t>355a4d50-2628-aa65-76a6-d67500741021</t>
  </si>
  <si>
    <t>355a4d50-2628-aa65-65ae-9016917fd0fb</t>
  </si>
  <si>
    <t>355a4d50-2628-aa65-426c-09e5b97b79fa</t>
  </si>
  <si>
    <t>355a4d50-2628-aa65-5273-5bfb6e0aaa0b</t>
  </si>
  <si>
    <t>355a4d50-2628-aa65-ec39-11677da7c6e4</t>
  </si>
  <si>
    <t>355a4d50-2628-aa65-4ce2-657c589c5285</t>
  </si>
  <si>
    <t>355a4d50-2628-aa65-3a0b-de542d1c86fb</t>
  </si>
  <si>
    <t>355a4d50-2628-aa65-8c7f-ae11a37d7e5e</t>
  </si>
  <si>
    <t>355a4d50-2628-aa65-38a2-bdafc6e30f1d</t>
  </si>
  <si>
    <t>355a4d50-2628-aa65-e535-ccbef967d6a9</t>
  </si>
  <si>
    <t>355a4d50-2628-aa65-6108-01a11cffd463</t>
  </si>
  <si>
    <t>355a4d50-2628-aa65-c053-2483a1c3597b</t>
  </si>
  <si>
    <t>355a4d50-2628-aa65-d0c8-9c86df0d0501</t>
  </si>
  <si>
    <t>355a4d50-2628-aa65-0d98-0d6efa7edb90</t>
  </si>
  <si>
    <t>355a4d50-2628-aa65-a78a-79375788aa12</t>
  </si>
  <si>
    <t>355a4d50-2628-aa65-f021-4241375c991a</t>
  </si>
  <si>
    <t>355a4d50-2628-aa65-592c-2ac4436aca50</t>
  </si>
  <si>
    <t>355a4d50-2628-aa65-84d2-2b8f727b5545</t>
  </si>
  <si>
    <t>355a4d50-2628-aa65-150e-1d6f741898cb</t>
  </si>
  <si>
    <t>355a4d50-2628-aa65-8c82-dee442ceecd2</t>
  </si>
  <si>
    <t>355a4d50-2628-aa65-697b-6d2d7f9070e5</t>
  </si>
  <si>
    <t>355a4d50-2628-aa65-b28c-06a3f99a7835</t>
  </si>
  <si>
    <t>355a4d50-2628-aa65-358c-c4585b3fc863</t>
  </si>
  <si>
    <t>355a4d50-2628-aa65-f8e9-30b54d1c36d6</t>
  </si>
  <si>
    <t>355a4d50-2628-aa65-d8e6-5dba7871bac6</t>
  </si>
  <si>
    <t>355a4d50-2628-aa65-8d20-bdd60cb4e06e</t>
  </si>
  <si>
    <t>355a4d50-2628-aa65-f0f5-d7e02a7cc812</t>
  </si>
  <si>
    <t>355a4d50-2628-aa65-8b0f-d88aa9f18484</t>
  </si>
  <si>
    <t>355a4d50-2628-aa65-5eef-79c7b6ca7f2d</t>
  </si>
  <si>
    <t>355a4d50-2628-aa65-e20a-7f9a69a0e538</t>
  </si>
  <si>
    <t>355a4d50-2628-aa65-b168-a21fffaf00bf</t>
  </si>
  <si>
    <t>355a4d50-2628-aa65-89c4-990f2ae6e95c</t>
  </si>
  <si>
    <t>355a4d50-2628-aa65-22b5-d6fae3dd23f7</t>
  </si>
  <si>
    <t>f6745f8a-8107-443e-96a4-c3109911c436</t>
  </si>
  <si>
    <t>f6745f8a-8107-443e-2249-0b4b49af0630</t>
  </si>
  <si>
    <t>f6745f8a-8107-443e-5b8e-44e3b9793542</t>
  </si>
  <si>
    <t>84de2bcf-1b1a-3ce2-9f6d-9e0cb34991f6</t>
  </si>
  <si>
    <t>ed9ec70c-1294-3cdc-9000-97026df08396</t>
  </si>
  <si>
    <t>f6745f8a-8107-443e-b55f-4877d3e97b47</t>
  </si>
  <si>
    <t>f6745f8a-8107-443e-cfbb-51379f5f4a07</t>
  </si>
  <si>
    <t>121b0ad1-1beb-3caa-9271-3d3f726bb727</t>
  </si>
  <si>
    <t>3d8598c7-b464-3e8b-b494-c85d503739b3</t>
  </si>
  <si>
    <t>f6745f8a-8107-443e-402e-d236ef71aa79</t>
  </si>
  <si>
    <t>f6745f8a-8107-443e-61ef-3c986a64b965</t>
  </si>
  <si>
    <t>f6745f8a-8107-443e-424f-786e6c6663ab</t>
  </si>
  <si>
    <t>f6745f8a-8107-443e-c1dc-62ba144f1c72</t>
  </si>
  <si>
    <t>f6745f8a-8107-443e-c807-0b0c7cee0c78</t>
  </si>
  <si>
    <t>Preinfarction syndrome (disorder)</t>
  </si>
  <si>
    <t>f6745f8a-8107-443e-7a1d-858797793b5a</t>
  </si>
  <si>
    <t>f6745f8a-8107-443e-e78d-3fe6ad1ed010</t>
  </si>
  <si>
    <t>f6745f8a-8107-443e-cbc1-9f942a0dee50</t>
  </si>
  <si>
    <t>f6745f8a-8107-443e-8d85-de6a5a21b6bf</t>
  </si>
  <si>
    <t>f6745f8a-8107-443e-52bc-16a1d5b3f61e</t>
  </si>
  <si>
    <t>f6745f8a-8107-443e-d52c-4d62d23fce8e</t>
  </si>
  <si>
    <t>f6745f8a-8107-443e-4155-4c198f5b983f</t>
  </si>
  <si>
    <t>f6745f8a-8107-443e-dcf2-5f70e2a2369e</t>
  </si>
  <si>
    <t>f6745f8a-8107-443e-addf-accad549d9df</t>
  </si>
  <si>
    <t>f6745f8a-8107-443e-88cb-23505c5e6d38</t>
  </si>
  <si>
    <t>f6745f8a-8107-443e-c8f2-de5663c4d7ca</t>
  </si>
  <si>
    <t>f6745f8a-8107-443e-7681-ae7f4965585e</t>
  </si>
  <si>
    <t>f6745f8a-8107-443e-d096-9242a6171347</t>
  </si>
  <si>
    <t>f6745f8a-8107-443e-a26f-34eef06e073a</t>
  </si>
  <si>
    <t>f6745f8a-8107-443e-655e-fb9dca4b48ba</t>
  </si>
  <si>
    <t>f6745f8a-8107-443e-97e8-bc81256b6e0b</t>
  </si>
  <si>
    <t>f6745f8a-8107-443e-86e9-fa6c0f7bd099</t>
  </si>
  <si>
    <t>f6745f8a-8107-443e-bfc8-de6f5afa5132</t>
  </si>
  <si>
    <t>f6745f8a-8107-443e-0e96-745168bb2626</t>
  </si>
  <si>
    <t>f6745f8a-8107-443e-a24d-daf845d5b210</t>
  </si>
  <si>
    <t>f6745f8a-8107-443e-9e1a-a25902ec9e8e</t>
  </si>
  <si>
    <t>f6745f8a-8107-443e-fc1d-8ead3df1f308</t>
  </si>
  <si>
    <t>f6745f8a-8107-443e-a475-020a8d299de5</t>
  </si>
  <si>
    <t>f6745f8a-8107-443e-45e5-8e9615f97844</t>
  </si>
  <si>
    <t>f6745f8a-8107-443e-e8bc-4f48bc182f4c</t>
  </si>
  <si>
    <t>f6745f8a-8107-443e-fd4a-52273d70dade</t>
  </si>
  <si>
    <t>f6745f8a-8107-443e-4e0c-6bc5a3b27d46</t>
  </si>
  <si>
    <t>f6745f8a-8107-443e-fe7a-32b9fd330626</t>
  </si>
  <si>
    <t>f6745f8a-8107-443e-6189-d722408bf771</t>
  </si>
  <si>
    <t>f6745f8a-8107-443e-a0e9-70e3c110808b</t>
  </si>
  <si>
    <t>f6745f8a-8107-443e-4d0e-2bb8614839ae</t>
  </si>
  <si>
    <t>f6745f8a-8107-443e-8d3e-a20b6338451d</t>
  </si>
  <si>
    <t>Transition from acute care to home-health care (finding)</t>
  </si>
  <si>
    <t>f6745f8a-8107-443e-71b2-4f3109f88f52</t>
  </si>
  <si>
    <t>3c6efeb4-3e73-3d5a-9d45-8fbf9f389bed</t>
  </si>
  <si>
    <t>ea7fdf1f-73df-3493-ac4d-eeb822865ee8</t>
  </si>
  <si>
    <t>home</t>
  </si>
  <si>
    <t>Home visit (procedure)</t>
  </si>
  <si>
    <t>f6745f8a-8107-443e-dea6-cde6b6fe831c</t>
  </si>
  <si>
    <t>f6745f8a-8107-443e-e04d-0b34172e87e0</t>
  </si>
  <si>
    <t>f6745f8a-8107-443e-ba1a-4b9323210bcb</t>
  </si>
  <si>
    <t>f6745f8a-8107-443e-fd54-0ffc94a78474</t>
  </si>
  <si>
    <t>f6745f8a-8107-443e-0917-eb156ed458b7</t>
  </si>
  <si>
    <t>f6745f8a-8107-443e-dab7-edfd666a042a</t>
  </si>
  <si>
    <t>f6745f8a-8107-443e-eb62-d5141b7335a3</t>
  </si>
  <si>
    <t>f6745f8a-8107-443e-a06a-e08bf3292dd8</t>
  </si>
  <si>
    <t>f6745f8a-8107-443e-ec75-7f98d40c4e75</t>
  </si>
  <si>
    <t>f6745f8a-8107-443e-1b33-f84b54b63091</t>
  </si>
  <si>
    <t>f6745f8a-8107-443e-1187-788f2ff640da</t>
  </si>
  <si>
    <t>e170fdcd-8830-89c4-4398-14b999d0a106</t>
  </si>
  <si>
    <t>5581e43d-0463-3a0b-afc7-a60aea5ac96c</t>
  </si>
  <si>
    <t>a17c450f-fa85-38a5-b97e-b4b9f20611ea</t>
  </si>
  <si>
    <t>e170fdcd-8830-89c4-e134-b547eb8d45a7</t>
  </si>
  <si>
    <t>e170fdcd-8830-89c4-378c-6c0a492c834e</t>
  </si>
  <si>
    <t>e170fdcd-8830-89c4-13a1-942849671b05</t>
  </si>
  <si>
    <t>e170fdcd-8830-89c4-500c-39ee420a9be8</t>
  </si>
  <si>
    <t>e170fdcd-8830-89c4-2e3b-005b54e0d260</t>
  </si>
  <si>
    <t>e170fdcd-8830-89c4-fe09-c25c9ba3997a</t>
  </si>
  <si>
    <t>e170fdcd-8830-89c4-f2e5-9620e0b2017d</t>
  </si>
  <si>
    <t>e170fdcd-8830-89c4-5dd0-28f5061b3573</t>
  </si>
  <si>
    <t>e170fdcd-8830-89c4-dc3e-df5839ecc35d</t>
  </si>
  <si>
    <t>e170fdcd-8830-89c4-4b91-08fd856b4dbd</t>
  </si>
  <si>
    <t>e170fdcd-8830-89c4-b95e-ca491774cf5d</t>
  </si>
  <si>
    <t>e170fdcd-8830-89c4-89de-a8dc7cdaf59c</t>
  </si>
  <si>
    <t>e170fdcd-8830-89c4-6b80-e82ea964a1ed</t>
  </si>
  <si>
    <t>e170fdcd-8830-89c4-95c0-2110538e7355</t>
  </si>
  <si>
    <t>e170fdcd-8830-89c4-21a3-eb8def4d6e83</t>
  </si>
  <si>
    <t>e170fdcd-8830-89c4-d689-2970c864a23e</t>
  </si>
  <si>
    <t>e170fdcd-8830-89c4-b2e0-ea1770cff68f</t>
  </si>
  <si>
    <t>e170fdcd-8830-89c4-6057-8465f584909a</t>
  </si>
  <si>
    <t>8424b5ec-ba0a-32e9-94ae-a9d397884093</t>
  </si>
  <si>
    <t>54fc623c-9647-352d-87ab-74e31055cb9c</t>
  </si>
  <si>
    <t>e170fdcd-8830-89c4-dbec-ff7640dea6fc</t>
  </si>
  <si>
    <t>e170fdcd-8830-89c4-aee1-3efd4de8d9a2</t>
  </si>
  <si>
    <t>e170fdcd-8830-89c4-8bb7-d542ce96c64d</t>
  </si>
  <si>
    <t>e170fdcd-8830-89c4-dbc0-d169654503d3</t>
  </si>
  <si>
    <t>e170fdcd-8830-89c4-86f9-7c932d99fac5</t>
  </si>
  <si>
    <t>e170fdcd-8830-89c4-4ea2-ac7930ba5f66</t>
  </si>
  <si>
    <t>e170fdcd-8830-89c4-7b17-28a759583522</t>
  </si>
  <si>
    <t>e170fdcd-8830-89c4-9120-6ed7cd497e8a</t>
  </si>
  <si>
    <t>e170fdcd-8830-89c4-dd94-c2b563fc01de</t>
  </si>
  <si>
    <t>e170fdcd-8830-89c4-9ea9-0bc183f2a9f1</t>
  </si>
  <si>
    <t>e170fdcd-8830-89c4-4111-49f1d96e3d36</t>
  </si>
  <si>
    <t>e170fdcd-8830-89c4-e136-852e9738b2d4</t>
  </si>
  <si>
    <t>e170fdcd-8830-89c4-a01f-5ee7bd779688</t>
  </si>
  <si>
    <t>e170fdcd-8830-89c4-3f13-b474e9c7c876</t>
  </si>
  <si>
    <t>e170fdcd-8830-89c4-378a-2a1739aca245</t>
  </si>
  <si>
    <t>e170fdcd-8830-89c4-6671-f76ad1e24668</t>
  </si>
  <si>
    <t>e170fdcd-8830-89c4-1ac7-008920c45254</t>
  </si>
  <si>
    <t>e170fdcd-8830-89c4-7c57-3702ffc678fb</t>
  </si>
  <si>
    <t>e170fdcd-8830-89c4-680e-f73ec890fa07</t>
  </si>
  <si>
    <t>e170fdcd-8830-89c4-caef-dd14d84dee74</t>
  </si>
  <si>
    <t>e170fdcd-8830-89c4-94ae-234355fecdec</t>
  </si>
  <si>
    <t>e170fdcd-8830-89c4-9c6c-bb22dffd831c</t>
  </si>
  <si>
    <t>e170fdcd-8830-89c4-f3ad-500cfe98531c</t>
  </si>
  <si>
    <t>e170fdcd-8830-89c4-e01a-cf11452701f0</t>
  </si>
  <si>
    <t>e170fdcd-8830-89c4-412a-62fa538e78b2</t>
  </si>
  <si>
    <t>e170fdcd-8830-89c4-5416-88c878948691</t>
  </si>
  <si>
    <t>d21fc5fa-6dc5-8058-6429-d512a7d040c4</t>
  </si>
  <si>
    <t>371948e4-733a-33b6-a835-68abefdeb59f</t>
  </si>
  <si>
    <t>24115b7b-28b4-3c6c-88dd-a0b3b9d961a9</t>
  </si>
  <si>
    <t>d21fc5fa-6dc5-8058-0483-5028718ee63d</t>
  </si>
  <si>
    <t>d21fc5fa-6dc5-8058-e632-38d1e7468329</t>
  </si>
  <si>
    <t>1ab2b5f9-cb95-3236-beec-9b9d4a407c61</t>
  </si>
  <si>
    <t>d8aa8286-f3b9-3003-8cb9-5985e301d798</t>
  </si>
  <si>
    <t>d21fc5fa-6dc5-8058-5858-2920bf4f4c8d</t>
  </si>
  <si>
    <t>0cc04ba5-137a-3ef8-acda-e79b25960b2a</t>
  </si>
  <si>
    <t>56bcd94f-4d2f-3701-a4e4-7c7259261477</t>
  </si>
  <si>
    <t>d21fc5fa-6dc5-8058-ec64-93bc980a03a9</t>
  </si>
  <si>
    <t>d21fc5fa-6dc5-8058-e1c1-05787c5051d5</t>
  </si>
  <si>
    <t>d21fc5fa-6dc5-8058-e719-9e37f1a2b82c</t>
  </si>
  <si>
    <t>d21fc5fa-6dc5-8058-1c16-1923a49188f3</t>
  </si>
  <si>
    <t>d21fc5fa-6dc5-8058-57b1-b8f5313b7798</t>
  </si>
  <si>
    <t>d21fc5fa-6dc5-8058-9882-07f54998bc35</t>
  </si>
  <si>
    <t>d21fc5fa-6dc5-8058-ef56-6376e4397ab1</t>
  </si>
  <si>
    <t>d21fc5fa-6dc5-8058-e8bf-d0b76c9a54c0</t>
  </si>
  <si>
    <t>d21fc5fa-6dc5-8058-cb44-81e3e77b7eaa</t>
  </si>
  <si>
    <t>d21fc5fa-6dc5-8058-05e2-89d8eb3614da</t>
  </si>
  <si>
    <t>d21fc5fa-6dc5-8058-57ae-c3622afc213f</t>
  </si>
  <si>
    <t>d21fc5fa-6dc5-8058-ad8a-7f2a2c541cd2</t>
  </si>
  <si>
    <t>d21fc5fa-6dc5-8058-de3a-a521dc09a203</t>
  </si>
  <si>
    <t>d21fc5fa-6dc5-8058-4d26-d82a73f4e850</t>
  </si>
  <si>
    <t>d21fc5fa-6dc5-8058-6128-b15e21b71f12</t>
  </si>
  <si>
    <t>d21fc5fa-6dc5-8058-de55-e62f6c39d573</t>
  </si>
  <si>
    <t>d21fc5fa-6dc5-8058-1622-47214fb7b02f</t>
  </si>
  <si>
    <t>d21fc5fa-6dc5-8058-aa5b-388cb64b40ba</t>
  </si>
  <si>
    <t>d21fc5fa-6dc5-8058-b339-809c2a3c4d98</t>
  </si>
  <si>
    <t>d21fc5fa-6dc5-8058-2e05-eb8d1865124d</t>
  </si>
  <si>
    <t>d21fc5fa-6dc5-8058-eba3-cc9f60d0658e</t>
  </si>
  <si>
    <t>d21fc5fa-6dc5-8058-c85d-89127d9ee09e</t>
  </si>
  <si>
    <t>d21fc5fa-6dc5-8058-2a98-f5c2edec78ac</t>
  </si>
  <si>
    <t>d21fc5fa-6dc5-8058-a4a9-10d4b5c3d238</t>
  </si>
  <si>
    <t>d21fc5fa-6dc5-8058-ebfd-12db78d3a11d</t>
  </si>
  <si>
    <t>d21fc5fa-6dc5-8058-9b52-cf2ce3b5d068</t>
  </si>
  <si>
    <t>d21fc5fa-6dc5-8058-d7b7-ce56295cecbe</t>
  </si>
  <si>
    <t>2e9a9dab-f5b6-8960-c661-a66a9a9263d9</t>
  </si>
  <si>
    <t>2e9a9dab-f5b6-8960-c67c-5fa51fbde64d</t>
  </si>
  <si>
    <t>6450f09c-28fc-3815-abfb-62056b72e508</t>
  </si>
  <si>
    <t>716f8cbe-65b6-3d80-a8d9-2c74eb7ecd9b</t>
  </si>
  <si>
    <t>2e9a9dab-f5b6-8960-e3a9-faf4c1186290</t>
  </si>
  <si>
    <t>2e9a9dab-f5b6-8960-8e61-884091e1159b</t>
  </si>
  <si>
    <t>2e9a9dab-f5b6-8960-80ce-a8862d53702e</t>
  </si>
  <si>
    <t>2e9a9dab-f5b6-8960-800e-fe365f13e5c4</t>
  </si>
  <si>
    <t>2e9a9dab-f5b6-8960-1728-ec60c96081b2</t>
  </si>
  <si>
    <t>2e9a9dab-f5b6-8960-2419-1582617bc0cb</t>
  </si>
  <si>
    <t>2e9a9dab-f5b6-8960-ee45-157441827b80</t>
  </si>
  <si>
    <t>2e9a9dab-f5b6-8960-a49b-dca1b115bc0a</t>
  </si>
  <si>
    <t>2e9a9dab-f5b6-8960-8e4e-db82892d0dd2</t>
  </si>
  <si>
    <t>2e9a9dab-f5b6-8960-535a-df58135132c4</t>
  </si>
  <si>
    <t>2e9a9dab-f5b6-8960-6be3-a74db4babe03</t>
  </si>
  <si>
    <t>2e9a9dab-f5b6-8960-d9ae-f817b94edd12</t>
  </si>
  <si>
    <t>2e9a9dab-f5b6-8960-12e4-bed3919e6879</t>
  </si>
  <si>
    <t>2e9a9dab-f5b6-8960-6eeb-88797b59fdd7</t>
  </si>
  <si>
    <t>2e9a9dab-f5b6-8960-b10a-3b1a4033da24</t>
  </si>
  <si>
    <t>f438b8e0-d856-328a-b193-2b014fc4cb97</t>
  </si>
  <si>
    <t>8ed8f450-e247-389b-a3d0-2927fbcfeabe</t>
  </si>
  <si>
    <t>2e9a9dab-f5b6-8960-594f-e10cfb3042a7</t>
  </si>
  <si>
    <t>2e9a9dab-f5b6-8960-3228-d9ecc99ddfbb</t>
  </si>
  <si>
    <t>2e9a9dab-f5b6-8960-953e-f6cfc8bcb4e2</t>
  </si>
  <si>
    <t>2e9a9dab-f5b6-8960-0cf4-cfcd158e1bc4</t>
  </si>
  <si>
    <t>2e9a9dab-f5b6-8960-cce9-ee73d6048b21</t>
  </si>
  <si>
    <t>2e9a9dab-f5b6-8960-7a8c-82723331ae3c</t>
  </si>
  <si>
    <t>2e9a9dab-f5b6-8960-1c8f-31deb68d2fc5</t>
  </si>
  <si>
    <t>2e9a9dab-f5b6-8960-7b03-2e2db2de44b6</t>
  </si>
  <si>
    <t>2e9a9dab-f5b6-8960-d8b6-6b54d36c6832</t>
  </si>
  <si>
    <t>2e9a9dab-f5b6-8960-f553-09c66b55429b</t>
  </si>
  <si>
    <t>2e9a9dab-f5b6-8960-3151-cc0d322729de</t>
  </si>
  <si>
    <t>2e9a9dab-f5b6-8960-4d4f-7248cfb7ecdd</t>
  </si>
  <si>
    <t>2e9a9dab-f5b6-8960-9f48-bf9a4391959b</t>
  </si>
  <si>
    <t>2e9a9dab-f5b6-8960-d6d2-b1d033e76677</t>
  </si>
  <si>
    <t>2e9a9dab-f5b6-8960-428a-8f849b02f123</t>
  </si>
  <si>
    <t>2e9a9dab-f5b6-8960-8c59-115e830f83d0</t>
  </si>
  <si>
    <t>2e9a9dab-f5b6-8960-c52a-6279f702c0d2</t>
  </si>
  <si>
    <t>2e9a9dab-f5b6-8960-e178-63e6836cad92</t>
  </si>
  <si>
    <t>2e9a9dab-f5b6-8960-8fb1-e564a42af2b7</t>
  </si>
  <si>
    <t>2e9a9dab-f5b6-8960-fc97-b5e3c0705925</t>
  </si>
  <si>
    <t>2e9a9dab-f5b6-8960-b8d9-5da581f10bce</t>
  </si>
  <si>
    <t>2e9a9dab-f5b6-8960-4775-bc27dd410e9c</t>
  </si>
  <si>
    <t>2e9a9dab-f5b6-8960-64d0-5af513ddcdc7</t>
  </si>
  <si>
    <t>2e9a9dab-f5b6-8960-597a-f68745aae983</t>
  </si>
  <si>
    <t>2e9a9dab-f5b6-8960-7da3-9ad455f784b8</t>
  </si>
  <si>
    <t>2e9a9dab-f5b6-8960-4cc9-2d7b5f19a9b5</t>
  </si>
  <si>
    <t>2e9a9dab-f5b6-8960-f8cd-eb934c776d1b</t>
  </si>
  <si>
    <t>2e9a9dab-f5b6-8960-a542-ce8064b673ca</t>
  </si>
  <si>
    <t>2e9a9dab-f5b6-8960-c69d-84733660dfbd</t>
  </si>
  <si>
    <t>2e9a9dab-f5b6-8960-7b27-29733036da85</t>
  </si>
  <si>
    <t>2e9a9dab-f5b6-8960-22a8-5ac3db48de9b</t>
  </si>
  <si>
    <t>2e9a9dab-f5b6-8960-c574-8f077e741564</t>
  </si>
  <si>
    <t>2e9a9dab-f5b6-8960-335b-1364dc491f08</t>
  </si>
  <si>
    <t>2e9a9dab-f5b6-8960-3893-63c950f88b85</t>
  </si>
  <si>
    <t>2e9a9dab-f5b6-8960-1561-6adff3f6a450</t>
  </si>
  <si>
    <t>2e9a9dab-f5b6-8960-8450-e2786cca462a</t>
  </si>
  <si>
    <t>2e9a9dab-f5b6-8960-8f4a-c9517a96625a</t>
  </si>
  <si>
    <t>2e9a9dab-f5b6-8960-27fe-ab51d6e6bcdf</t>
  </si>
  <si>
    <t>2e9a9dab-f5b6-8960-9343-4eb9e2bcd03f</t>
  </si>
  <si>
    <t>2e9a9dab-f5b6-8960-f7e6-41495d76f448</t>
  </si>
  <si>
    <t>2e9a9dab-f5b6-8960-19eb-4251cc3a4e5c</t>
  </si>
  <si>
    <t>2e9a9dab-f5b6-8960-9616-e61a28da98ef</t>
  </si>
  <si>
    <t>2e9a9dab-f5b6-8960-57e5-8eacbb19f205</t>
  </si>
  <si>
    <t>2e9a9dab-f5b6-8960-5114-37e261eb8be2</t>
  </si>
  <si>
    <t>2e9a9dab-f5b6-8960-ed5e-6dd1c39bc449</t>
  </si>
  <si>
    <t>2e9a9dab-f5b6-8960-da1a-d00e01c67125</t>
  </si>
  <si>
    <t>2e9a9dab-f5b6-8960-84ec-d256ee97102c</t>
  </si>
  <si>
    <t>2e9a9dab-f5b6-8960-9900-278eeca0a92a</t>
  </si>
  <si>
    <t>2e9a9dab-f5b6-8960-d55d-9652367acc32</t>
  </si>
  <si>
    <t>2e9a9dab-f5b6-8960-745c-4b34421bcb10</t>
  </si>
  <si>
    <t>2e9a9dab-f5b6-8960-3430-f63d95b55664</t>
  </si>
  <si>
    <t>2e9a9dab-f5b6-8960-b032-523be36600b9</t>
  </si>
  <si>
    <t>2e9a9dab-f5b6-8960-e226-12bdf9a235cb</t>
  </si>
  <si>
    <t>2e9a9dab-f5b6-8960-c0e9-d8ec50a910cb</t>
  </si>
  <si>
    <t>2e9a9dab-f5b6-8960-63e5-cd916bfe024e</t>
  </si>
  <si>
    <t>2e9a9dab-f5b6-8960-4e15-c1eb437d0c65</t>
  </si>
  <si>
    <t>2e9a9dab-f5b6-8960-89d6-5090bebbd7b2</t>
  </si>
  <si>
    <t>00bcbfc6-c7b9-bd0e-0c7a-bfa7c60525a3</t>
  </si>
  <si>
    <t>79508e39-d0b0-3613-9d54-168f6e1c3a18</t>
  </si>
  <si>
    <t>73c37c91-2db4-3035-ad6b-a17ba872183e</t>
  </si>
  <si>
    <t>00bcbfc6-c7b9-bd0e-3c9c-04c7c31d4e70</t>
  </si>
  <si>
    <t>00bcbfc6-c7b9-bd0e-bd6c-67a2c4630b2a</t>
  </si>
  <si>
    <t>00bcbfc6-c7b9-bd0e-a616-fd9cb0db9328</t>
  </si>
  <si>
    <t>00bcbfc6-c7b9-bd0e-b3e0-fded30c067fb</t>
  </si>
  <si>
    <t>00bcbfc6-c7b9-bd0e-5508-fed429d48fda</t>
  </si>
  <si>
    <t>b5b380d2-df21-3389-abf0-08551c7e1f2d</t>
  </si>
  <si>
    <t>16522b44-0fe3-3bd5-ae6f-e87db0c891f2</t>
  </si>
  <si>
    <t>00bcbfc6-c7b9-bd0e-9492-f3f5df2feff3</t>
  </si>
  <si>
    <t>00bcbfc6-c7b9-bd0e-d4a2-6d081b2d5302</t>
  </si>
  <si>
    <t>00bcbfc6-c7b9-bd0e-d509-3138062c5530</t>
  </si>
  <si>
    <t>00bcbfc6-c7b9-bd0e-fbed-dbb2ed31ce69</t>
  </si>
  <si>
    <t>00bcbfc6-c7b9-bd0e-a6aa-732b910e0bf3</t>
  </si>
  <si>
    <t>00bcbfc6-c7b9-bd0e-e505-81492e4842af</t>
  </si>
  <si>
    <t>00bcbfc6-c7b9-bd0e-596e-681a0d6f0014</t>
  </si>
  <si>
    <t>00bcbfc6-c7b9-bd0e-7809-47336c0224cf</t>
  </si>
  <si>
    <t>00bcbfc6-c7b9-bd0e-4160-05741d5cf15a</t>
  </si>
  <si>
    <t>00bcbfc6-c7b9-bd0e-0c46-877b804c3c45</t>
  </si>
  <si>
    <t>00bcbfc6-c7b9-bd0e-177c-d01407b67077</t>
  </si>
  <si>
    <t>00bcbfc6-c7b9-bd0e-5810-fffdf61d8ce3</t>
  </si>
  <si>
    <t>00bcbfc6-c7b9-bd0e-2aac-7992d71c83d5</t>
  </si>
  <si>
    <t>00bcbfc6-c7b9-bd0e-eb8c-5a5fd719de83</t>
  </si>
  <si>
    <t>df852cb2-9fe0-3c90-87ac-46e5f980ee3b</t>
  </si>
  <si>
    <t>3f81e0b9-0aab-303d-89cb-05a1cd8e138f</t>
  </si>
  <si>
    <t>00bcbfc6-c7b9-bd0e-9ef1-12cd72be4c0a</t>
  </si>
  <si>
    <t>00bcbfc6-c7b9-bd0e-54c2-cb7f7bf9fc06</t>
  </si>
  <si>
    <t>00bcbfc6-c7b9-bd0e-cb53-57b9c908a61c</t>
  </si>
  <si>
    <t>00bcbfc6-c7b9-bd0e-99de-ba933408d2b0</t>
  </si>
  <si>
    <t>00bcbfc6-c7b9-bd0e-1c1e-c72a7208dbd4</t>
  </si>
  <si>
    <t>00bcbfc6-c7b9-bd0e-6ab7-1fba82e68e0a</t>
  </si>
  <si>
    <t>00bcbfc6-c7b9-bd0e-8123-84ca497122bf</t>
  </si>
  <si>
    <t>00bcbfc6-c7b9-bd0e-0e23-491fd22a9f45</t>
  </si>
  <si>
    <t>00bcbfc6-c7b9-bd0e-cbab-c787d377c8e7</t>
  </si>
  <si>
    <t>00bcbfc6-c7b9-bd0e-2d0c-20e806dab77b</t>
  </si>
  <si>
    <t>00bcbfc6-c7b9-bd0e-3430-9260777bbb1e</t>
  </si>
  <si>
    <t>00bcbfc6-c7b9-bd0e-f2d7-f5c6867f856a</t>
  </si>
  <si>
    <t>00bcbfc6-c7b9-bd0e-0fe2-db4de2617b51</t>
  </si>
  <si>
    <t>00bcbfc6-c7b9-bd0e-1eb6-01a55a11128e</t>
  </si>
  <si>
    <t>00bcbfc6-c7b9-bd0e-7397-57b36365172c</t>
  </si>
  <si>
    <t>00bcbfc6-c7b9-bd0e-f99a-404440f1b916</t>
  </si>
  <si>
    <t>00bcbfc6-c7b9-bd0e-3f2c-486e46627a7c</t>
  </si>
  <si>
    <t>00bcbfc6-c7b9-bd0e-91c8-b5051310a011</t>
  </si>
  <si>
    <t>00bcbfc6-c7b9-bd0e-1835-4e6d6b528627</t>
  </si>
  <si>
    <t>00bcbfc6-c7b9-bd0e-bff5-bdc89997b948</t>
  </si>
  <si>
    <t>00bcbfc6-c7b9-bd0e-1350-4ea1bb0ead1a</t>
  </si>
  <si>
    <t>00bcbfc6-c7b9-bd0e-8348-0d1533af3cc7</t>
  </si>
  <si>
    <t>0b786670-17af-32e1-cfb8-31a58dc48d1d</t>
  </si>
  <si>
    <t>b3312a2d-37e9-35a8-b50d-6c165c437baa</t>
  </si>
  <si>
    <t>db583ce9-9aac-3415-938a-d837295672b1</t>
  </si>
  <si>
    <t>0b786670-17af-32e1-0966-f4de75b7e173</t>
  </si>
  <si>
    <t>05f80ed8-6a7a-3728-8b5c-c5c995c8244a</t>
  </si>
  <si>
    <t>031b5bbb-be2d-3e2b-976e-0e03319c6d98</t>
  </si>
  <si>
    <t>Acquired immune deficiency syndrome (disorder)</t>
  </si>
  <si>
    <t>0b786670-17af-32e1-63f2-d726a56feeca</t>
  </si>
  <si>
    <t>0b786670-17af-32e1-3c37-4e3a810c2eac</t>
  </si>
  <si>
    <t>00bcbfc6-c7b9-bd0e-7ffe-1b0b0df0ae0a</t>
  </si>
  <si>
    <t>0b786670-17af-32e1-4386-de5a4d2bf6c2</t>
  </si>
  <si>
    <t>0b786670-17af-32e1-5bba-84cb3d3ac69c</t>
  </si>
  <si>
    <t>0b786670-17af-32e1-51f5-2e1a59fbbdbc</t>
  </si>
  <si>
    <t>0b786670-17af-32e1-d7e1-c5e1e39cfadd</t>
  </si>
  <si>
    <t>0b786670-17af-32e1-9413-fa827a09eb67</t>
  </si>
  <si>
    <t>0b786670-17af-32e1-9fcc-352689de3f3a</t>
  </si>
  <si>
    <t>0b786670-17af-32e1-e1a2-d1d0d239c2f4</t>
  </si>
  <si>
    <t>0b786670-17af-32e1-a161-d5b0138efb4f</t>
  </si>
  <si>
    <t>00bcbfc6-c7b9-bd0e-71ca-7c871210cd38</t>
  </si>
  <si>
    <t>00bcbfc6-c7b9-bd0e-6ef9-3c00856b78ab</t>
  </si>
  <si>
    <t>00bcbfc6-c7b9-bd0e-8605-16705bab64a3</t>
  </si>
  <si>
    <t>00bcbfc6-c7b9-bd0e-c330-49dd1f43b79a</t>
  </si>
  <si>
    <t>00bcbfc6-c7b9-bd0e-cc60-0198b36abda2</t>
  </si>
  <si>
    <t>00bcbfc6-c7b9-bd0e-2f04-c0c63a8fa23d</t>
  </si>
  <si>
    <t>0b786670-17af-32e1-e96f-dec05854ca60</t>
  </si>
  <si>
    <t>0b786670-17af-32e1-e8bf-2c91a60512ae</t>
  </si>
  <si>
    <t>0b786670-17af-32e1-2b6c-6dbb7ffe7dc8</t>
  </si>
  <si>
    <t>0b786670-17af-32e1-f0e2-6084242eefcb</t>
  </si>
  <si>
    <t>0b786670-17af-32e1-a622-55de53642c73</t>
  </si>
  <si>
    <t>0b786670-17af-32e1-7533-1a8309c18d54</t>
  </si>
  <si>
    <t>00bcbfc6-c7b9-bd0e-c14c-b2f26d70771b</t>
  </si>
  <si>
    <t>00bcbfc6-c7b9-bd0e-724b-392ca6361209</t>
  </si>
  <si>
    <t>00bcbfc6-c7b9-bd0e-b96d-0469db6a39d3</t>
  </si>
  <si>
    <t>00bcbfc6-c7b9-bd0e-3820-2d312dae2246</t>
  </si>
  <si>
    <t>00bcbfc6-c7b9-bd0e-5865-c56b4c256eb2</t>
  </si>
  <si>
    <t>00bcbfc6-c7b9-bd0e-9fb9-1b97fbb07fe1</t>
  </si>
  <si>
    <t>00bcbfc6-c7b9-bd0e-c5e6-bed4a9061917</t>
  </si>
  <si>
    <t>00bcbfc6-c7b9-bd0e-6913-8eaabfdacaa6</t>
  </si>
  <si>
    <t>00bcbfc6-c7b9-bd0e-2ecb-7242ca80fba4</t>
  </si>
  <si>
    <t>00bcbfc6-c7b9-bd0e-a4b2-fc7f1f97ca1a</t>
  </si>
  <si>
    <t>00bcbfc6-c7b9-bd0e-2604-68d53476f85b</t>
  </si>
  <si>
    <t>00bcbfc6-c7b9-bd0e-f3a0-1d7c45ebd5a2</t>
  </si>
  <si>
    <t>00bcbfc6-c7b9-bd0e-7cd3-5733dc64a235</t>
  </si>
  <si>
    <t>0b786670-17af-32e1-b132-1f27ce61d032</t>
  </si>
  <si>
    <t>0b786670-17af-32e1-456d-1c265773d88d</t>
  </si>
  <si>
    <t>0b786670-17af-32e1-aeda-f84baf45a99d</t>
  </si>
  <si>
    <t>0b786670-17af-32e1-9d66-dbc74dc05706</t>
  </si>
  <si>
    <t>00bcbfc6-c7b9-bd0e-f7ab-56a70d17135b</t>
  </si>
  <si>
    <t>00bcbfc6-c7b9-bd0e-4d28-3b301e37881f</t>
  </si>
  <si>
    <t>00bcbfc6-c7b9-bd0e-cb85-3ceacf68462e</t>
  </si>
  <si>
    <t>00bcbfc6-c7b9-bd0e-2ca3-dc72c56e2fcc</t>
  </si>
  <si>
    <t>00bcbfc6-c7b9-bd0e-247d-329bbd6e05b2</t>
  </si>
  <si>
    <t>00bcbfc6-c7b9-bd0e-805b-401d5166f60e</t>
  </si>
  <si>
    <t>00bcbfc6-c7b9-bd0e-d695-d11c977fe359</t>
  </si>
  <si>
    <t>00bcbfc6-c7b9-bd0e-4687-136f91737416</t>
  </si>
  <si>
    <t>00bcbfc6-c7b9-bd0e-102b-07fdd1da61a5</t>
  </si>
  <si>
    <t>00bcbfc6-c7b9-bd0e-9a3b-89b3e95765d8</t>
  </si>
  <si>
    <t>00bcbfc6-c7b9-bd0e-cc12-fd233979708a</t>
  </si>
  <si>
    <t>0b786670-17af-32e1-670d-a28cd1fde675</t>
  </si>
  <si>
    <t>0b786670-17af-32e1-c41f-a10bd1916524</t>
  </si>
  <si>
    <t>0b786670-17af-32e1-2f65-8b8e5ed5a0ce</t>
  </si>
  <si>
    <t>0b786670-17af-32e1-c28e-31f86e1f37f9</t>
  </si>
  <si>
    <t>0b786670-17af-32e1-68c6-85b074637ba9</t>
  </si>
  <si>
    <t>0b786670-17af-32e1-789e-1446a262c9cd</t>
  </si>
  <si>
    <t>0b786670-17af-32e1-7751-18cdef4480cc</t>
  </si>
  <si>
    <t>0b786670-17af-32e1-7c2d-27ba76a4dbe8</t>
  </si>
  <si>
    <t>0b786670-17af-32e1-ca16-12b33dea5a11</t>
  </si>
  <si>
    <t>0b786670-17af-32e1-0108-840e0f611f04</t>
  </si>
  <si>
    <t>0b786670-17af-32e1-3d35-fc3d5b8848d2</t>
  </si>
  <si>
    <t>0b786670-17af-32e1-ca1b-0ae3ef1bc6dd</t>
  </si>
  <si>
    <t>0b786670-17af-32e1-dee6-43b80e034eb6</t>
  </si>
  <si>
    <t>04b252db-4231-3cb5-963d-6f096fb4b97c</t>
  </si>
  <si>
    <t>0cc6ceb3-b46c-35d6-a8dd-b1eaa408d28e</t>
  </si>
  <si>
    <t>0b786670-17af-32e1-f726-17f8d9de1708</t>
  </si>
  <si>
    <t>0b786670-17af-32e1-ad67-db00f8d5e138</t>
  </si>
  <si>
    <t>0b786670-17af-32e1-9cf0-bc20cc41d09e</t>
  </si>
  <si>
    <t>0b786670-17af-32e1-0074-663d561f891f</t>
  </si>
  <si>
    <t>0b786670-17af-32e1-9823-497d5b643ca0</t>
  </si>
  <si>
    <t>0b786670-17af-32e1-750e-50f00d8dbd79</t>
  </si>
  <si>
    <t>0b786670-17af-32e1-ef50-ef5489964b47</t>
  </si>
  <si>
    <t>0b786670-17af-32e1-b22e-ff12d69ce5cb</t>
  </si>
  <si>
    <t>0b786670-17af-32e1-b657-a2fe31e21a3f</t>
  </si>
  <si>
    <t>0b786670-17af-32e1-d64d-d4daa979cf04</t>
  </si>
  <si>
    <t>0b786670-17af-32e1-aee3-9d6f223e4fb6</t>
  </si>
  <si>
    <t>0b786670-17af-32e1-3c0e-da4873363360</t>
  </si>
  <si>
    <t>0b786670-17af-32e1-c152-bdf03ce2f4f4</t>
  </si>
  <si>
    <t>0b786670-17af-32e1-ee1c-76c432dc4e62</t>
  </si>
  <si>
    <t>0b786670-17af-32e1-7982-24e9bda18c92</t>
  </si>
  <si>
    <t>0b786670-17af-32e1-1144-f5f3822b5b41</t>
  </si>
  <si>
    <t>0b786670-17af-32e1-c1fe-c74ec6f69b38</t>
  </si>
  <si>
    <t>0b786670-17af-32e1-b218-96844030f267</t>
  </si>
  <si>
    <t>0b786670-17af-32e1-5ae7-5c0807ba53ae</t>
  </si>
  <si>
    <t>0b786670-17af-32e1-0069-52a1fb4c3940</t>
  </si>
  <si>
    <t>0b786670-17af-32e1-04ef-abfe34d8307e</t>
  </si>
  <si>
    <t>0b786670-17af-32e1-fecb-8a818d0ac2e1</t>
  </si>
  <si>
    <t>0b786670-17af-32e1-566a-4cf0c3fd0f69</t>
  </si>
  <si>
    <t>0b786670-17af-32e1-9327-8bf1c1f8a45f</t>
  </si>
  <si>
    <t>0b786670-17af-32e1-fe09-03b77b7e36dc</t>
  </si>
  <si>
    <t>0b786670-17af-32e1-80be-3703a7fff34d</t>
  </si>
  <si>
    <t>0b786670-17af-32e1-6b93-a90f5a1fa31f</t>
  </si>
  <si>
    <t>0b786670-17af-32e1-bd8e-281b05f9c95b</t>
  </si>
  <si>
    <t>0b786670-17af-32e1-97e8-8ad100231b37</t>
  </si>
  <si>
    <t>0b786670-17af-32e1-2ce4-909ecd327224</t>
  </si>
  <si>
    <t>0b786670-17af-32e1-6762-e071592aa434</t>
  </si>
  <si>
    <t>0b786670-17af-32e1-dda6-2218b1794c25</t>
  </si>
  <si>
    <t>0b786670-17af-32e1-c227-d70fead26915</t>
  </si>
  <si>
    <t>0b786670-17af-32e1-ed93-6c3ac2c1f927</t>
  </si>
  <si>
    <t>0b786670-17af-32e1-9802-8891762cfd4b</t>
  </si>
  <si>
    <t>0b786670-17af-32e1-95b7-aa7b8b7a56c6</t>
  </si>
  <si>
    <t>0b786670-17af-32e1-a60b-d7c53abdbaff</t>
  </si>
  <si>
    <t>0b786670-17af-32e1-bd00-cf3cd9951185</t>
  </si>
  <si>
    <t>0b786670-17af-32e1-b28d-94c5ed24dfd1</t>
  </si>
  <si>
    <t>0b786670-17af-32e1-a5d1-682310cefd65</t>
  </si>
  <si>
    <t>0b786670-17af-32e1-d3d5-80bedb1e51cc</t>
  </si>
  <si>
    <t>0b786670-17af-32e1-7161-a6a525c559dd</t>
  </si>
  <si>
    <t>0b786670-17af-32e1-557a-6fed403134e8</t>
  </si>
  <si>
    <t>0b786670-17af-32e1-5714-58e446390657</t>
  </si>
  <si>
    <t>0b786670-17af-32e1-5780-6f8edda5f9ec</t>
  </si>
  <si>
    <t>0b786670-17af-32e1-72bd-bfa2b8b20581</t>
  </si>
  <si>
    <t>0b786670-17af-32e1-52a0-12a811c988ef</t>
  </si>
  <si>
    <t>0b786670-17af-32e1-fbd0-d55ec68717cc</t>
  </si>
  <si>
    <t>0b786670-17af-32e1-313c-8fc4916558a0</t>
  </si>
  <si>
    <t>0b786670-17af-32e1-3416-458cc6ee6299</t>
  </si>
  <si>
    <t>0b786670-17af-32e1-bf1a-45465e45a75a</t>
  </si>
  <si>
    <t>0b786670-17af-32e1-a615-07ea4ffca2b0</t>
  </si>
  <si>
    <t>0b786670-17af-32e1-8319-59c6da29051b</t>
  </si>
  <si>
    <t>0b786670-17af-32e1-8df1-37879646d6ad</t>
  </si>
  <si>
    <t>0b786670-17af-32e1-d96e-184fc3bd672d</t>
  </si>
  <si>
    <t>0b786670-17af-32e1-42a0-71cb03c8174b</t>
  </si>
  <si>
    <t>0b786670-17af-32e1-3dd2-526e742ffba4</t>
  </si>
  <si>
    <t>0b786670-17af-32e1-4e21-00eceeb1f1af</t>
  </si>
  <si>
    <t>0b786670-17af-32e1-c58b-312c1117cc97</t>
  </si>
  <si>
    <t>2211f478-b7b4-7711-f161-ef6763f2d40a</t>
  </si>
  <si>
    <t>Cystic fibrosis  prenatal detection (procedure)</t>
  </si>
  <si>
    <t>Cystic fibrosis (disorder)</t>
  </si>
  <si>
    <t>2211f478-b7b4-7711-5c72-dc0d0db7fff7</t>
  </si>
  <si>
    <t>3517aff1-b163-3cd5-8fff-19710fcdc1b7</t>
  </si>
  <si>
    <t>a865312d-1c98-3619-8fa7-c703d5cdb78a</t>
  </si>
  <si>
    <t>Acute respiratory failure (disorder)</t>
  </si>
  <si>
    <t>2211f478-b7b4-7711-6b26-cb71a9b167ac</t>
  </si>
  <si>
    <t>2211f478-b7b4-7711-eb3c-f0216cea8c5b</t>
  </si>
  <si>
    <t>2211f478-b7b4-7711-cee1-6c5024df8f66</t>
  </si>
  <si>
    <t>907b1d2f-2bf8-31b5-abc2-14d6b75faa96</t>
  </si>
  <si>
    <t>b12f301d-9854-3a36-945a-90d0d1d9be98</t>
  </si>
  <si>
    <t>2211f478-b7b4-7711-0d1a-2addda7cf5b4</t>
  </si>
  <si>
    <t>2211f478-b7b4-7711-1f7c-7e222c111eff</t>
  </si>
  <si>
    <t>2211f478-b7b4-7711-bfd4-4a8941cc2cde</t>
  </si>
  <si>
    <t>2211f478-b7b4-7711-424d-0aead9d41920</t>
  </si>
  <si>
    <t>2211f478-b7b4-7711-38c9-65a91b8fff2e</t>
  </si>
  <si>
    <t>2211f478-b7b4-7711-199c-76ffbea4ca28</t>
  </si>
  <si>
    <t>2211f478-b7b4-7711-2d4c-731ea3435800</t>
  </si>
  <si>
    <t>2211f478-b7b4-7711-7b72-8cc2987161cb</t>
  </si>
  <si>
    <t>2211f478-b7b4-7711-5d72-ab3f2ba2c479</t>
  </si>
  <si>
    <t>2211f478-b7b4-7711-b3d5-8f1d0d2f677c</t>
  </si>
  <si>
    <t>2211f478-b7b4-7711-4394-f54450ff8356</t>
  </si>
  <si>
    <t>2211f478-b7b4-7711-0e31-b3f10b9f63de</t>
  </si>
  <si>
    <t>2211f478-b7b4-7711-1ee4-47415d47506e</t>
  </si>
  <si>
    <t>2211f478-b7b4-7711-6682-401fa8f2ecb2</t>
  </si>
  <si>
    <t>2211f478-b7b4-7711-74f8-d530d825b069</t>
  </si>
  <si>
    <t>2211f478-b7b4-7711-cbd4-35945012f033</t>
  </si>
  <si>
    <t>Sepsis caused by Staphylococcus aureus (disorder)</t>
  </si>
  <si>
    <t>2211f478-b7b4-7711-9a9f-03d1d5bff6f1</t>
  </si>
  <si>
    <t>2211f478-b7b4-7711-8583-ac8486f7ccf0</t>
  </si>
  <si>
    <t>2211f478-b7b4-7711-0814-69f276decac7</t>
  </si>
  <si>
    <t>2211f478-b7b4-7711-d968-8e765bd9024a</t>
  </si>
  <si>
    <t>2211f478-b7b4-7711-5aca-e4edf829a480</t>
  </si>
  <si>
    <t>2211f478-b7b4-7711-7671-7ca49166a6f0</t>
  </si>
  <si>
    <t>2211f478-b7b4-7711-0596-38765041ba1a</t>
  </si>
  <si>
    <t>2211f478-b7b4-7711-939f-60126e4c6086</t>
  </si>
  <si>
    <t>2211f478-b7b4-7711-7e7e-b020f6cf5120</t>
  </si>
  <si>
    <t>2211f478-b7b4-7711-af6b-270fb441c6c2</t>
  </si>
  <si>
    <t>2211f478-b7b4-7711-a6e7-7b98fbebf83d</t>
  </si>
  <si>
    <t>2211f478-b7b4-7711-a743-1084a98dd7fd</t>
  </si>
  <si>
    <t>2211f478-b7b4-7711-05ef-f7d59fd44f10</t>
  </si>
  <si>
    <t>2211f478-b7b4-7711-9426-a65e78ce184f</t>
  </si>
  <si>
    <t>2211f478-b7b4-7711-44cf-229e74f617a0</t>
  </si>
  <si>
    <t>2211f478-b7b4-7711-2444-c1144b33a54e</t>
  </si>
  <si>
    <t>2211f478-b7b4-7711-d28c-85bfbeabafc6</t>
  </si>
  <si>
    <t>2211f478-b7b4-7711-7e96-47a81c3e5a11</t>
  </si>
  <si>
    <t>2211f478-b7b4-7711-11ec-78476a47fd80</t>
  </si>
  <si>
    <t>2211f478-b7b4-7711-fcf0-16628190903e</t>
  </si>
  <si>
    <t>2211f478-b7b4-7711-58a4-63c2870204bf</t>
  </si>
  <si>
    <t>2211f478-b7b4-7711-c896-9c2353a506e0</t>
  </si>
  <si>
    <t>2211f478-b7b4-7711-6d73-e522e5431242</t>
  </si>
  <si>
    <t>2211f478-b7b4-7711-c2ed-bb1d859e720c</t>
  </si>
  <si>
    <t>2211f478-b7b4-7711-f0e6-a2c0a7920fd7</t>
  </si>
  <si>
    <t>2211f478-b7b4-7711-c047-865f024bccf4</t>
  </si>
  <si>
    <t>2211f478-b7b4-7711-fb3b-3b9132e8339b</t>
  </si>
  <si>
    <t>2211f478-b7b4-7711-ee6f-f98f4b7dd072</t>
  </si>
  <si>
    <t>2211f478-b7b4-7711-80b3-ca71df6d1777</t>
  </si>
  <si>
    <t>2211f478-b7b4-7711-5540-46998776c701</t>
  </si>
  <si>
    <t>2211f478-b7b4-7711-5286-ed9bcec7601a</t>
  </si>
  <si>
    <t>2211f478-b7b4-7711-45c0-a077fcee214f</t>
  </si>
  <si>
    <t>2211f478-b7b4-7711-fdb0-87475e198805</t>
  </si>
  <si>
    <t>2211f478-b7b4-7711-6f8a-677b40c8851a</t>
  </si>
  <si>
    <t>2211f478-b7b4-7711-7911-f5dd641a72d4</t>
  </si>
  <si>
    <t>2211f478-b7b4-7711-d136-4be07b4d41e2</t>
  </si>
  <si>
    <t>2211f478-b7b4-7711-3d91-6277ab70ab95</t>
  </si>
  <si>
    <t>2211f478-b7b4-7711-6d4e-7b90001efb45</t>
  </si>
  <si>
    <t>2211f478-b7b4-7711-bc82-50e1f21e0a54</t>
  </si>
  <si>
    <t>2211f478-b7b4-7711-7125-651af6fba98e</t>
  </si>
  <si>
    <t>2211f478-b7b4-7711-e507-4d939dc6e4ba</t>
  </si>
  <si>
    <t>2211f478-b7b4-7711-bb60-19cff13017d7</t>
  </si>
  <si>
    <t>2211f478-b7b4-7711-b73b-8f7b01b8e915</t>
  </si>
  <si>
    <t>2211f478-b7b4-7711-6ea3-bce29d2e70ba</t>
  </si>
  <si>
    <t>2211f478-b7b4-7711-1b89-679bddcc3487</t>
  </si>
  <si>
    <t>2211f478-b7b4-7711-ea15-db6bf7f13879</t>
  </si>
  <si>
    <t>2211f478-b7b4-7711-4129-6932f2d0b918</t>
  </si>
  <si>
    <t>2211f478-b7b4-7711-0cd6-e5c7c90a89bc</t>
  </si>
  <si>
    <t>2211f478-b7b4-7711-3bb1-b8b2584defb8</t>
  </si>
  <si>
    <t>2211f478-b7b4-7711-dc1c-d9688d722926</t>
  </si>
  <si>
    <t>2211f478-b7b4-7711-9769-cd5077160508</t>
  </si>
  <si>
    <t>2211f478-b7b4-7711-3fcf-4501242318cb</t>
  </si>
  <si>
    <t>2211f478-b7b4-7711-c4f7-98604b7b61af</t>
  </si>
  <si>
    <t>2211f478-b7b4-7711-048b-0117d7d85ba3</t>
  </si>
  <si>
    <t>2211f478-b7b4-7711-7f4a-ca15661d8e7e</t>
  </si>
  <si>
    <t>2211f478-b7b4-7711-084e-08833242da6f</t>
  </si>
  <si>
    <t>2211f478-b7b4-7711-cf77-9778515964ab</t>
  </si>
  <si>
    <t>2211f478-b7b4-7711-d1f7-d81fee071b7d</t>
  </si>
  <si>
    <t>2211f478-b7b4-7711-b810-61d2a2c9fb1c</t>
  </si>
  <si>
    <t>2211f478-b7b4-7711-010e-5198d251bb4f</t>
  </si>
  <si>
    <t>2211f478-b7b4-7711-1409-32b990ee4a50</t>
  </si>
  <si>
    <t>2211f478-b7b4-7711-de5b-5b27cc9e354f</t>
  </si>
  <si>
    <t>2211f478-b7b4-7711-9acb-16c85379d22f</t>
  </si>
  <si>
    <t>2211f478-b7b4-7711-bee5-c65b677b76ed</t>
  </si>
  <si>
    <t>2211f478-b7b4-7711-c78a-e3544d5a4be9</t>
  </si>
  <si>
    <t>2211f478-b7b4-7711-57b8-468a7353018b</t>
  </si>
  <si>
    <t>2211f478-b7b4-7711-82c8-754570a1a1ef</t>
  </si>
  <si>
    <t>2211f478-b7b4-7711-9fb5-cbda1710a710</t>
  </si>
  <si>
    <t>2211f478-b7b4-7711-8331-6cddcdc6bb1d</t>
  </si>
  <si>
    <t>2211f478-b7b4-7711-2398-52847bf74ade</t>
  </si>
  <si>
    <t>2211f478-b7b4-7711-6053-e855f580196a</t>
  </si>
  <si>
    <t>2211f478-b7b4-7711-a1a6-21b5c1b18f9a</t>
  </si>
  <si>
    <t>2211f478-b7b4-7711-39fa-4b0f00505ac7</t>
  </si>
  <si>
    <t>2211f478-b7b4-7711-b1ba-e776d81ea9c0</t>
  </si>
  <si>
    <t>2211f478-b7b4-7711-b8e3-956ad9157646</t>
  </si>
  <si>
    <t>2211f478-b7b4-7711-c37a-ef2ed90fa3e7</t>
  </si>
  <si>
    <t>2211f478-b7b4-7711-4ae6-488183665a3a</t>
  </si>
  <si>
    <t>2211f478-b7b4-7711-3c3e-1bf56eae4737</t>
  </si>
  <si>
    <t>2211f478-b7b4-7711-611b-6ea39999fa8d</t>
  </si>
  <si>
    <t>2211f478-b7b4-7711-b75a-dc656f9493ec</t>
  </si>
  <si>
    <t>2211f478-b7b4-7711-40dc-3a4fb8756274</t>
  </si>
  <si>
    <t>2211f478-b7b4-7711-2a9d-fe5a2d5ff9bf</t>
  </si>
  <si>
    <t>2211f478-b7b4-7711-4729-3c3ea1094040</t>
  </si>
  <si>
    <t>2211f478-b7b4-7711-4eff-bcfd918bbfd3</t>
  </si>
  <si>
    <t>2211f478-b7b4-7711-ee3d-74fbb870d7e9</t>
  </si>
  <si>
    <t>2211f478-b7b4-7711-1a5e-200b3098abec</t>
  </si>
  <si>
    <t>2211f478-b7b4-7711-5f64-70378ffc8d79</t>
  </si>
  <si>
    <t>2211f478-b7b4-7711-fc4a-a0f109556700</t>
  </si>
  <si>
    <t>2211f478-b7b4-7711-8bfd-c18d5b859d93</t>
  </si>
  <si>
    <t>2211f478-b7b4-7711-7173-adf041057e94</t>
  </si>
  <si>
    <t>2211f478-b7b4-7711-b8e2-c251ed7b67c4</t>
  </si>
  <si>
    <t>2211f478-b7b4-7711-d64d-12b6fd298306</t>
  </si>
  <si>
    <t>2211f478-b7b4-7711-1e30-320546271ef6</t>
  </si>
  <si>
    <t>2211f478-b7b4-7711-c023-bcd4752dd9ef</t>
  </si>
  <si>
    <t>2211f478-b7b4-7711-7465-b3111af6bf18</t>
  </si>
  <si>
    <t>2211f478-b7b4-7711-70ee-fcd7706eb5d2</t>
  </si>
  <si>
    <t>2211f478-b7b4-7711-188c-4b8f6ee8d72d</t>
  </si>
  <si>
    <t>2211f478-b7b4-7711-5f4f-53029cc199d9</t>
  </si>
  <si>
    <t>2211f478-b7b4-7711-0e1c-edf30feb952b</t>
  </si>
  <si>
    <t>2211f478-b7b4-7711-af05-589edbc73de3</t>
  </si>
  <si>
    <t>2211f478-b7b4-7711-5aab-520829825c8c</t>
  </si>
  <si>
    <t>2211f478-b7b4-7711-75f5-200ac43e1a13</t>
  </si>
  <si>
    <t>2211f478-b7b4-7711-52f2-dd226e1f859f</t>
  </si>
  <si>
    <t>2211f478-b7b4-7711-1499-08ae31eefef8</t>
  </si>
  <si>
    <t>2211f478-b7b4-7711-b69c-25962b2e7aea</t>
  </si>
  <si>
    <t>2211f478-b7b4-7711-fce6-94bbf2d7e19c</t>
  </si>
  <si>
    <t>2211f478-b7b4-7711-620d-8fa20650e9f2</t>
  </si>
  <si>
    <t>2211f478-b7b4-7711-d05d-99dd37f126f9</t>
  </si>
  <si>
    <t>2211f478-b7b4-7711-561a-963c0835620c</t>
  </si>
  <si>
    <t>2211f478-b7b4-7711-8383-96f6b347ce5d</t>
  </si>
  <si>
    <t>2211f478-b7b4-7711-fb90-03f8c7f7e73d</t>
  </si>
  <si>
    <t>2211f478-b7b4-7711-1a26-b9f15d8f463c</t>
  </si>
  <si>
    <t>2211f478-b7b4-7711-2063-bd8974846363</t>
  </si>
  <si>
    <t>2211f478-b7b4-7711-4024-4057ec28784c</t>
  </si>
  <si>
    <t>2211f478-b7b4-7711-8566-706271053729</t>
  </si>
  <si>
    <t>2211f478-b7b4-7711-33ca-7c8263068148</t>
  </si>
  <si>
    <t>2211f478-b7b4-7711-952b-3c8f09c8df1d</t>
  </si>
  <si>
    <t>2211f478-b7b4-7711-f810-a21f7d451ee4</t>
  </si>
  <si>
    <t>2211f478-b7b4-7711-a1fe-9005c0b64fbb</t>
  </si>
  <si>
    <t>2211f478-b7b4-7711-e11c-09f63123f310</t>
  </si>
  <si>
    <t>2211f478-b7b4-7711-b65e-38f39b85367f</t>
  </si>
  <si>
    <t>2211f478-b7b4-7711-f442-6813692e1397</t>
  </si>
  <si>
    <t>2211f478-b7b4-7711-e0ef-6d8e77230e72</t>
  </si>
  <si>
    <t>2211f478-b7b4-7711-6ac4-d082185e9b20</t>
  </si>
  <si>
    <t>2211f478-b7b4-7711-c3cf-c260af366446</t>
  </si>
  <si>
    <t>Sepsis caused by Pseudomonas (disorder)</t>
  </si>
  <si>
    <t>716c6d0a-2a5d-0aaa-f327-6348128dfff7</t>
  </si>
  <si>
    <t>716c6d0a-2a5d-0aaa-62a3-77493d14b678</t>
  </si>
  <si>
    <t>716c6d0a-2a5d-0aaa-45e3-e71cc689a387</t>
  </si>
  <si>
    <t>716c6d0a-2a5d-0aaa-8d22-3790299018b8</t>
  </si>
  <si>
    <t>716c6d0a-2a5d-0aaa-1a09-3a8080e92a6a</t>
  </si>
  <si>
    <t>716c6d0a-2a5d-0aaa-a65b-7d9355f6607d</t>
  </si>
  <si>
    <t>716c6d0a-2a5d-0aaa-443b-7f98d78dbc05</t>
  </si>
  <si>
    <t>716c6d0a-2a5d-0aaa-2e47-ceedae462b05</t>
  </si>
  <si>
    <t>716c6d0a-2a5d-0aaa-0a79-e0bd0b98c5f5</t>
  </si>
  <si>
    <t>716c6d0a-2a5d-0aaa-6e35-54ed9a11ccad</t>
  </si>
  <si>
    <t>716c6d0a-2a5d-0aaa-6d57-c658101aea22</t>
  </si>
  <si>
    <t>716c6d0a-2a5d-0aaa-8928-9c3809266188</t>
  </si>
  <si>
    <t>716c6d0a-2a5d-0aaa-06e4-ada94fb442ac</t>
  </si>
  <si>
    <t>716c6d0a-2a5d-0aaa-277d-a8dcf89b6b4a</t>
  </si>
  <si>
    <t>716c6d0a-2a5d-0aaa-cd52-8b7aed91af80</t>
  </si>
  <si>
    <t>716c6d0a-2a5d-0aaa-9ee5-a399df3fe76c</t>
  </si>
  <si>
    <t>716c6d0a-2a5d-0aaa-6066-f9d6fc2c467f</t>
  </si>
  <si>
    <t>716c6d0a-2a5d-0aaa-025a-a65dea2c5f5b</t>
  </si>
  <si>
    <t>716c6d0a-2a5d-0aaa-002e-dfef5fa74c74</t>
  </si>
  <si>
    <t>716c6d0a-2a5d-0aaa-242c-7548bfb96de1</t>
  </si>
  <si>
    <t>716c6d0a-2a5d-0aaa-e251-b0ef69c1b72e</t>
  </si>
  <si>
    <t>716c6d0a-2a5d-0aaa-cdd3-54861ce83926</t>
  </si>
  <si>
    <t>716c6d0a-2a5d-0aaa-603e-9c66072bcce5</t>
  </si>
  <si>
    <t>716c6d0a-2a5d-0aaa-e41a-25d1dfd5d40b</t>
  </si>
  <si>
    <t>716c6d0a-2a5d-0aaa-b25a-0c58bfae52f2</t>
  </si>
  <si>
    <t>716c6d0a-2a5d-0aaa-7dd9-536b165afaf8</t>
  </si>
  <si>
    <t>716c6d0a-2a5d-0aaa-e4c3-e35331d5def0</t>
  </si>
  <si>
    <t>716c6d0a-2a5d-0aaa-74cb-c7044c2d693b</t>
  </si>
  <si>
    <t>716c6d0a-2a5d-0aaa-2ecd-04d69fef62bc</t>
  </si>
  <si>
    <t>716c6d0a-2a5d-0aaa-d8e7-ff63271fdb6d</t>
  </si>
  <si>
    <t>716c6d0a-2a5d-0aaa-5481-323d61f687ba</t>
  </si>
  <si>
    <t>716c6d0a-2a5d-0aaa-d99e-01073c0e9ac7</t>
  </si>
  <si>
    <t>716c6d0a-2a5d-0aaa-3061-f5b2bacf94b5</t>
  </si>
  <si>
    <t>716c6d0a-2a5d-0aaa-318c-43f5272cd284</t>
  </si>
  <si>
    <t>716c6d0a-2a5d-0aaa-0259-525eee714321</t>
  </si>
  <si>
    <t>3e97ce4f-3ad7-3cea-883f-e2bb4ca89d83</t>
  </si>
  <si>
    <t>f23915b5-5720-379f-ba7d-f5b290934bfc</t>
  </si>
  <si>
    <t>716c6d0a-2a5d-0aaa-d4d4-c5854fbdd737</t>
  </si>
  <si>
    <t>716c6d0a-2a5d-0aaa-97ad-bb40b53bbdfb</t>
  </si>
  <si>
    <t>716c6d0a-2a5d-0aaa-02a9-26520723fb0f</t>
  </si>
  <si>
    <t>716c6d0a-2a5d-0aaa-7c46-88a59a004935</t>
  </si>
  <si>
    <t>716c6d0a-2a5d-0aaa-5e35-67bff855c442</t>
  </si>
  <si>
    <t>716c6d0a-2a5d-0aaa-259c-f85352b65fec</t>
  </si>
  <si>
    <t>716c6d0a-2a5d-0aaa-2187-516f63dc17a8</t>
  </si>
  <si>
    <t>716c6d0a-2a5d-0aaa-3864-136cad83982c</t>
  </si>
  <si>
    <t>716c6d0a-2a5d-0aaa-b305-d6399271a23d</t>
  </si>
  <si>
    <t>8ece28c6-f931-b0e0-abe8-532197038d9b</t>
  </si>
  <si>
    <t>dd280187-8662-3732-af81-595d10572911</t>
  </si>
  <si>
    <t>7c5f7d04-ae61-3c6a-a1ae-02b79bf75398</t>
  </si>
  <si>
    <t>8ece28c6-f931-b0e0-896d-e0b1f1b04096</t>
  </si>
  <si>
    <t>643eac8e-1620-3b6a-b9f3-664b003d22cd</t>
  </si>
  <si>
    <t>026c51c4-d207-3ec7-8786-7c8231456c2e</t>
  </si>
  <si>
    <t>8ece28c6-f931-b0e0-7153-534549127919</t>
  </si>
  <si>
    <t>Gout</t>
  </si>
  <si>
    <t>8ece28c6-f931-b0e0-3ed7-6472c6a43e53</t>
  </si>
  <si>
    <t>8ece28c6-f931-b0e0-43b3-e2985a38eb14</t>
  </si>
  <si>
    <t>2f67494e-f17e-3248-ba68-3ca42913cca1</t>
  </si>
  <si>
    <t>5a83dcd0-74c0-3f71-8fa5-4b57a00b2e25</t>
  </si>
  <si>
    <t>8ece28c6-f931-b0e0-974b-be019fd9601e</t>
  </si>
  <si>
    <t>8ece28c6-f931-b0e0-f998-a7b84d812c59</t>
  </si>
  <si>
    <t>8ece28c6-f931-b0e0-a88e-e7a9b5a04b46</t>
  </si>
  <si>
    <t>8ece28c6-f931-b0e0-5981-2e0729bac2b8</t>
  </si>
  <si>
    <t>8ece28c6-f931-b0e0-22df-b402dda51ddd</t>
  </si>
  <si>
    <t>8ece28c6-f931-b0e0-083b-f21018d32066</t>
  </si>
  <si>
    <t>8ece28c6-f931-b0e0-8ebe-2b450699fab6</t>
  </si>
  <si>
    <t>8ece28c6-f931-b0e0-1150-c3970bfce3e4</t>
  </si>
  <si>
    <t>8ece28c6-f931-b0e0-7c06-50c66075ad8c</t>
  </si>
  <si>
    <t>8ece28c6-f931-b0e0-09ba-f35679165318</t>
  </si>
  <si>
    <t>8ece28c6-f931-b0e0-505a-d00a6c0ce72d</t>
  </si>
  <si>
    <t>8ece28c6-f931-b0e0-7e64-8a67114567b3</t>
  </si>
  <si>
    <t>8ece28c6-f931-b0e0-a2fc-625d9ab8471c</t>
  </si>
  <si>
    <t>8ece28c6-f931-b0e0-d6a7-5d016fabc380</t>
  </si>
  <si>
    <t>8ece28c6-f931-b0e0-ac7a-190e12763c8d</t>
  </si>
  <si>
    <t>8ece28c6-f931-b0e0-a01f-414912526dd9</t>
  </si>
  <si>
    <t>8ece28c6-f931-b0e0-6d18-ed3766978eca</t>
  </si>
  <si>
    <t>712509af-be0c-3f54-a34c-f4796e538e4e</t>
  </si>
  <si>
    <t>3a6cfaa1-04d2-37af-96e1-f9a92a5de777</t>
  </si>
  <si>
    <t>8ece28c6-f931-b0e0-e96a-19fe6cda1bee</t>
  </si>
  <si>
    <t>8ece28c6-f931-b0e0-fe1b-0bbbfb738ec7</t>
  </si>
  <si>
    <t>8ece28c6-f931-b0e0-bad1-ac6de7fb3a3a</t>
  </si>
  <si>
    <t>8ece28c6-f931-b0e0-fb60-0e4ed84ff13e</t>
  </si>
  <si>
    <t>8ece28c6-f931-b0e0-fd63-e9b9b29755d3</t>
  </si>
  <si>
    <t>8ece28c6-f931-b0e0-6747-4fd7a2ca60d0</t>
  </si>
  <si>
    <t>8ece28c6-f931-b0e0-0968-ec6916622d5b</t>
  </si>
  <si>
    <t>8ece28c6-f931-b0e0-598d-a86f6246228c</t>
  </si>
  <si>
    <t>8ece28c6-f931-b0e0-b5e4-87756f65f315</t>
  </si>
  <si>
    <t>8ece28c6-f931-b0e0-2008-a7c5af7e088a</t>
  </si>
  <si>
    <t>8ece28c6-f931-b0e0-0674-b51533d3808c</t>
  </si>
  <si>
    <t>8ece28c6-f931-b0e0-8d42-5f3c4ba7de47</t>
  </si>
  <si>
    <t>8ece28c6-f931-b0e0-0347-2683a7e3bd0a</t>
  </si>
  <si>
    <t>8ece28c6-f931-b0e0-4208-77d3b7317d20</t>
  </si>
  <si>
    <t>8ece28c6-f931-b0e0-e770-63a0685697b9</t>
  </si>
  <si>
    <t>8ece28c6-f931-b0e0-28e4-23c31c7bc7bd</t>
  </si>
  <si>
    <t>8ece28c6-f931-b0e0-4d8a-2cb5bd9b9b5f</t>
  </si>
  <si>
    <t>8ece28c6-f931-b0e0-7cd6-cad25020bead</t>
  </si>
  <si>
    <t>8ece28c6-f931-b0e0-1702-e143bd2ca204</t>
  </si>
  <si>
    <t>8ece28c6-f931-b0e0-d6d4-3a6403c5f698</t>
  </si>
  <si>
    <t>8ece28c6-f931-b0e0-52b8-7a17050581ce</t>
  </si>
  <si>
    <t>8ece28c6-f931-b0e0-4c43-78d0630c3323</t>
  </si>
  <si>
    <t>8ece28c6-f931-b0e0-f904-d55cc47f3a26</t>
  </si>
  <si>
    <t>8ece28c6-f931-b0e0-3753-bf054f51b5a6</t>
  </si>
  <si>
    <t>8ece28c6-f931-b0e0-a150-5fb57adad794</t>
  </si>
  <si>
    <t>8ece28c6-f931-b0e0-1657-76ea6a17c20c</t>
  </si>
  <si>
    <t>8ece28c6-f931-b0e0-731a-003892e56191</t>
  </si>
  <si>
    <t>8ece28c6-f931-b0e0-14bc-6278c66b6253</t>
  </si>
  <si>
    <t>8ece28c6-f931-b0e0-129b-d9fc3267ad8b</t>
  </si>
  <si>
    <t>8ece28c6-f931-b0e0-482a-b972066329ff</t>
  </si>
  <si>
    <t>8ece28c6-f931-b0e0-4da7-3be24086a224</t>
  </si>
  <si>
    <t>8ece28c6-f931-b0e0-3431-7e367fa57e2c</t>
  </si>
  <si>
    <t>8ece28c6-f931-b0e0-5870-cda02b8d71fe</t>
  </si>
  <si>
    <t>8ece28c6-f931-b0e0-b284-105a73d139fa</t>
  </si>
  <si>
    <t>8ece28c6-f931-b0e0-0665-4317289e5ba4</t>
  </si>
  <si>
    <t>8ece28c6-f931-b0e0-e15e-f120e984198e</t>
  </si>
  <si>
    <t>8ece28c6-f931-b0e0-1775-8f401a2c6f78</t>
  </si>
  <si>
    <t>8ece28c6-f931-b0e0-759b-fd032d795588</t>
  </si>
  <si>
    <t>8ece28c6-f931-b0e0-3d4d-e37ad4b472f0</t>
  </si>
  <si>
    <t>8ece28c6-f931-b0e0-0eb0-5570f29cf3ea</t>
  </si>
  <si>
    <t>8ece28c6-f931-b0e0-b43e-9b7f3b9b74eb</t>
  </si>
  <si>
    <t>8ece28c6-f931-b0e0-2fd7-cdf53c8d48c2</t>
  </si>
  <si>
    <t>e503e9b3-d149-653b-7280-07d85636cde6</t>
  </si>
  <si>
    <t>Adolescent idiopathic scoliosis (disorder)</t>
  </si>
  <si>
    <t>e503e9b3-d149-653b-263d-d83b3d9020a2</t>
  </si>
  <si>
    <t>981338c4-287c-3621-bc45-8b0b9f1b8922</t>
  </si>
  <si>
    <t>078ffffe-ec9e-347b-b419-abf3e6077f79</t>
  </si>
  <si>
    <t>e503e9b3-d149-653b-ac32-eda69f4d42c1</t>
  </si>
  <si>
    <t>e503e9b3-d149-653b-a536-cca0cbc06b1e</t>
  </si>
  <si>
    <t>e503e9b3-d149-653b-ac10-e39d4b9ec777</t>
  </si>
  <si>
    <t>e503e9b3-d149-653b-3ffa-062b5ac17d65</t>
  </si>
  <si>
    <t>e503e9b3-d149-653b-ac5d-46444e967cb2</t>
  </si>
  <si>
    <t>e503e9b3-d149-653b-b1e0-8315d7047c4d</t>
  </si>
  <si>
    <t>e503e9b3-d149-653b-6a3a-59b59eb91605</t>
  </si>
  <si>
    <t>e503e9b3-d149-653b-bf5c-a70a46442f0f</t>
  </si>
  <si>
    <t>e503e9b3-d149-653b-ed8f-c1687b5e6edf</t>
  </si>
  <si>
    <t>e503e9b3-d149-653b-7b61-31b21a173c16</t>
  </si>
  <si>
    <t>e503e9b3-d149-653b-4387-a11bebf38b92</t>
  </si>
  <si>
    <t>e503e9b3-d149-653b-ac80-b9b48cd67d89</t>
  </si>
  <si>
    <t>e503e9b3-d149-653b-4eaf-0a52c9f697ba</t>
  </si>
  <si>
    <t>e503e9b3-d149-653b-7e3d-cca237d357a5</t>
  </si>
  <si>
    <t>e503e9b3-d149-653b-dbf4-3f426462f811</t>
  </si>
  <si>
    <t>e503e9b3-d149-653b-2760-c1deba2a297a</t>
  </si>
  <si>
    <t>e503e9b3-d149-653b-1ca0-0bf8f83371da</t>
  </si>
  <si>
    <t>e503e9b3-d149-653b-8321-58d6fa829d64</t>
  </si>
  <si>
    <t>e503e9b3-d149-653b-adf5-1b9304644d5f</t>
  </si>
  <si>
    <t>e503e9b3-d149-653b-3cb3-3bca83381510</t>
  </si>
  <si>
    <t>e503e9b3-d149-653b-1569-2b477bbd3224</t>
  </si>
  <si>
    <t>e503e9b3-d149-653b-5fb3-e1213db51c2e</t>
  </si>
  <si>
    <t>e503e9b3-d149-653b-0d4e-b23edd3d34be</t>
  </si>
  <si>
    <t>e503e9b3-d149-653b-0f65-9acbc493a971</t>
  </si>
  <si>
    <t>e503e9b3-d149-653b-af25-7352fa22f187</t>
  </si>
  <si>
    <t>e503e9b3-d149-653b-66d0-25729677c5ab</t>
  </si>
  <si>
    <t>e503e9b3-d149-653b-5b1b-525a141e756e</t>
  </si>
  <si>
    <t>e503e9b3-d149-653b-1f6e-7bfc3c14600f</t>
  </si>
  <si>
    <t>e503e9b3-d149-653b-b175-98a10da01e84</t>
  </si>
  <si>
    <t>e503e9b3-d149-653b-c8e5-799cd251064c</t>
  </si>
  <si>
    <t>e503e9b3-d149-653b-3136-f48a7caaad79</t>
  </si>
  <si>
    <t>e503e9b3-d149-653b-6399-4ebb4d5877a0</t>
  </si>
  <si>
    <t>e503e9b3-d149-653b-5aa4-1b7b1df7b606</t>
  </si>
  <si>
    <t>e503e9b3-d149-653b-5245-4e6dc1fb9c36</t>
  </si>
  <si>
    <t>e503e9b3-d149-653b-e7bc-a85f5bcdd9b1</t>
  </si>
  <si>
    <t>e503e9b3-d149-653b-8ffa-eb6415477b0e</t>
  </si>
  <si>
    <t>e503e9b3-d149-653b-f301-4409f0ffa260</t>
  </si>
  <si>
    <t>e503e9b3-d149-653b-f31a-683cdadda409</t>
  </si>
  <si>
    <t>e503e9b3-d149-653b-1226-7d518d871b57</t>
  </si>
  <si>
    <t>e503e9b3-d149-653b-260a-20d324a07795</t>
  </si>
  <si>
    <t>e503e9b3-d149-653b-e95c-303764da10c1</t>
  </si>
  <si>
    <t>e503e9b3-d149-653b-28a2-4286144bf89f</t>
  </si>
  <si>
    <t>e503e9b3-d149-653b-6ca7-8a42a97884c4</t>
  </si>
  <si>
    <t>e503e9b3-d149-653b-5b70-6c3104d96e51</t>
  </si>
  <si>
    <t>e503e9b3-d149-653b-0a52-22852df56ee3</t>
  </si>
  <si>
    <t>e503e9b3-d149-653b-2836-8b63ed1bd51e</t>
  </si>
  <si>
    <t>e503e9b3-d149-653b-43b1-e79e55e7db37</t>
  </si>
  <si>
    <t>e503e9b3-d149-653b-5487-835fdc2bdc53</t>
  </si>
  <si>
    <t>e503e9b3-d149-653b-fe8d-ef7576ef58e5</t>
  </si>
  <si>
    <t>e503e9b3-d149-653b-2f5d-1ef79dff1811</t>
  </si>
  <si>
    <t>e503e9b3-d149-653b-cf9b-960ad1d1a27e</t>
  </si>
  <si>
    <t>e503e9b3-d149-653b-d53d-0533bd94c8a9</t>
  </si>
  <si>
    <t>e503e9b3-d149-653b-0562-c4421221e644</t>
  </si>
  <si>
    <t>e503e9b3-d149-653b-c81b-1f4212b8780c</t>
  </si>
  <si>
    <t>e503e9b3-d149-653b-a01b-9241bfd8b58d</t>
  </si>
  <si>
    <t>e503e9b3-d149-653b-f55a-fd8dabbfc570</t>
  </si>
  <si>
    <t>e503e9b3-d149-653b-9dee-6592fd4713b5</t>
  </si>
  <si>
    <t>e503e9b3-d149-653b-f4c7-19dfe6ddcb8f</t>
  </si>
  <si>
    <t>e503e9b3-d149-653b-9ffb-42e0388d1112</t>
  </si>
  <si>
    <t>e503e9b3-d149-653b-190d-7fe4ee0432df</t>
  </si>
  <si>
    <t>e503e9b3-d149-653b-6d73-b9c040acdcab</t>
  </si>
  <si>
    <t>e503e9b3-d149-653b-a3c6-d23e37df685f</t>
  </si>
  <si>
    <t>e503e9b3-d149-653b-4b90-bf909239a1d8</t>
  </si>
  <si>
    <t>e503e9b3-d149-653b-3020-60ffbfbb70d0</t>
  </si>
  <si>
    <t>e503e9b3-d149-653b-edcd-d49f8b17df7d</t>
  </si>
  <si>
    <t>e503e9b3-d149-653b-3594-7286bed2eb1e</t>
  </si>
  <si>
    <t>e503e9b3-d149-653b-7e76-110b2caf7ab0</t>
  </si>
  <si>
    <t>e503e9b3-d149-653b-0e17-773b22b5d8e7</t>
  </si>
  <si>
    <t>3fa46c70-b194-f14c-5d3d-886fa9da6786</t>
  </si>
  <si>
    <t>811cc811-0061-341c-a719-9ba7ef8dc699</t>
  </si>
  <si>
    <t>68ef7b58-c205-31ff-ae01-d4000d280e27</t>
  </si>
  <si>
    <t>3fa46c70-b194-f14c-530e-7be692f0668d</t>
  </si>
  <si>
    <t>3fa46c70-b194-f14c-a0e4-ec253b9de38f</t>
  </si>
  <si>
    <t>3fa46c70-b194-f14c-4a1c-e5cbaa6a4f9f</t>
  </si>
  <si>
    <t>6929d249-cc27-33aa-a871-b6f26059615d</t>
  </si>
  <si>
    <t>fd0a35f6-a6f8-300d-ad10-a3c781cf6bf0</t>
  </si>
  <si>
    <t>3fa46c70-b194-f14c-936c-f5afb94eea60</t>
  </si>
  <si>
    <t>3fa46c70-b194-f14c-9459-81e05deb3e49</t>
  </si>
  <si>
    <t>3fa46c70-b194-f14c-4cb7-1832b9ba6b95</t>
  </si>
  <si>
    <t>3fa46c70-b194-f14c-6d05-922013520839</t>
  </si>
  <si>
    <t>3fa46c70-b194-f14c-823e-5cc5de8b30f4</t>
  </si>
  <si>
    <t>3fa46c70-b194-f14c-ad1d-c9119919f63a</t>
  </si>
  <si>
    <t>3fa46c70-b194-f14c-6a33-70724cadd219</t>
  </si>
  <si>
    <t>3fa46c70-b194-f14c-a268-e3d19cc89b3d</t>
  </si>
  <si>
    <t>3fa46c70-b194-f14c-5a79-8ae4571a74a5</t>
  </si>
  <si>
    <t>3fa46c70-b194-f14c-99e3-3cef1e852ccc</t>
  </si>
  <si>
    <t>3fa46c70-b194-f14c-54a5-f6c1b32fe1fc</t>
  </si>
  <si>
    <t>fd0d7b3a-307d-07b8-c9e3-fec4b403823b</t>
  </si>
  <si>
    <t>fd0d7b3a-307d-07b8-f410-afd3aa1d87e6</t>
  </si>
  <si>
    <t>fd0d7b3a-307d-07b8-0b9d-094093020b4d</t>
  </si>
  <si>
    <t>fd0d7b3a-307d-07b8-15d8-198dfcdbfad8</t>
  </si>
  <si>
    <t>fd0d7b3a-307d-07b8-5cd9-228464e91177</t>
  </si>
  <si>
    <t>fd0d7b3a-307d-07b8-15f0-42ebb9a28280</t>
  </si>
  <si>
    <t>fd0d7b3a-307d-07b8-29f5-8d0b456a46da</t>
  </si>
  <si>
    <t>fd0d7b3a-307d-07b8-03c4-b470efca14fe</t>
  </si>
  <si>
    <t>fd0d7b3a-307d-07b8-1961-663ddf7862c1</t>
  </si>
  <si>
    <t>fd0d7b3a-307d-07b8-25be-b60c4366a854</t>
  </si>
  <si>
    <t>fd0d7b3a-307d-07b8-fbf2-26b67e4bfc0f</t>
  </si>
  <si>
    <t>fd0d7b3a-307d-07b8-fc09-4dc26aadbcfb</t>
  </si>
  <si>
    <t>fd0d7b3a-307d-07b8-c1bd-95f96a7d3d85</t>
  </si>
  <si>
    <t>fd0d7b3a-307d-07b8-8f62-4cc85b5c7f71</t>
  </si>
  <si>
    <t>fd0d7b3a-307d-07b8-60cc-55c9b737a3db</t>
  </si>
  <si>
    <t>fd0d7b3a-307d-07b8-af18-8540f7bb5a8d</t>
  </si>
  <si>
    <t>fd0d7b3a-307d-07b8-ec05-e6d8fd3d21b5</t>
  </si>
  <si>
    <t>fd0d7b3a-307d-07b8-f530-701ddb092d39</t>
  </si>
  <si>
    <t>fd0d7b3a-307d-07b8-efb0-a643f7c65b8b</t>
  </si>
  <si>
    <t>fd0d7b3a-307d-07b8-0c38-6bd5c4b21834</t>
  </si>
  <si>
    <t>fd0d7b3a-307d-07b8-b985-5412ded0f2b1</t>
  </si>
  <si>
    <t>fd0d7b3a-307d-07b8-e60b-1f3b95413888</t>
  </si>
  <si>
    <t>fd0d7b3a-307d-07b8-de3f-ec83b765fbb7</t>
  </si>
  <si>
    <t>fd0d7b3a-307d-07b8-f357-28a127e57a1b</t>
  </si>
  <si>
    <t>fd0d7b3a-307d-07b8-fad7-d8f2f17855aa</t>
  </si>
  <si>
    <t>fd0d7b3a-307d-07b8-0496-6c7a4a70d8a4</t>
  </si>
  <si>
    <t>fd0d7b3a-307d-07b8-02b0-b1a7ec1b26cb</t>
  </si>
  <si>
    <t>fd0d7b3a-307d-07b8-591d-615656dd75ad</t>
  </si>
  <si>
    <t>fd0d7b3a-307d-07b8-4216-7f40890dd9ac</t>
  </si>
  <si>
    <t>fd0d7b3a-307d-07b8-7f2b-50eaa9166986</t>
  </si>
  <si>
    <t>fd0d7b3a-307d-07b8-3526-fb32458456ea</t>
  </si>
  <si>
    <t>fd0d7b3a-307d-07b8-585d-de67df8134b0</t>
  </si>
  <si>
    <t>ccaa0537-4e7f-99d8-8030-8e0713557873</t>
  </si>
  <si>
    <t>af8566eb-8918-3ec7-ba44-92b6a2cf8097</t>
  </si>
  <si>
    <t>96f469c4-4c13-30e3-8596-ad7567df2b4c</t>
  </si>
  <si>
    <t>ccaa0537-4e7f-99d8-0f19-87292b393e21</t>
  </si>
  <si>
    <t>ccaa0537-4e7f-99d8-5b00-ea8836fb3d5c</t>
  </si>
  <si>
    <t>ccaa0537-4e7f-99d8-622d-58938fae3366</t>
  </si>
  <si>
    <t>ccaa0537-4e7f-99d8-16ed-742008811cf5</t>
  </si>
  <si>
    <t>ccaa0537-4e7f-99d8-1e1c-1b5866601df1</t>
  </si>
  <si>
    <t>84abfbd5-41c1-3df4-9b31-7ca93cb2309a</t>
  </si>
  <si>
    <t>cf7e8d3d-221a-376f-a83c-51f97f0fe62d</t>
  </si>
  <si>
    <t>ccaa0537-4e7f-99d8-44fa-5e07c6c808e6</t>
  </si>
  <si>
    <t>ccaa0537-4e7f-99d8-a4fd-08357a6db664</t>
  </si>
  <si>
    <t>ccaa0537-4e7f-99d8-3900-807fb3d44af2</t>
  </si>
  <si>
    <t>Allergic disorder initial assessment (regime/therapy)</t>
  </si>
  <si>
    <t>ccaa0537-4e7f-99d8-c90c-d4f1987515d3</t>
  </si>
  <si>
    <t>ccaa0537-4e7f-99d8-aa5a-ef4d65560473</t>
  </si>
  <si>
    <t>Outpatient procedure (procedure)</t>
  </si>
  <si>
    <t>ccaa0537-4e7f-99d8-d3ab-4cd1e779ca14</t>
  </si>
  <si>
    <t>ccaa0537-4e7f-99d8-2a53-c72d4a336087</t>
  </si>
  <si>
    <t>ccaa0537-4e7f-99d8-fb05-337e96036e86</t>
  </si>
  <si>
    <t>ccaa0537-4e7f-99d8-f88d-921722a83541</t>
  </si>
  <si>
    <t>ccaa0537-4e7f-99d8-ef00-8eaea8880f12</t>
  </si>
  <si>
    <t>ccaa0537-4e7f-99d8-eb41-18c7b2fe5a16</t>
  </si>
  <si>
    <t>ccaa0537-4e7f-99d8-5711-2d8a89a1328b</t>
  </si>
  <si>
    <t>ccaa0537-4e7f-99d8-a63d-d8172c9d284e</t>
  </si>
  <si>
    <t>ccaa0537-4e7f-99d8-c91e-e2a20556028b</t>
  </si>
  <si>
    <t>ccaa0537-4e7f-99d8-59d9-49914b077c41</t>
  </si>
  <si>
    <t>ccaa0537-4e7f-99d8-882f-0af0ab72fa9f</t>
  </si>
  <si>
    <t>ccaa0537-4e7f-99d8-89dc-32f6b01f6882</t>
  </si>
  <si>
    <t>ccaa0537-4e7f-99d8-1e95-e241b9e3371f</t>
  </si>
  <si>
    <t>ccaa0537-4e7f-99d8-e209-53fc3c227771</t>
  </si>
  <si>
    <t>ccaa0537-4e7f-99d8-c920-72e3f6ebe81f</t>
  </si>
  <si>
    <t>ccaa0537-4e7f-99d8-8c1d-43a1a9316276</t>
  </si>
  <si>
    <t>ccaa0537-4e7f-99d8-4b09-d5e12cd1720b</t>
  </si>
  <si>
    <t>ccaa0537-4e7f-99d8-0a51-dd67e08471d3</t>
  </si>
  <si>
    <t>ccaa0537-4e7f-99d8-be74-99eab04a6e1d</t>
  </si>
  <si>
    <t>ccaa0537-4e7f-99d8-3ac9-ca248dedb930</t>
  </si>
  <si>
    <t>ccaa0537-4e7f-99d8-e634-908e714e8a92</t>
  </si>
  <si>
    <t>ccaa0537-4e7f-99d8-a03d-9a265be59bdb</t>
  </si>
  <si>
    <t>ccaa0537-4e7f-99d8-1eab-cf7d7fa1dbf4</t>
  </si>
  <si>
    <t>ccaa0537-4e7f-99d8-15a2-c2774a57b80e</t>
  </si>
  <si>
    <t>ccaa0537-4e7f-99d8-b61a-abc6905c8bb0</t>
  </si>
  <si>
    <t>ccaa0537-4e7f-99d8-1323-0f3c09e11751</t>
  </si>
  <si>
    <t>ccaa0537-4e7f-99d8-cf4b-129b0a23ea02</t>
  </si>
  <si>
    <t>ccaa0537-4e7f-99d8-bfa4-fc26d396ae64</t>
  </si>
  <si>
    <t>ccaa0537-4e7f-99d8-4e04-c9d8e2a0bd77</t>
  </si>
  <si>
    <t>ccaa0537-4e7f-99d8-b3ba-564091d0a01a</t>
  </si>
  <si>
    <t>ccaa0537-4e7f-99d8-ebb1-32267870e964</t>
  </si>
  <si>
    <t>ccaa0537-4e7f-99d8-baee-301f69e6c082</t>
  </si>
  <si>
    <t>ccaa0537-4e7f-99d8-a675-e79a781ea527</t>
  </si>
  <si>
    <t>ccaa0537-4e7f-99d8-b272-c51381457b6d</t>
  </si>
  <si>
    <t>ccaa0537-4e7f-99d8-0e10-3a10daa554f9</t>
  </si>
  <si>
    <t>ccaa0537-4e7f-99d8-ba6e-ddbe797041bd</t>
  </si>
  <si>
    <t>ccaa0537-4e7f-99d8-b122-44b9d65bbdb8</t>
  </si>
  <si>
    <t>ccaa0537-4e7f-99d8-c329-9dc289c9ed22</t>
  </si>
  <si>
    <t>ccaa0537-4e7f-99d8-8d92-e259a252f7ae</t>
  </si>
  <si>
    <t>ccaa0537-4e7f-99d8-85ab-1011930d86ff</t>
  </si>
  <si>
    <t>ccaa0537-4e7f-99d8-7160-7afe5c2cc9d2</t>
  </si>
  <si>
    <t>ccaa0537-4e7f-99d8-8511-0b6e5822d290</t>
  </si>
  <si>
    <t>ccaa0537-4e7f-99d8-ed1e-4da06402b4f2</t>
  </si>
  <si>
    <t>ccaa0537-4e7f-99d8-77d6-683868a06584</t>
  </si>
  <si>
    <t>ccaa0537-4e7f-99d8-1187-aeba875d49ea</t>
  </si>
  <si>
    <t>ccaa0537-4e7f-99d8-cf19-d0880784f413</t>
  </si>
  <si>
    <t>ccaa0537-4e7f-99d8-0cb3-f0ec82621bb6</t>
  </si>
  <si>
    <t>ccaa0537-4e7f-99d8-37ff-3cb24be6a85f</t>
  </si>
  <si>
    <t>ccaa0537-4e7f-99d8-1bec-5e64b286e62d</t>
  </si>
  <si>
    <t>ccaa0537-4e7f-99d8-7d2c-f17d3afc4d2f</t>
  </si>
  <si>
    <t>ccaa0537-4e7f-99d8-9580-33b998cff01f</t>
  </si>
  <si>
    <t>ccaa0537-4e7f-99d8-e304-d8501dbd464e</t>
  </si>
  <si>
    <t>ccaa0537-4e7f-99d8-0e8c-57e1a3fbf68a</t>
  </si>
  <si>
    <t>ccaa0537-4e7f-99d8-313d-80b685e7caef</t>
  </si>
  <si>
    <t>ccaa0537-4e7f-99d8-7b88-898d6b63b75e</t>
  </si>
  <si>
    <t>ccaa0537-4e7f-99d8-11aa-da14b285b487</t>
  </si>
  <si>
    <t>ccaa0537-4e7f-99d8-06ff-4afc1aaee8dc</t>
  </si>
  <si>
    <t>ccaa0537-4e7f-99d8-e7b9-6a598fbfb45d</t>
  </si>
  <si>
    <t>ccaa0537-4e7f-99d8-0624-1a97fb619f23</t>
  </si>
  <si>
    <t>ccaa0537-4e7f-99d8-bb0e-7c9c9db7d724</t>
  </si>
  <si>
    <t>ccaa0537-4e7f-99d8-324c-b18a4d81bd7b</t>
  </si>
  <si>
    <t>ccaa0537-4e7f-99d8-75ce-c83b04fcb716</t>
  </si>
  <si>
    <t>ccaa0537-4e7f-99d8-8609-6428f0804391</t>
  </si>
  <si>
    <t>ccaa0537-4e7f-99d8-a9dc-372abce0a22e</t>
  </si>
  <si>
    <t>ccaa0537-4e7f-99d8-d618-fb646ec71682</t>
  </si>
  <si>
    <t>ccaa0537-4e7f-99d8-4458-9e69a79a80c3</t>
  </si>
  <si>
    <t>ccaa0537-4e7f-99d8-2def-cbbd4d3bc2e2</t>
  </si>
  <si>
    <t>Allergic disorder follow-up assessment (regime/therapy)</t>
  </si>
  <si>
    <t>ccaa0537-4e7f-99d8-1dcb-cb68d9b377d1</t>
  </si>
  <si>
    <t>ccaa0537-4e7f-99d8-ba4c-5353334782f8</t>
  </si>
  <si>
    <t>ccaa0537-4e7f-99d8-1f94-9dbc9d2560e5</t>
  </si>
  <si>
    <t>ccaa0537-4e7f-99d8-0806-06fca44d9c4b</t>
  </si>
  <si>
    <t>ccaa0537-4e7f-99d8-ca55-ad8b349a39ae</t>
  </si>
  <si>
    <t>ccaa0537-4e7f-99d8-af43-dc2f0ab0aa97</t>
  </si>
  <si>
    <t>ccaa0537-4e7f-99d8-f25f-15dd47206088</t>
  </si>
  <si>
    <t>ccaa0537-4e7f-99d8-6d92-e2d0ad96d25e</t>
  </si>
  <si>
    <t>ccaa0537-4e7f-99d8-3749-ae04c6584ac3</t>
  </si>
  <si>
    <t>ccaa0537-4e7f-99d8-9c2c-88570b444419</t>
  </si>
  <si>
    <t>ccaa0537-4e7f-99d8-7a0c-3297fa6b8b65</t>
  </si>
  <si>
    <t>ccaa0537-4e7f-99d8-a44e-0be795149c84</t>
  </si>
  <si>
    <t>ccaa0537-4e7f-99d8-e23c-16f36a83bdff</t>
  </si>
  <si>
    <t>ccaa0537-4e7f-99d8-70c7-000d75096ea0</t>
  </si>
  <si>
    <t>ccaa0537-4e7f-99d8-6d36-52411ae7433e</t>
  </si>
  <si>
    <t>ccaa0537-4e7f-99d8-e8fc-24bc363ae726</t>
  </si>
  <si>
    <t>ccaa0537-4e7f-99d8-8ac0-b0288842e021</t>
  </si>
  <si>
    <t>0e6c3ad1-24c1-34cb-bb6d-e8438fa319e2</t>
  </si>
  <si>
    <t>071107be-b730-3952-9b92-5b6139b27a66</t>
  </si>
  <si>
    <t>ccaa0537-4e7f-99d8-2965-c19493cd90be</t>
  </si>
  <si>
    <t>ccaa0537-4e7f-99d8-d15e-a7e7dd110c72</t>
  </si>
  <si>
    <t>ccaa0537-4e7f-99d8-ca8a-2573d2458647</t>
  </si>
  <si>
    <t>ccaa0537-4e7f-99d8-842c-89f47ea77085</t>
  </si>
  <si>
    <t>ccaa0537-4e7f-99d8-7a05-07ff1552a8ae</t>
  </si>
  <si>
    <t>ccaa0537-4e7f-99d8-5ba3-0ea826d62c81</t>
  </si>
  <si>
    <t>ccaa0537-4e7f-99d8-7371-f5ecbd0002b5</t>
  </si>
  <si>
    <t>ccaa0537-4e7f-99d8-f969-a7cfb9712090</t>
  </si>
  <si>
    <t>ccaa0537-4e7f-99d8-f3a2-2073938c48b0</t>
  </si>
  <si>
    <t>6b687f11-0721-ccaf-70df-6a720571c711</t>
  </si>
  <si>
    <t>901c2d40-1ca3-3879-9a20-c663b8adc0a9</t>
  </si>
  <si>
    <t>48b16ca9-484f-32b6-8ef7-96fe15ce872e</t>
  </si>
  <si>
    <t>6b687f11-0721-ccaf-15ef-c92376252182</t>
  </si>
  <si>
    <t>655f2a4f-419c-39d3-8ed6-6c4117eb7e32</t>
  </si>
  <si>
    <t>4cbda0da-7e40-3232-827d-abb75be40ff7</t>
  </si>
  <si>
    <t>6b687f11-0721-ccaf-eee9-6982359345cd</t>
  </si>
  <si>
    <t>6b687f11-0721-ccaf-4629-050041e3f16c</t>
  </si>
  <si>
    <t>6b687f11-0721-ccaf-1044-24ffbb575b34</t>
  </si>
  <si>
    <t>6b687f11-0721-ccaf-c2b7-31d376e4dd97</t>
  </si>
  <si>
    <t>6b687f11-0721-ccaf-f1ee-1cd6247be04d</t>
  </si>
  <si>
    <t>6b687f11-0721-ccaf-cd75-906c09a45984</t>
  </si>
  <si>
    <t>6b687f11-0721-ccaf-28ee-46d7dc8cc98f</t>
  </si>
  <si>
    <t>6b687f11-0721-ccaf-d515-dcc733d24f0e</t>
  </si>
  <si>
    <t>6b687f11-0721-ccaf-60b3-178a73b27787</t>
  </si>
  <si>
    <t>1ef8d603-bec1-35f5-a830-2a0b919cf47f</t>
  </si>
  <si>
    <t>ceef0c79-51c0-3fbc-995f-4eba373718da</t>
  </si>
  <si>
    <t>6b687f11-0721-ccaf-c174-d2294cd05d88</t>
  </si>
  <si>
    <t>6b687f11-0721-ccaf-2653-1e9e5b94f377</t>
  </si>
  <si>
    <t>Concussion with no loss of consciousness (disorder)</t>
  </si>
  <si>
    <t>6b687f11-0721-ccaf-ad34-c99bdf909c45</t>
  </si>
  <si>
    <t>6b687f11-0721-ccaf-c410-a2a0f3b79f5f</t>
  </si>
  <si>
    <t>6b687f11-0721-ccaf-36bd-174752e10552</t>
  </si>
  <si>
    <t>6b687f11-0721-ccaf-d480-695dfddefb31</t>
  </si>
  <si>
    <t>6b687f11-0721-ccaf-2517-a9fbca99e343</t>
  </si>
  <si>
    <t>6b687f11-0721-ccaf-7eef-be59bf7710e0</t>
  </si>
  <si>
    <t>6b687f11-0721-ccaf-0bc5-beb37eae1d9b</t>
  </si>
  <si>
    <t>6b687f11-0721-ccaf-2eb8-693c36e09cf4</t>
  </si>
  <si>
    <t>6b687f11-0721-ccaf-daa4-523d0beedb7d</t>
  </si>
  <si>
    <t>6b687f11-0721-ccaf-c6bc-e72561afb13f</t>
  </si>
  <si>
    <t>a5816bea-ad10-431f-05b7-acd51fce6a6e</t>
  </si>
  <si>
    <t>217cb6f6-e822-3831-9d9d-ffa104971042</t>
  </si>
  <si>
    <t>de263922-8964-3036-a192-c9528767cdc7</t>
  </si>
  <si>
    <t>a5816bea-ad10-431f-4602-285e3fade212</t>
  </si>
  <si>
    <t>a5816bea-ad10-431f-6cd4-9e367b41a769</t>
  </si>
  <si>
    <t>a5816bea-ad10-431f-4ac3-5c69888cbebd</t>
  </si>
  <si>
    <t>a5816bea-ad10-431f-6047-1b62aadd4ea2</t>
  </si>
  <si>
    <t>980d9bfa-a344-3bff-8c02-232dd0e8fd34</t>
  </si>
  <si>
    <t>3dc9b3d2-07f5-3abd-9e5b-40923fb40ac2</t>
  </si>
  <si>
    <t>a5816bea-ad10-431f-6613-a2797bf6385a</t>
  </si>
  <si>
    <t>a5816bea-ad10-431f-8a9d-08105baa6521</t>
  </si>
  <si>
    <t>a5816bea-ad10-431f-8df2-bf2551ef4d3b</t>
  </si>
  <si>
    <t>a25107f7-f4f5-36fc-98e4-f3e1b5875c91</t>
  </si>
  <si>
    <t>0bf12ebb-44be-30f8-a5d8-131eb8197dd3</t>
  </si>
  <si>
    <t>a5816bea-ad10-431f-032d-53dd1e563d76</t>
  </si>
  <si>
    <t>a5816bea-ad10-431f-e315-b96b26a585d6</t>
  </si>
  <si>
    <t>a5816bea-ad10-431f-828c-6ee257676ef6</t>
  </si>
  <si>
    <t>a5816bea-ad10-431f-960e-09f179436e97</t>
  </si>
  <si>
    <t>a5816bea-ad10-431f-1d58-a903bc1315c4</t>
  </si>
  <si>
    <t>a5816bea-ad10-431f-8349-ab659083a96b</t>
  </si>
  <si>
    <t>a5816bea-ad10-431f-1912-0368974d40bd</t>
  </si>
  <si>
    <t>a5816bea-ad10-431f-5ea4-5863bdb673d0</t>
  </si>
  <si>
    <t>47fb5a56-bee5-3ecd-9958-706b20831c82</t>
  </si>
  <si>
    <t>3da3901b-7832-347b-9e39-9fbecc1dc330</t>
  </si>
  <si>
    <t>a5816bea-ad10-431f-8f4b-6a3e9ab69ee0</t>
  </si>
  <si>
    <t>a5816bea-ad10-431f-43ff-5002b226395e</t>
  </si>
  <si>
    <t>a5816bea-ad10-431f-be0d-1ebd7c1ca24f</t>
  </si>
  <si>
    <t>a5816bea-ad10-431f-1500-4ec3838aa85c</t>
  </si>
  <si>
    <t>a5816bea-ad10-431f-34d7-b6a45ae18269</t>
  </si>
  <si>
    <t>a5816bea-ad10-431f-443b-4fd31daccbd1</t>
  </si>
  <si>
    <t>a5816bea-ad10-431f-279f-4df9e6e3f3ab</t>
  </si>
  <si>
    <t>a5816bea-ad10-431f-540c-328954e2b7d3</t>
  </si>
  <si>
    <t>a5816bea-ad10-431f-f88d-ed7fb59c9876</t>
  </si>
  <si>
    <t>a5816bea-ad10-431f-f980-2b29e06412fd</t>
  </si>
  <si>
    <t>a5816bea-ad10-431f-8bc1-52904e75c5a0</t>
  </si>
  <si>
    <t>a5816bea-ad10-431f-93f3-30f648ec913a</t>
  </si>
  <si>
    <t>a5816bea-ad10-431f-5d82-def3b04da629</t>
  </si>
  <si>
    <t>a5816bea-ad10-431f-15de-ead2fdb09498</t>
  </si>
  <si>
    <t>a5816bea-ad10-431f-4ec7-b7046325136f</t>
  </si>
  <si>
    <t>a5816bea-ad10-431f-3eaf-c964da2b67cb</t>
  </si>
  <si>
    <t>a5816bea-ad10-431f-7c8c-cb2827a0628c</t>
  </si>
  <si>
    <t>a5816bea-ad10-431f-ad37-c3d4e3668a0a</t>
  </si>
  <si>
    <t>a5816bea-ad10-431f-8dd0-126c6c2cf8d5</t>
  </si>
  <si>
    <t>a5816bea-ad10-431f-8209-21a0d852a0a3</t>
  </si>
  <si>
    <t>a5816bea-ad10-431f-da06-941aeaa2c176</t>
  </si>
  <si>
    <t>a5816bea-ad10-431f-3bd5-ae5634f6014c</t>
  </si>
  <si>
    <t>a5816bea-ad10-431f-5547-c998e863d828</t>
  </si>
  <si>
    <t>a5816bea-ad10-431f-9be5-e9e7ede9d972</t>
  </si>
  <si>
    <t>a5816bea-ad10-431f-39fa-6525a77fd19a</t>
  </si>
  <si>
    <t>a5816bea-ad10-431f-bfb8-c87dc3541a54</t>
  </si>
  <si>
    <t>a5816bea-ad10-431f-092f-20470db33b46</t>
  </si>
  <si>
    <t>a5816bea-ad10-431f-270c-bacef17d2b18</t>
  </si>
  <si>
    <t>a5816bea-ad10-431f-3406-c446db0b4f14</t>
  </si>
  <si>
    <t>a5816bea-ad10-431f-b4f8-87bb00c0dbdb</t>
  </si>
  <si>
    <t>a5816bea-ad10-431f-d04c-97f15abc583f</t>
  </si>
  <si>
    <t>a5816bea-ad10-431f-3f5c-8b0fe6a994c2</t>
  </si>
  <si>
    <t>a5816bea-ad10-431f-e567-d7b8fbd7bb0e</t>
  </si>
  <si>
    <t>a5816bea-ad10-431f-db79-1cbb47bb4c39</t>
  </si>
  <si>
    <t>a5816bea-ad10-431f-3cfc-25d27a4f1820</t>
  </si>
  <si>
    <t>a5816bea-ad10-431f-5a2b-93bbb9e8c7f4</t>
  </si>
  <si>
    <t>a5816bea-ad10-431f-87b5-92f387820b13</t>
  </si>
  <si>
    <t>a5816bea-ad10-431f-b4ac-03aa9160c938</t>
  </si>
  <si>
    <t>a5816bea-ad10-431f-d235-69793c96f3b1</t>
  </si>
  <si>
    <t>a5816bea-ad10-431f-0b19-134eff8232ec</t>
  </si>
  <si>
    <t>a5816bea-ad10-431f-19f6-05c997f41861</t>
  </si>
  <si>
    <t>a5816bea-ad10-431f-1d06-c382c093d31a</t>
  </si>
  <si>
    <t>a5816bea-ad10-431f-e183-c8c0e1b9bfdd</t>
  </si>
  <si>
    <t>a5816bea-ad10-431f-7d58-98000a6fe67b</t>
  </si>
  <si>
    <t>a5816bea-ad10-431f-d67f-b247caa77d57</t>
  </si>
  <si>
    <t>a5816bea-ad10-431f-56ef-2646ac2a30ce</t>
  </si>
  <si>
    <t>a5816bea-ad10-431f-3f67-bd62b15c62bc</t>
  </si>
  <si>
    <t>a5816bea-ad10-431f-6bbb-cac935c662b6</t>
  </si>
  <si>
    <t>a5816bea-ad10-431f-ae95-4ca8531e52e0</t>
  </si>
  <si>
    <t>a5816bea-ad10-431f-0da2-c89576242b59</t>
  </si>
  <si>
    <t>a5816bea-ad10-431f-a9dc-824ffee043cb</t>
  </si>
  <si>
    <t>a5816bea-ad10-431f-b923-479d0de6bf77</t>
  </si>
  <si>
    <t>a5816bea-ad10-431f-690d-7fb87ec4f860</t>
  </si>
  <si>
    <t>a5816bea-ad10-431f-6e59-7f009feb3309</t>
  </si>
  <si>
    <t>a5816bea-ad10-431f-3d0a-4f431a094ba7</t>
  </si>
  <si>
    <t>a5816bea-ad10-431f-cd88-41c949b5d5f5</t>
  </si>
  <si>
    <t>a5816bea-ad10-431f-8214-57fc54187639</t>
  </si>
  <si>
    <t>a5816bea-ad10-431f-72e6-08aded69ea97</t>
  </si>
  <si>
    <t>a5816bea-ad10-431f-da0f-ffbc4746e7d7</t>
  </si>
  <si>
    <t>a5816bea-ad10-431f-d9ca-732e8a12439d</t>
  </si>
  <si>
    <t>a5816bea-ad10-431f-fe19-d75b5ad7c058</t>
  </si>
  <si>
    <t>a5816bea-ad10-431f-fa2e-6cc96de9d7a0</t>
  </si>
  <si>
    <t>a5816bea-ad10-431f-a2c6-6124b14700de</t>
  </si>
  <si>
    <t>a5816bea-ad10-431f-39db-2e8303885e4d</t>
  </si>
  <si>
    <t>a5816bea-ad10-431f-16f9-8273dc5d404c</t>
  </si>
  <si>
    <t>a5816bea-ad10-431f-3fd2-73421bfcc459</t>
  </si>
  <si>
    <t>a5816bea-ad10-431f-fab9-3bf476003f23</t>
  </si>
  <si>
    <t>a5816bea-ad10-431f-1f94-3f2b55f6fdb6</t>
  </si>
  <si>
    <t>a5816bea-ad10-431f-cbfd-3cbe950c9c7e</t>
  </si>
  <si>
    <t>a5816bea-ad10-431f-8525-c2d9c32e68ba</t>
  </si>
  <si>
    <t>a5816bea-ad10-431f-0d7a-062f6695a7de</t>
  </si>
  <si>
    <t>a5816bea-ad10-431f-4bdc-94c1dc419d59</t>
  </si>
  <si>
    <t>a5816bea-ad10-431f-e663-26a8588323d4</t>
  </si>
  <si>
    <t>a5816bea-ad10-431f-ebab-0e440671f697</t>
  </si>
  <si>
    <t>a5816bea-ad10-431f-debb-e339cb13994e</t>
  </si>
  <si>
    <t>a5816bea-ad10-431f-e616-835f7349d0e3</t>
  </si>
  <si>
    <t>a5816bea-ad10-431f-c87b-0741f53eb006</t>
  </si>
  <si>
    <t>a5816bea-ad10-431f-2b9b-74a34606c606</t>
  </si>
  <si>
    <t>a5816bea-ad10-431f-64ec-d09482dbf641</t>
  </si>
  <si>
    <t>a5816bea-ad10-431f-2565-bf78fc97df59</t>
  </si>
  <si>
    <t>a5816bea-ad10-431f-a671-bd3c80b0a423</t>
  </si>
  <si>
    <t>a5816bea-ad10-431f-9213-9fd33005813c</t>
  </si>
  <si>
    <t>a5816bea-ad10-431f-2f3e-5900c8d82323</t>
  </si>
  <si>
    <t>a5816bea-ad10-431f-3b00-f32245df35ab</t>
  </si>
  <si>
    <t>a5816bea-ad10-431f-a8a3-f9256cf865ed</t>
  </si>
  <si>
    <t>a5816bea-ad10-431f-4637-f1adcff4bbf4</t>
  </si>
  <si>
    <t>a5816bea-ad10-431f-4b02-c3b470906f16</t>
  </si>
  <si>
    <t>a5816bea-ad10-431f-4932-5153e2c4ffdf</t>
  </si>
  <si>
    <t>a5816bea-ad10-431f-5541-91f0d4eeb13c</t>
  </si>
  <si>
    <t>a5816bea-ad10-431f-2a10-3e174a5a40b8</t>
  </si>
  <si>
    <t>1e32a1a3-3638-cb8c-5787-7cf71d3f820f</t>
  </si>
  <si>
    <t>545dcda5-7471-374e-9251-b4b685197d3c</t>
  </si>
  <si>
    <t>46c29449-4e5d-305e-8fe3-95afba1f5cea</t>
  </si>
  <si>
    <t>1e32a1a3-3638-cb8c-1274-fda233b661b9</t>
  </si>
  <si>
    <t>20df65a4-7567-3066-b680-0f71b0c31d38</t>
  </si>
  <si>
    <t>9a73a8af-46ec-3eeb-844d-5effdce3223b</t>
  </si>
  <si>
    <t>1e32a1a3-3638-cb8c-6db1-474aa7cbc240</t>
  </si>
  <si>
    <t>1e32a1a3-3638-cb8c-3bf3-e25cb03c3c51</t>
  </si>
  <si>
    <t>1e32a1a3-3638-cb8c-991a-1c67a5b8417b</t>
  </si>
  <si>
    <t>1e32a1a3-3638-cb8c-b17e-bc6eedcd36ff</t>
  </si>
  <si>
    <t>1e32a1a3-3638-cb8c-de71-1a3764835653</t>
  </si>
  <si>
    <t>1e32a1a3-3638-cb8c-9246-e1d48a9360d0</t>
  </si>
  <si>
    <t>1e32a1a3-3638-cb8c-9e34-1718b69faaba</t>
  </si>
  <si>
    <t>1e32a1a3-3638-cb8c-768d-c05bef427754</t>
  </si>
  <si>
    <t>1e32a1a3-3638-cb8c-f45a-e036a6fd0936</t>
  </si>
  <si>
    <t>1e32a1a3-3638-cb8c-c959-1a5efa8a5b13</t>
  </si>
  <si>
    <t>1e32a1a3-3638-cb8c-8333-1b9a103db7c6</t>
  </si>
  <si>
    <t>1e32a1a3-3638-cb8c-18c8-22a2678d59df</t>
  </si>
  <si>
    <t>1e32a1a3-3638-cb8c-d864-c5d4fee1904e</t>
  </si>
  <si>
    <t>1e32a1a3-3638-cb8c-85b0-6807baa6a927</t>
  </si>
  <si>
    <t>1e32a1a3-3638-cb8c-3a45-d683923b4572</t>
  </si>
  <si>
    <t>1e32a1a3-3638-cb8c-5eac-aba6dfeb8cf4</t>
  </si>
  <si>
    <t>1e32a1a3-3638-cb8c-2e82-7a7f53df174c</t>
  </si>
  <si>
    <t>1e32a1a3-3638-cb8c-ced1-520547e8458e</t>
  </si>
  <si>
    <t>197ec76f-0730-2587-431f-931a6906c5f9</t>
  </si>
  <si>
    <t>e9a24be5-b0a3-3fd2-a606-dd13498024ea</t>
  </si>
  <si>
    <t>98a1397a-6fa0-3cb6-a667-84971834129d</t>
  </si>
  <si>
    <t>197ec76f-0730-2587-99a4-0cd3962d2d88</t>
  </si>
  <si>
    <t>197ec76f-0730-2587-eb46-f3b320a0bcc3</t>
  </si>
  <si>
    <t>197ec76f-0730-2587-e903-4e549149ec81</t>
  </si>
  <si>
    <t>197ec76f-0730-2587-d933-020381652a2b</t>
  </si>
  <si>
    <t>197ec76f-0730-2587-0723-f135a210228f</t>
  </si>
  <si>
    <t>18df2721-3f76-3f83-94d5-63597cedd298</t>
  </si>
  <si>
    <t>cb4dc47a-a7f2-3191-a0c9-2973b1304fa7</t>
  </si>
  <si>
    <t>197ec76f-0730-2587-aa85-041089b90257</t>
  </si>
  <si>
    <t>197ec76f-0730-2587-61db-ec1076983e0f</t>
  </si>
  <si>
    <t>197ec76f-0730-2587-33db-8131d0caad63</t>
  </si>
  <si>
    <t>197ec76f-0730-2587-4d98-4d24438ad448</t>
  </si>
  <si>
    <t>197ec76f-0730-2587-08d9-3c5bf0e66e27</t>
  </si>
  <si>
    <t>197ec76f-0730-2587-3b15-0bac5d16c0d4</t>
  </si>
  <si>
    <t>197ec76f-0730-2587-948f-de16c095b492</t>
  </si>
  <si>
    <t>197ec76f-0730-2587-62a7-17ae1f234a55</t>
  </si>
  <si>
    <t>197ec76f-0730-2587-673e-70c01b4cb343</t>
  </si>
  <si>
    <t>197ec76f-0730-2587-b4dd-647b565ae74b</t>
  </si>
  <si>
    <t>197ec76f-0730-2587-f6b9-e67da9f5e252</t>
  </si>
  <si>
    <t>197ec76f-0730-2587-c104-a261e520014b</t>
  </si>
  <si>
    <t>197ec76f-0730-2587-9f22-96ceea1e58d8</t>
  </si>
  <si>
    <t>197ec76f-0730-2587-df52-75b4c1ba2162</t>
  </si>
  <si>
    <t>82623afe-e51c-e02e-489b-38187503b81b</t>
  </si>
  <si>
    <t>82623afe-e51c-e02e-9fa0-5b2cd8d72efe</t>
  </si>
  <si>
    <t>82623afe-e51c-e02e-f0b3-f0900610212e</t>
  </si>
  <si>
    <t>82623afe-e51c-e02e-6f70-5548bbc9db1a</t>
  </si>
  <si>
    <t>82623afe-e51c-e02e-121d-23cd199b3bef</t>
  </si>
  <si>
    <t>82623afe-e51c-e02e-0cb3-b28c7cac5886</t>
  </si>
  <si>
    <t>82623afe-e51c-e02e-43c8-b8e6de275c23</t>
  </si>
  <si>
    <t>82623afe-e51c-e02e-890d-ced3b59ccd02</t>
  </si>
  <si>
    <t>82623afe-e51c-e02e-4693-55e5715057b8</t>
  </si>
  <si>
    <t>82623afe-e51c-e02e-d617-5326c746b07d</t>
  </si>
  <si>
    <t>82623afe-e51c-e02e-951b-742e3d75b81a</t>
  </si>
  <si>
    <t>82623afe-e51c-e02e-ad5c-56e0ed756bb6</t>
  </si>
  <si>
    <t>82623afe-e51c-e02e-9ee6-ea135635af06</t>
  </si>
  <si>
    <t>82623afe-e51c-e02e-50a5-a61df30f297d</t>
  </si>
  <si>
    <t>82623afe-e51c-e02e-ec45-5907ffcd90c8</t>
  </si>
  <si>
    <t>82623afe-e51c-e02e-7b7e-6eeae7efc71a</t>
  </si>
  <si>
    <t>82623afe-e51c-e02e-e633-33a113cd107d</t>
  </si>
  <si>
    <t>82623afe-e51c-e02e-c81f-82e3d0155690</t>
  </si>
  <si>
    <t>82623afe-e51c-e02e-6a01-ea0ec85a1d53</t>
  </si>
  <si>
    <t>82623afe-e51c-e02e-4423-69428b6b3c8f</t>
  </si>
  <si>
    <t>82623afe-e51c-e02e-1b9e-7c382fe96f42</t>
  </si>
  <si>
    <t>82623afe-e51c-e02e-3aa2-fdbbf1445328</t>
  </si>
  <si>
    <t>82623afe-e51c-e02e-696c-849f4b8f9400</t>
  </si>
  <si>
    <t>82623afe-e51c-e02e-a5ee-2f10ca04c560</t>
  </si>
  <si>
    <t>82623afe-e51c-e02e-4167-7b021d4ff53d</t>
  </si>
  <si>
    <t>82623afe-e51c-e02e-effe-6bcedeee22bb</t>
  </si>
  <si>
    <t>82623afe-e51c-e02e-be02-f544e661d4b2</t>
  </si>
  <si>
    <t>82623afe-e51c-e02e-57e8-10a8b750cac9</t>
  </si>
  <si>
    <t>82623afe-e51c-e02e-827f-70c092e0dffa</t>
  </si>
  <si>
    <t>82623afe-e51c-e02e-6ba4-526e6f5ed82d</t>
  </si>
  <si>
    <t>82623afe-e51c-e02e-b054-a0a4ba49bd05</t>
  </si>
  <si>
    <t>82623afe-e51c-e02e-a8c6-d9d6018d74ef</t>
  </si>
  <si>
    <t>82623afe-e51c-e02e-265d-7e24a56c65a7</t>
  </si>
  <si>
    <t>82623afe-e51c-e02e-ef2f-bd7263ad5be6</t>
  </si>
  <si>
    <t>82623afe-e51c-e02e-e13d-e4751d080485</t>
  </si>
  <si>
    <t>82623afe-e51c-e02e-cbd9-11ba59c70bb8</t>
  </si>
  <si>
    <t>82623afe-e51c-e02e-9995-5c34cdb367c8</t>
  </si>
  <si>
    <t>82623afe-e51c-e02e-6fd9-324021abf32c</t>
  </si>
  <si>
    <t>82623afe-e51c-e02e-be33-3ef1f1acf854</t>
  </si>
  <si>
    <t>82623afe-e51c-e02e-967a-35afa35b1228</t>
  </si>
  <si>
    <t>82623afe-e51c-e02e-cfd3-63e4f130b180</t>
  </si>
  <si>
    <t>82623afe-e51c-e02e-0730-e6eb8c67dc33</t>
  </si>
  <si>
    <t>82623afe-e51c-e02e-ac50-1ca53b62c365</t>
  </si>
  <si>
    <t>82623afe-e51c-e02e-d4f6-ad02d8b2ea2e</t>
  </si>
  <si>
    <t>82623afe-e51c-e02e-712a-8325d2196c22</t>
  </si>
  <si>
    <t>82623afe-e51c-e02e-895a-1aa5958d0ee0</t>
  </si>
  <si>
    <t>82623afe-e51c-e02e-61c0-d181f9634113</t>
  </si>
  <si>
    <t>82623afe-e51c-e02e-23d8-5e4116a153bb</t>
  </si>
  <si>
    <t>82623afe-e51c-e02e-d04f-6ed5f1040e0e</t>
  </si>
  <si>
    <t>82623afe-e51c-e02e-63ff-d419d11c0bcf</t>
  </si>
  <si>
    <t>82623afe-e51c-e02e-1670-3b9a7c76e22f</t>
  </si>
  <si>
    <t>82623afe-e51c-e02e-3166-f7a90226cf72</t>
  </si>
  <si>
    <t>82623afe-e51c-e02e-723c-cf9d5c953aa5</t>
  </si>
  <si>
    <t>82623afe-e51c-e02e-1036-158a3bf7a88f</t>
  </si>
  <si>
    <t>82623afe-e51c-e02e-55c9-bb532d09f8c9</t>
  </si>
  <si>
    <t>82623afe-e51c-e02e-da81-92c81bfa0e1b</t>
  </si>
  <si>
    <t>82623afe-e51c-e02e-dc6e-f42553468d57</t>
  </si>
  <si>
    <t>82623afe-e51c-e02e-5583-e9793c0f5d3c</t>
  </si>
  <si>
    <t>82623afe-e51c-e02e-a5e8-40b727529037</t>
  </si>
  <si>
    <t>82623afe-e51c-e02e-87a4-3fca56df856a</t>
  </si>
  <si>
    <t>82623afe-e51c-e02e-e292-c69380c0b276</t>
  </si>
  <si>
    <t>82623afe-e51c-e02e-d700-e0e85f508954</t>
  </si>
  <si>
    <t>82623afe-e51c-e02e-577b-b587d8bfbab3</t>
  </si>
  <si>
    <t>82623afe-e51c-e02e-1747-76a4a1b9f9b5</t>
  </si>
  <si>
    <t>82623afe-e51c-e02e-667f-8930c99419bb</t>
  </si>
  <si>
    <t>82623afe-e51c-e02e-85de-9c0704f0d4dd</t>
  </si>
  <si>
    <t>82623afe-e51c-e02e-6382-935863095721</t>
  </si>
  <si>
    <t>82623afe-e51c-e02e-9dd4-92c7dc1f9bb8</t>
  </si>
  <si>
    <t>82623afe-e51c-e02e-d36f-650f95794f9f</t>
  </si>
  <si>
    <t>82623afe-e51c-e02e-a7ce-673be70eecc0</t>
  </si>
  <si>
    <t>82623afe-e51c-e02e-dfc5-6aebf96be97d</t>
  </si>
  <si>
    <t>82623afe-e51c-e02e-7838-78fab592a0da</t>
  </si>
  <si>
    <t>82623afe-e51c-e02e-32af-9f11d587a9ee</t>
  </si>
  <si>
    <t>82623afe-e51c-e02e-f8f3-6c3f237e0144</t>
  </si>
  <si>
    <t>8d91c36a-1f7e-3842-3ef0-c8ea74f38139</t>
  </si>
  <si>
    <t>8d91c36a-1f7e-3842-a3be-9fcb324db7b5</t>
  </si>
  <si>
    <t>8d91c36a-1f7e-3842-078e-e1c43dbf54a0</t>
  </si>
  <si>
    <t>8d91c36a-1f7e-3842-3306-c3b08239344f</t>
  </si>
  <si>
    <t>8d91c36a-1f7e-3842-e2fc-80d329261a31</t>
  </si>
  <si>
    <t>8d91c36a-1f7e-3842-722d-37145f2f1be0</t>
  </si>
  <si>
    <t>8d91c36a-1f7e-3842-48ee-0b986de96d92</t>
  </si>
  <si>
    <t>8d91c36a-1f7e-3842-6143-8e49a0031abc</t>
  </si>
  <si>
    <t>8d91c36a-1f7e-3842-3933-cd15255296be</t>
  </si>
  <si>
    <t>8d91c36a-1f7e-3842-ef80-ec7eedbdf948</t>
  </si>
  <si>
    <t>8d91c36a-1f7e-3842-8a33-32c7fb1bb3a1</t>
  </si>
  <si>
    <t>8d91c36a-1f7e-3842-cb1b-5d9f53982bba</t>
  </si>
  <si>
    <t>8d91c36a-1f7e-3842-f5b7-782497615051</t>
  </si>
  <si>
    <t>8d91c36a-1f7e-3842-575d-65a3e0886eae</t>
  </si>
  <si>
    <t>8d91c36a-1f7e-3842-c5a8-3d51f8bb0e72</t>
  </si>
  <si>
    <t>8d91c36a-1f7e-3842-0d15-6e0ad5cd7064</t>
  </si>
  <si>
    <t>8d91c36a-1f7e-3842-70a0-84aec9185843</t>
  </si>
  <si>
    <t>8d91c36a-1f7e-3842-9702-3fc00670c71b</t>
  </si>
  <si>
    <t>8d91c36a-1f7e-3842-d307-5261e3640dcd</t>
  </si>
  <si>
    <t>8d91c36a-1f7e-3842-51df-a078dbcc6054</t>
  </si>
  <si>
    <t>Telemedicine consultation with patient (procedure)</t>
  </si>
  <si>
    <t>8d91c36a-1f7e-3842-81be-5a06e5ecd05e</t>
  </si>
  <si>
    <t>8d91c36a-1f7e-3842-f145-ead7c5c00ed9</t>
  </si>
  <si>
    <t>8d91c36a-1f7e-3842-66df-4e55eed9316d</t>
  </si>
  <si>
    <t>8d91c36a-1f7e-3842-b558-0eb18f54cf68</t>
  </si>
  <si>
    <t>8d91c36a-1f7e-3842-99d0-cd6c962f654a</t>
  </si>
  <si>
    <t>8d91c36a-1f7e-3842-184a-13b3e3d80788</t>
  </si>
  <si>
    <t>8d91c36a-1f7e-3842-733c-237d7965af54</t>
  </si>
  <si>
    <t>8d91c36a-1f7e-3842-97f3-523a17a8350a</t>
  </si>
  <si>
    <t>8d91c36a-1f7e-3842-9953-92c953636d21</t>
  </si>
  <si>
    <t>8d91c36a-1f7e-3842-b043-9c5d2143f6eb</t>
  </si>
  <si>
    <t>8d91c36a-1f7e-3842-000a-0a1878539b91</t>
  </si>
  <si>
    <t>8d91c36a-1f7e-3842-22d2-d732bf48847b</t>
  </si>
  <si>
    <t>8d91c36a-1f7e-3842-d7eb-2e5b76200bcc</t>
  </si>
  <si>
    <t>8d91c36a-1f7e-3842-13b6-028e93336a42</t>
  </si>
  <si>
    <t>8d91c36a-1f7e-3842-5f00-bbf82da74762</t>
  </si>
  <si>
    <t>8d91c36a-1f7e-3842-ccf9-404986ea1941</t>
  </si>
  <si>
    <t>8d91c36a-1f7e-3842-6b24-f77d56662970</t>
  </si>
  <si>
    <t>8d91c36a-1f7e-3842-1ea9-e670f17555b5</t>
  </si>
  <si>
    <t>8d91c36a-1f7e-3842-6df3-3edb7c6a9575</t>
  </si>
  <si>
    <t>8d91c36a-1f7e-3842-cbc3-901e9cda29d4</t>
  </si>
  <si>
    <t>8d91c36a-1f7e-3842-7f3d-db5ca00f4d98</t>
  </si>
  <si>
    <t>8d91c36a-1f7e-3842-f2ee-063081772107</t>
  </si>
  <si>
    <t>8d91c36a-1f7e-3842-bf3a-4332ed63a53d</t>
  </si>
  <si>
    <t>8d91c36a-1f7e-3842-1b80-351adcb13ca0</t>
  </si>
  <si>
    <t>8d91c36a-1f7e-3842-3c8b-9f8a2437d1e9</t>
  </si>
  <si>
    <t>200746fc-5d0f-3ec7-a2a9-3d9a219ee139</t>
  </si>
  <si>
    <t>3cf7b1f9-2524-33ae-8fde-71ac89316d79</t>
  </si>
  <si>
    <t>8d91c36a-1f7e-3842-ecec-fec2b9831667</t>
  </si>
  <si>
    <t>c1453af6-5763-f853-5b41-bbc09afc7a72</t>
  </si>
  <si>
    <t>faffaf6a-ee1a-3673-b0b0-421a9c249244</t>
  </si>
  <si>
    <t>de3dc7a7-3bca-38d8-997d-43d7b0656ee9</t>
  </si>
  <si>
    <t>c1453af6-5763-f853-a1f4-3cdfe4cfd8da</t>
  </si>
  <si>
    <t>ac0fde88-b0ad-3388-a4a8-b8fc2a4f4af2</t>
  </si>
  <si>
    <t>3a43e601-a5bc-3cb1-a910-fd095c58c91b</t>
  </si>
  <si>
    <t>c1453af6-5763-f853-5bee-4f2d31f99660</t>
  </si>
  <si>
    <t>c1453af6-5763-f853-37a3-372970fd9ed2</t>
  </si>
  <si>
    <t>c1453af6-5763-f853-43aa-c06a564b1a91</t>
  </si>
  <si>
    <t>c1453af6-5763-f853-9d5d-c939f211685c</t>
  </si>
  <si>
    <t>c1453af6-5763-f853-2ed2-8d2bd1e91c56</t>
  </si>
  <si>
    <t>c1453af6-5763-f853-8b62-2daca046764d</t>
  </si>
  <si>
    <t>c1453af6-5763-f853-0b03-fc05d7df86b3</t>
  </si>
  <si>
    <t>c1453af6-5763-f853-834b-1885a58e9840</t>
  </si>
  <si>
    <t>c1453af6-5763-f853-f430-702892ec8ab5</t>
  </si>
  <si>
    <t>c1453af6-5763-f853-8dea-7e8707934ef9</t>
  </si>
  <si>
    <t>c1453af6-5763-f853-9cf2-dd41cb6544ff</t>
  </si>
  <si>
    <t>c1453af6-5763-f853-d050-dbc8994095fe</t>
  </si>
  <si>
    <t>c1453af6-5763-f853-205a-d6af5d96fe97</t>
  </si>
  <si>
    <t>1ce0d1a3-b507-3ad1-afc5-b25bfe48b8dc</t>
  </si>
  <si>
    <t>cb04fbb5-a1db-3c86-b415-a99bac8c6060</t>
  </si>
  <si>
    <t>c1453af6-5763-f853-5798-1ce6e7ea4027</t>
  </si>
  <si>
    <t>c1453af6-5763-f853-0dd7-ac5abe2e5806</t>
  </si>
  <si>
    <t>c1453af6-5763-f853-aaea-a2b891cb94f8</t>
  </si>
  <si>
    <t>c1453af6-5763-f853-2b4f-c8feb4d4f6ec</t>
  </si>
  <si>
    <t>c1453af6-5763-f853-f0cd-242cdf0e2c42</t>
  </si>
  <si>
    <t>c1453af6-5763-f853-700f-cf7cb1d05e7b</t>
  </si>
  <si>
    <t>c1453af6-5763-f853-badc-0fa62b04d97b</t>
  </si>
  <si>
    <t>c1453af6-5763-f853-19e9-b76275275525</t>
  </si>
  <si>
    <t>c1453af6-5763-f853-103f-00bf51d2ff48</t>
  </si>
  <si>
    <t>57efda89-b582-bb08-1845-a233d9ef1b64</t>
  </si>
  <si>
    <t>471f7ca2-38f8-3080-8109-187c73ec0b1f</t>
  </si>
  <si>
    <t>f86d82f7-4700-3a32-b779-24d93cbe786a</t>
  </si>
  <si>
    <t>57efda89-b582-bb08-896b-cf75a8b67d3f</t>
  </si>
  <si>
    <t>57efda89-b582-bb08-860d-80e116aff96a</t>
  </si>
  <si>
    <t>57efda89-b582-bb08-2a76-fb4c96db7a79</t>
  </si>
  <si>
    <t>57efda89-b582-bb08-2b03-a02d15664c30</t>
  </si>
  <si>
    <t>57efda89-b582-bb08-d4c2-a60dfd28161c</t>
  </si>
  <si>
    <t>57efda89-b582-bb08-45fc-2fbce654236e</t>
  </si>
  <si>
    <t>57efda89-b582-bb08-6ff9-5006c9f9a320</t>
  </si>
  <si>
    <t>57efda89-b582-bb08-7fbb-b28837e09104</t>
  </si>
  <si>
    <t>57efda89-b582-bb08-af4b-c8101719e409</t>
  </si>
  <si>
    <t>57efda89-b582-bb08-4864-36ecd4fa9c56</t>
  </si>
  <si>
    <t>57efda89-b582-bb08-e9ac-55bb1b965b6a</t>
  </si>
  <si>
    <t>57efda89-b582-bb08-57b7-ea62855aa368</t>
  </si>
  <si>
    <t>57efda89-b582-bb08-3b50-2b561fef03dc</t>
  </si>
  <si>
    <t>57efda89-b582-bb08-969c-54b5615b3e61</t>
  </si>
  <si>
    <t>57efda89-b582-bb08-ec07-8adcafe76814</t>
  </si>
  <si>
    <t>57efda89-b582-bb08-32d9-36f98d9ad720</t>
  </si>
  <si>
    <t>57efda89-b582-bb08-5cd7-93a9486aab7c</t>
  </si>
  <si>
    <t>57efda89-b582-bb08-43f0-2416145eb223</t>
  </si>
  <si>
    <t>57efda89-b582-bb08-422d-097d8ebec7e7</t>
  </si>
  <si>
    <t>57efda89-b582-bb08-2759-bef47addbe80</t>
  </si>
  <si>
    <t>57efda89-b582-bb08-586a-e10af7650f68</t>
  </si>
  <si>
    <t>57efda89-b582-bb08-528e-8e19281953df</t>
  </si>
  <si>
    <t>57efda89-b582-bb08-77db-d2451e757783</t>
  </si>
  <si>
    <t>57efda89-b582-bb08-daa0-f7cff043c1a7</t>
  </si>
  <si>
    <t>57efda89-b582-bb08-301c-166fd3fc0fb2</t>
  </si>
  <si>
    <t>57efda89-b582-bb08-8bc1-79081acbd2d9</t>
  </si>
  <si>
    <t>57efda89-b582-bb08-3bc8-90e8edcb5b3e</t>
  </si>
  <si>
    <t>57efda89-b582-bb08-d96c-d20f3d0c1c8b</t>
  </si>
  <si>
    <t>57efda89-b582-bb08-bc42-807e0caee4eb</t>
  </si>
  <si>
    <t>57efda89-b582-bb08-4137-0b48a3a8c5ef</t>
  </si>
  <si>
    <t>57efda89-b582-bb08-69cc-36125d73b863</t>
  </si>
  <si>
    <t>57efda89-b582-bb08-c21f-a0018e61be22</t>
  </si>
  <si>
    <t>57efda89-b582-bb08-c58e-59677362fd07</t>
  </si>
  <si>
    <t>57efda89-b582-bb08-2da0-b3fa3672de0f</t>
  </si>
  <si>
    <t>57efda89-b582-bb08-950f-44046ada09f9</t>
  </si>
  <si>
    <t>57efda89-b582-bb08-966a-7ff22a59e40e</t>
  </si>
  <si>
    <t>57efda89-b582-bb08-4218-d9957fce1922</t>
  </si>
  <si>
    <t>57efda89-b582-bb08-117e-8f5de0118c16</t>
  </si>
  <si>
    <t>57efda89-b582-bb08-3e55-549ff5624476</t>
  </si>
  <si>
    <t>57efda89-b582-bb08-9f45-7bc3845b01d2</t>
  </si>
  <si>
    <t>57efda89-b582-bb08-6056-b13567030251</t>
  </si>
  <si>
    <t>57efda89-b582-bb08-8e78-e47d96d7cc38</t>
  </si>
  <si>
    <t>57efda89-b582-bb08-57ab-a55366f3324b</t>
  </si>
  <si>
    <t>57efda89-b582-bb08-fad5-50cf7e51f6cd</t>
  </si>
  <si>
    <t>57efda89-b582-bb08-f9d1-ea9e4672bd89</t>
  </si>
  <si>
    <t>57efda89-b582-bb08-4d30-b1f686c795cb</t>
  </si>
  <si>
    <t>57efda89-b582-bb08-6661-c23b46bdd3e5</t>
  </si>
  <si>
    <t>57efda89-b582-bb08-5bdf-2c919cea1aff</t>
  </si>
  <si>
    <t>57efda89-b582-bb08-447b-d02615e20e0f</t>
  </si>
  <si>
    <t>57efda89-b582-bb08-df85-ab420bf99dc3</t>
  </si>
  <si>
    <t>57efda89-b582-bb08-d35a-6d7c19cff1c7</t>
  </si>
  <si>
    <t>57efda89-b582-bb08-ba69-230ada412c9b</t>
  </si>
  <si>
    <t>57efda89-b582-bb08-9ae0-cef2fa730e94</t>
  </si>
  <si>
    <t>57efda89-b582-bb08-17ae-f6b8e81c9738</t>
  </si>
  <si>
    <t>57efda89-b582-bb08-22f8-74270d8952cb</t>
  </si>
  <si>
    <t>57efda89-b582-bb08-ffb6-7931ff8b182e</t>
  </si>
  <si>
    <t>57efda89-b582-bb08-0c3d-8d460a65a819</t>
  </si>
  <si>
    <t>57efda89-b582-bb08-caa4-d86856d366a5</t>
  </si>
  <si>
    <t>57efda89-b582-bb08-f9a7-0ddbe451bb7a</t>
  </si>
  <si>
    <t>57efda89-b582-bb08-4367-91b38b2c41b7</t>
  </si>
  <si>
    <t>57efda89-b582-bb08-bd21-bb28c41975ab</t>
  </si>
  <si>
    <t>57efda89-b582-bb08-8187-560328b438bf</t>
  </si>
  <si>
    <t>57efda89-b582-bb08-dc50-65a8b2f55059</t>
  </si>
  <si>
    <t>57efda89-b582-bb08-94a9-04145389042c</t>
  </si>
  <si>
    <t>57efda89-b582-bb08-853b-3a7ce1090d82</t>
  </si>
  <si>
    <t>57efda89-b582-bb08-9751-bdf7ded430ec</t>
  </si>
  <si>
    <t>Chronic kidney disease stage 4 (disorder)</t>
  </si>
  <si>
    <t>57efda89-b582-bb08-26e8-4f0e6f493f75</t>
  </si>
  <si>
    <t>57efda89-b582-bb08-c1fc-669e8872c61b</t>
  </si>
  <si>
    <t>57efda89-b582-bb08-0a4e-2c9d3c7d20ef</t>
  </si>
  <si>
    <t>57efda89-b582-bb08-e438-19477eae6dae</t>
  </si>
  <si>
    <t>57efda89-b582-bb08-d645-9d2c2e804763</t>
  </si>
  <si>
    <t>57efda89-b582-bb08-da09-3d3a06d1d648</t>
  </si>
  <si>
    <t>57efda89-b582-bb08-d1f6-8abec831161c</t>
  </si>
  <si>
    <t>57efda89-b582-bb08-aef6-779e0f1a7639</t>
  </si>
  <si>
    <t>57efda89-b582-bb08-446f-bd7047023129</t>
  </si>
  <si>
    <t>57efda89-b582-bb08-b5fb-8da1275521fa</t>
  </si>
  <si>
    <t>57efda89-b582-bb08-b6bd-c1f4efb53017</t>
  </si>
  <si>
    <t>57efda89-b582-bb08-a099-5ea3bfd00a75</t>
  </si>
  <si>
    <t>57efda89-b582-bb08-adbd-8af176554a7f</t>
  </si>
  <si>
    <t>57efda89-b582-bb08-a50b-a8041006c1a8</t>
  </si>
  <si>
    <t>57efda89-b582-bb08-e2e0-bdda6b5934e5</t>
  </si>
  <si>
    <t>57efda89-b582-bb08-6991-98bcb86dab1a</t>
  </si>
  <si>
    <t>57efda89-b582-bb08-6278-dfc54f90754a</t>
  </si>
  <si>
    <t>57efda89-b582-bb08-f28f-fb2dcf635a6e</t>
  </si>
  <si>
    <t>57efda89-b582-bb08-7208-14e9a3ad0b1f</t>
  </si>
  <si>
    <t>57efda89-b582-bb08-51c2-ca4f0b4a5b9c</t>
  </si>
  <si>
    <t>57efda89-b582-bb08-33d7-4964ef6ee440</t>
  </si>
  <si>
    <t>57efda89-b582-bb08-858b-d77e7a4456c5</t>
  </si>
  <si>
    <t>57efda89-b582-bb08-ea6c-c10d8b8a8a72</t>
  </si>
  <si>
    <t>57efda89-b582-bb08-d778-17e982e913a6</t>
  </si>
  <si>
    <t>57efda89-b582-bb08-7009-40777a062b7c</t>
  </si>
  <si>
    <t>57efda89-b582-bb08-8c31-c75e3cb7a1ac</t>
  </si>
  <si>
    <t>57efda89-b582-bb08-26d3-3bd28a7bfb56</t>
  </si>
  <si>
    <t>57efda89-b582-bb08-5a7a-e7b0bc76d849</t>
  </si>
  <si>
    <t>57efda89-b582-bb08-3202-c77f24a81e15</t>
  </si>
  <si>
    <t>57efda89-b582-bb08-d16b-29e75747c36a</t>
  </si>
  <si>
    <t>57efda89-b582-bb08-db8d-6bb9d66a2712</t>
  </si>
  <si>
    <t>57efda89-b582-bb08-1715-3bc66d3b5e36</t>
  </si>
  <si>
    <t>57efda89-b582-bb08-683f-52e40367cd4f</t>
  </si>
  <si>
    <t>57efda89-b582-bb08-d0ce-2d0b21557d3e</t>
  </si>
  <si>
    <t>57efda89-b582-bb08-b215-2b7766fc2f3a</t>
  </si>
  <si>
    <t>57efda89-b582-bb08-3e2d-29484afbf10f</t>
  </si>
  <si>
    <t>57efda89-b582-bb08-d322-d2b87a32b26d</t>
  </si>
  <si>
    <t>57efda89-b582-bb08-a85e-5cd1fe97450b</t>
  </si>
  <si>
    <t>57efda89-b582-bb08-7efc-737670ba5e1e</t>
  </si>
  <si>
    <t>57efda89-b582-bb08-c44d-a63e4c361e93</t>
  </si>
  <si>
    <t>57efda89-b582-bb08-6433-d06b51a7ea24</t>
  </si>
  <si>
    <t>57efda89-b582-bb08-9bf7-073c177473cd</t>
  </si>
  <si>
    <t>57efda89-b582-bb08-2773-3f186493fa68</t>
  </si>
  <si>
    <t>57efda89-b582-bb08-22fb-ce9ee5610132</t>
  </si>
  <si>
    <t>57efda89-b582-bb08-520c-e783daa9ad70</t>
  </si>
  <si>
    <t>57efda89-b582-bb08-0b3d-b6a086c62597</t>
  </si>
  <si>
    <t>57efda89-b582-bb08-fc49-b98d624ad980</t>
  </si>
  <si>
    <t>57efda89-b582-bb08-056f-6042c1305dcc</t>
  </si>
  <si>
    <t>57efda89-b582-bb08-4d50-95f3c689682e</t>
  </si>
  <si>
    <t>57efda89-b582-bb08-5864-997b87c5596b</t>
  </si>
  <si>
    <t>57efda89-b582-bb08-6d33-ad0b5e712b8a</t>
  </si>
  <si>
    <t>57efda89-b582-bb08-093a-f7e94797a82e</t>
  </si>
  <si>
    <t>57efda89-b582-bb08-a77c-009eea2c4672</t>
  </si>
  <si>
    <t>57efda89-b582-bb08-2664-674ce062e334</t>
  </si>
  <si>
    <t>57efda89-b582-bb08-3267-1a5d47b84dc6</t>
  </si>
  <si>
    <t>57efda89-b582-bb08-61b4-4f12facdd997</t>
  </si>
  <si>
    <t>57efda89-b582-bb08-e7bb-b8ac7bec128a</t>
  </si>
  <si>
    <t>57efda89-b582-bb08-7ed4-48f4fbfbb348</t>
  </si>
  <si>
    <t>57efda89-b582-bb08-2c3e-74320fb76c94</t>
  </si>
  <si>
    <t>57efda89-b582-bb08-af19-2471d8ece6e1</t>
  </si>
  <si>
    <t>57efda89-b582-bb08-6a42-f8b9104a5b5d</t>
  </si>
  <si>
    <t>57efda89-b582-bb08-c2e3-e0d9717163af</t>
  </si>
  <si>
    <t>57efda89-b582-bb08-0c10-09f18649c158</t>
  </si>
  <si>
    <t>57efda89-b582-bb08-1bb6-9224b136e3c9</t>
  </si>
  <si>
    <t>57efda89-b582-bb08-51fc-bbc196c8c44f</t>
  </si>
  <si>
    <t>57efda89-b582-bb08-eed6-ce91ac80ec0e</t>
  </si>
  <si>
    <t>57efda89-b582-bb08-e93d-fbe939953c0e</t>
  </si>
  <si>
    <t>57efda89-b582-bb08-5553-02c5490bd333</t>
  </si>
  <si>
    <t>57efda89-b582-bb08-5045-134161f261e0</t>
  </si>
  <si>
    <t>57efda89-b582-bb08-9ab7-e3193847d89e</t>
  </si>
  <si>
    <t>57efda89-b582-bb08-dfe4-8a4c8091c777</t>
  </si>
  <si>
    <t>57efda89-b582-bb08-ade0-4603c458908b</t>
  </si>
  <si>
    <t>57efda89-b582-bb08-0f8f-738f82b2c3cb</t>
  </si>
  <si>
    <t>57efda89-b582-bb08-c369-65cf13d2bb57</t>
  </si>
  <si>
    <t>57efda89-b582-bb08-f53b-49bd426d92fa</t>
  </si>
  <si>
    <t>57efda89-b582-bb08-3ebc-a8635555ba21</t>
  </si>
  <si>
    <t>57efda89-b582-bb08-c1e9-189eaf317491</t>
  </si>
  <si>
    <t>57efda89-b582-bb08-e748-4b62b9e32f5c</t>
  </si>
  <si>
    <t>57efda89-b582-bb08-3d3a-2e6c9c805de7</t>
  </si>
  <si>
    <t>57efda89-b582-bb08-25a4-a50b40f5367e</t>
  </si>
  <si>
    <t>57efda89-b582-bb08-90c6-27c5acadea1e</t>
  </si>
  <si>
    <t>57efda89-b582-bb08-a3e8-4665c4745377</t>
  </si>
  <si>
    <t>57efda89-b582-bb08-9ca8-41a47385c10c</t>
  </si>
  <si>
    <t>57efda89-b582-bb08-fd53-122b7d812e39</t>
  </si>
  <si>
    <t>57efda89-b582-bb08-bfe5-d8572337ef40</t>
  </si>
  <si>
    <t>57efda89-b582-bb08-9d1e-44338c968e05</t>
  </si>
  <si>
    <t>57efda89-b582-bb08-a9d8-c8f6822d9f1a</t>
  </si>
  <si>
    <t>57efda89-b582-bb08-1461-1859a3a6486b</t>
  </si>
  <si>
    <t>57efda89-b582-bb08-4092-ea6cf7a2064d</t>
  </si>
  <si>
    <t>57efda89-b582-bb08-3b66-3bdc7a15aafe</t>
  </si>
  <si>
    <t>57efda89-b582-bb08-624d-f33c3d1d5a1e</t>
  </si>
  <si>
    <t>57efda89-b582-bb08-1ad2-08044c993625</t>
  </si>
  <si>
    <t>57efda89-b582-bb08-2e86-da58caa245d8</t>
  </si>
  <si>
    <t>57efda89-b582-bb08-e746-0680c341a538</t>
  </si>
  <si>
    <t>57efda89-b582-bb08-f8fa-2d3e37ca17b6</t>
  </si>
  <si>
    <t>57efda89-b582-bb08-24e8-7ee12b4b642e</t>
  </si>
  <si>
    <t>57efda89-b582-bb08-45f2-9cfd54dec085</t>
  </si>
  <si>
    <t>57efda89-b582-bb08-315a-116e981f09b6</t>
  </si>
  <si>
    <t>57efda89-b582-bb08-2223-c16d748000d8</t>
  </si>
  <si>
    <t>57efda89-b582-bb08-b401-441160839552</t>
  </si>
  <si>
    <t>57efda89-b582-bb08-6e9d-435d6d6079df</t>
  </si>
  <si>
    <t>57efda89-b582-bb08-8258-37cd46b1b4e2</t>
  </si>
  <si>
    <t>57efda89-b582-bb08-8118-ace86936d126</t>
  </si>
  <si>
    <t>57efda89-b582-bb08-093b-b19c594b6d4f</t>
  </si>
  <si>
    <t>57efda89-b582-bb08-89f0-03279d352baa</t>
  </si>
  <si>
    <t>57efda89-b582-bb08-7c6d-4a1d54d88713</t>
  </si>
  <si>
    <t>57efda89-b582-bb08-1b5e-a65aef265e6c</t>
  </si>
  <si>
    <t>57efda89-b582-bb08-21ab-6967da1e37b8</t>
  </si>
  <si>
    <t>57efda89-b582-bb08-1b02-eb5575672191</t>
  </si>
  <si>
    <t>57efda89-b582-bb08-47a3-eaba256909c0</t>
  </si>
  <si>
    <t>57efda89-b582-bb08-49e4-291dbf0ea91d</t>
  </si>
  <si>
    <t>57efda89-b582-bb08-6ae3-be12257f19b3</t>
  </si>
  <si>
    <t>57efda89-b582-bb08-2dc1-91a777b06704</t>
  </si>
  <si>
    <t>57efda89-b582-bb08-3dbb-f0d405f5207b</t>
  </si>
  <si>
    <t>57efda89-b582-bb08-0e3e-6efa99757e77</t>
  </si>
  <si>
    <t>57efda89-b582-bb08-08da-202b69894b0f</t>
  </si>
  <si>
    <t>57efda89-b582-bb08-b80f-3ceb2e2a3a0d</t>
  </si>
  <si>
    <t>57efda89-b582-bb08-1c2d-4d643f52b68a</t>
  </si>
  <si>
    <t>57efda89-b582-bb08-ebcb-7f6c4c91045c</t>
  </si>
  <si>
    <t>57efda89-b582-bb08-1c7c-5cfdc5c2cb89</t>
  </si>
  <si>
    <t>57efda89-b582-bb08-dc2f-a92fb7251d91</t>
  </si>
  <si>
    <t>57efda89-b582-bb08-2319-484648897159</t>
  </si>
  <si>
    <t>57efda89-b582-bb08-f382-d8b3568f1994</t>
  </si>
  <si>
    <t>57efda89-b582-bb08-ab9b-968dd0a9dae2</t>
  </si>
  <si>
    <t>57efda89-b582-bb08-7cfe-495e82d9b3de</t>
  </si>
  <si>
    <t>57efda89-b582-bb08-75c7-ae0507e744c3</t>
  </si>
  <si>
    <t>57efda89-b582-bb08-39cc-d7d05d003e07</t>
  </si>
  <si>
    <t>57efda89-b582-bb08-c9e1-c43d405d850f</t>
  </si>
  <si>
    <t>57efda89-b582-bb08-4645-14ca220eef20</t>
  </si>
  <si>
    <t>57efda89-b582-bb08-623a-f859d6dbfa0c</t>
  </si>
  <si>
    <t>57efda89-b582-bb08-8dde-6dfd10d836ab</t>
  </si>
  <si>
    <t>57efda89-b582-bb08-42e9-ae1d0258aa15</t>
  </si>
  <si>
    <t>57efda89-b582-bb08-6737-76969f5c4c78</t>
  </si>
  <si>
    <t>57efda89-b582-bb08-3975-4a9cd7b2eb43</t>
  </si>
  <si>
    <t>57efda89-b582-bb08-68ef-3b7399ea6dc3</t>
  </si>
  <si>
    <t>57efda89-b582-bb08-a1c6-fca7ab3f9adb</t>
  </si>
  <si>
    <t>57efda89-b582-bb08-c9a2-9272527f84bd</t>
  </si>
  <si>
    <t>57efda89-b582-bb08-6a28-7ed6315ad9ac</t>
  </si>
  <si>
    <t>57efda89-b582-bb08-a3a6-e2a0de7e55cf</t>
  </si>
  <si>
    <t>57efda89-b582-bb08-d890-c18983c28db3</t>
  </si>
  <si>
    <t>57efda89-b582-bb08-47ff-fe2b0db23f7c</t>
  </si>
  <si>
    <t>57efda89-b582-bb08-b732-2f3c0119bcb1</t>
  </si>
  <si>
    <t>57efda89-b582-bb08-7aee-9886aafe5ded</t>
  </si>
  <si>
    <t>57efda89-b582-bb08-6a5d-883b2f178c74</t>
  </si>
  <si>
    <t>57efda89-b582-bb08-44e0-54b6293819d3</t>
  </si>
  <si>
    <t>57efda89-b582-bb08-b42b-8956309bfe73</t>
  </si>
  <si>
    <t>57efda89-b582-bb08-3b0e-831d7ddfd233</t>
  </si>
  <si>
    <t>57efda89-b582-bb08-39b7-39bccd8de4ec</t>
  </si>
  <si>
    <t>57efda89-b582-bb08-ca2b-33fa545f99bb</t>
  </si>
  <si>
    <t>57efda89-b582-bb08-bd52-87739e162953</t>
  </si>
  <si>
    <t>57efda89-b582-bb08-cd93-d962d0cb11bf</t>
  </si>
  <si>
    <t>57efda89-b582-bb08-8e52-209cbfaaa556</t>
  </si>
  <si>
    <t>57efda89-b582-bb08-ad6d-824dd5d8bda1</t>
  </si>
  <si>
    <t>57efda89-b582-bb08-d83e-9d372db62eeb</t>
  </si>
  <si>
    <t>57efda89-b582-bb08-f7f9-d24da2b14e83</t>
  </si>
  <si>
    <t>57efda89-b582-bb08-75fd-cc3af05a8199</t>
  </si>
  <si>
    <t>57efda89-b582-bb08-d773-a7f9f758ff31</t>
  </si>
  <si>
    <t>57efda89-b582-bb08-2c43-70887a168d5d</t>
  </si>
  <si>
    <t>57efda89-b582-bb08-ef6d-9e447388acd1</t>
  </si>
  <si>
    <t>57efda89-b582-bb08-f461-9b0636ffceb3</t>
  </si>
  <si>
    <t>57efda89-b582-bb08-b962-18649dd0bb91</t>
  </si>
  <si>
    <t>57efda89-b582-bb08-5d60-1ee03cb1834e</t>
  </si>
  <si>
    <t>57efda89-b582-bb08-39df-fd75c1316a34</t>
  </si>
  <si>
    <t>57efda89-b582-bb08-234c-be1113e80e0d</t>
  </si>
  <si>
    <t>57efda89-b582-bb08-cadc-83447b139428</t>
  </si>
  <si>
    <t>57efda89-b582-bb08-4b27-fcf651f3442e</t>
  </si>
  <si>
    <t>57efda89-b582-bb08-033a-7b37ebb26d06</t>
  </si>
  <si>
    <t>57efda89-b582-bb08-125e-beb527e441d5</t>
  </si>
  <si>
    <t>57efda89-b582-bb08-7351-1e69daa83abd</t>
  </si>
  <si>
    <t>57efda89-b582-bb08-9aa5-b6969eeef824</t>
  </si>
  <si>
    <t>57efda89-b582-bb08-fcb1-f8833d6f4bbd</t>
  </si>
  <si>
    <t>57efda89-b582-bb08-1423-9d3820d3fc47</t>
  </si>
  <si>
    <t>57efda89-b582-bb08-6856-ab7a424b1bfa</t>
  </si>
  <si>
    <t>57efda89-b582-bb08-70f9-a03d47b50906</t>
  </si>
  <si>
    <t>57efda89-b582-bb08-e00a-1f1ff260dd54</t>
  </si>
  <si>
    <t>57efda89-b582-bb08-995e-10d06973c276</t>
  </si>
  <si>
    <t>57efda89-b582-bb08-b988-9d104289a237</t>
  </si>
  <si>
    <t>57efda89-b582-bb08-f8bb-95f0b1fed4d3</t>
  </si>
  <si>
    <t>57efda89-b582-bb08-4074-408277d1c4bd</t>
  </si>
  <si>
    <t>57efda89-b582-bb08-11cc-457429cb9bb6</t>
  </si>
  <si>
    <t>57efda89-b582-bb08-a5a3-e2b93fd7d41d</t>
  </si>
  <si>
    <t>57efda89-b582-bb08-4f33-4e192eb50936</t>
  </si>
  <si>
    <t>57efda89-b582-bb08-6658-3a284eb92db1</t>
  </si>
  <si>
    <t>57efda89-b582-bb08-c817-4f467c61b471</t>
  </si>
  <si>
    <t>57efda89-b582-bb08-d7c6-0a8028ed0b8b</t>
  </si>
  <si>
    <t>57efda89-b582-bb08-ec0c-f5d310c867b0</t>
  </si>
  <si>
    <t>57efda89-b582-bb08-136c-f6e8b006d9e2</t>
  </si>
  <si>
    <t>57efda89-b582-bb08-d5e0-4a9458819324</t>
  </si>
  <si>
    <t>57efda89-b582-bb08-762e-bc5f181d45c3</t>
  </si>
  <si>
    <t>57efda89-b582-bb08-643c-166047a18a17</t>
  </si>
  <si>
    <t>57efda89-b582-bb08-3e6c-87cb57669e62</t>
  </si>
  <si>
    <t>57efda89-b582-bb08-7d5c-d6a4bc27e65a</t>
  </si>
  <si>
    <t>57efda89-b582-bb08-789e-d691e4a17283</t>
  </si>
  <si>
    <t>57efda89-b582-bb08-b934-1dae2edc1478</t>
  </si>
  <si>
    <t>57efda89-b582-bb08-0440-200ddfd8185c</t>
  </si>
  <si>
    <t>57efda89-b582-bb08-4e91-8f0337b050db</t>
  </si>
  <si>
    <t>57efda89-b582-bb08-fab6-0732adab67f4</t>
  </si>
  <si>
    <t>57efda89-b582-bb08-e8a8-3f1ca730d5ed</t>
  </si>
  <si>
    <t>57efda89-b582-bb08-0726-e90036530d29</t>
  </si>
  <si>
    <t>57efda89-b582-bb08-5080-f8c8364d9b39</t>
  </si>
  <si>
    <t>57efda89-b582-bb08-fb9c-f941c4e0748b</t>
  </si>
  <si>
    <t>57efda89-b582-bb08-79bf-ae55a263e194</t>
  </si>
  <si>
    <t>57efda89-b582-bb08-a132-7821f108337f</t>
  </si>
  <si>
    <t>57efda89-b582-bb08-7aee-2b63a7705f64</t>
  </si>
  <si>
    <t>57efda89-b582-bb08-b70c-49fa899bb805</t>
  </si>
  <si>
    <t>57efda89-b582-bb08-8cb7-d99dc1af3a7d</t>
  </si>
  <si>
    <t>57efda89-b582-bb08-58df-a2d882e2b2e4</t>
  </si>
  <si>
    <t>57efda89-b582-bb08-b388-bd019233eab0</t>
  </si>
  <si>
    <t>57efda89-b582-bb08-7ea1-ae3aed9414e5</t>
  </si>
  <si>
    <t>57efda89-b582-bb08-e725-964f71b916c5</t>
  </si>
  <si>
    <t>57efda89-b582-bb08-ec33-65d076eafc2b</t>
  </si>
  <si>
    <t>57efda89-b582-bb08-cd59-4eb631707a6c</t>
  </si>
  <si>
    <t>57efda89-b582-bb08-15ad-cc28ad2c4273</t>
  </si>
  <si>
    <t>57efda89-b582-bb08-2d7d-88ac3014ee11</t>
  </si>
  <si>
    <t>57efda89-b582-bb08-fe59-eb19afeb4b45</t>
  </si>
  <si>
    <t>57efda89-b582-bb08-a297-7c714e13ee95</t>
  </si>
  <si>
    <t>57efda89-b582-bb08-00b1-e56e3217100c</t>
  </si>
  <si>
    <t>57efda89-b582-bb08-2a68-284d5b91ee8c</t>
  </si>
  <si>
    <t>57efda89-b582-bb08-4b75-e1f79c57eb36</t>
  </si>
  <si>
    <t>57efda89-b582-bb08-d57a-3ad86154fc52</t>
  </si>
  <si>
    <t>57efda89-b582-bb08-bb6a-43ff46ea90ea</t>
  </si>
  <si>
    <t>57efda89-b582-bb08-287a-4113f0cf243b</t>
  </si>
  <si>
    <t>57efda89-b582-bb08-5b37-0e796c0bd90b</t>
  </si>
  <si>
    <t>57efda89-b582-bb08-56d1-54da366e7143</t>
  </si>
  <si>
    <t>57efda89-b582-bb08-5fc8-9f16d5f845cc</t>
  </si>
  <si>
    <t>57efda89-b582-bb08-55b0-cf25f206742c</t>
  </si>
  <si>
    <t>57efda89-b582-bb08-7783-4da27d3835ea</t>
  </si>
  <si>
    <t>57efda89-b582-bb08-2093-fc423a7e5cbe</t>
  </si>
  <si>
    <t>57efda89-b582-bb08-730d-7fe9fffb12b9</t>
  </si>
  <si>
    <t>57efda89-b582-bb08-6c40-4c5d4507e54b</t>
  </si>
  <si>
    <t>57efda89-b582-bb08-833a-3d39f99a6d07</t>
  </si>
  <si>
    <t>57efda89-b582-bb08-f3f5-387c977627b4</t>
  </si>
  <si>
    <t>57efda89-b582-bb08-ebfd-56c01a5ce385</t>
  </si>
  <si>
    <t>57efda89-b582-bb08-e66e-5c70b7bd4f7f</t>
  </si>
  <si>
    <t>57efda89-b582-bb08-93d2-5528523c5049</t>
  </si>
  <si>
    <t>57efda89-b582-bb08-cf82-f15d61b926c8</t>
  </si>
  <si>
    <t>57efda89-b582-bb08-2dc9-34a9c6060de7</t>
  </si>
  <si>
    <t>57efda89-b582-bb08-cecf-ef36c94389c5</t>
  </si>
  <si>
    <t>57efda89-b582-bb08-3a3d-a8434558128f</t>
  </si>
  <si>
    <t>57efda89-b582-bb08-2d48-960726023edb</t>
  </si>
  <si>
    <t>57efda89-b582-bb08-41e4-809fc54ba23b</t>
  </si>
  <si>
    <t>57efda89-b582-bb08-b04a-34da6042baa5</t>
  </si>
  <si>
    <t>57efda89-b582-bb08-e9eb-d01274b7c0cb</t>
  </si>
  <si>
    <t>57efda89-b582-bb08-0842-af1c86bb2b24</t>
  </si>
  <si>
    <t>57efda89-b582-bb08-6d39-86808b8bf979</t>
  </si>
  <si>
    <t>57efda89-b582-bb08-040d-d249685db8ef</t>
  </si>
  <si>
    <t>57efda89-b582-bb08-3dc7-5a7a00d8392f</t>
  </si>
  <si>
    <t>57efda89-b582-bb08-3e2f-737fe84d1fcb</t>
  </si>
  <si>
    <t>57efda89-b582-bb08-6e27-e17adf7d9c17</t>
  </si>
  <si>
    <t>57efda89-b582-bb08-eee5-cefa8673e72e</t>
  </si>
  <si>
    <t>57efda89-b582-bb08-705f-0d439a31db51</t>
  </si>
  <si>
    <t>57efda89-b582-bb08-203d-04c569f083e5</t>
  </si>
  <si>
    <t>57efda89-b582-bb08-0aa9-f4144f8b5e92</t>
  </si>
  <si>
    <t>57efda89-b582-bb08-b30c-3c03be836b80</t>
  </si>
  <si>
    <t>57efda89-b582-bb08-6429-21dd81696d5e</t>
  </si>
  <si>
    <t>57efda89-b582-bb08-d6d5-f3b1d9674675</t>
  </si>
  <si>
    <t>57efda89-b582-bb08-e0e5-1a549a5ff92c</t>
  </si>
  <si>
    <t>57efda89-b582-bb08-6f95-a410b5731d18</t>
  </si>
  <si>
    <t>57efda89-b582-bb08-7d65-009db2c10797</t>
  </si>
  <si>
    <t>57efda89-b582-bb08-45e7-7d69d16a8558</t>
  </si>
  <si>
    <t>57efda89-b582-bb08-25aa-f3c609f7730b</t>
  </si>
  <si>
    <t>57efda89-b582-bb08-2b46-5b827ddff766</t>
  </si>
  <si>
    <t>57efda89-b582-bb08-d6f5-b7d52f70cb0a</t>
  </si>
  <si>
    <t>57efda89-b582-bb08-45aa-5005fdbd83b8</t>
  </si>
  <si>
    <t>57efda89-b582-bb08-b9f7-c09124a9a7b3</t>
  </si>
  <si>
    <t>57efda89-b582-bb08-0859-a3c9d56e8f22</t>
  </si>
  <si>
    <t>57efda89-b582-bb08-3eca-e66da49f977c</t>
  </si>
  <si>
    <t>57efda89-b582-bb08-862b-4eb16fe02b19</t>
  </si>
  <si>
    <t>57efda89-b582-bb08-b2f9-6037d1b1474f</t>
  </si>
  <si>
    <t>57efda89-b582-bb08-07c4-d89049cc5b01</t>
  </si>
  <si>
    <t>57efda89-b582-bb08-550d-80f3dc2f2d45</t>
  </si>
  <si>
    <t>57efda89-b582-bb08-9d6e-88396fbed065</t>
  </si>
  <si>
    <t>57efda89-b582-bb08-8070-dcad3806a5a0</t>
  </si>
  <si>
    <t>57efda89-b582-bb08-9a19-c9251a1aebfd</t>
  </si>
  <si>
    <t>57efda89-b582-bb08-55ce-d03c027c13ac</t>
  </si>
  <si>
    <t>57efda89-b582-bb08-def7-a8e25fb46353</t>
  </si>
  <si>
    <t>57efda89-b582-bb08-70e4-fd0d8f0b22e8</t>
  </si>
  <si>
    <t>57efda89-b582-bb08-daad-4c76c90fb4a1</t>
  </si>
  <si>
    <t>57efda89-b582-bb08-199c-10aecbd217a5</t>
  </si>
  <si>
    <t>57efda89-b582-bb08-89fd-d6815792a622</t>
  </si>
  <si>
    <t>57efda89-b582-bb08-232d-afa60b68bd97</t>
  </si>
  <si>
    <t>57efda89-b582-bb08-0498-a78f5c1f20cf</t>
  </si>
  <si>
    <t>57efda89-b582-bb08-749d-6f4131a7f19a</t>
  </si>
  <si>
    <t>57efda89-b582-bb08-bbc8-0547553f0424</t>
  </si>
  <si>
    <t>57efda89-b582-bb08-9772-ca11f70fd96b</t>
  </si>
  <si>
    <t>57efda89-b582-bb08-750a-62705a501d0e</t>
  </si>
  <si>
    <t>57efda89-b582-bb08-dcdc-d8e3a1513e83</t>
  </si>
  <si>
    <t>57efda89-b582-bb08-7212-b4b82455cc7e</t>
  </si>
  <si>
    <t>57efda89-b582-bb08-6631-bb9c209fe5f0</t>
  </si>
  <si>
    <t>57efda89-b582-bb08-1842-8e4b1d68ca29</t>
  </si>
  <si>
    <t>57efda89-b582-bb08-87a4-beab47da2876</t>
  </si>
  <si>
    <t>57efda89-b582-bb08-f976-51146187daa5</t>
  </si>
  <si>
    <t>57efda89-b582-bb08-19e9-f4cd309eead1</t>
  </si>
  <si>
    <t>57efda89-b582-bb08-2cad-cf46e9e2c0c7</t>
  </si>
  <si>
    <t>57efda89-b582-bb08-dc93-b25b9f31476b</t>
  </si>
  <si>
    <t>57efda89-b582-bb08-c779-325efd606240</t>
  </si>
  <si>
    <t>57efda89-b582-bb08-e618-a7aa089c491e</t>
  </si>
  <si>
    <t>57efda89-b582-bb08-e601-8176b7c2a85f</t>
  </si>
  <si>
    <t>57efda89-b582-bb08-727b-c1e90b339498</t>
  </si>
  <si>
    <t>57efda89-b582-bb08-0f91-c664c7407f57</t>
  </si>
  <si>
    <t>57efda89-b582-bb08-7849-e7eebae0f99e</t>
  </si>
  <si>
    <t>57efda89-b582-bb08-55dd-ab2bcc2e2171</t>
  </si>
  <si>
    <t>57efda89-b582-bb08-2632-9dcf3b16d1af</t>
  </si>
  <si>
    <t>57efda89-b582-bb08-8ad0-75aa888b85a3</t>
  </si>
  <si>
    <t>57efda89-b582-bb08-895e-b4515d38fec8</t>
  </si>
  <si>
    <t>57efda89-b582-bb08-4360-f5c356778fcb</t>
  </si>
  <si>
    <t>57efda89-b582-bb08-b381-b89715c87cd7</t>
  </si>
  <si>
    <t>57efda89-b582-bb08-f3bd-48b46ccee7eb</t>
  </si>
  <si>
    <t>57efda89-b582-bb08-1206-30f0b56cef79</t>
  </si>
  <si>
    <t>57efda89-b582-bb08-2ff7-d1ec97dd1914</t>
  </si>
  <si>
    <t>57efda89-b582-bb08-67f1-5aeb99398ff7</t>
  </si>
  <si>
    <t>57efda89-b582-bb08-8c04-4992e60756d9</t>
  </si>
  <si>
    <t>57efda89-b582-bb08-2166-1b84158cb4d6</t>
  </si>
  <si>
    <t>57efda89-b582-bb08-8d10-4d137cc109b4</t>
  </si>
  <si>
    <t>57efda89-b582-bb08-4333-6056cb1ce713</t>
  </si>
  <si>
    <t>57efda89-b582-bb08-f9ba-68bea8607f79</t>
  </si>
  <si>
    <t>57efda89-b582-bb08-1c08-71e4c1fbad59</t>
  </si>
  <si>
    <t>57efda89-b582-bb08-7b9a-56961c77de1c</t>
  </si>
  <si>
    <t>57efda89-b582-bb08-d02c-41aec997bd63</t>
  </si>
  <si>
    <t>57efda89-b582-bb08-f98c-64e43be63214</t>
  </si>
  <si>
    <t>57efda89-b582-bb08-2d2c-a6a8f3d119d9</t>
  </si>
  <si>
    <t>57efda89-b582-bb08-769e-1c5038d3b5dc</t>
  </si>
  <si>
    <t>57efda89-b582-bb08-2328-c475489414f4</t>
  </si>
  <si>
    <t>57efda89-b582-bb08-24a4-e51cb027260c</t>
  </si>
  <si>
    <t>57efda89-b582-bb08-73f5-7d385cce6836</t>
  </si>
  <si>
    <t>57efda89-b582-bb08-9217-713b2a635586</t>
  </si>
  <si>
    <t>57efda89-b582-bb08-89d2-519262075811</t>
  </si>
  <si>
    <t>57efda89-b582-bb08-c487-8f87444a6e9a</t>
  </si>
  <si>
    <t>57efda89-b582-bb08-2dab-621c7dda5a02</t>
  </si>
  <si>
    <t>57efda89-b582-bb08-af72-01d0ef85678c</t>
  </si>
  <si>
    <t>57efda89-b582-bb08-a034-8840e9515224</t>
  </si>
  <si>
    <t>57efda89-b582-bb08-f5aa-9051b6aee657</t>
  </si>
  <si>
    <t>57efda89-b582-bb08-f93a-4a6861464c5b</t>
  </si>
  <si>
    <t>57efda89-b582-bb08-9ef3-1c570ca3ac3c</t>
  </si>
  <si>
    <t>57efda89-b582-bb08-b487-62aec306c270</t>
  </si>
  <si>
    <t>57efda89-b582-bb08-49d6-a3af21de9990</t>
  </si>
  <si>
    <t>57efda89-b582-bb08-597b-cf3ded1662b5</t>
  </si>
  <si>
    <t>57efda89-b582-bb08-1ccc-e636c88d22e7</t>
  </si>
  <si>
    <t>57efda89-b582-bb08-49c1-48468494b198</t>
  </si>
  <si>
    <t>57efda89-b582-bb08-75b3-c35742cd9103</t>
  </si>
  <si>
    <t>57efda89-b582-bb08-c12e-cb5c0419eb8f</t>
  </si>
  <si>
    <t>57efda89-b582-bb08-3f1a-71e6ecd8d3b3</t>
  </si>
  <si>
    <t>57efda89-b582-bb08-8cdc-a0aff146152a</t>
  </si>
  <si>
    <t>57efda89-b582-bb08-1366-6e926cd260c2</t>
  </si>
  <si>
    <t>57efda89-b582-bb08-b0cd-d4b8ec7fa95d</t>
  </si>
  <si>
    <t>57efda89-b582-bb08-4b8c-e3a46aa54507</t>
  </si>
  <si>
    <t>57efda89-b582-bb08-e3c6-72c0725f4138</t>
  </si>
  <si>
    <t>57efda89-b582-bb08-d6fa-a228ce545db0</t>
  </si>
  <si>
    <t>57efda89-b582-bb08-11e7-f131bbaad048</t>
  </si>
  <si>
    <t>57efda89-b582-bb08-1bc6-d33f795a9f60</t>
  </si>
  <si>
    <t>57efda89-b582-bb08-1a85-b84dca66ec24</t>
  </si>
  <si>
    <t>57efda89-b582-bb08-c678-2b1610360ac6</t>
  </si>
  <si>
    <t>57efda89-b582-bb08-90c9-737cfa43c115</t>
  </si>
  <si>
    <t>57efda89-b582-bb08-7ee1-b5b6a032369c</t>
  </si>
  <si>
    <t>57efda89-b582-bb08-8577-a39ac170a054</t>
  </si>
  <si>
    <t>57efda89-b582-bb08-9e3a-e927c64369be</t>
  </si>
  <si>
    <t>57efda89-b582-bb08-b673-2a7efce2ef31</t>
  </si>
  <si>
    <t>57efda89-b582-bb08-4e51-d3a7f65bf47b</t>
  </si>
  <si>
    <t>57efda89-b582-bb08-35b1-c78c7c2c70de</t>
  </si>
  <si>
    <t>57efda89-b582-bb08-3ac2-80efa44c2635</t>
  </si>
  <si>
    <t>57efda89-b582-bb08-10f8-4d15a86a67d7</t>
  </si>
  <si>
    <t>57efda89-b582-bb08-0d38-4e5e0c7f951a</t>
  </si>
  <si>
    <t>57efda89-b582-bb08-7e56-f3dad2e46f99</t>
  </si>
  <si>
    <t>57efda89-b582-bb08-79cd-903539b442ee</t>
  </si>
  <si>
    <t>57efda89-b582-bb08-340d-f2ae5a882e8b</t>
  </si>
  <si>
    <t>57efda89-b582-bb08-4ff8-746507899848</t>
  </si>
  <si>
    <t>57efda89-b582-bb08-d967-757fd9e4da40</t>
  </si>
  <si>
    <t>57efda89-b582-bb08-a2ba-165b71285b92</t>
  </si>
  <si>
    <t>57efda89-b582-bb08-73e0-eb61081a7dec</t>
  </si>
  <si>
    <t>57efda89-b582-bb08-b9f4-77c20344c65f</t>
  </si>
  <si>
    <t>57efda89-b582-bb08-b59e-c7aa4d0b45b7</t>
  </si>
  <si>
    <t>57efda89-b582-bb08-584b-ee7d4dd8bcf8</t>
  </si>
  <si>
    <t>57efda89-b582-bb08-c76e-cb02808d5d8f</t>
  </si>
  <si>
    <t>57efda89-b582-bb08-df98-506d6e0840e4</t>
  </si>
  <si>
    <t>57efda89-b582-bb08-b255-2f45d55b5e18</t>
  </si>
  <si>
    <t>57efda89-b582-bb08-3a4f-aace56130af9</t>
  </si>
  <si>
    <t>57efda89-b582-bb08-c13e-48f4696d5305</t>
  </si>
  <si>
    <t>57efda89-b582-bb08-f20a-dbd55da8bd80</t>
  </si>
  <si>
    <t>57efda89-b582-bb08-4710-26aa117670c2</t>
  </si>
  <si>
    <t>57efda89-b582-bb08-b8e4-94d2ba4b3fef</t>
  </si>
  <si>
    <t>57efda89-b582-bb08-596e-90c16c33c66c</t>
  </si>
  <si>
    <t>57efda89-b582-bb08-b8cf-d62bbe88ebb5</t>
  </si>
  <si>
    <t>57efda89-b582-bb08-ce36-7bbdc9331493</t>
  </si>
  <si>
    <t>57efda89-b582-bb08-1b59-a398b3d2c795</t>
  </si>
  <si>
    <t>57efda89-b582-bb08-49d7-764c34467ed8</t>
  </si>
  <si>
    <t>57efda89-b582-bb08-b65e-f5724b8b94aa</t>
  </si>
  <si>
    <t>57efda89-b582-bb08-0c49-fb294c789958</t>
  </si>
  <si>
    <t>57efda89-b582-bb08-cedd-82fd8f6c66ef</t>
  </si>
  <si>
    <t>57efda89-b582-bb08-5232-a881277dab80</t>
  </si>
  <si>
    <t>57efda89-b582-bb08-4d43-407d53a5b9e7</t>
  </si>
  <si>
    <t>57efda89-b582-bb08-4d22-39add32967b3</t>
  </si>
  <si>
    <t>57efda89-b582-bb08-e959-458ca7d837cb</t>
  </si>
  <si>
    <t>57efda89-b582-bb08-c9f2-9daf425bca53</t>
  </si>
  <si>
    <t>57efda89-b582-bb08-336c-f54831d62eac</t>
  </si>
  <si>
    <t>57efda89-b582-bb08-182d-74c82c96e84f</t>
  </si>
  <si>
    <t>57efda89-b582-bb08-4a39-bc1721a17f24</t>
  </si>
  <si>
    <t>57efda89-b582-bb08-bfc0-27752fe5166a</t>
  </si>
  <si>
    <t>57efda89-b582-bb08-66c5-ce23ab6df123</t>
  </si>
  <si>
    <t>57efda89-b582-bb08-e266-137771ad80cd</t>
  </si>
  <si>
    <t>57efda89-b582-bb08-5e8d-ebc96f72283c</t>
  </si>
  <si>
    <t>57efda89-b582-bb08-ebce-f28395491042</t>
  </si>
  <si>
    <t>57efda89-b582-bb08-ffa6-0096cfcdc426</t>
  </si>
  <si>
    <t>57efda89-b582-bb08-b42f-c1c900cd2a05</t>
  </si>
  <si>
    <t>57efda89-b582-bb08-5d69-e53768f1bc78</t>
  </si>
  <si>
    <t>57efda89-b582-bb08-7a3f-7f98c2169ad0</t>
  </si>
  <si>
    <t>57efda89-b582-bb08-8789-fd897f0ae0ab</t>
  </si>
  <si>
    <t>57efda89-b582-bb08-290a-ceddedb85c21</t>
  </si>
  <si>
    <t>57efda89-b582-bb08-d225-eaa1e5456d70</t>
  </si>
  <si>
    <t>57efda89-b582-bb08-327f-7260ac4fa3ca</t>
  </si>
  <si>
    <t>57efda89-b582-bb08-a8d6-b8525c37f8e4</t>
  </si>
  <si>
    <t>57efda89-b582-bb08-5626-5a7d7b0f994f</t>
  </si>
  <si>
    <t>57efda89-b582-bb08-c0a0-6f25419b9e5b</t>
  </si>
  <si>
    <t>57efda89-b582-bb08-2e3f-3f53de7e39a8</t>
  </si>
  <si>
    <t>57efda89-b582-bb08-92bc-2d0648eda687</t>
  </si>
  <si>
    <t>57efda89-b582-bb08-d49f-be7d09057961</t>
  </si>
  <si>
    <t>57efda89-b582-bb08-3791-0ac952a46534</t>
  </si>
  <si>
    <t>57efda89-b582-bb08-3e99-e4f86bf01b51</t>
  </si>
  <si>
    <t>57efda89-b582-bb08-1524-67155821ca56</t>
  </si>
  <si>
    <t>57efda89-b582-bb08-af54-41cf60aa47b4</t>
  </si>
  <si>
    <t>57efda89-b582-bb08-17f7-73abf9d67d94</t>
  </si>
  <si>
    <t>57efda89-b582-bb08-7a1b-a8433174a2c6</t>
  </si>
  <si>
    <t>57efda89-b582-bb08-6971-abe4b878ea41</t>
  </si>
  <si>
    <t>57efda89-b582-bb08-4bae-a5ff904cb417</t>
  </si>
  <si>
    <t>57efda89-b582-bb08-09fd-64652f8f43f4</t>
  </si>
  <si>
    <t>57efda89-b582-bb08-8134-cc313ba1918b</t>
  </si>
  <si>
    <t>57efda89-b582-bb08-d160-0388787c6f9b</t>
  </si>
  <si>
    <t>57efda89-b582-bb08-e34c-7aa0e1f03b24</t>
  </si>
  <si>
    <t>57efda89-b582-bb08-d305-a9bab52c8847</t>
  </si>
  <si>
    <t>57efda89-b582-bb08-1810-d91553aae9a3</t>
  </si>
  <si>
    <t>57efda89-b582-bb08-2518-6c6a5f252fb7</t>
  </si>
  <si>
    <t>57efda89-b582-bb08-6979-2bb98211e502</t>
  </si>
  <si>
    <t>57efda89-b582-bb08-93ea-e52d51fa646e</t>
  </si>
  <si>
    <t>57efda89-b582-bb08-0e78-cee9a983e4ef</t>
  </si>
  <si>
    <t>57efda89-b582-bb08-2a33-ef97dacae6bc</t>
  </si>
  <si>
    <t>57efda89-b582-bb08-cf1d-b68714fa678b</t>
  </si>
  <si>
    <t>57efda89-b582-bb08-b60e-ec1d3b07cf0a</t>
  </si>
  <si>
    <t>57efda89-b582-bb08-1fec-a8111f06bb9c</t>
  </si>
  <si>
    <t>57efda89-b582-bb08-8360-5813cb9a7552</t>
  </si>
  <si>
    <t>57efda89-b582-bb08-68aa-be57b55d8979</t>
  </si>
  <si>
    <t>57efda89-b582-bb08-c2d0-406d32e95306</t>
  </si>
  <si>
    <t>57efda89-b582-bb08-edd4-cb61cb417b45</t>
  </si>
  <si>
    <t>57efda89-b582-bb08-1073-76c8369d0d87</t>
  </si>
  <si>
    <t>57efda89-b582-bb08-69b1-d09c34380a6e</t>
  </si>
  <si>
    <t>57efda89-b582-bb08-0f6d-e71dfdd26d86</t>
  </si>
  <si>
    <t>57efda89-b582-bb08-bf40-6fd47943b823</t>
  </si>
  <si>
    <t>57efda89-b582-bb08-fe42-d260eeafcf95</t>
  </si>
  <si>
    <t>57efda89-b582-bb08-e680-d7a03de599b7</t>
  </si>
  <si>
    <t>57efda89-b582-bb08-209f-3938e6c908e0</t>
  </si>
  <si>
    <t>57efda89-b582-bb08-a4f6-763264ac6fba</t>
  </si>
  <si>
    <t>57efda89-b582-bb08-a73f-15e081f34b5d</t>
  </si>
  <si>
    <t>57efda89-b582-bb08-725d-04a8f67c2ab9</t>
  </si>
  <si>
    <t>57efda89-b582-bb08-311c-d313d7544aae</t>
  </si>
  <si>
    <t>57efda89-b582-bb08-3074-a5efbf1bd0e6</t>
  </si>
  <si>
    <t>57efda89-b582-bb08-afdb-b82a8204a8ff</t>
  </si>
  <si>
    <t>57efda89-b582-bb08-f995-3c57bbbe4a09</t>
  </si>
  <si>
    <t>57efda89-b582-bb08-a2dd-5588d7640cdf</t>
  </si>
  <si>
    <t>57efda89-b582-bb08-cf28-bff653fc958e</t>
  </si>
  <si>
    <t>57efda89-b582-bb08-5ede-e942bacc5f37</t>
  </si>
  <si>
    <t>57efda89-b582-bb08-a521-05ede2152ae7</t>
  </si>
  <si>
    <t>57efda89-b582-bb08-34dd-43a8893eb947</t>
  </si>
  <si>
    <t>57efda89-b582-bb08-24e6-954d1566e3c3</t>
  </si>
  <si>
    <t>57efda89-b582-bb08-4710-5c1c92cfbb28</t>
  </si>
  <si>
    <t>57efda89-b582-bb08-6c72-9d974626dfbb</t>
  </si>
  <si>
    <t>57efda89-b582-bb08-e201-88aae3a08db7</t>
  </si>
  <si>
    <t>57efda89-b582-bb08-da2c-df8a8fc96935</t>
  </si>
  <si>
    <t>57efda89-b582-bb08-143f-766c618325f5</t>
  </si>
  <si>
    <t>57efda89-b582-bb08-fa36-74d9abbcc8c5</t>
  </si>
  <si>
    <t>57efda89-b582-bb08-14f8-0e10232ff8d1</t>
  </si>
  <si>
    <t>57efda89-b582-bb08-c60d-c379947ab084</t>
  </si>
  <si>
    <t>57efda89-b582-bb08-b382-f6009a6add28</t>
  </si>
  <si>
    <t>57efda89-b582-bb08-c0bd-af58ab643cfa</t>
  </si>
  <si>
    <t>57efda89-b582-bb08-7bb8-e437945ff0aa</t>
  </si>
  <si>
    <t>57efda89-b582-bb08-ad1c-9e5d77217578</t>
  </si>
  <si>
    <t>57efda89-b582-bb08-3846-5ddd9f710aba</t>
  </si>
  <si>
    <t>57efda89-b582-bb08-22e8-b7f462359bbd</t>
  </si>
  <si>
    <t>57efda89-b582-bb08-e337-a4d559ffa500</t>
  </si>
  <si>
    <t>57efda89-b582-bb08-c5d2-ea52131e9a1d</t>
  </si>
  <si>
    <t>57efda89-b582-bb08-22cb-eaef2180fba5</t>
  </si>
  <si>
    <t>57efda89-b582-bb08-3a94-324268b7a551</t>
  </si>
  <si>
    <t>57efda89-b582-bb08-1e62-65af1a0bb86e</t>
  </si>
  <si>
    <t>57efda89-b582-bb08-7b26-57783596ff88</t>
  </si>
  <si>
    <t>57efda89-b582-bb08-e43e-77e8609af771</t>
  </si>
  <si>
    <t>57efda89-b582-bb08-3266-73c861259686</t>
  </si>
  <si>
    <t>57efda89-b582-bb08-0085-bc6dfa049350</t>
  </si>
  <si>
    <t>57efda89-b582-bb08-7bcf-27bafea9e3bd</t>
  </si>
  <si>
    <t>57efda89-b582-bb08-c7a0-f2f3611fbd27</t>
  </si>
  <si>
    <t>57efda89-b582-bb08-3c32-5b3bf865f4ae</t>
  </si>
  <si>
    <t>57efda89-b582-bb08-fbaf-260ce36f9ccd</t>
  </si>
  <si>
    <t>57efda89-b582-bb08-9d87-3c2655a77968</t>
  </si>
  <si>
    <t>57efda89-b582-bb08-12a9-49e367c73dc8</t>
  </si>
  <si>
    <t>57efda89-b582-bb08-8d96-aec222bdf445</t>
  </si>
  <si>
    <t>57efda89-b582-bb08-1c09-b9f2254c9028</t>
  </si>
  <si>
    <t>57efda89-b582-bb08-e5ee-05b089d074e2</t>
  </si>
  <si>
    <t>57efda89-b582-bb08-1fd2-0f7a6094ed4d</t>
  </si>
  <si>
    <t>57efda89-b582-bb08-f6c9-ffc0cb5ff62d</t>
  </si>
  <si>
    <t>57efda89-b582-bb08-2d1f-2e409dc43337</t>
  </si>
  <si>
    <t>57efda89-b582-bb08-1db6-83f7d6cb6445</t>
  </si>
  <si>
    <t>57efda89-b582-bb08-8019-a5187810469e</t>
  </si>
  <si>
    <t>e142981b-3577-4115-b492-cc707449ecdc</t>
  </si>
  <si>
    <t>e142981b-3577-4115-48a3-38b8f90ae18f</t>
  </si>
  <si>
    <t>e142981b-3577-4115-5964-aef7c99bcca2</t>
  </si>
  <si>
    <t>e142981b-3577-4115-79a8-804ba1b8d6d2</t>
  </si>
  <si>
    <t>e142981b-3577-4115-c97c-7304336ccb50</t>
  </si>
  <si>
    <t>e142981b-3577-4115-76ac-7c38863aa7d2</t>
  </si>
  <si>
    <t>e142981b-3577-4115-bddc-c6a2733dfeac</t>
  </si>
  <si>
    <t>e142981b-3577-4115-baec-dd0b13559ad2</t>
  </si>
  <si>
    <t>e142981b-3577-4115-635e-f12a71321634</t>
  </si>
  <si>
    <t>e142981b-3577-4115-99c6-b773c8e4a105</t>
  </si>
  <si>
    <t>e142981b-3577-4115-0995-7985b278aafd</t>
  </si>
  <si>
    <t>e142981b-3577-4115-a968-381fd5b87ac1</t>
  </si>
  <si>
    <t>e142981b-3577-4115-f078-270302a0cab7</t>
  </si>
  <si>
    <t>e142981b-3577-4115-9795-e6588926940a</t>
  </si>
  <si>
    <t>adec1419-cf81-6640-ca48-e157e556a90b</t>
  </si>
  <si>
    <t>24460683-f514-37ef-98c1-724b2fc9aa2a</t>
  </si>
  <si>
    <t>ee81d257-961b-3f03-b072-3c63642930ad</t>
  </si>
  <si>
    <t>adec1419-cf81-6640-5b13-5c5dc26d52fe</t>
  </si>
  <si>
    <t>adec1419-cf81-6640-d862-f3590426c2e8</t>
  </si>
  <si>
    <t>adec1419-cf81-6640-1083-90b47b7cdcb7</t>
  </si>
  <si>
    <t>adec1419-cf81-6640-db7e-444b27362fc7</t>
  </si>
  <si>
    <t>adec1419-cf81-6640-461a-aab35fa16657</t>
  </si>
  <si>
    <t>adec1419-cf81-6640-7368-fed4d835c14e</t>
  </si>
  <si>
    <t>adec1419-cf81-6640-a305-482d20d5f967</t>
  </si>
  <si>
    <t>e142981b-3577-4115-8baa-9b9ca21f5138</t>
  </si>
  <si>
    <t>adec1419-cf81-6640-1bc6-4b20f0e126b1</t>
  </si>
  <si>
    <t>adec1419-cf81-6640-b04b-486b5dd7c217</t>
  </si>
  <si>
    <t>adec1419-cf81-6640-49d9-90c3415555f1</t>
  </si>
  <si>
    <t>adec1419-cf81-6640-fe55-87a5e59a6626</t>
  </si>
  <si>
    <t>adec1419-cf81-6640-6cec-6eac8a6019c7</t>
  </si>
  <si>
    <t>adec1419-cf81-6640-181f-ec1185f48934</t>
  </si>
  <si>
    <t>adec1419-cf81-6640-88b1-f9c1d971e11b</t>
  </si>
  <si>
    <t>adec1419-cf81-6640-36f9-e605242febde</t>
  </si>
  <si>
    <t>adec1419-cf81-6640-0c1c-475e466ce414</t>
  </si>
  <si>
    <t>e142981b-3577-4115-c6e5-0f0156ee1cb9</t>
  </si>
  <si>
    <t>e142981b-3577-4115-a222-3b250d81bb36</t>
  </si>
  <si>
    <t>e142981b-3577-4115-bc8b-952262a597c3</t>
  </si>
  <si>
    <t>e142981b-3577-4115-63ee-3f4fdc0f618b</t>
  </si>
  <si>
    <t>118e081c-c2f2-35cd-b9c3-ef534f1b7830</t>
  </si>
  <si>
    <t>29f382ca-7699-3e0e-a69f-fff4a7624634</t>
  </si>
  <si>
    <t>adec1419-cf81-6640-800a-48bd3fdabd8c</t>
  </si>
  <si>
    <t>adec1419-cf81-6640-e511-9242926b8050</t>
  </si>
  <si>
    <t>adec1419-cf81-6640-655d-98ecd1601371</t>
  </si>
  <si>
    <t>adec1419-cf81-6640-cbed-68436847f9b0</t>
  </si>
  <si>
    <t>adec1419-cf81-6640-38e6-96474eb27726</t>
  </si>
  <si>
    <t>adec1419-cf81-6640-0e04-1bd67f0589d2</t>
  </si>
  <si>
    <t>adec1419-cf81-6640-f2b2-526546936cd5</t>
  </si>
  <si>
    <t>a4af40b8-0ddb-34bb-ae4a-95a17e9ad6f3</t>
  </si>
  <si>
    <t>a6e3a37b-dbf4-365c-b0b4-95b294c6d399</t>
  </si>
  <si>
    <t>adec1419-cf81-6640-557f-c299ad621dc4</t>
  </si>
  <si>
    <t>adec1419-cf81-6640-9ba7-97262a6890d1</t>
  </si>
  <si>
    <t>adec1419-cf81-6640-0248-be413cda5764</t>
  </si>
  <si>
    <t>adec1419-cf81-6640-6a36-9e7a6f5f75cc</t>
  </si>
  <si>
    <t>e142981b-3577-4115-45a7-bd6d94e7538e</t>
  </si>
  <si>
    <t>adec1419-cf81-6640-ca88-24dea7690ef7</t>
  </si>
  <si>
    <t>adec1419-cf81-6640-119c-d6c95ecf57b9</t>
  </si>
  <si>
    <t>adec1419-cf81-6640-c933-50af50fca041</t>
  </si>
  <si>
    <t>adec1419-cf81-6640-709f-fe2067c85415</t>
  </si>
  <si>
    <t>adec1419-cf81-6640-fa85-cc03ee636a06</t>
  </si>
  <si>
    <t>adec1419-cf81-6640-c270-8c6943927ccf</t>
  </si>
  <si>
    <t>adec1419-cf81-6640-0b5f-8b85da12d7e8</t>
  </si>
  <si>
    <t>adec1419-cf81-6640-2336-99355e6037f5</t>
  </si>
  <si>
    <t>adec1419-cf81-6640-2bde-31ec176c6d9b</t>
  </si>
  <si>
    <t>adec1419-cf81-6640-aedd-2b6b374c123b</t>
  </si>
  <si>
    <t>adec1419-cf81-6640-68af-3301b5fafada</t>
  </si>
  <si>
    <t>adec1419-cf81-6640-81f9-a0c63d748dd1</t>
  </si>
  <si>
    <t>5780b82b-0419-ffe6-fc86-ba87a123b207</t>
  </si>
  <si>
    <t>5780b82b-0419-ffe6-4054-7953a17359bb</t>
  </si>
  <si>
    <t>5780b82b-0419-ffe6-f3e1-a4e5671a93ca</t>
  </si>
  <si>
    <t>5780b82b-0419-ffe6-60da-5c21b8ba21ad</t>
  </si>
  <si>
    <t>5780b82b-0419-ffe6-d79f-12b54ef1a8f6</t>
  </si>
  <si>
    <t>5780b82b-0419-ffe6-355d-f43590e83af3</t>
  </si>
  <si>
    <t>a537b406-fdfa-36b4-84da-12512e7e6c63</t>
  </si>
  <si>
    <t>b0b45170-bb6b-3e47-bbe2-9d3accb06aac</t>
  </si>
  <si>
    <t>5780b82b-0419-ffe6-782f-270d6fcfae1a</t>
  </si>
  <si>
    <t>5780b82b-0419-ffe6-dc8d-8acddd783d50</t>
  </si>
  <si>
    <t>5780b82b-0419-ffe6-3a29-727f8a1d52f7</t>
  </si>
  <si>
    <t>5780b82b-0419-ffe6-01db-4a8df5705b6f</t>
  </si>
  <si>
    <t>5780b82b-0419-ffe6-96d4-9669717af917</t>
  </si>
  <si>
    <t>5780b82b-0419-ffe6-83d4-2914911dbbee</t>
  </si>
  <si>
    <t>5780b82b-0419-ffe6-6437-ec8fc8cdbe64</t>
  </si>
  <si>
    <t>5780b82b-0419-ffe6-0862-b5e7502008ca</t>
  </si>
  <si>
    <t>5780b82b-0419-ffe6-da3e-7b489830b743</t>
  </si>
  <si>
    <t>5780b82b-0419-ffe6-8b61-738f1f8dfa7b</t>
  </si>
  <si>
    <t>5780b82b-0419-ffe6-bbf3-713bff1020f1</t>
  </si>
  <si>
    <t>5780b82b-0419-ffe6-59d8-b36a3805ddd0</t>
  </si>
  <si>
    <t>5780b82b-0419-ffe6-a599-4ef30447294e</t>
  </si>
  <si>
    <t>5780b82b-0419-ffe6-df19-b6ba65839adc</t>
  </si>
  <si>
    <t>5780b82b-0419-ffe6-66bc-3192bd55525a</t>
  </si>
  <si>
    <t>5780b82b-0419-ffe6-2453-18b02c9d5f3f</t>
  </si>
  <si>
    <t>5780b82b-0419-ffe6-6ad1-7e5d6b3425d2</t>
  </si>
  <si>
    <t>5780b82b-0419-ffe6-ccee-7515ae1e4261</t>
  </si>
  <si>
    <t>5780b82b-0419-ffe6-8362-72a7d823d944</t>
  </si>
  <si>
    <t>765bd034-e8d7-f102-3525-2f4996ae6d1c</t>
  </si>
  <si>
    <t>4f5e8f16-a31b-3071-8556-d7188ede313d</t>
  </si>
  <si>
    <t>aa0f06f5-23d1-31ca-9753-ded5d109580a</t>
  </si>
  <si>
    <t>765bd034-e8d7-f102-1847-04955bfb5d94</t>
  </si>
  <si>
    <t>765bd034-e8d7-f102-0d80-52daa362b210</t>
  </si>
  <si>
    <t>765bd034-e8d7-f102-d9e3-1d4460c2c471</t>
  </si>
  <si>
    <t>765bd034-e8d7-f102-5fa1-ab5942837e4f</t>
  </si>
  <si>
    <t>765bd034-e8d7-f102-341f-aa68f654bcaa</t>
  </si>
  <si>
    <t>765bd034-e8d7-f102-5c42-5519c3d7c2fe</t>
  </si>
  <si>
    <t>765bd034-e8d7-f102-af13-5a0bd9ecef54</t>
  </si>
  <si>
    <t>dae3ee01-f383-366e-9ad6-dc92963064ea</t>
  </si>
  <si>
    <t>b4485d03-8ddc-3cf1-8dba-02132a7cfce4</t>
  </si>
  <si>
    <t>765bd034-e8d7-f102-c62b-bdd53c8be516</t>
  </si>
  <si>
    <t>765bd034-e8d7-f102-8278-cdd200cc6922</t>
  </si>
  <si>
    <t>765bd034-e8d7-f102-5474-07eff9829a35</t>
  </si>
  <si>
    <t>765bd034-e8d7-f102-2914-2d05e8e80e66</t>
  </si>
  <si>
    <t>765bd034-e8d7-f102-4046-93d9ce8e5996</t>
  </si>
  <si>
    <t>765bd034-e8d7-f102-d95b-5cf493154a09</t>
  </si>
  <si>
    <t>765bd034-e8d7-f102-b746-42a13457db3d</t>
  </si>
  <si>
    <t>765bd034-e8d7-f102-1d73-f2fb2a8e36a2</t>
  </si>
  <si>
    <t>765bd034-e8d7-f102-0bd6-75e434c71255</t>
  </si>
  <si>
    <t>765bd034-e8d7-f102-1fd2-62aeed70388c</t>
  </si>
  <si>
    <t>765bd034-e8d7-f102-4569-45fbd329f086</t>
  </si>
  <si>
    <t>765bd034-e8d7-f102-6ff9-1dd5fb5616ba</t>
  </si>
  <si>
    <t>765bd034-e8d7-f102-c7b6-873256f2429a</t>
  </si>
  <si>
    <t>765bd034-e8d7-f102-417e-663059b41876</t>
  </si>
  <si>
    <t>765bd034-e8d7-f102-2db4-00cb44545cff</t>
  </si>
  <si>
    <t>765bd034-e8d7-f102-2121-ff70bf387df9</t>
  </si>
  <si>
    <t>765bd034-e8d7-f102-8421-e89bd49f51a0</t>
  </si>
  <si>
    <t>765bd034-e8d7-f102-e496-8236d9204e98</t>
  </si>
  <si>
    <t>765bd034-e8d7-f102-d5b9-ae216b65e488</t>
  </si>
  <si>
    <t>765bd034-e8d7-f102-0090-2e0f69227d8b</t>
  </si>
  <si>
    <t>069b90f9-309b-35e4-b990-d1dbacb962cc</t>
  </si>
  <si>
    <t>0c9b60a8-ae69-3f1d-96fe-6a8a331f2931</t>
  </si>
  <si>
    <t>edb5a2e3-a981-d33c-3db0-5427687709d1</t>
  </si>
  <si>
    <t>edb5a2e3-a981-d33c-9684-a45f5c29896f</t>
  </si>
  <si>
    <t>bce5b907-584b-345d-bbcf-912cf56cb6c3</t>
  </si>
  <si>
    <t>e42c9f74-8ef5-3227-a56d-93ae10d670d2</t>
  </si>
  <si>
    <t>edb5a2e3-a981-d33c-24cf-f01d3728e2a1</t>
  </si>
  <si>
    <t>edb5a2e3-a981-d33c-aeca-529a1b69325c</t>
  </si>
  <si>
    <t>edb5a2e3-a981-d33c-9f02-8f942274699f</t>
  </si>
  <si>
    <t>edb5a2e3-a981-d33c-7746-387f8572c0d7</t>
  </si>
  <si>
    <t>edb5a2e3-a981-d33c-2b65-b1c590309522</t>
  </si>
  <si>
    <t>edb5a2e3-a981-d33c-5e74-aca863634115</t>
  </si>
  <si>
    <t>edb5a2e3-a981-d33c-7761-2de1eacea0a1</t>
  </si>
  <si>
    <t>edb5a2e3-a981-d33c-e92a-659929123729</t>
  </si>
  <si>
    <t>edb5a2e3-a981-d33c-91e4-e5f8bfdb9ee1</t>
  </si>
  <si>
    <t>edb5a2e3-a981-d33c-9813-8bc5d83c95de</t>
  </si>
  <si>
    <t>edb5a2e3-a981-d33c-36ed-248cba604e6b</t>
  </si>
  <si>
    <t>edb5a2e3-a981-d33c-1c86-161ff002a602</t>
  </si>
  <si>
    <t>01bde980-bf89-3138-8912-7360dff33247</t>
  </si>
  <si>
    <t>cddb9f2c-a6e6-3432-9408-c5ba3d4f8211</t>
  </si>
  <si>
    <t>edb5a2e3-a981-d33c-f5ee-b2749da85bb3</t>
  </si>
  <si>
    <t>edb5a2e3-a981-d33c-ead4-704926882bab</t>
  </si>
  <si>
    <t>edb5a2e3-a981-d33c-0a4a-eefa8e77bd28</t>
  </si>
  <si>
    <t>edb5a2e3-a981-d33c-806b-630c57c14a2c</t>
  </si>
  <si>
    <t>edb5a2e3-a981-d33c-4c06-6bebde63cf4d</t>
  </si>
  <si>
    <t>edb5a2e3-a981-d33c-d006-debf19a0c75e</t>
  </si>
  <si>
    <t>edb5a2e3-a981-d33c-ecd6-95359fe73d30</t>
  </si>
  <si>
    <t>edb5a2e3-a981-d33c-a0b0-f08f62700185</t>
  </si>
  <si>
    <t>edb5a2e3-a981-d33c-fc3b-e5ab9c052779</t>
  </si>
  <si>
    <t>edb5a2e3-a981-d33c-5aaf-e3ccc1ddb874</t>
  </si>
  <si>
    <t>edb5a2e3-a981-d33c-5481-98e598bd68cb</t>
  </si>
  <si>
    <t>edb5a2e3-a981-d33c-56c3-f49aad719878</t>
  </si>
  <si>
    <t>edb5a2e3-a981-d33c-1550-69d7cf0e97ef</t>
  </si>
  <si>
    <t>edb5a2e3-a981-d33c-867c-3521ae84caea</t>
  </si>
  <si>
    <t>edb5a2e3-a981-d33c-5672-15b5fa71ed91</t>
  </si>
  <si>
    <t>edb5a2e3-a981-d33c-1415-1eeb1ba4d9b0</t>
  </si>
  <si>
    <t>edb5a2e3-a981-d33c-eadd-921b551b7d10</t>
  </si>
  <si>
    <t>edb5a2e3-a981-d33c-d38b-208d46dd621a</t>
  </si>
  <si>
    <t>edb5a2e3-a981-d33c-5245-043cd6bc50e9</t>
  </si>
  <si>
    <t>edb5a2e3-a981-d33c-a7a5-045eb7c68d3a</t>
  </si>
  <si>
    <t>edb5a2e3-a981-d33c-0abd-d93e42d5f097</t>
  </si>
  <si>
    <t>edb5a2e3-a981-d33c-e4bd-ec6af8a21173</t>
  </si>
  <si>
    <t>edb5a2e3-a981-d33c-be28-4776a00da782</t>
  </si>
  <si>
    <t>edb5a2e3-a981-d33c-67a1-48dccd08134b</t>
  </si>
  <si>
    <t>edb5a2e3-a981-d33c-34de-27f00e8fac7e</t>
  </si>
  <si>
    <t>edb5a2e3-a981-d33c-ae95-80923ce12c53</t>
  </si>
  <si>
    <t>8704c44c-8b97-e35a-b57d-84809b73c1b6</t>
  </si>
  <si>
    <t>b1965e0b-9ef4-3e96-bad6-cb88ea7e7324</t>
  </si>
  <si>
    <t>083a9aa3-4783-3e96-b3bc-4419fc064372</t>
  </si>
  <si>
    <t>8704c44c-8b97-e35a-2830-d76d3e076813</t>
  </si>
  <si>
    <t>8704c44c-8b97-e35a-9915-8740855cfc25</t>
  </si>
  <si>
    <t>8704c44c-8b97-e35a-7ead-84b8f4ff44f0</t>
  </si>
  <si>
    <t>ce4d0501-49eb-396a-bc56-545fdfc624b0</t>
  </si>
  <si>
    <t>47d32b6a-a577-3a86-8607-a8d9b2c9d104</t>
  </si>
  <si>
    <t>8704c44c-8b97-e35a-34c6-ec716a24a630</t>
  </si>
  <si>
    <t>8704c44c-8b97-e35a-2fdc-b85d667cd378</t>
  </si>
  <si>
    <t>Opioid abuse</t>
  </si>
  <si>
    <t>8704c44c-8b97-e35a-efea-b457d9a4105e</t>
  </si>
  <si>
    <t>8704c44c-8b97-e35a-5b68-55b013d01ae7</t>
  </si>
  <si>
    <t>8704c44c-8b97-e35a-27fb-ea7689cb7b9c</t>
  </si>
  <si>
    <t>8704c44c-8b97-e35a-2bfb-6e79f455c93a</t>
  </si>
  <si>
    <t>8704c44c-8b97-e35a-95d6-5e532835d9d6</t>
  </si>
  <si>
    <t>8704c44c-8b97-e35a-60fe-41b59f17db91</t>
  </si>
  <si>
    <t>8704c44c-8b97-e35a-60ad-b7021dfa33d7</t>
  </si>
  <si>
    <t>8704c44c-8b97-e35a-e326-080c32ed0747</t>
  </si>
  <si>
    <t>8704c44c-8b97-e35a-5618-e41529670849</t>
  </si>
  <si>
    <t>8704c44c-8b97-e35a-611c-9414924c04c7</t>
  </si>
  <si>
    <t>8704c44c-8b97-e35a-588b-e896f18f535d</t>
  </si>
  <si>
    <t>8704c44c-8b97-e35a-ebdd-3193510303e0</t>
  </si>
  <si>
    <t>8704c44c-8b97-e35a-023d-69cac8e69870</t>
  </si>
  <si>
    <t>8704c44c-8b97-e35a-fc66-05c0438eb71d</t>
  </si>
  <si>
    <t>8704c44c-8b97-e35a-450b-892c509fb6f7</t>
  </si>
  <si>
    <t>8704c44c-8b97-e35a-9a54-23968645eccf</t>
  </si>
  <si>
    <t>8704c44c-8b97-e35a-df15-f5d3509d7f59</t>
  </si>
  <si>
    <t>8704c44c-8b97-e35a-2c57-2ceab7a9212b</t>
  </si>
  <si>
    <t>8704c44c-8b97-e35a-8dc6-04ac77280eda</t>
  </si>
  <si>
    <t>8704c44c-8b97-e35a-92d1-57e044e600e8</t>
  </si>
  <si>
    <t>8704c44c-8b97-e35a-9fde-782e143b4e53</t>
  </si>
  <si>
    <t>8704c44c-8b97-e35a-47a0-03dbbbc2979b</t>
  </si>
  <si>
    <t>8704c44c-8b97-e35a-ab47-f6fb20b6f208</t>
  </si>
  <si>
    <t>8704c44c-8b97-e35a-e3cd-b317db7fb003</t>
  </si>
  <si>
    <t>8704c44c-8b97-e35a-688c-ea775144f4bb</t>
  </si>
  <si>
    <t>8704c44c-8b97-e35a-5cad-8913f2fcf225</t>
  </si>
  <si>
    <t>8704c44c-8b97-e35a-6ddc-9b6ad197ea89</t>
  </si>
  <si>
    <t>8704c44c-8b97-e35a-b763-27fb3f13bc85</t>
  </si>
  <si>
    <t>8704c44c-8b97-e35a-667c-d6c79bea6068</t>
  </si>
  <si>
    <t>8704c44c-8b97-e35a-d870-61e35d32c493</t>
  </si>
  <si>
    <t>8704c44c-8b97-e35a-6d8a-860359b233cf</t>
  </si>
  <si>
    <t>8704c44c-8b97-e35a-9338-989aedbc38ca</t>
  </si>
  <si>
    <t>8704c44c-8b97-e35a-44e8-3b749dffd3b5</t>
  </si>
  <si>
    <t>8704c44c-8b97-e35a-ec46-41d3d77b2875</t>
  </si>
  <si>
    <t>8704c44c-8b97-e35a-4c62-d7ea73184108</t>
  </si>
  <si>
    <t>8704c44c-8b97-e35a-57a4-22f08766978e</t>
  </si>
  <si>
    <t>8704c44c-8b97-e35a-27de-ca9fad2ddac8</t>
  </si>
  <si>
    <t>8704c44c-8b97-e35a-6e51-16696027185b</t>
  </si>
  <si>
    <t>8704c44c-8b97-e35a-9f4c-20f49688400e</t>
  </si>
  <si>
    <t>8704c44c-8b97-e35a-9ef3-fd65cec46bd3</t>
  </si>
  <si>
    <t>8704c44c-8b97-e35a-b914-38d4f6cb703c</t>
  </si>
  <si>
    <t>8704c44c-8b97-e35a-2e79-0ad7e7723971</t>
  </si>
  <si>
    <t>8704c44c-8b97-e35a-2fec-b998ccfb8e70</t>
  </si>
  <si>
    <t>8704c44c-8b97-e35a-8bf4-d415824e336e</t>
  </si>
  <si>
    <t>8704c44c-8b97-e35a-980a-1bd4e7907ad2</t>
  </si>
  <si>
    <t>8704c44c-8b97-e35a-f902-3d84091bdbc1</t>
  </si>
  <si>
    <t>8704c44c-8b97-e35a-1053-a9918a9a4d1c</t>
  </si>
  <si>
    <t>8704c44c-8b97-e35a-c7a5-8ca67e84156f</t>
  </si>
  <si>
    <t>8704c44c-8b97-e35a-4824-4463e7e1996a</t>
  </si>
  <si>
    <t>8704c44c-8b97-e35a-84bd-a0f8222e4753</t>
  </si>
  <si>
    <t>8704c44c-8b97-e35a-5fe8-5d68a15bc63a</t>
  </si>
  <si>
    <t>8704c44c-8b97-e35a-274a-4430c3625a1e</t>
  </si>
  <si>
    <t>8704c44c-8b97-e35a-68d0-173b5d92db4c</t>
  </si>
  <si>
    <t>8704c44c-8b97-e35a-7b1d-fad02e9110fa</t>
  </si>
  <si>
    <t>8704c44c-8b97-e35a-7ee3-5e856a01f390</t>
  </si>
  <si>
    <t>8704c44c-8b97-e35a-e16e-ad8ea9eaf742</t>
  </si>
  <si>
    <t>8704c44c-8b97-e35a-95a6-b00a67bc5d4e</t>
  </si>
  <si>
    <t>8704c44c-8b97-e35a-1457-6f7ebe716ef0</t>
  </si>
  <si>
    <t>8704c44c-8b97-e35a-db6f-8470dcc4091c</t>
  </si>
  <si>
    <t>8704c44c-8b97-e35a-44a8-918996e71417</t>
  </si>
  <si>
    <t>8704c44c-8b97-e35a-8f30-e0e86d923687</t>
  </si>
  <si>
    <t>8704c44c-8b97-e35a-3bc6-dae8209d5d1a</t>
  </si>
  <si>
    <t>8704c44c-8b97-e35a-e0a0-a2fbc2b6f213</t>
  </si>
  <si>
    <t>8704c44c-8b97-e35a-3cd1-8dbcbcbf00d4</t>
  </si>
  <si>
    <t>887e4b4e-a3e1-b573-e5dd-fb76a003e994</t>
  </si>
  <si>
    <t>8af3b144-0e1a-3c90-937d-81a4ed026080</t>
  </si>
  <si>
    <t>57f5485d-e537-3535-82a4-4957fc8bb0c4</t>
  </si>
  <si>
    <t>Wheat (substance)</t>
  </si>
  <si>
    <t>887e4b4e-a3e1-b573-4c25-13bee5319da7</t>
  </si>
  <si>
    <t>887e4b4e-a3e1-b573-c1b5-84e5a5c20ac0</t>
  </si>
  <si>
    <t>887e4b4e-a3e1-b573-381a-3312e620787a</t>
  </si>
  <si>
    <t>887e4b4e-a3e1-b573-3c8d-f021759d94a4</t>
  </si>
  <si>
    <t>929d7ec5-3ee7-35ab-a056-91f60788c234</t>
  </si>
  <si>
    <t>470dace8-1f37-339d-89a9-1419af6b4db5</t>
  </si>
  <si>
    <t>887e4b4e-a3e1-b573-0e43-b6625956c718</t>
  </si>
  <si>
    <t>887e4b4e-a3e1-b573-37f8-d9ddfc4ca8c2</t>
  </si>
  <si>
    <t>887e4b4e-a3e1-b573-b546-2ae64ed1cad0</t>
  </si>
  <si>
    <t>887e4b4e-a3e1-b573-8ba2-62f62b3abce2</t>
  </si>
  <si>
    <t>887e4b4e-a3e1-b573-8ba8-74039dd9615d</t>
  </si>
  <si>
    <t>887e4b4e-a3e1-b573-eb96-0973acbec9f2</t>
  </si>
  <si>
    <t>887e4b4e-a3e1-b573-6151-25c3cd77e431</t>
  </si>
  <si>
    <t>887e4b4e-a3e1-b573-cf02-aa614fde76f4</t>
  </si>
  <si>
    <t>887e4b4e-a3e1-b573-9b18-0f809a7439b7</t>
  </si>
  <si>
    <t>887e4b4e-a3e1-b573-b6ea-744a85e6abd0</t>
  </si>
  <si>
    <t>887e4b4e-a3e1-b573-0b16-d439d5640ff4</t>
  </si>
  <si>
    <t>887e4b4e-a3e1-b573-6da1-147b61d6a47d</t>
  </si>
  <si>
    <t>887e4b4e-a3e1-b573-b607-05ca522e01e4</t>
  </si>
  <si>
    <t>887e4b4e-a3e1-b573-8055-e81ae2161de9</t>
  </si>
  <si>
    <t>887e4b4e-a3e1-b573-0740-fb2f753f597c</t>
  </si>
  <si>
    <t>0f3d04a2-f42e-1429-a576-2d582da97c36</t>
  </si>
  <si>
    <t>1b3fe590-8793-3f08-865d-01fc425a84d4</t>
  </si>
  <si>
    <t>79618ea2-f3ea-393a-9820-81b8ac3c5dbc</t>
  </si>
  <si>
    <t>0f3d04a2-f42e-1429-9c7f-95d20d79de5e</t>
  </si>
  <si>
    <t>0f3d04a2-f42e-1429-8de4-8f8540a74b59</t>
  </si>
  <si>
    <t>0f3d04a2-f42e-1429-5a77-38371852495e</t>
  </si>
  <si>
    <t>0f3d04a2-f42e-1429-724a-39ef525dcbbf</t>
  </si>
  <si>
    <t>0f3d04a2-f42e-1429-3fb9-15a98f6e6a8c</t>
  </si>
  <si>
    <t>0f3d04a2-f42e-1429-275d-20b863697320</t>
  </si>
  <si>
    <t>0f3d04a2-f42e-1429-31ab-a453909d4cea</t>
  </si>
  <si>
    <t>0f3d04a2-f42e-1429-9f41-051e25478ca3</t>
  </si>
  <si>
    <t>0f3d04a2-f42e-1429-f8e2-f3bd0023c312</t>
  </si>
  <si>
    <t>887e4b4e-a3e1-b573-70f1-942f58324393</t>
  </si>
  <si>
    <t>887e4b4e-a3e1-b573-2a5b-f3e0ba8a5f88</t>
  </si>
  <si>
    <t>887e4b4e-a3e1-b573-955a-9aa4d44092fd</t>
  </si>
  <si>
    <t>887e4b4e-a3e1-b573-8035-ad28d60bfd5c</t>
  </si>
  <si>
    <t>887e4b4e-a3e1-b573-eb11-7cb21aea9d94</t>
  </si>
  <si>
    <t>887e4b4e-a3e1-b573-6d18-2319646e70b9</t>
  </si>
  <si>
    <t>887e4b4e-a3e1-b573-b8e9-d799fd8d055c</t>
  </si>
  <si>
    <t>887e4b4e-a3e1-b573-c934-04e9ca02e93b</t>
  </si>
  <si>
    <t>887e4b4e-a3e1-b573-ffdb-2a40859c2c6c</t>
  </si>
  <si>
    <t>887e4b4e-a3e1-b573-672c-dbdbdc6e7933</t>
  </si>
  <si>
    <t>887e4b4e-a3e1-b573-8e50-32915a3f73bd</t>
  </si>
  <si>
    <t>887e4b4e-a3e1-b573-114d-9a1e5d5abfc9</t>
  </si>
  <si>
    <t>887e4b4e-a3e1-b573-b6de-3a8bdeda55ec</t>
  </si>
  <si>
    <t>887e4b4e-a3e1-b573-522e-b5fc5c010023</t>
  </si>
  <si>
    <t>887e4b4e-a3e1-b573-57ec-bd6aaf6c7c5e</t>
  </si>
  <si>
    <t>887e4b4e-a3e1-b573-24a5-d3e55f191ffc</t>
  </si>
  <si>
    <t>887e4b4e-a3e1-b573-ac65-e10d715ab5f1</t>
  </si>
  <si>
    <t>887e4b4e-a3e1-b573-a0b6-e2c1786a31e2</t>
  </si>
  <si>
    <t>887e4b4e-a3e1-b573-158e-201d65a66ecd</t>
  </si>
  <si>
    <t>887e4b4e-a3e1-b573-00b3-f068deb69966</t>
  </si>
  <si>
    <t>887e4b4e-a3e1-b573-a0f4-d4a30a68cf60</t>
  </si>
  <si>
    <t>887e4b4e-a3e1-b573-3541-4fe167ec7354</t>
  </si>
  <si>
    <t>887e4b4e-a3e1-b573-05cd-736d3f42e2be</t>
  </si>
  <si>
    <t>887e4b4e-a3e1-b573-e1d3-4143fd2efdb7</t>
  </si>
  <si>
    <t>0f3d04a2-f42e-1429-95ea-ce99d8f7baa0</t>
  </si>
  <si>
    <t>Aortic valve stenosis (disorder)</t>
  </si>
  <si>
    <t>0f3d04a2-f42e-1429-5974-f732ee853973</t>
  </si>
  <si>
    <t>0f3d04a2-f42e-1429-c076-e3eaf1484a87</t>
  </si>
  <si>
    <t>0f3d04a2-f42e-1429-eda3-609cdb662472</t>
  </si>
  <si>
    <t>0f3d04a2-f42e-1429-656b-419c8ae88cb9</t>
  </si>
  <si>
    <t>0f3d04a2-f42e-1429-292b-89f90a821e07</t>
  </si>
  <si>
    <t>0f3d04a2-f42e-1429-65a6-dc98ef79856e</t>
  </si>
  <si>
    <t>0f3d04a2-f42e-1429-cef7-35d69af420e9</t>
  </si>
  <si>
    <t>41e2a44c-477c-3511-96f9-12c476aa3b6a</t>
  </si>
  <si>
    <t>6d061ae2-59e3-3fae-bc13-46189cbae70c</t>
  </si>
  <si>
    <t>887e4b4e-a3e1-b573-9f99-be15919e1598</t>
  </si>
  <si>
    <t>887e4b4e-a3e1-b573-6c74-e7fffc0bba68</t>
  </si>
  <si>
    <t>887e4b4e-a3e1-b573-8933-7b89727f1acf</t>
  </si>
  <si>
    <t>887e4b4e-a3e1-b573-890f-8c2d08aa757d</t>
  </si>
  <si>
    <t>887e4b4e-a3e1-b573-3c6f-e181bccf95a8</t>
  </si>
  <si>
    <t>887e4b4e-a3e1-b573-1142-af20aefaac74</t>
  </si>
  <si>
    <t>887e4b4e-a3e1-b573-b42e-0f33d55e6859</t>
  </si>
  <si>
    <t>887e4b4e-a3e1-b573-bd54-a0abacb2916c</t>
  </si>
  <si>
    <t>887e4b4e-a3e1-b573-f07e-86c1f01173d8</t>
  </si>
  <si>
    <t>887e4b4e-a3e1-b573-2d00-3ebb6a4f91bd</t>
  </si>
  <si>
    <t>887e4b4e-a3e1-b573-4f6e-fc87d4db143a</t>
  </si>
  <si>
    <t>887e4b4e-a3e1-b573-6cb1-f5332594d51d</t>
  </si>
  <si>
    <t>887e4b4e-a3e1-b573-85b0-8d3008bc3279</t>
  </si>
  <si>
    <t>887e4b4e-a3e1-b573-dbfe-c056bdc4983e</t>
  </si>
  <si>
    <t>887e4b4e-a3e1-b573-3bd9-f5bff692151a</t>
  </si>
  <si>
    <t>887e4b4e-a3e1-b573-df9c-62d29ccaa239</t>
  </si>
  <si>
    <t>887e4b4e-a3e1-b573-3fe6-1a6e020aa885</t>
  </si>
  <si>
    <t>887e4b4e-a3e1-b573-748c-cbd3ac0e521a</t>
  </si>
  <si>
    <t>887e4b4e-a3e1-b573-44be-ed48a7b18ecc</t>
  </si>
  <si>
    <t>887e4b4e-a3e1-b573-fa7c-1a7a425a0d96</t>
  </si>
  <si>
    <t>0f3d04a2-f42e-1429-77ca-b89f4eab38dd</t>
  </si>
  <si>
    <t>0f3d04a2-f42e-1429-360f-90a0c51eec30</t>
  </si>
  <si>
    <t>0f3d04a2-f42e-1429-a91c-c095d1966051</t>
  </si>
  <si>
    <t>6c064003-fa5a-38a5-b48c-36c5a9643e2b</t>
  </si>
  <si>
    <t>cf73587c-12fd-3d58-bdd6-0fd4085f94d1</t>
  </si>
  <si>
    <t>0f3d04a2-f42e-1429-032c-58a04f82e668</t>
  </si>
  <si>
    <t>0f3d04a2-f42e-1429-a854-a579a7635a89</t>
  </si>
  <si>
    <t>0f3d04a2-f42e-1429-1373-38ce572c631a</t>
  </si>
  <si>
    <t>0f3d04a2-f42e-1429-41b4-f42bf19dc95a</t>
  </si>
  <si>
    <t>0f3d04a2-f42e-1429-a729-f5f74182aa11</t>
  </si>
  <si>
    <t>0f3d04a2-f42e-1429-322c-a1dae5e80efa</t>
  </si>
  <si>
    <t>0f3d04a2-f42e-1429-8171-9b7f655aab0a</t>
  </si>
  <si>
    <t>0f3d04a2-f42e-1429-7827-0276d4d7d581</t>
  </si>
  <si>
    <t>0f3d04a2-f42e-1429-7e54-b756f719c8cf</t>
  </si>
  <si>
    <t>0f3d04a2-f42e-1429-8836-c75afed0ba41</t>
  </si>
  <si>
    <t>0f3d04a2-f42e-1429-44db-ce2acbf6fedb</t>
  </si>
  <si>
    <t>0f3d04a2-f42e-1429-c68a-db4818d9e9c3</t>
  </si>
  <si>
    <t>0f3d04a2-f42e-1429-fcaa-b64338984b67</t>
  </si>
  <si>
    <t>887e4b4e-a3e1-b573-0595-60260b959860</t>
  </si>
  <si>
    <t>887e4b4e-a3e1-b573-1873-4183451e52d2</t>
  </si>
  <si>
    <t>887e4b4e-a3e1-b573-6b44-4a47b47bd56d</t>
  </si>
  <si>
    <t>887e4b4e-a3e1-b573-97d6-864287813231</t>
  </si>
  <si>
    <t>887e4b4e-a3e1-b573-d9b9-817342734b51</t>
  </si>
  <si>
    <t>887e4b4e-a3e1-b573-98e0-5ba1d9029f06</t>
  </si>
  <si>
    <t>887e4b4e-a3e1-b573-8379-82f44a89d4e1</t>
  </si>
  <si>
    <t>887e4b4e-a3e1-b573-b083-edfddac18705</t>
  </si>
  <si>
    <t>887e4b4e-a3e1-b573-e9d7-6c17f0c96b45</t>
  </si>
  <si>
    <t>887e4b4e-a3e1-b573-02c0-4551fe33f49f</t>
  </si>
  <si>
    <t>887e4b4e-a3e1-b573-ff0a-143c306de5a4</t>
  </si>
  <si>
    <t>887e4b4e-a3e1-b573-9c6f-3a1d28868c7c</t>
  </si>
  <si>
    <t>887e4b4e-a3e1-b573-6727-f0a1c4ffe83b</t>
  </si>
  <si>
    <t>887e4b4e-a3e1-b573-7baf-0e6a21288faf</t>
  </si>
  <si>
    <t>887e4b4e-a3e1-b573-198d-1a17bb50bae9</t>
  </si>
  <si>
    <t>887e4b4e-a3e1-b573-19b0-3a2e1c1f36dd</t>
  </si>
  <si>
    <t>887e4b4e-a3e1-b573-b725-d94617a922ba</t>
  </si>
  <si>
    <t>887e4b4e-a3e1-b573-8a23-07206d32d294</t>
  </si>
  <si>
    <t>887e4b4e-a3e1-b573-466d-02ddbba1d6ec</t>
  </si>
  <si>
    <t>887e4b4e-a3e1-b573-ceb7-ae35c6c066b4</t>
  </si>
  <si>
    <t>887e4b4e-a3e1-b573-1ff8-b43a73358dc8</t>
  </si>
  <si>
    <t>0f3d04a2-f42e-1429-b78c-341adfb335c7</t>
  </si>
  <si>
    <t>0f3d04a2-f42e-1429-683e-7e309d220d36</t>
  </si>
  <si>
    <t>0f3d04a2-f42e-1429-d27a-54e7a9a28e5c</t>
  </si>
  <si>
    <t>0f3d04a2-f42e-1429-cb2b-e8572aac1e71</t>
  </si>
  <si>
    <t>0f3d04a2-f42e-1429-96b7-d7e602135313</t>
  </si>
  <si>
    <t>0f3d04a2-f42e-1429-d5f0-1ae31e64e577</t>
  </si>
  <si>
    <t>0f3d04a2-f42e-1429-0cc8-1c82df8c9d03</t>
  </si>
  <si>
    <t>0f3d04a2-f42e-1429-8edf-fc7683c2d3b7</t>
  </si>
  <si>
    <t>0f3d04a2-f42e-1429-d8d7-bba1efb592e8</t>
  </si>
  <si>
    <t>0f3d04a2-f42e-1429-51a3-136f3f71e025</t>
  </si>
  <si>
    <t>0f3d04a2-f42e-1429-ce35-b24c9d4f4cf9</t>
  </si>
  <si>
    <t>0f3d04a2-f42e-1429-3e92-1b5d5df42f25</t>
  </si>
  <si>
    <t>0f3d04a2-f42e-1429-af83-e416441006a4</t>
  </si>
  <si>
    <t>0f3d04a2-f42e-1429-4eac-72dbbdf8a1e9</t>
  </si>
  <si>
    <t>0f3d04a2-f42e-1429-210c-7fd86aa92280</t>
  </si>
  <si>
    <t>0f3d04a2-f42e-1429-7936-db64c0446b8d</t>
  </si>
  <si>
    <t>0f3d04a2-f42e-1429-1f2f-9f70c807496b</t>
  </si>
  <si>
    <t>0f3d04a2-f42e-1429-846e-5505bf97fc80</t>
  </si>
  <si>
    <t>887e4b4e-a3e1-b573-f331-6c5dcd07788c</t>
  </si>
  <si>
    <t>887e4b4e-a3e1-b573-2d17-31936102661a</t>
  </si>
  <si>
    <t>887e4b4e-a3e1-b573-ab40-3da9f3a1e51d</t>
  </si>
  <si>
    <t>0f3d04a2-f42e-1429-711d-3443aa68deab</t>
  </si>
  <si>
    <t>0f3d04a2-f42e-1429-7d63-e169edd43a68</t>
  </si>
  <si>
    <t>0f3d04a2-f42e-1429-3b5c-8b446f56db21</t>
  </si>
  <si>
    <t>02c936e2-3aee-38b2-88a4-81f3689b7bb7</t>
  </si>
  <si>
    <t>8fc3ad99-f476-343c-bded-ef36802e3f51</t>
  </si>
  <si>
    <t>0f3d04a2-f42e-1429-f667-f1ff9d6d420b</t>
  </si>
  <si>
    <t>0f3d04a2-f42e-1429-fce8-57d2290e6388</t>
  </si>
  <si>
    <t>0f3d04a2-f42e-1429-eac7-e77d6c09ac2a</t>
  </si>
  <si>
    <t>0f3d04a2-f42e-1429-6f6f-befd89fe1eef</t>
  </si>
  <si>
    <t>Cerebrovascular accident (disorder)</t>
  </si>
  <si>
    <t>0f3d04a2-f42e-1429-4052-0167a6847976</t>
  </si>
  <si>
    <t>0f3d04a2-f42e-1429-4f39-635f8ba35671</t>
  </si>
  <si>
    <t>0f3d04a2-f42e-1429-be01-587d507e5a5b</t>
  </si>
  <si>
    <t>0f3d04a2-f42e-1429-2d79-0e8ef18d427f</t>
  </si>
  <si>
    <t>0f3d04a2-f42e-1429-2586-5f6911a25a3c</t>
  </si>
  <si>
    <t>0f3d04a2-f42e-1429-9049-0ea4d5b51e4f</t>
  </si>
  <si>
    <t>0f3d04a2-f42e-1429-142e-306ebb2504f3</t>
  </si>
  <si>
    <t>0f3d04a2-f42e-1429-bf22-2bd602b590f9</t>
  </si>
  <si>
    <t>0f3d04a2-f42e-1429-d104-a4b4e8b94a70</t>
  </si>
  <si>
    <t>0f3d04a2-f42e-1429-79d3-3e5bcb433f4c</t>
  </si>
  <si>
    <t>0f3d04a2-f42e-1429-f3bb-02a6e9240bd5</t>
  </si>
  <si>
    <t>0f3d04a2-f42e-1429-e160-99856433c604</t>
  </si>
  <si>
    <t>0f3d04a2-f42e-1429-a8d7-a034ddadbbf8</t>
  </si>
  <si>
    <t>0f3d04a2-f42e-1429-9b26-a0d6fd431831</t>
  </si>
  <si>
    <t>0f3d04a2-f42e-1429-3819-1de2ff3a0974</t>
  </si>
  <si>
    <t>0f3d04a2-f42e-1429-da0c-199c2bc14869</t>
  </si>
  <si>
    <t>0f3d04a2-f42e-1429-332f-b5a1f3aebcf4</t>
  </si>
  <si>
    <t>0f3d04a2-f42e-1429-b132-e76764583f42</t>
  </si>
  <si>
    <t>0f3d04a2-f42e-1429-cacf-0e03da4af7e1</t>
  </si>
  <si>
    <t>0f3d04a2-f42e-1429-7fec-6e66deeff8ed</t>
  </si>
  <si>
    <t>0f3d04a2-f42e-1429-5ffb-af76a1552133</t>
  </si>
  <si>
    <t>0f3d04a2-f42e-1429-bacc-1462084e2ddc</t>
  </si>
  <si>
    <t>0f3d04a2-f42e-1429-cb4a-3a10304283fc</t>
  </si>
  <si>
    <t>9c5b16dc-8a47-896c-ef3c-94e0375a7eec</t>
  </si>
  <si>
    <t>aad05540-c9cb-3805-b3c4-f9b9d9b42b2e</t>
  </si>
  <si>
    <t>f3d5ec38-244e-30ff-85e8-06914fcd3fa2</t>
  </si>
  <si>
    <t>9c5b16dc-8a47-896c-4432-485c19254f9c</t>
  </si>
  <si>
    <t>9c5b16dc-8a47-896c-ff85-796b4674f318</t>
  </si>
  <si>
    <t>9c5b16dc-8a47-896c-1b9b-150cb5a9c514</t>
  </si>
  <si>
    <t>9c5b16dc-8a47-896c-8cf8-d8755b43d91f</t>
  </si>
  <si>
    <t>0d9b0d22-585e-3fd8-ab02-26b5be7915d1</t>
  </si>
  <si>
    <t>c6c080e3-b2a9-3c88-8a69-84a726482e4a</t>
  </si>
  <si>
    <t>9c5b16dc-8a47-896c-f97f-371ec5f4c208</t>
  </si>
  <si>
    <t>9c5b16dc-8a47-896c-43b5-db76ad05616d</t>
  </si>
  <si>
    <t>9c5b16dc-8a47-896c-0ee1-632cf9cc62ed</t>
  </si>
  <si>
    <t>9c5b16dc-8a47-896c-b0fd-ed72ffa20bf1</t>
  </si>
  <si>
    <t>9c5b16dc-8a47-896c-c7de-5484cc4d31c6</t>
  </si>
  <si>
    <t>9c5b16dc-8a47-896c-300e-ce9bc7b6f36b</t>
  </si>
  <si>
    <t>9c5b16dc-8a47-896c-a468-df1ff07747ed</t>
  </si>
  <si>
    <t>9c5b16dc-8a47-896c-3576-e91a13af98ef</t>
  </si>
  <si>
    <t>8bf5325a-c11b-35c4-b07d-17a5aeba8353</t>
  </si>
  <si>
    <t>d991fea7-c8ac-3662-9676-7be8a1564a13</t>
  </si>
  <si>
    <t>9c5b16dc-8a47-896c-6d1b-1dbef24f4052</t>
  </si>
  <si>
    <t>9c5b16dc-8a47-896c-674f-539ca55b7fc3</t>
  </si>
  <si>
    <t>9c5b16dc-8a47-896c-15ea-3f405d645b94</t>
  </si>
  <si>
    <t>9c5b16dc-8a47-896c-f61b-4d90271bbda5</t>
  </si>
  <si>
    <t>9c5b16dc-8a47-896c-8bd8-c0831329bcf2</t>
  </si>
  <si>
    <t>9c5b16dc-8a47-896c-f5f6-a0ba10aeee85</t>
  </si>
  <si>
    <t>9c5b16dc-8a47-896c-3dc0-9b5d8467aed0</t>
  </si>
  <si>
    <t>9c5b16dc-8a47-896c-1d37-459dc5a7dc82</t>
  </si>
  <si>
    <t>9c5b16dc-8a47-896c-0042-4f9e3d269008</t>
  </si>
  <si>
    <t>9c5b16dc-8a47-896c-aa0d-9d1b208838ef</t>
  </si>
  <si>
    <t>9c5b16dc-8a47-896c-b2bb-e48bcbd02e04</t>
  </si>
  <si>
    <t>9c5b16dc-8a47-896c-6d09-e32218e5abb0</t>
  </si>
  <si>
    <t>9c5b16dc-8a47-896c-1052-7f82181edb8e</t>
  </si>
  <si>
    <t>9c5b16dc-8a47-896c-2d2d-f3b909cdebbb</t>
  </si>
  <si>
    <t>9c5b16dc-8a47-896c-f577-72b43c8ac3a6</t>
  </si>
  <si>
    <t>9c5b16dc-8a47-896c-e008-a4aac0ed42f8</t>
  </si>
  <si>
    <t>9c5b16dc-8a47-896c-8267-a3b9a2ffa7ae</t>
  </si>
  <si>
    <t>9c5b16dc-8a47-896c-7ac4-860e07d50aeb</t>
  </si>
  <si>
    <t>5a6fa8a5-90e2-3f70-bb3e-3d9dd7ad2f96</t>
  </si>
  <si>
    <t>69b45f2f-4604-33b9-a24b-91eb6127b11a</t>
  </si>
  <si>
    <t>9c5b16dc-8a47-896c-975d-27600d2414be</t>
  </si>
  <si>
    <t>9c5b16dc-8a47-896c-ec00-a79ef8e58296</t>
  </si>
  <si>
    <t>9c5b16dc-8a47-896c-6157-c5b42d430a48</t>
  </si>
  <si>
    <t>9c5b16dc-8a47-896c-0eda-05ea714102a3</t>
  </si>
  <si>
    <t>9c5b16dc-8a47-896c-1e2c-d9de94a89221</t>
  </si>
  <si>
    <t>ad48e669-959c-b6f8-f034-0aff904d5d16</t>
  </si>
  <si>
    <t>acffdfa8-1383-3929-8c99-e73969491439</t>
  </si>
  <si>
    <t>d0fd8973-3052-3b9b-8637-09e0c58850ad</t>
  </si>
  <si>
    <t>ad48e669-959c-b6f8-49d6-fce7e2fd21f5</t>
  </si>
  <si>
    <t>ad48e669-959c-b6f8-a11b-078733297c50</t>
  </si>
  <si>
    <t>ad48e669-959c-b6f8-71a5-35835fc049c9</t>
  </si>
  <si>
    <t>03d0392a-7361-32b3-81c9-8c8ac985be00</t>
  </si>
  <si>
    <t>255895f7-d1f9-30e4-973b-42ffe6c3a792</t>
  </si>
  <si>
    <t>ad48e669-959c-b6f8-f17f-4b76e19f1205</t>
  </si>
  <si>
    <t>ad48e669-959c-b6f8-8781-78e6c9e9dc50</t>
  </si>
  <si>
    <t>ad48e669-959c-b6f8-1989-8ad97fff24ce</t>
  </si>
  <si>
    <t>ad48e669-959c-b6f8-982e-578417b94d37</t>
  </si>
  <si>
    <t>ad48e669-959c-b6f8-f8bc-02b113e0f67c</t>
  </si>
  <si>
    <t>ad48e669-959c-b6f8-4ffc-e388b121d17f</t>
  </si>
  <si>
    <t>ad48e669-959c-b6f8-d42e-f3c366ad6470</t>
  </si>
  <si>
    <t>ad48e669-959c-b6f8-b8cd-f371051527c2</t>
  </si>
  <si>
    <t>ad48e669-959c-b6f8-871f-0a0fb4442ba0</t>
  </si>
  <si>
    <t>ad48e669-959c-b6f8-4f40-c66c8ee8f0a7</t>
  </si>
  <si>
    <t>ad48e669-959c-b6f8-3471-b6eff9bd95af</t>
  </si>
  <si>
    <t>ad48e669-959c-b6f8-2271-6f5b9fb9cf96</t>
  </si>
  <si>
    <t>ad48e669-959c-b6f8-b747-40b547e683fc</t>
  </si>
  <si>
    <t>ad48e669-959c-b6f8-b15c-23e1072f3789</t>
  </si>
  <si>
    <t>ad48e669-959c-b6f8-c6da-7a0ed92272bd</t>
  </si>
  <si>
    <t>ad48e669-959c-b6f8-da07-d17d167e8129</t>
  </si>
  <si>
    <t>ad48e669-959c-b6f8-cea9-86ee7f7f4041</t>
  </si>
  <si>
    <t>ad48e669-959c-b6f8-803d-44e46304ce0f</t>
  </si>
  <si>
    <t>ad48e669-959c-b6f8-55e8-638621c933dc</t>
  </si>
  <si>
    <t>ad48e669-959c-b6f8-f7af-0ccf2648a8bf</t>
  </si>
  <si>
    <t>ad48e669-959c-b6f8-a9f5-6e7c30edb3bd</t>
  </si>
  <si>
    <t>ad48e669-959c-b6f8-172b-fee30eb0fcb9</t>
  </si>
  <si>
    <t>ad48e669-959c-b6f8-3b64-a21b54dc2350</t>
  </si>
  <si>
    <t>ad48e669-959c-b6f8-2f1b-8b1359761b9c</t>
  </si>
  <si>
    <t>ad48e669-959c-b6f8-160e-e804828108c9</t>
  </si>
  <si>
    <t>ad48e669-959c-b6f8-ee55-e8acb8ad45c7</t>
  </si>
  <si>
    <t>ad48e669-959c-b6f8-3493-470b2b5e8f1b</t>
  </si>
  <si>
    <t>ad48e669-959c-b6f8-ac94-84bb4af1bf4d</t>
  </si>
  <si>
    <t>ad48e669-959c-b6f8-4848-839f5e4d54fb</t>
  </si>
  <si>
    <t>ad48e669-959c-b6f8-2541-12798942167b</t>
  </si>
  <si>
    <t>ad48e669-959c-b6f8-53f2-62f0697c0efc</t>
  </si>
  <si>
    <t>ad48e669-959c-b6f8-b717-c7702e74cc6a</t>
  </si>
  <si>
    <t>ad48e669-959c-b6f8-920b-f6624e324fa4</t>
  </si>
  <si>
    <t>ad48e669-959c-b6f8-6379-aa0f69d89591</t>
  </si>
  <si>
    <t>ad48e669-959c-b6f8-796d-9c8b761e7a8b</t>
  </si>
  <si>
    <t>f870c432-0887-125e-9811-d7ebf19aaac2</t>
  </si>
  <si>
    <t>67d2f85b-ddc7-3ed0-b90b-6fa5b7b8358a</t>
  </si>
  <si>
    <t>e7737f42-8f32-340e-88fb-ce3102885da9</t>
  </si>
  <si>
    <t>f870c432-0887-125e-a238-4b94934775c3</t>
  </si>
  <si>
    <t>f870c432-0887-125e-df49-3b5b9f441b70</t>
  </si>
  <si>
    <t>f870c432-0887-125e-828d-fc27d192607b</t>
  </si>
  <si>
    <t>25431f9a-00e4-36d8-9810-4125328eec50</t>
  </si>
  <si>
    <t>a39244c8-90fb-3daa-80d3-b5d962531ea6</t>
  </si>
  <si>
    <t>f870c432-0887-125e-62a8-a758fa4cc4c9</t>
  </si>
  <si>
    <t>f870c432-0887-125e-46ec-a77f360112e2</t>
  </si>
  <si>
    <t>f870c432-0887-125e-b7aa-5db8b8675b44</t>
  </si>
  <si>
    <t>Follow-up visit (procedure)</t>
  </si>
  <si>
    <t>f870c432-0887-125e-ad37-d73187995692</t>
  </si>
  <si>
    <t>f870c432-0887-125e-1dad-ee364c46cb2d</t>
  </si>
  <si>
    <t>f870c432-0887-125e-f7a4-31e2f362ace5</t>
  </si>
  <si>
    <t>f870c432-0887-125e-3ef6-affe7bf61440</t>
  </si>
  <si>
    <t>f870c432-0887-125e-9363-0898ef2c1f06</t>
  </si>
  <si>
    <t>f870c432-0887-125e-fd20-3c261f3a8696</t>
  </si>
  <si>
    <t>f870c432-0887-125e-ee4c-a5f4e1933a7b</t>
  </si>
  <si>
    <t>f870c432-0887-125e-7693-426296e98252</t>
  </si>
  <si>
    <t>f870c432-0887-125e-dd9b-15c5b57a67b9</t>
  </si>
  <si>
    <t>f870c432-0887-125e-79b7-e73ee42dee32</t>
  </si>
  <si>
    <t>f870c432-0887-125e-d46b-f29d77d6065b</t>
  </si>
  <si>
    <t>f870c432-0887-125e-3734-e933f254283e</t>
  </si>
  <si>
    <t>f870c432-0887-125e-ef26-4d9ddcd2f298</t>
  </si>
  <si>
    <t>f870c432-0887-125e-62fc-b3466dc0faa7</t>
  </si>
  <si>
    <t>f870c432-0887-125e-457d-b6d5d6dc52af</t>
  </si>
  <si>
    <t>f870c432-0887-125e-4c1e-e24d5139678c</t>
  </si>
  <si>
    <t>f870c432-0887-125e-25d9-4df1bdc8ff70</t>
  </si>
  <si>
    <t>f870c432-0887-125e-f6d4-e11cebe52b1c</t>
  </si>
  <si>
    <t>f870c432-0887-125e-6431-dd81bdb5beb0</t>
  </si>
  <si>
    <t>f870c432-0887-125e-f3f8-a2d5a0da0e58</t>
  </si>
  <si>
    <t>f870c432-0887-125e-2b3e-86611b389026</t>
  </si>
  <si>
    <t>f870c432-0887-125e-267a-7a2c01670a07</t>
  </si>
  <si>
    <t>f870c432-0887-125e-8c27-427465be86e4</t>
  </si>
  <si>
    <t>f870c432-0887-125e-63f1-7bf0366caece</t>
  </si>
  <si>
    <t>f870c432-0887-125e-4f0a-c9d6f0fe487d</t>
  </si>
  <si>
    <t>f870c432-0887-125e-1ec8-5770663fb1c4</t>
  </si>
  <si>
    <t>f870c432-0887-125e-2acc-c9c0584b42bd</t>
  </si>
  <si>
    <t>f870c432-0887-125e-d547-16d4ec3a8843</t>
  </si>
  <si>
    <t>f870c432-0887-125e-8223-d5ebf72a3ac2</t>
  </si>
  <si>
    <t>1426480f-ccc7-2393-b622-87ea0962cdd4</t>
  </si>
  <si>
    <t>1426480f-ccc7-2393-56c7-2d4bb4f6e93b</t>
  </si>
  <si>
    <t>1426480f-ccc7-2393-c230-9e7b9072c674</t>
  </si>
  <si>
    <t>1426480f-ccc7-2393-5e98-efb96c38eba7</t>
  </si>
  <si>
    <t>1426480f-ccc7-2393-d1fe-b9f14b909cb8</t>
  </si>
  <si>
    <t>1426480f-ccc7-2393-e0a0-a3c4f3ca7908</t>
  </si>
  <si>
    <t>65f0254a-73a3-3b06-bced-54d511445535</t>
  </si>
  <si>
    <t>4bbb3847-e30b-3607-a827-d0e0678497e6</t>
  </si>
  <si>
    <t>1426480f-ccc7-2393-662a-d1309441af5c</t>
  </si>
  <si>
    <t>1426480f-ccc7-2393-1f8a-f356e4233b45</t>
  </si>
  <si>
    <t>1426480f-ccc7-2393-8bf6-8bf5565e5fc7</t>
  </si>
  <si>
    <t>1426480f-ccc7-2393-77e6-157bb2075514</t>
  </si>
  <si>
    <t>1426480f-ccc7-2393-e2c0-24a100d0e046</t>
  </si>
  <si>
    <t>1426480f-ccc7-2393-33b2-7b9e82a87eca</t>
  </si>
  <si>
    <t>1426480f-ccc7-2393-d287-fad18b41007d</t>
  </si>
  <si>
    <t>1426480f-ccc7-2393-d275-c5b3612bc472</t>
  </si>
  <si>
    <t>1426480f-ccc7-2393-ef8d-1395aba0059c</t>
  </si>
  <si>
    <t>1426480f-ccc7-2393-c85f-8f256eec6720</t>
  </si>
  <si>
    <t>1426480f-ccc7-2393-b2e0-6c25022ef803</t>
  </si>
  <si>
    <t>1426480f-ccc7-2393-bb3b-d7b47d2927b1</t>
  </si>
  <si>
    <t>1426480f-ccc7-2393-4fff-f9d7b47c51a6</t>
  </si>
  <si>
    <t>1426480f-ccc7-2393-072d-afa1df03bc87</t>
  </si>
  <si>
    <t>1426480f-ccc7-2393-4b64-c63016abef5b</t>
  </si>
  <si>
    <t>1426480f-ccc7-2393-eaf9-8fd9f528351a</t>
  </si>
  <si>
    <t>1426480f-ccc7-2393-3df7-451685bc150f</t>
  </si>
  <si>
    <t>1426480f-ccc7-2393-097f-5ebb68644759</t>
  </si>
  <si>
    <t>1426480f-ccc7-2393-582c-57668e872b0f</t>
  </si>
  <si>
    <t>1426480f-ccc7-2393-a2ee-9878083f565f</t>
  </si>
  <si>
    <t>1426480f-ccc7-2393-e8f1-dd91b7a7513f</t>
  </si>
  <si>
    <t>1426480f-ccc7-2393-068e-54c212a08bc3</t>
  </si>
  <si>
    <t>1426480f-ccc7-2393-9eb2-14cfef2023ba</t>
  </si>
  <si>
    <t>1426480f-ccc7-2393-b0b5-966fe4aad8ee</t>
  </si>
  <si>
    <t>1426480f-ccc7-2393-1dff-3d15e6fd3ea6</t>
  </si>
  <si>
    <t>1426480f-ccc7-2393-4f6a-d16cd09105e1</t>
  </si>
  <si>
    <t>1426480f-ccc7-2393-0803-4519355e891a</t>
  </si>
  <si>
    <t>1426480f-ccc7-2393-7eab-22ee566b8fd8</t>
  </si>
  <si>
    <t>1426480f-ccc7-2393-0b9e-1f2847df7759</t>
  </si>
  <si>
    <t>4be6b5fb-2a19-943a-fd7b-f182ec71fdfb</t>
  </si>
  <si>
    <t>0f9d1260-db33-3483-b2b6-5483cfcb739c</t>
  </si>
  <si>
    <t>7bfefba1-5343-3a75-b8f6-b63f7de24073</t>
  </si>
  <si>
    <t>4be6b5fb-2a19-943a-27ae-63c4bc9f0615</t>
  </si>
  <si>
    <t>4be6b5fb-2a19-943a-f306-80ae58168c70</t>
  </si>
  <si>
    <t>4be6b5fb-2a19-943a-edb8-23d7b4f7331b</t>
  </si>
  <si>
    <t>4be6b5fb-2a19-943a-4d00-62295456e582</t>
  </si>
  <si>
    <t>4be6b5fb-2a19-943a-ba75-4c2b6a2f5347</t>
  </si>
  <si>
    <t>4be6b5fb-2a19-943a-4278-e099e73b15d9</t>
  </si>
  <si>
    <t>4be6b5fb-2a19-943a-8730-bee21a2213fa</t>
  </si>
  <si>
    <t>4be6b5fb-2a19-943a-9970-f8fcede2d4fb</t>
  </si>
  <si>
    <t>4be6b5fb-2a19-943a-335d-39af66b944fc</t>
  </si>
  <si>
    <t>4be6b5fb-2a19-943a-102f-733b295d930c</t>
  </si>
  <si>
    <t>4be6b5fb-2a19-943a-6dae-6603d173aec5</t>
  </si>
  <si>
    <t>4be6b5fb-2a19-943a-db1e-8b2334b3c388</t>
  </si>
  <si>
    <t>4be6b5fb-2a19-943a-9144-2ab048490ae9</t>
  </si>
  <si>
    <t>4be6b5fb-2a19-943a-088b-d34bb22bf353</t>
  </si>
  <si>
    <t>Torus palatinus (disorder)</t>
  </si>
  <si>
    <t>4be6b5fb-2a19-943a-a87d-007f2a0c584d</t>
  </si>
  <si>
    <t>4be6b5fb-2a19-943a-917b-138eb7a5006d</t>
  </si>
  <si>
    <t>4be6b5fb-2a19-943a-4f16-9cef724ab4b3</t>
  </si>
  <si>
    <t>4be6b5fb-2a19-943a-4018-d9cfcbb22f1d</t>
  </si>
  <si>
    <t>4be6b5fb-2a19-943a-2ace-532690c135e2</t>
  </si>
  <si>
    <t>4be6b5fb-2a19-943a-a993-8db423631e35</t>
  </si>
  <si>
    <t>4be6b5fb-2a19-943a-1ecf-b07c5b4bee3b</t>
  </si>
  <si>
    <t>4be6b5fb-2a19-943a-80f1-fa46510fc0b2</t>
  </si>
  <si>
    <t>4be6b5fb-2a19-943a-fdaf-9df845cf3d7f</t>
  </si>
  <si>
    <t>4be6b5fb-2a19-943a-ce8b-d49f7da11e01</t>
  </si>
  <si>
    <t>4be6b5fb-2a19-943a-af08-99b19826d7e9</t>
  </si>
  <si>
    <t>4be6b5fb-2a19-943a-0d27-8af67dfd29df</t>
  </si>
  <si>
    <t>4be6b5fb-2a19-943a-06e6-0fd51ae44f96</t>
  </si>
  <si>
    <t>4be6b5fb-2a19-943a-48ed-3fce02959351</t>
  </si>
  <si>
    <t>4be6b5fb-2a19-943a-a463-25969b45a17d</t>
  </si>
  <si>
    <t>4be6b5fb-2a19-943a-e08c-d2875ef7d901</t>
  </si>
  <si>
    <t>4be6b5fb-2a19-943a-68d2-d114893fa8bf</t>
  </si>
  <si>
    <t>4be6b5fb-2a19-943a-a19b-c02467c2e500</t>
  </si>
  <si>
    <t>4be6b5fb-2a19-943a-6e79-26fffd37b2b6</t>
  </si>
  <si>
    <t>4be6b5fb-2a19-943a-9eba-fb3a2ab9ee39</t>
  </si>
  <si>
    <t>4be6b5fb-2a19-943a-90c8-51833a1025cb</t>
  </si>
  <si>
    <t>4be6b5fb-2a19-943a-bb54-08be03da49f1</t>
  </si>
  <si>
    <t>4be6b5fb-2a19-943a-7c1d-06f4a1fdf354</t>
  </si>
  <si>
    <t>4be6b5fb-2a19-943a-5f5e-0880dfe43e74</t>
  </si>
  <si>
    <t>4be6b5fb-2a19-943a-cddd-98f533f3202f</t>
  </si>
  <si>
    <t>4be6b5fb-2a19-943a-7e3d-90de8e621ed5</t>
  </si>
  <si>
    <t>4be6b5fb-2a19-943a-de80-dea2da14ace9</t>
  </si>
  <si>
    <t>4be6b5fb-2a19-943a-92fb-593c52f01924</t>
  </si>
  <si>
    <t>4be6b5fb-2a19-943a-34de-9713a87e2085</t>
  </si>
  <si>
    <t>4be6b5fb-2a19-943a-e9c2-e4d66044907e</t>
  </si>
  <si>
    <t>4be6b5fb-2a19-943a-84bd-d07216882458</t>
  </si>
  <si>
    <t>4be6b5fb-2a19-943a-58be-d5d87d44ce34</t>
  </si>
  <si>
    <t>4be6b5fb-2a19-943a-db70-5f30bcb2d304</t>
  </si>
  <si>
    <t>4be6b5fb-2a19-943a-2985-e7955de888d0</t>
  </si>
  <si>
    <t>4be6b5fb-2a19-943a-d599-cbc44812cad7</t>
  </si>
  <si>
    <t>4be6b5fb-2a19-943a-a6ba-f19d05e781bf</t>
  </si>
  <si>
    <t>4be6b5fb-2a19-943a-6c77-eae28c19c692</t>
  </si>
  <si>
    <t>031ce8e2-1443-01b4-f85f-43869f746de5</t>
  </si>
  <si>
    <t>Chronic intractable migraine without aura (disorder)</t>
  </si>
  <si>
    <t>031ce8e2-1443-01b4-779d-a2b10a00b838</t>
  </si>
  <si>
    <t>031ce8e2-1443-01b4-7035-a4b6c39476ac</t>
  </si>
  <si>
    <t>Dependent drug abuse (disorder)</t>
  </si>
  <si>
    <t>031ce8e2-1443-01b4-af89-09c414718f1c</t>
  </si>
  <si>
    <t>310d02fb-ba0c-3b5a-9ab3-8d7bb8e7b661</t>
  </si>
  <si>
    <t>c52f38ee-3628-3e15-8b24-928425c2bd41</t>
  </si>
  <si>
    <t>031ce8e2-1443-01b4-078b-8014a8ee8471</t>
  </si>
  <si>
    <t>Overdose (disorder)</t>
  </si>
  <si>
    <t>031ce8e2-1443-01b4-8907-7c0d38430cb2</t>
  </si>
  <si>
    <t>031ce8e2-1443-01b4-3785-97b1e5c28fcf</t>
  </si>
  <si>
    <t>031ce8e2-1443-01b4-812b-a052d2a1e706</t>
  </si>
  <si>
    <t>031ce8e2-1443-01b4-97b7-081db810f8a6</t>
  </si>
  <si>
    <t>031ce8e2-1443-01b4-1069-fa62b19913c4</t>
  </si>
  <si>
    <t>031ce8e2-1443-01b4-7e98-40c2a6b2e6b1</t>
  </si>
  <si>
    <t>031ce8e2-1443-01b4-1b70-abc27dfc42fa</t>
  </si>
  <si>
    <t>031ce8e2-1443-01b4-7227-6dbf5f68348d</t>
  </si>
  <si>
    <t>031ce8e2-1443-01b4-0d3d-a1ba7e573074</t>
  </si>
  <si>
    <t>031ce8e2-1443-01b4-deb4-7810a02b93bb</t>
  </si>
  <si>
    <t>031ce8e2-1443-01b4-f754-0783f7b4d3f4</t>
  </si>
  <si>
    <t>031ce8e2-1443-01b4-5564-1728added2ac</t>
  </si>
  <si>
    <t>031ce8e2-1443-01b4-97d5-057c73346b7e</t>
  </si>
  <si>
    <t>Domiciliary or rest home patient evaluation and management (procedure)</t>
  </si>
  <si>
    <t>Homeless (finding)</t>
  </si>
  <si>
    <t>031ce8e2-1443-01b4-8d9d-939d3122fa0e</t>
  </si>
  <si>
    <t>031ce8e2-1443-01b4-39c2-593a32abdd20</t>
  </si>
  <si>
    <t>031ce8e2-1443-01b4-ac33-840a4c028465</t>
  </si>
  <si>
    <t>031ce8e2-1443-01b4-81c1-2aec20f002cd</t>
  </si>
  <si>
    <t>031ce8e2-1443-01b4-1cbf-9876847f2c1c</t>
  </si>
  <si>
    <t>031ce8e2-1443-01b4-7c73-6d73bb00d8ab</t>
  </si>
  <si>
    <t>031ce8e2-1443-01b4-c36b-4d356303c85d</t>
  </si>
  <si>
    <t>Drug rehabilitation and detoxification (regime/therapy)</t>
  </si>
  <si>
    <t>031ce8e2-1443-01b4-d670-ab96b9579bc6</t>
  </si>
  <si>
    <t>031ce8e2-1443-01b4-c1ad-7e698d246493</t>
  </si>
  <si>
    <t>031ce8e2-1443-01b4-a51a-b9d831c42353</t>
  </si>
  <si>
    <t>031ce8e2-1443-01b4-f19d-a7f8f02aa9d5</t>
  </si>
  <si>
    <t>031ce8e2-1443-01b4-9cc1-42cf0a524d7c</t>
  </si>
  <si>
    <t>031ce8e2-1443-01b4-c9c6-342212f4c76c</t>
  </si>
  <si>
    <t>031ce8e2-1443-01b4-0d8a-c88c75696624</t>
  </si>
  <si>
    <t>031ce8e2-1443-01b4-8d24-110821e84d57</t>
  </si>
  <si>
    <t>031ce8e2-1443-01b4-4125-9425c8efab14</t>
  </si>
  <si>
    <t>031ce8e2-1443-01b4-c5ec-65dec50d49d5</t>
  </si>
  <si>
    <t>031ce8e2-1443-01b4-4274-772a03d422e0</t>
  </si>
  <si>
    <t>031ce8e2-1443-01b4-ce72-c5b9d3b1b29c</t>
  </si>
  <si>
    <t>031ce8e2-1443-01b4-c9df-40fcc8678db1</t>
  </si>
  <si>
    <t>031ce8e2-1443-01b4-bc97-22a92fa15554</t>
  </si>
  <si>
    <t>031ce8e2-1443-01b4-5dd4-519cf0038e74</t>
  </si>
  <si>
    <t>031ce8e2-1443-01b4-4cdf-fd21d805b682</t>
  </si>
  <si>
    <t>031ce8e2-1443-01b4-ccf4-5b3d301b2363</t>
  </si>
  <si>
    <t>031ce8e2-1443-01b4-d3c8-8df84811e1a3</t>
  </si>
  <si>
    <t>031ce8e2-1443-01b4-397a-909e34d396da</t>
  </si>
  <si>
    <t>031ce8e2-1443-01b4-3781-2dfe0466e1b7</t>
  </si>
  <si>
    <t>031ce8e2-1443-01b4-92dd-c201cdcd03a4</t>
  </si>
  <si>
    <t>031ce8e2-1443-01b4-40b7-91aadb474091</t>
  </si>
  <si>
    <t>031ce8e2-1443-01b4-e4e2-ca4a7d84a762</t>
  </si>
  <si>
    <t>031ce8e2-1443-01b4-fde8-65d36a627e7c</t>
  </si>
  <si>
    <t>031ce8e2-1443-01b4-9c81-9c0977186bc0</t>
  </si>
  <si>
    <t>031ce8e2-1443-01b4-d152-75593a6a89c3</t>
  </si>
  <si>
    <t>031ce8e2-1443-01b4-b4c7-d1dbaa5225cd</t>
  </si>
  <si>
    <t>031ce8e2-1443-01b4-136f-28069ea25288</t>
  </si>
  <si>
    <t>031ce8e2-1443-01b4-938c-0d8679802e3f</t>
  </si>
  <si>
    <t>031ce8e2-1443-01b4-3445-bc323d772091</t>
  </si>
  <si>
    <t>031ce8e2-1443-01b4-c1c9-4a8914de97e8</t>
  </si>
  <si>
    <t>031ce8e2-1443-01b4-cd9e-94eea5ab92d2</t>
  </si>
  <si>
    <t>031ce8e2-1443-01b4-f36a-b5620dcc38c9</t>
  </si>
  <si>
    <t>031ce8e2-1443-01b4-7cce-ef199e39a749</t>
  </si>
  <si>
    <t>031ce8e2-1443-01b4-492e-37a1490759cb</t>
  </si>
  <si>
    <t>031ce8e2-1443-01b4-c593-09728b0f0b20</t>
  </si>
  <si>
    <t>031ce8e2-1443-01b4-9258-1aa5a65e7489</t>
  </si>
  <si>
    <t>031ce8e2-1443-01b4-48a8-b5c30f3eb40e</t>
  </si>
  <si>
    <t>031ce8e2-1443-01b4-a973-dfd0203c8972</t>
  </si>
  <si>
    <t>031ce8e2-1443-01b4-02cf-8c1a75d4b45c</t>
  </si>
  <si>
    <t>031ce8e2-1443-01b4-be50-cdc25b8370d6</t>
  </si>
  <si>
    <t>031ce8e2-1443-01b4-025c-2429982dd061</t>
  </si>
  <si>
    <t>031ce8e2-1443-01b4-7c83-b81d8ced29c7</t>
  </si>
  <si>
    <t>031ce8e2-1443-01b4-47cf-e14bb910b53d</t>
  </si>
  <si>
    <t>031ce8e2-1443-01b4-396a-35da3d03aa8d</t>
  </si>
  <si>
    <t>031ce8e2-1443-01b4-34c7-6d2b9eb5ec3f</t>
  </si>
  <si>
    <t>031ce8e2-1443-01b4-6447-7d54edbd2672</t>
  </si>
  <si>
    <t>031ce8e2-1443-01b4-e8af-ed46e251f495</t>
  </si>
  <si>
    <t>031ce8e2-1443-01b4-4048-edf43c0a7478</t>
  </si>
  <si>
    <t>031ce8e2-1443-01b4-0b49-7ecc87f12f59</t>
  </si>
  <si>
    <t>031ce8e2-1443-01b4-0b8e-0067861f43b3</t>
  </si>
  <si>
    <t>031ce8e2-1443-01b4-a023-b6cdfdc2a8f2</t>
  </si>
  <si>
    <t>031ce8e2-1443-01b4-1a3b-d96c0d4fe480</t>
  </si>
  <si>
    <t>031ce8e2-1443-01b4-780a-945fd908b466</t>
  </si>
  <si>
    <t>031ce8e2-1443-01b4-f22f-f692da9cbe0b</t>
  </si>
  <si>
    <t>031ce8e2-1443-01b4-a434-df8d312cea22</t>
  </si>
  <si>
    <t>031ce8e2-1443-01b4-40d5-34fd89da922b</t>
  </si>
  <si>
    <t>031ce8e2-1443-01b4-cfba-cb13fd522858</t>
  </si>
  <si>
    <t>23da8e71-dfb9-9773-501c-34eec351f652</t>
  </si>
  <si>
    <t>23da8e71-dfb9-9773-973d-c78a31321645</t>
  </si>
  <si>
    <t>936ceb96-2b12-371f-aa68-ee02a9c06f4c</t>
  </si>
  <si>
    <t>027284ba-cfcf-335f-b1a7-7cf4ee7d45ca</t>
  </si>
  <si>
    <t>23da8e71-dfb9-9773-21e0-cdbb5eacb006</t>
  </si>
  <si>
    <t>23da8e71-dfb9-9773-575e-a7efde105a99</t>
  </si>
  <si>
    <t>23da8e71-dfb9-9773-4ef3-38d7e6df5d4a</t>
  </si>
  <si>
    <t>23da8e71-dfb9-9773-40b5-e1ff37f81944</t>
  </si>
  <si>
    <t>23da8e71-dfb9-9773-0523-fb834d1a9462</t>
  </si>
  <si>
    <t>23da8e71-dfb9-9773-b385-c1c2e43c3fa1</t>
  </si>
  <si>
    <t>23da8e71-dfb9-9773-899c-c206ca652805</t>
  </si>
  <si>
    <t>23da8e71-dfb9-9773-ce11-f593e3ac1798</t>
  </si>
  <si>
    <t>23da8e71-dfb9-9773-331e-562f496b2575</t>
  </si>
  <si>
    <t>23da8e71-dfb9-9773-804d-479b72142a5f</t>
  </si>
  <si>
    <t>23da8e71-dfb9-9773-a4d6-2ae7196c068f</t>
  </si>
  <si>
    <t>23da8e71-dfb9-9773-0816-f654b51d4833</t>
  </si>
  <si>
    <t>23da8e71-dfb9-9773-b9ea-0e17fab55da9</t>
  </si>
  <si>
    <t>23da8e71-dfb9-9773-9064-81ee1cb12de4</t>
  </si>
  <si>
    <t>23da8e71-dfb9-9773-f6d4-860df6473ee3</t>
  </si>
  <si>
    <t>23da8e71-dfb9-9773-cbae-8fbe4519a45d</t>
  </si>
  <si>
    <t>23da8e71-dfb9-9773-dd7a-77d34189ca3e</t>
  </si>
  <si>
    <t>23da8e71-dfb9-9773-00c5-16735075106d</t>
  </si>
  <si>
    <t>23da8e71-dfb9-9773-963a-39299865c43c</t>
  </si>
  <si>
    <t>23da8e71-dfb9-9773-d7cd-9c9d613da691</t>
  </si>
  <si>
    <t>23da8e71-dfb9-9773-6c38-c1ac9be66493</t>
  </si>
  <si>
    <t>fbd4ccdf-2fdb-3652-9bbe-1ccff886bd34</t>
  </si>
  <si>
    <t>061a2c05-e2d3-3bc4-9514-e703607037de</t>
  </si>
  <si>
    <t>23da8e71-dfb9-9773-2563-3d8c7b0f523c</t>
  </si>
  <si>
    <t>23da8e71-dfb9-9773-bfbf-b5982671be30</t>
  </si>
  <si>
    <t>23da8e71-dfb9-9773-61ba-3bb2b9e633ee</t>
  </si>
  <si>
    <t>23da8e71-dfb9-9773-4f8a-ac87f5fd4592</t>
  </si>
  <si>
    <t>23da8e71-dfb9-9773-10ac-690469d26801</t>
  </si>
  <si>
    <t>23da8e71-dfb9-9773-fe60-928ede66e20f</t>
  </si>
  <si>
    <t>23da8e71-dfb9-9773-3031-34d8acfa0cbb</t>
  </si>
  <si>
    <t>23da8e71-dfb9-9773-14fe-120a2533ccb2</t>
  </si>
  <si>
    <t>97e39468-6488-ca8f-c108-c6c05cc112ed</t>
  </si>
  <si>
    <t>97e39468-6488-ca8f-7b33-d33c04781ee2</t>
  </si>
  <si>
    <t>97e39468-6488-ca8f-2cd9-4796092ea77a</t>
  </si>
  <si>
    <t>97e39468-6488-ca8f-cb39-a739bd2bee4b</t>
  </si>
  <si>
    <t>97e39468-6488-ca8f-4347-65852533d9f1</t>
  </si>
  <si>
    <t>97e39468-6488-ca8f-c018-ad9311db479b</t>
  </si>
  <si>
    <t>97e39468-6488-ca8f-6ddc-cfa0af9f3cb2</t>
  </si>
  <si>
    <t>97e39468-6488-ca8f-ac66-a8874c531ae4</t>
  </si>
  <si>
    <t>97e39468-6488-ca8f-4ba8-e7495be60118</t>
  </si>
  <si>
    <t>97e39468-6488-ca8f-ae98-3d7e0ef77f62</t>
  </si>
  <si>
    <t>97e39468-6488-ca8f-a087-36def050a642</t>
  </si>
  <si>
    <t>97e39468-6488-ca8f-a5e2-104997df071b</t>
  </si>
  <si>
    <t>97e39468-6488-ca8f-7fde-19a2fad5c844</t>
  </si>
  <si>
    <t>97e39468-6488-ca8f-b9ae-0dc4835d9e0e</t>
  </si>
  <si>
    <t>97e39468-6488-ca8f-201e-d3afc7f2b50d</t>
  </si>
  <si>
    <t>97e39468-6488-ca8f-e033-dcc9ab28fdac</t>
  </si>
  <si>
    <t>97e39468-6488-ca8f-95f6-cdb27974993f</t>
  </si>
  <si>
    <t>31f368d9-3fdc-a15f-f6a9-0606e12a1440</t>
  </si>
  <si>
    <t>31f368d9-3fdc-a15f-3b69-efb1c562bd7d</t>
  </si>
  <si>
    <t>31f368d9-3fdc-a15f-5cac-5b3314aa0ca9</t>
  </si>
  <si>
    <t>31f368d9-3fdc-a15f-ec3d-3b6d52a00907</t>
  </si>
  <si>
    <t>31f368d9-3fdc-a15f-e51d-5198dfee06c9</t>
  </si>
  <si>
    <t>31f368d9-3fdc-a15f-369b-ce0768a202fa</t>
  </si>
  <si>
    <t>31f368d9-3fdc-a15f-7a61-dcf625947951</t>
  </si>
  <si>
    <t>f2068cee-c75c-321d-9b2c-c33535db89c9</t>
  </si>
  <si>
    <t>3adec60d-8536-36d1-b8a9-1579dba7c462</t>
  </si>
  <si>
    <t>31f368d9-3fdc-a15f-e2a3-f17cb3ad7381</t>
  </si>
  <si>
    <t>31f368d9-3fdc-a15f-38ae-f0dc470dbf22</t>
  </si>
  <si>
    <t>9ed61c49-1d0c-3774-b528-d75b50938fe2</t>
  </si>
  <si>
    <t>92446aff-4837-3b39-945c-289f8646c375</t>
  </si>
  <si>
    <t>31f368d9-3fdc-a15f-52f3-ff9dafd6e631</t>
  </si>
  <si>
    <t>31f368d9-3fdc-a15f-3d5d-d88454c6728e</t>
  </si>
  <si>
    <t>31f368d9-3fdc-a15f-faa6-73dacb150afc</t>
  </si>
  <si>
    <t>31f368d9-3fdc-a15f-04a2-5c63b8a1bfba</t>
  </si>
  <si>
    <t>31f368d9-3fdc-a15f-2b41-01f576336971</t>
  </si>
  <si>
    <t>31f368d9-3fdc-a15f-5ff9-f190d17b5fc6</t>
  </si>
  <si>
    <t>Traumatic dislocation of temporomandibular joint (disorder)</t>
  </si>
  <si>
    <t>31f368d9-3fdc-a15f-0b58-5dcfdcc4bcf1</t>
  </si>
  <si>
    <t>31f368d9-3fdc-a15f-2b87-8055c1bb112d</t>
  </si>
  <si>
    <t>31f368d9-3fdc-a15f-44c5-9961ae123e68</t>
  </si>
  <si>
    <t>31f368d9-3fdc-a15f-f401-97aa1a196887</t>
  </si>
  <si>
    <t>31f368d9-3fdc-a15f-c47c-6e87da9e5b71</t>
  </si>
  <si>
    <t>31f368d9-3fdc-a15f-66f0-6994a5db0ab2</t>
  </si>
  <si>
    <t>31f368d9-3fdc-a15f-5c4f-d8e4053daf97</t>
  </si>
  <si>
    <t>31f368d9-3fdc-a15f-2e16-16e039523a1d</t>
  </si>
  <si>
    <t>31f368d9-3fdc-a15f-efe5-0d6331449fcb</t>
  </si>
  <si>
    <t>31f368d9-3fdc-a15f-d346-7c922373fc74</t>
  </si>
  <si>
    <t>31f368d9-3fdc-a15f-9ee8-54ae9c744554</t>
  </si>
  <si>
    <t>31f368d9-3fdc-a15f-3829-9dc1a28c9a1f</t>
  </si>
  <si>
    <t>31f368d9-3fdc-a15f-abe3-b7d0991962c5</t>
  </si>
  <si>
    <t>31f368d9-3fdc-a15f-43e9-d0afd4e67b06</t>
  </si>
  <si>
    <t>31f368d9-3fdc-a15f-ca83-022bfea08dde</t>
  </si>
  <si>
    <t>31f368d9-3fdc-a15f-2673-0f3df9d592d5</t>
  </si>
  <si>
    <t>31f368d9-3fdc-a15f-13be-5dfd8d035601</t>
  </si>
  <si>
    <t>31f368d9-3fdc-a15f-0eb7-7de4bcf57ace</t>
  </si>
  <si>
    <t>31f368d9-3fdc-a15f-f6fe-e3de041043ec</t>
  </si>
  <si>
    <t>31f368d9-3fdc-a15f-a0cc-784b7795f5e8</t>
  </si>
  <si>
    <t>31f368d9-3fdc-a15f-8b7e-70562dcff6c2</t>
  </si>
  <si>
    <t>31f368d9-3fdc-a15f-3c5e-b0c19feb9af4</t>
  </si>
  <si>
    <t>31f368d9-3fdc-a15f-676b-1ba36354a69f</t>
  </si>
  <si>
    <t>31f368d9-3fdc-a15f-bd08-3364cba08c6b</t>
  </si>
  <si>
    <t>31f368d9-3fdc-a15f-ae61-c5804d47dad5</t>
  </si>
  <si>
    <t>31f368d9-3fdc-a15f-d507-3f83893f7306</t>
  </si>
  <si>
    <t>31f368d9-3fdc-a15f-440a-98c9a5a4121d</t>
  </si>
  <si>
    <t>31f368d9-3fdc-a15f-5614-8de787a36d22</t>
  </si>
  <si>
    <t>31f368d9-3fdc-a15f-5bc2-215e2f38bcc5</t>
  </si>
  <si>
    <t>31f368d9-3fdc-a15f-9a2c-18011d9f6ca5</t>
  </si>
  <si>
    <t>31f368d9-3fdc-a15f-b939-165d1a4a9027</t>
  </si>
  <si>
    <t>31f368d9-3fdc-a15f-a859-6a8732d6f5dc</t>
  </si>
  <si>
    <t>31f368d9-3fdc-a15f-1475-9c5da16d15c1</t>
  </si>
  <si>
    <t>31f368d9-3fdc-a15f-150c-6b612f029e55</t>
  </si>
  <si>
    <t>31f368d9-3fdc-a15f-0904-5f5d5808bc80</t>
  </si>
  <si>
    <t>31f368d9-3fdc-a15f-0e0e-1c6607f83e71</t>
  </si>
  <si>
    <t>31f368d9-3fdc-a15f-b890-51a91f62b697</t>
  </si>
  <si>
    <t>31f368d9-3fdc-a15f-63ea-bef6773c836e</t>
  </si>
  <si>
    <t>31f368d9-3fdc-a15f-0772-aacabe0c0e1c</t>
  </si>
  <si>
    <t>31f368d9-3fdc-a15f-6b05-51b7d954cb8b</t>
  </si>
  <si>
    <t>31f368d9-3fdc-a15f-47b1-5b132c6afc02</t>
  </si>
  <si>
    <t>31f368d9-3fdc-a15f-983c-364acd5b9e4d</t>
  </si>
  <si>
    <t>31f368d9-3fdc-a15f-3ef4-2c7e91d66a36</t>
  </si>
  <si>
    <t>31f368d9-3fdc-a15f-52cb-44f8e736ba9c</t>
  </si>
  <si>
    <t>ba47a33b-ffb6-25b9-5414-3c535e1e8514</t>
  </si>
  <si>
    <t>a5577e5c-b886-37a0-8eee-8ff6feb7ea6b</t>
  </si>
  <si>
    <t>bd9c5236-4dad-30fa-aae5-786a333af0e0</t>
  </si>
  <si>
    <t>ba47a33b-ffb6-25b9-43b1-4589e4973f91</t>
  </si>
  <si>
    <t>9fdce5d5-d4d0-3156-a8d5-8757bfe4e9b3</t>
  </si>
  <si>
    <t>6d2e424b-bfda-3eab-9dc2-909bdc230b33</t>
  </si>
  <si>
    <t>ba47a33b-ffb6-25b9-1605-a8bd001eed93</t>
  </si>
  <si>
    <t>ba47a33b-ffb6-25b9-c45d-978e3b58321f</t>
  </si>
  <si>
    <t>ba47a33b-ffb6-25b9-f3fa-ea6e809a0d93</t>
  </si>
  <si>
    <t>ba47a33b-ffb6-25b9-5530-f7e8945626fa</t>
  </si>
  <si>
    <t>ba47a33b-ffb6-25b9-7f12-cfc1920d9694</t>
  </si>
  <si>
    <t>ba47a33b-ffb6-25b9-cec2-15cf11ab8085</t>
  </si>
  <si>
    <t>ba47a33b-ffb6-25b9-d6c3-f6c06f757824</t>
  </si>
  <si>
    <t>ba47a33b-ffb6-25b9-5e5e-c364892dda03</t>
  </si>
  <si>
    <t>880fad59-9c38-3a21-a39f-ccc801502ab3</t>
  </si>
  <si>
    <t>ce9dd867-b6d5-35ac-8f8c-6905af6663a0</t>
  </si>
  <si>
    <t>ba47a33b-ffb6-25b9-d209-6628e6c1d2e3</t>
  </si>
  <si>
    <t>ba47a33b-ffb6-25b9-be09-e9874f96bff4</t>
  </si>
  <si>
    <t>ba47a33b-ffb6-25b9-672c-3e2fb493868e</t>
  </si>
  <si>
    <t>ba47a33b-ffb6-25b9-7b8a-1c8b72b30a33</t>
  </si>
  <si>
    <t>ba47a33b-ffb6-25b9-b0c8-1a15645fa443</t>
  </si>
  <si>
    <t>ba47a33b-ffb6-25b9-0df3-0bac310fffd5</t>
  </si>
  <si>
    <t>ba47a33b-ffb6-25b9-19c7-47eb12ea68f9</t>
  </si>
  <si>
    <t>6d04a400-ad21-5951-fd6c-97f2f3f6b24b</t>
  </si>
  <si>
    <t>b03b624d-c939-3688-986d-9555b8009a3b</t>
  </si>
  <si>
    <t>d45fc162-fa83-341d-b666-2519cf41ac97</t>
  </si>
  <si>
    <t>ba47a33b-ffb6-25b9-0502-41d04d0dff0e</t>
  </si>
  <si>
    <t>6d04a400-ad21-5951-4bb9-875736a9c20f</t>
  </si>
  <si>
    <t>6d04a400-ad21-5951-af21-ff993fe0895a</t>
  </si>
  <si>
    <t>6d04a400-ad21-5951-f752-c0a515e57157</t>
  </si>
  <si>
    <t>ba47a33b-ffb6-25b9-7ee1-6891713b6063</t>
  </si>
  <si>
    <t>6d04a400-ad21-5951-7ad8-d4471f79bf2a</t>
  </si>
  <si>
    <t>6d04a400-ad21-5951-f079-1f488aa0bb76</t>
  </si>
  <si>
    <t>35f80d0e-eaad-ef68-69b8-f702f94e3c94</t>
  </si>
  <si>
    <t>42d4b607-f14d-370a-818e-40965685776c</t>
  </si>
  <si>
    <t>170e1c2c-7711-3196-8348-2c91f2571c0f</t>
  </si>
  <si>
    <t>35f80d0e-eaad-ef68-cb7e-1531b5b36851</t>
  </si>
  <si>
    <t>35f80d0e-eaad-ef68-5241-e492de7c6e31</t>
  </si>
  <si>
    <t>35f80d0e-eaad-ef68-fe96-3f480d27680b</t>
  </si>
  <si>
    <t>35f80d0e-eaad-ef68-3d94-cb3381a98bdd</t>
  </si>
  <si>
    <t>6d04a400-ad21-5951-2cd1-ec54d6e7ce07</t>
  </si>
  <si>
    <t>6d04a400-ad21-5951-3c15-a7ac5a7ec069</t>
  </si>
  <si>
    <t>6d04a400-ad21-5951-34b2-2a6ea3fab830</t>
  </si>
  <si>
    <t>6d04a400-ad21-5951-e962-dbf00cc7a364</t>
  </si>
  <si>
    <t>6d04a400-ad21-5951-ca30-09a88ee19627</t>
  </si>
  <si>
    <t>6d04a400-ad21-5951-574d-5be71250da50</t>
  </si>
  <si>
    <t>6d04a400-ad21-5951-551f-501403f02021</t>
  </si>
  <si>
    <t>35f80d0e-eaad-ef68-a696-d68e420fca4c</t>
  </si>
  <si>
    <t>6d04a400-ad21-5951-40e0-7557046f2a0e</t>
  </si>
  <si>
    <t>6d04a400-ad21-5951-e9d2-4f70a8f5ee09</t>
  </si>
  <si>
    <t>6d04a400-ad21-5951-90c9-7aa69bb76167</t>
  </si>
  <si>
    <t>6d04a400-ad21-5951-0901-234877623f4c</t>
  </si>
  <si>
    <t>6d04a400-ad21-5951-6af4-8ae651b636da</t>
  </si>
  <si>
    <t>35f80d0e-eaad-ef68-706b-b45f4ac01d89</t>
  </si>
  <si>
    <t>35f80d0e-eaad-ef68-693f-23ad8256f0a1</t>
  </si>
  <si>
    <t>6d04a400-ad21-5951-6023-5408257a10d0</t>
  </si>
  <si>
    <t>6d04a400-ad21-5951-56e0-437ae61fd491</t>
  </si>
  <si>
    <t>6d04a400-ad21-5951-89e1-00cc26473faa</t>
  </si>
  <si>
    <t>6d04a400-ad21-5951-7ee6-62d8ed373beb</t>
  </si>
  <si>
    <t>6d04a400-ad21-5951-6306-856c92ce3542</t>
  </si>
  <si>
    <t>35f80d0e-eaad-ef68-917b-3dc6baf1455f</t>
  </si>
  <si>
    <t>35f80d0e-eaad-ef68-31af-4a513c586746</t>
  </si>
  <si>
    <t>35f80d0e-eaad-ef68-ddd5-1723f9c5e829</t>
  </si>
  <si>
    <t>35f80d0e-eaad-ef68-1edb-7769f06f0926</t>
  </si>
  <si>
    <t>35f80d0e-eaad-ef68-088a-488e466abff0</t>
  </si>
  <si>
    <t>35f80d0e-eaad-ef68-5102-acbf462409bc</t>
  </si>
  <si>
    <t>6d04a400-ad21-5951-70ba-77254774085d</t>
  </si>
  <si>
    <t>6d04a400-ad21-5951-46f1-f1dc384fbb73</t>
  </si>
  <si>
    <t>6d04a400-ad21-5951-4984-4788fa57d50f</t>
  </si>
  <si>
    <t>6d04a400-ad21-5951-106d-e646bfc4bab9</t>
  </si>
  <si>
    <t>6d04a400-ad21-5951-cc8f-77e9cc71d96d</t>
  </si>
  <si>
    <t>6d04a400-ad21-5951-0d8b-607caaae57dd</t>
  </si>
  <si>
    <t>6d04a400-ad21-5951-f692-ac3894a064dd</t>
  </si>
  <si>
    <t>2befa435-3070-3350-a15c-e43ac1e84b24</t>
  </si>
  <si>
    <t>b48a74f7-71a4-3c10-bcfd-aec1146f52c8</t>
  </si>
  <si>
    <t>6d04a400-ad21-5951-436a-120042323aa6</t>
  </si>
  <si>
    <t>35f80d0e-eaad-ef68-2228-401c5da8a442</t>
  </si>
  <si>
    <t>35f80d0e-eaad-ef68-60a0-b3f9fb295f95</t>
  </si>
  <si>
    <t>35f80d0e-eaad-ef68-fb03-ec4fb9f55ffe</t>
  </si>
  <si>
    <t>babc4b97-d859-0fe4-bbfc-a4df18b68fd6</t>
  </si>
  <si>
    <t>1311c44a-85cb-3aea-a143-e5d7892ced8b</t>
  </si>
  <si>
    <t>b8c18c77-9bda-36f3-aaaf-73d78b51da16</t>
  </si>
  <si>
    <t>babc4b97-d859-0fe4-6eff-4ee6e3189f68</t>
  </si>
  <si>
    <t>babc4b97-d859-0fe4-ff76-c1c6f3f380ae</t>
  </si>
  <si>
    <t>babc4b97-d859-0fe4-41ec-c0d7dbafc961</t>
  </si>
  <si>
    <t>babc4b97-d859-0fe4-f14e-db81e375ce03</t>
  </si>
  <si>
    <t>babc4b97-d859-0fe4-61f5-06596cdee7c7</t>
  </si>
  <si>
    <t>babc4b97-d859-0fe4-cc50-d5a8f80bfb58</t>
  </si>
  <si>
    <t>b9e35b8a-9831-32d8-a6dc-d7a546c126b0</t>
  </si>
  <si>
    <t>0a7ae528-f029-3661-849c-03b0bf3a890b</t>
  </si>
  <si>
    <t>babc4b97-d859-0fe4-fe3a-4dc9d99dc544</t>
  </si>
  <si>
    <t>babc4b97-d859-0fe4-8281-2f439f8d64f0</t>
  </si>
  <si>
    <t>babc4b97-d859-0fe4-03bf-ddc3894e6449</t>
  </si>
  <si>
    <t>babc4b97-d859-0fe4-916a-8b4757efe7a8</t>
  </si>
  <si>
    <t>babc4b97-d859-0fe4-bcb5-e3e9616955a1</t>
  </si>
  <si>
    <t>babc4b97-d859-0fe4-d27e-399e8e6870da</t>
  </si>
  <si>
    <t>babc4b97-d859-0fe4-3974-1a0b7a72efff</t>
  </si>
  <si>
    <t>babc4b97-d859-0fe4-9639-6eb0311c38e4</t>
  </si>
  <si>
    <t>bd4e49cb-391b-d08a-3f23-2047bb2227e9</t>
  </si>
  <si>
    <t>8d5880eb-1dd8-31ea-b7c5-21709f3bb341</t>
  </si>
  <si>
    <t>314e6e4b-8b6e-330d-b3d4-14673ba82a2c</t>
  </si>
  <si>
    <t>bd4e49cb-391b-d08a-21fb-df5c75ed2fb5</t>
  </si>
  <si>
    <t>bd4e49cb-391b-d08a-356c-4a0d70fdd479</t>
  </si>
  <si>
    <t>bd4e49cb-391b-d08a-5411-88ec3c1d6c9b</t>
  </si>
  <si>
    <t>0fedae9f-701f-3317-9b2f-69aea2202cdc</t>
  </si>
  <si>
    <t>fae37961-d626-3bf6-a39d-622e472f5c3b</t>
  </si>
  <si>
    <t>bd4e49cb-391b-d08a-4ffd-fa01b36a84ea</t>
  </si>
  <si>
    <t>bd4e49cb-391b-d08a-4fe8-bb711fd1e919</t>
  </si>
  <si>
    <t>bd4e49cb-391b-d08a-c694-a691c95b3b73</t>
  </si>
  <si>
    <t>bd4e49cb-391b-d08a-d31c-1a950ec498b7</t>
  </si>
  <si>
    <t>bd4e49cb-391b-d08a-997d-bf76aa8e6714</t>
  </si>
  <si>
    <t>bd4e49cb-391b-d08a-0940-ea53c3961914</t>
  </si>
  <si>
    <t>f6359fe4-4340-2820-7308-9148b78f5446</t>
  </si>
  <si>
    <t>db60692f-cbef-315b-9fce-38a7f015c482</t>
  </si>
  <si>
    <t>d18b1f16-cabe-3735-9817-1e3f78540803</t>
  </si>
  <si>
    <t>f6359fe4-4340-2820-5383-7e4bc56f8e6e</t>
  </si>
  <si>
    <t>f6359fe4-4340-2820-483a-b00504255d0d</t>
  </si>
  <si>
    <t>f6359fe4-4340-2820-0332-06e985d0febc</t>
  </si>
  <si>
    <t>76b7dbb5-0a02-32a4-9a01-3511f7e45016</t>
  </si>
  <si>
    <t>6a287697-1fe2-393b-861e-fb6067399a5c</t>
  </si>
  <si>
    <t>f6359fe4-4340-2820-f0b0-733a56e7f616</t>
  </si>
  <si>
    <t>f6359fe4-4340-2820-5d09-4f7ab8a97e63</t>
  </si>
  <si>
    <t>f6359fe4-4340-2820-d610-b19a302de696</t>
  </si>
  <si>
    <t>f6359fe4-4340-2820-28ce-0d87f1a8a999</t>
  </si>
  <si>
    <t>f6359fe4-4340-2820-8e3e-2b9f3c11c6a2</t>
  </si>
  <si>
    <t>f6359fe4-4340-2820-9598-c428ef56b1fc</t>
  </si>
  <si>
    <t>f6359fe4-4340-2820-ea17-e48e479c13e3</t>
  </si>
  <si>
    <t>f6359fe4-4340-2820-1df4-d4c62e30a5e6</t>
  </si>
  <si>
    <t>f6359fe4-4340-2820-c0a4-bc208718bf62</t>
  </si>
  <si>
    <t>f6359fe4-4340-2820-4bf2-51bb284918ee</t>
  </si>
  <si>
    <t>f6359fe4-4340-2820-e783-67b5484eeb19</t>
  </si>
  <si>
    <t>f6359fe4-4340-2820-ffcd-d6bdf53b0139</t>
  </si>
  <si>
    <t>f6359fe4-4340-2820-60ee-2451778574a2</t>
  </si>
  <si>
    <t>f6359fe4-4340-2820-62c1-04aa59722823</t>
  </si>
  <si>
    <t>f6359fe4-4340-2820-f635-f33071bc4a11</t>
  </si>
  <si>
    <t>f6359fe4-4340-2820-52aa-81e23c6c6d3c</t>
  </si>
  <si>
    <t>f6359fe4-4340-2820-130d-fcf71f6026f0</t>
  </si>
  <si>
    <t>f6359fe4-4340-2820-dbf0-2540be91fedc</t>
  </si>
  <si>
    <t>f6359fe4-4340-2820-4a88-232a015ed022</t>
  </si>
  <si>
    <t>f6359fe4-4340-2820-15f2-28fd558db9b1</t>
  </si>
  <si>
    <t>f6359fe4-4340-2820-5773-a219e6033404</t>
  </si>
  <si>
    <t>f6359fe4-4340-2820-1e87-4871e76cb7a1</t>
  </si>
  <si>
    <t>f6359fe4-4340-2820-2911-dfd19531fee7</t>
  </si>
  <si>
    <t>f6359fe4-4340-2820-85c9-4afaacbf8b43</t>
  </si>
  <si>
    <t>f6359fe4-4340-2820-5664-28f6e797cd46</t>
  </si>
  <si>
    <t>f6359fe4-4340-2820-d2a2-cf8ddbf5b183</t>
  </si>
  <si>
    <t>f6359fe4-4340-2820-defa-099c56e3f894</t>
  </si>
  <si>
    <t>f6359fe4-4340-2820-9dd4-936ea1abad91</t>
  </si>
  <si>
    <t>f6359fe4-4340-2820-dc87-6fe4e6f73d9b</t>
  </si>
  <si>
    <t>f6359fe4-4340-2820-2f2c-34b14f98e226</t>
  </si>
  <si>
    <t>f6359fe4-4340-2820-2470-5338d34995a3</t>
  </si>
  <si>
    <t>f6359fe4-4340-2820-a650-adaf03554abc</t>
  </si>
  <si>
    <t>f6359fe4-4340-2820-bd46-0f399631940f</t>
  </si>
  <si>
    <t>f6359fe4-4340-2820-fed6-c36b23d56f1b</t>
  </si>
  <si>
    <t>f6359fe4-4340-2820-87c9-b8c8c44686fb</t>
  </si>
  <si>
    <t>f6359fe4-4340-2820-36c8-199f6a7f263e</t>
  </si>
  <si>
    <t>f6359fe4-4340-2820-cc18-5e30d827de10</t>
  </si>
  <si>
    <t>f6359fe4-4340-2820-9c35-43a0115bd17f</t>
  </si>
  <si>
    <t>f6359fe4-4340-2820-0397-b7bd43183a4c</t>
  </si>
  <si>
    <t>f6359fe4-4340-2820-9def-e431c5bc71ec</t>
  </si>
  <si>
    <t>f6359fe4-4340-2820-237d-34e2e7358471</t>
  </si>
  <si>
    <t>f6359fe4-4340-2820-73bc-94183d14c6f9</t>
  </si>
  <si>
    <t>afb99eee-0bd5-8853-15a5-2be3e2e32e77</t>
  </si>
  <si>
    <t>d613e441-68e8-3502-8adb-3f770a1276bf</t>
  </si>
  <si>
    <t>2b8a0595-ada5-3e2e-8581-df33e711997e</t>
  </si>
  <si>
    <t>afb99eee-0bd5-8853-3805-cd952ecc5205</t>
  </si>
  <si>
    <t>afb99eee-0bd5-8853-0faa-17a3365a3087</t>
  </si>
  <si>
    <t>afb99eee-0bd5-8853-edbf-ce89202267eb</t>
  </si>
  <si>
    <t>b3b56527-d366-3353-bca9-266a12f23051</t>
  </si>
  <si>
    <t>ea7373bf-fb81-3c05-aa90-fbbabd046cb2</t>
  </si>
  <si>
    <t>afb99eee-0bd5-8853-1bb6-bb3c78ebf071</t>
  </si>
  <si>
    <t>845fbd9b-2d1c-39a8-8261-28ae40e4fab2</t>
  </si>
  <si>
    <t>3d00a08d-4cd0-366b-b61a-1badf6fe073a</t>
  </si>
  <si>
    <t>Fracture of rib (disorder)</t>
  </si>
  <si>
    <t>afb99eee-0bd5-8853-90d1-e852cf94376a</t>
  </si>
  <si>
    <t>afb99eee-0bd5-8853-df9b-b6c8b98e761f</t>
  </si>
  <si>
    <t>afb99eee-0bd5-8853-85b9-38c13bae933e</t>
  </si>
  <si>
    <t>afb99eee-0bd5-8853-f8a5-482b91ef8676</t>
  </si>
  <si>
    <t>afb99eee-0bd5-8853-9ec5-71ff3ce88930</t>
  </si>
  <si>
    <t>afb99eee-0bd5-8853-09c5-6851ed87cd4f</t>
  </si>
  <si>
    <t>afb99eee-0bd5-8853-4f69-7ce79ea777ff</t>
  </si>
  <si>
    <t>afb99eee-0bd5-8853-7a30-582aeea4aaa9</t>
  </si>
  <si>
    <t>afb99eee-0bd5-8853-bcdd-40e5c43edcd6</t>
  </si>
  <si>
    <t>5dae1e9e-46fb-5537-1242-dd1af1cd2d13</t>
  </si>
  <si>
    <t>5dae1e9e-46fb-5537-b057-71b5a1bf83e4</t>
  </si>
  <si>
    <t>5dae1e9e-46fb-5537-51a4-b7962c84954c</t>
  </si>
  <si>
    <t>5dae1e9e-46fb-5537-161a-b77ab7c2bea5</t>
  </si>
  <si>
    <t>51370692-6296-3150-8672-559fc73f964f</t>
  </si>
  <si>
    <t>e1580c61-8b11-3da0-a5d5-4b75ee0ab7c1</t>
  </si>
  <si>
    <t>5dae1e9e-46fb-5537-fbc7-4636187e7856</t>
  </si>
  <si>
    <t>5dae1e9e-46fb-5537-99a1-12893e5755cd</t>
  </si>
  <si>
    <t>5dae1e9e-46fb-5537-e1e0-4a04a846e386</t>
  </si>
  <si>
    <t>5dae1e9e-46fb-5537-74b8-9549758ccc22</t>
  </si>
  <si>
    <t>5dae1e9e-46fb-5537-9c47-dda3e0853bf8</t>
  </si>
  <si>
    <t>5dae1e9e-46fb-5537-7905-d5b116a7684d</t>
  </si>
  <si>
    <t>5dae1e9e-46fb-5537-84df-e96a3955193b</t>
  </si>
  <si>
    <t>5dae1e9e-46fb-5537-8571-4d3f6aac60ec</t>
  </si>
  <si>
    <t>5dae1e9e-46fb-5537-6709-cde62031ab8b</t>
  </si>
  <si>
    <t>5dae1e9e-46fb-5537-7169-c9cc4970ff02</t>
  </si>
  <si>
    <t>5dae1e9e-46fb-5537-dce8-72bf16a56bed</t>
  </si>
  <si>
    <t>5dae1e9e-46fb-5537-0f23-81832fad892d</t>
  </si>
  <si>
    <t>5dae1e9e-46fb-5537-afa8-0390702661fe</t>
  </si>
  <si>
    <t>d309f605-948b-962f-26e5-b691d755a749</t>
  </si>
  <si>
    <t>65eda534-1bdc-3192-8d02-1c3764447790</t>
  </si>
  <si>
    <t>155c3597-60b7-3268-ad21-c3bf4b25db99</t>
  </si>
  <si>
    <t>d309f605-948b-962f-2dc2-599abbf403bf</t>
  </si>
  <si>
    <t>c7542447-e06e-32cb-b6db-243c23a0dbc2</t>
  </si>
  <si>
    <t>60561eb9-6e44-3ad6-bc0c-5f1ba81054c6</t>
  </si>
  <si>
    <t>d309f605-948b-962f-99b2-a6ef82c45fd6</t>
  </si>
  <si>
    <t>d309f605-948b-962f-430b-695b4f1e59b4</t>
  </si>
  <si>
    <t>d309f605-948b-962f-b1af-601bf5cca4f8</t>
  </si>
  <si>
    <t>d309f605-948b-962f-22ab-02d08a386a33</t>
  </si>
  <si>
    <t>d309f605-948b-962f-a238-6cc733821be2</t>
  </si>
  <si>
    <t>d309f605-948b-962f-69d1-702a8fdd184d</t>
  </si>
  <si>
    <t>d309f605-948b-962f-7b26-abd4ab9442f3</t>
  </si>
  <si>
    <t>d309f605-948b-962f-aef2-ab00c90a3c80</t>
  </si>
  <si>
    <t>d309f605-948b-962f-c3f0-b822f83778ef</t>
  </si>
  <si>
    <t>d309f605-948b-962f-67fc-0b12733f6ba5</t>
  </si>
  <si>
    <t>d309f605-948b-962f-8cdc-22ab604e0896</t>
  </si>
  <si>
    <t>d309f605-948b-962f-8d3f-52ffe40a9eb6</t>
  </si>
  <si>
    <t>d309f605-948b-962f-b697-67f8d7e2c62f</t>
  </si>
  <si>
    <t>d309f605-948b-962f-5179-e61f81de96bb</t>
  </si>
  <si>
    <t>d309f605-948b-962f-3ad5-97b60c790f70</t>
  </si>
  <si>
    <t>d309f605-948b-962f-15ec-f8be0002d2b0</t>
  </si>
  <si>
    <t>d309f605-948b-962f-25c3-ecca6415c4c7</t>
  </si>
  <si>
    <t>d309f605-948b-962f-be9c-b038c8df1ac2</t>
  </si>
  <si>
    <t>d309f605-948b-962f-fdeb-fc421f7e8adf</t>
  </si>
  <si>
    <t>d309f605-948b-962f-9831-f76b2d118a01</t>
  </si>
  <si>
    <t>d309f605-948b-962f-e455-7698bb43f126</t>
  </si>
  <si>
    <t>d309f605-948b-962f-f6a3-68812a41a249</t>
  </si>
  <si>
    <t>d309f605-948b-962f-7641-0028d20130ed</t>
  </si>
  <si>
    <t>d309f605-948b-962f-8925-118904de168e</t>
  </si>
  <si>
    <t>d309f605-948b-962f-ee7e-65b380f22273</t>
  </si>
  <si>
    <t>d309f605-948b-962f-b739-cc8e762f090a</t>
  </si>
  <si>
    <t>d309f605-948b-962f-7096-d3364a0d5d46</t>
  </si>
  <si>
    <t>d309f605-948b-962f-07d1-75d5c126723c</t>
  </si>
  <si>
    <t>d309f605-948b-962f-bd06-3b1af4e111c9</t>
  </si>
  <si>
    <t>d309f605-948b-962f-4719-7cc04182600e</t>
  </si>
  <si>
    <t>d309f605-948b-962f-fbb1-e25930735097</t>
  </si>
  <si>
    <t>d309f605-948b-962f-ad66-08d072919154</t>
  </si>
  <si>
    <t>d309f605-948b-962f-9557-b6b037bb8e8c</t>
  </si>
  <si>
    <t>d309f605-948b-962f-0322-36df06ef3f81</t>
  </si>
  <si>
    <t>d309f605-948b-962f-5f1e-6c724ee1e8f2</t>
  </si>
  <si>
    <t>d309f605-948b-962f-cceb-91f058e832e9</t>
  </si>
  <si>
    <t>d309f605-948b-962f-6942-a8474a694c1c</t>
  </si>
  <si>
    <t>2fb99851-6f31-04a6-4d28-9d8ae64514d4</t>
  </si>
  <si>
    <t>2fb99851-6f31-04a6-0268-e9f77ee0222f</t>
  </si>
  <si>
    <t>2fb99851-6f31-04a6-195b-654ed0adf1a7</t>
  </si>
  <si>
    <t>2fb99851-6f31-04a6-4d82-e0de6deb91e4</t>
  </si>
  <si>
    <t>2fb99851-6f31-04a6-1db3-62dc1329694b</t>
  </si>
  <si>
    <t>2fb99851-6f31-04a6-84d3-cef01e27b250</t>
  </si>
  <si>
    <t>2fb99851-6f31-04a6-17ca-81e0949f3e51</t>
  </si>
  <si>
    <t>2fb99851-6f31-04a6-f1e5-b5e0300f5959</t>
  </si>
  <si>
    <t>2fb99851-6f31-04a6-8ffc-b70d7783d61e</t>
  </si>
  <si>
    <t>2fb99851-6f31-04a6-dba7-9fd96ce9a1a5</t>
  </si>
  <si>
    <t>2fb99851-6f31-04a6-b68b-40facb0688ee</t>
  </si>
  <si>
    <t>2fb99851-6f31-04a6-5517-80f33d270d39</t>
  </si>
  <si>
    <t>2fb99851-6f31-04a6-59fb-e7314435ea01</t>
  </si>
  <si>
    <t>2fb99851-6f31-04a6-2253-acf007a91710</t>
  </si>
  <si>
    <t>2fb99851-6f31-04a6-0abc-d8e024627c42</t>
  </si>
  <si>
    <t>2fb99851-6f31-04a6-3737-e69ff0b35080</t>
  </si>
  <si>
    <t>2fb99851-6f31-04a6-48a7-b803821336b7</t>
  </si>
  <si>
    <t>2fb99851-6f31-04a6-f0ea-ad10d1035d81</t>
  </si>
  <si>
    <t>2fb99851-6f31-04a6-bed7-087479477279</t>
  </si>
  <si>
    <t>2fb99851-6f31-04a6-6c34-51e2499c0960</t>
  </si>
  <si>
    <t>2fb99851-6f31-04a6-b711-b50c762ac16e</t>
  </si>
  <si>
    <t>2fb99851-6f31-04a6-f87c-db91f57cb640</t>
  </si>
  <si>
    <t>2fb99851-6f31-04a6-7ac7-16c96f2b492e</t>
  </si>
  <si>
    <t>2fb99851-6f31-04a6-c9a6-2396adbaf3f5</t>
  </si>
  <si>
    <t>2fb99851-6f31-04a6-a75d-f5733c6fcc13</t>
  </si>
  <si>
    <t>bdc3ee76-9cf3-316d-b202-a8da1ea3fa20</t>
  </si>
  <si>
    <t>48297ce4-843c-3ee5-b27b-96097c3922ee</t>
  </si>
  <si>
    <t>2fb99851-6f31-04a6-9350-eccafc81f222</t>
  </si>
  <si>
    <t>2fb99851-6f31-04a6-7d9d-98c0d1f35619</t>
  </si>
  <si>
    <t>2fb99851-6f31-04a6-1b48-49e45dc62843</t>
  </si>
  <si>
    <t>2fb99851-6f31-04a6-0f84-4b050d6f7a6a</t>
  </si>
  <si>
    <t>2fb99851-6f31-04a6-dbd2-c0496d1c6149</t>
  </si>
  <si>
    <t>2fb99851-6f31-04a6-f276-296736180c50</t>
  </si>
  <si>
    <t>2fb99851-6f31-04a6-235b-a55a4086b77f</t>
  </si>
  <si>
    <t>2fb99851-6f31-04a6-f9c4-1b6d63d22c23</t>
  </si>
  <si>
    <t>2fb99851-6f31-04a6-4f8d-d21893f31461</t>
  </si>
  <si>
    <t>2fb99851-6f31-04a6-c0b0-4fb0f129519a</t>
  </si>
  <si>
    <t>History of aortic valve replacement (situation)</t>
  </si>
  <si>
    <t>2fb99851-6f31-04a6-0acd-2c26255c94f2</t>
  </si>
  <si>
    <t>2fb99851-6f31-04a6-e967-abe6b39b2153</t>
  </si>
  <si>
    <t>2fb99851-6f31-04a6-f664-b4e645110d9b</t>
  </si>
  <si>
    <t>2fb99851-6f31-04a6-72dc-6290eb88d561</t>
  </si>
  <si>
    <t>2fb99851-6f31-04a6-2796-357f4e97ffb1</t>
  </si>
  <si>
    <t>2fb99851-6f31-04a6-cbc8-701d027e3e39</t>
  </si>
  <si>
    <t>2fb99851-6f31-04a6-853b-3cb011eacf9a</t>
  </si>
  <si>
    <t>f67eaca3-2366-7ee2-0c19-e7100ba0010c</t>
  </si>
  <si>
    <t>7c625dc4-2593-31eb-95fd-6a912832b8bb</t>
  </si>
  <si>
    <t>169391fc-ad69-3e4b-920a-65ba14555cd5</t>
  </si>
  <si>
    <t>f67eaca3-2366-7ee2-46ba-e2d6b629b0cd</t>
  </si>
  <si>
    <t>76baa51d-0d0f-359d-a07b-7b999a43d42e</t>
  </si>
  <si>
    <t>f6113ec1-2366-34b8-aaac-cb111909a4c1</t>
  </si>
  <si>
    <t>f67eaca3-2366-7ee2-cc5c-cff15dec09b3</t>
  </si>
  <si>
    <t>f67eaca3-2366-7ee2-a734-84fcd0caec04</t>
  </si>
  <si>
    <t>b242f971-3c74-3778-b148-81366c1e6a3f</t>
  </si>
  <si>
    <t>e3afa206-f364-36d7-9673-521ae8858395</t>
  </si>
  <si>
    <t>f67eaca3-2366-7ee2-3799-4acf1a1de18e</t>
  </si>
  <si>
    <t>f67eaca3-2366-7ee2-fc60-fbf043b952bd</t>
  </si>
  <si>
    <t>f67eaca3-2366-7ee2-a3ab-903a0ec33dd8</t>
  </si>
  <si>
    <t>f67eaca3-2366-7ee2-5953-8a766ff348ad</t>
  </si>
  <si>
    <t>f67eaca3-2366-7ee2-b442-d111ca4856ce</t>
  </si>
  <si>
    <t>f67eaca3-2366-7ee2-2413-da64226ebcb7</t>
  </si>
  <si>
    <t>2fb99851-6f31-04a6-a164-4d4afd7fd165</t>
  </si>
  <si>
    <t>f67eaca3-2366-7ee2-d47e-0bb88333ecb7</t>
  </si>
  <si>
    <t>f67eaca3-2366-7ee2-1a60-2279df6a6a3e</t>
  </si>
  <si>
    <t>2fb99851-6f31-04a6-59e4-931bc06a7a0d</t>
  </si>
  <si>
    <t>2fb99851-6f31-04a6-8b95-3d8709bf97f8</t>
  </si>
  <si>
    <t>2fb99851-6f31-04a6-ae35-369a1f3ec38b</t>
  </si>
  <si>
    <t>2fb99851-6f31-04a6-52a1-1d3ccc55cd97</t>
  </si>
  <si>
    <t>96de62ae-1b00-58d8-a648-7abdae336627</t>
  </si>
  <si>
    <t>96de62ae-1b00-58d8-8fd6-6d160d9dcd1e</t>
  </si>
  <si>
    <t>96de62ae-1b00-58d8-ba8a-7041954632c7</t>
  </si>
  <si>
    <t>96de62ae-1b00-58d8-d6ac-0efa0fe6a7d7</t>
  </si>
  <si>
    <t>96de62ae-1b00-58d8-bb3e-4952e7ab03a0</t>
  </si>
  <si>
    <t>96de62ae-1b00-58d8-ccde-929337c6e2fe</t>
  </si>
  <si>
    <t>96de62ae-1b00-58d8-21c9-6b23fd7f879d</t>
  </si>
  <si>
    <t>96de62ae-1b00-58d8-3c39-7ca562e50f29</t>
  </si>
  <si>
    <t>96de62ae-1b00-58d8-75f5-b66d3e4b751c</t>
  </si>
  <si>
    <t>96de62ae-1b00-58d8-7b91-6d05d9cf3b46</t>
  </si>
  <si>
    <t>96de62ae-1b00-58d8-bb43-eb97aad1a4e0</t>
  </si>
  <si>
    <t>96de62ae-1b00-58d8-a7f8-7f03d3736317</t>
  </si>
  <si>
    <t>96de62ae-1b00-58d8-d46c-64e302626139</t>
  </si>
  <si>
    <t>96de62ae-1b00-58d8-7427-d9a87e775aae</t>
  </si>
  <si>
    <t>96de62ae-1b00-58d8-8b39-45654d4ac370</t>
  </si>
  <si>
    <t>96de62ae-1b00-58d8-9ebd-be0a3d8ee7c1</t>
  </si>
  <si>
    <t>96de62ae-1b00-58d8-8f4a-21fd62665b63</t>
  </si>
  <si>
    <t>96de62ae-1b00-58d8-fde9-a4a9bbdf2395</t>
  </si>
  <si>
    <t>96de62ae-1b00-58d8-d8e9-13d96f91b588</t>
  </si>
  <si>
    <t>96de62ae-1b00-58d8-3f28-a091f75a16d9</t>
  </si>
  <si>
    <t>96de62ae-1b00-58d8-f9ed-ef5f5461ff56</t>
  </si>
  <si>
    <t>96de62ae-1b00-58d8-b121-8a158420ef20</t>
  </si>
  <si>
    <t>96de62ae-1b00-58d8-d4d4-f1585aac38f6</t>
  </si>
  <si>
    <t>96de62ae-1b00-58d8-acb1-dceb57768a22</t>
  </si>
  <si>
    <t>96de62ae-1b00-58d8-ab4e-a1be02e75e59</t>
  </si>
  <si>
    <t>96de62ae-1b00-58d8-540d-480caac366bb</t>
  </si>
  <si>
    <t>96de62ae-1b00-58d8-43de-1d0bb08f0242</t>
  </si>
  <si>
    <t>96de62ae-1b00-58d8-099c-413d6eb434c2</t>
  </si>
  <si>
    <t>96de62ae-1b00-58d8-ba8b-326e22edc018</t>
  </si>
  <si>
    <t>96de62ae-1b00-58d8-2645-bcb8f0ac1cd3</t>
  </si>
  <si>
    <t>96de62ae-1b00-58d8-1cf9-787e757e00b4</t>
  </si>
  <si>
    <t>96de62ae-1b00-58d8-48ab-279d7ce62623</t>
  </si>
  <si>
    <t>96de62ae-1b00-58d8-ae06-8b595746b2c3</t>
  </si>
  <si>
    <t>96de62ae-1b00-58d8-56fd-b0ad1815bf59</t>
  </si>
  <si>
    <t>96de62ae-1b00-58d8-87ee-826b2e281fa6</t>
  </si>
  <si>
    <t>96de62ae-1b00-58d8-1d13-b3cc3bfca318</t>
  </si>
  <si>
    <t>96de62ae-1b00-58d8-e3e3-734c935982c9</t>
  </si>
  <si>
    <t>96de62ae-1b00-58d8-002f-476d133856a5</t>
  </si>
  <si>
    <t>96de62ae-1b00-58d8-6fde-19cd28e9965a</t>
  </si>
  <si>
    <t>96de62ae-1b00-58d8-f36a-54a9baf56621</t>
  </si>
  <si>
    <t>96de62ae-1b00-58d8-35ce-0656c77e2791</t>
  </si>
  <si>
    <t>96de62ae-1b00-58d8-fbd1-bf9a4cb5c73a</t>
  </si>
  <si>
    <t>96de62ae-1b00-58d8-323e-19047c4e32a3</t>
  </si>
  <si>
    <t>96de62ae-1b00-58d8-3b53-b11920496057</t>
  </si>
  <si>
    <t>96de62ae-1b00-58d8-f91c-4677cb9e09c0</t>
  </si>
  <si>
    <t>96de62ae-1b00-58d8-5558-a56fec8d5996</t>
  </si>
  <si>
    <t>96de62ae-1b00-58d8-90ac-59b131edfbee</t>
  </si>
  <si>
    <t>96de62ae-1b00-58d8-759a-27a36515473e</t>
  </si>
  <si>
    <t>96de62ae-1b00-58d8-df76-0e71d34541ca</t>
  </si>
  <si>
    <t>96de62ae-1b00-58d8-75ee-736315680328</t>
  </si>
  <si>
    <t>96de62ae-1b00-58d8-5fef-bd77e286db67</t>
  </si>
  <si>
    <t>96de62ae-1b00-58d8-bee9-3324559018fd</t>
  </si>
  <si>
    <t>96de62ae-1b00-58d8-0d1f-bf008ab7c27a</t>
  </si>
  <si>
    <t>96de62ae-1b00-58d8-4627-bd2a5b9ac37e</t>
  </si>
  <si>
    <t>96de62ae-1b00-58d8-5e86-79cac319f315</t>
  </si>
  <si>
    <t>96de62ae-1b00-58d8-f8ce-5aca60a4a79f</t>
  </si>
  <si>
    <t>96de62ae-1b00-58d8-887e-ede75aea9149</t>
  </si>
  <si>
    <t>96de62ae-1b00-58d8-68dc-79344b817895</t>
  </si>
  <si>
    <t>96de62ae-1b00-58d8-2b69-a39ebac2eed0</t>
  </si>
  <si>
    <t>96de62ae-1b00-58d8-3213-ccc5f91012c0</t>
  </si>
  <si>
    <t>96de62ae-1b00-58d8-f2e7-ed9c00d2feaa</t>
  </si>
  <si>
    <t>96de62ae-1b00-58d8-46f8-3388c83b38e5</t>
  </si>
  <si>
    <t>96de62ae-1b00-58d8-7249-c6a512457854</t>
  </si>
  <si>
    <t>96de62ae-1b00-58d8-a284-80d2e9094e7e</t>
  </si>
  <si>
    <t>96de62ae-1b00-58d8-e6f5-95c6cb8867b0</t>
  </si>
  <si>
    <t>96de62ae-1b00-58d8-03c9-86a918b6bfd8</t>
  </si>
  <si>
    <t>96de62ae-1b00-58d8-e174-bef0d6b1fc13</t>
  </si>
  <si>
    <t>96de62ae-1b00-58d8-dc24-f385882f945a</t>
  </si>
  <si>
    <t>96de62ae-1b00-58d8-88a7-096f0c873e59</t>
  </si>
  <si>
    <t>96de62ae-1b00-58d8-c093-b4e1f6aea15e</t>
  </si>
  <si>
    <t>96de62ae-1b00-58d8-74fa-28d56b673c41</t>
  </si>
  <si>
    <t>96de62ae-1b00-58d8-20be-c483dc0a8d93</t>
  </si>
  <si>
    <t>96de62ae-1b00-58d8-a96b-9b2d924bd06b</t>
  </si>
  <si>
    <t>96de62ae-1b00-58d8-3559-dc426825b94a</t>
  </si>
  <si>
    <t>96de62ae-1b00-58d8-76b8-c588a67bd272</t>
  </si>
  <si>
    <t>96de62ae-1b00-58d8-41de-915819c8ee68</t>
  </si>
  <si>
    <t>96de62ae-1b00-58d8-8da8-2c6cdfe71e2e</t>
  </si>
  <si>
    <t>96de62ae-1b00-58d8-75dd-abb4c63cdf6f</t>
  </si>
  <si>
    <t>96de62ae-1b00-58d8-3abe-a2e98b58c4d8</t>
  </si>
  <si>
    <t>96de62ae-1b00-58d8-5e38-dfe7538b3416</t>
  </si>
  <si>
    <t>96de62ae-1b00-58d8-7246-170c1ce21ece</t>
  </si>
  <si>
    <t>96de62ae-1b00-58d8-ec19-187e459c54e7</t>
  </si>
  <si>
    <t>96de62ae-1b00-58d8-c34d-ee3086cf28cd</t>
  </si>
  <si>
    <t>96de62ae-1b00-58d8-0026-65513933ac66</t>
  </si>
  <si>
    <t>96de62ae-1b00-58d8-163c-a1d70110eabf</t>
  </si>
  <si>
    <t>96de62ae-1b00-58d8-e5f7-1db340e55d0c</t>
  </si>
  <si>
    <t>96de62ae-1b00-58d8-fe0f-aa735a2690e0</t>
  </si>
  <si>
    <t>96de62ae-1b00-58d8-6726-f3eb1bad1882</t>
  </si>
  <si>
    <t>96de62ae-1b00-58d8-5d75-fdee6514d0b0</t>
  </si>
  <si>
    <t>96de62ae-1b00-58d8-b3f4-2687e26a1540</t>
  </si>
  <si>
    <t>46fcc34a-97a1-f038-ce5a-a68dbde9c1b7</t>
  </si>
  <si>
    <t>46fcc34a-97a1-f038-dbf2-fa76c7f7110b</t>
  </si>
  <si>
    <t>46fcc34a-97a1-f038-b4bb-0a4d9109b5fc</t>
  </si>
  <si>
    <t>46fcc34a-97a1-f038-cdd8-cc9cb065766b</t>
  </si>
  <si>
    <t>46fcc34a-97a1-f038-5fa6-f301ae898671</t>
  </si>
  <si>
    <t>46fcc34a-97a1-f038-2013-a1445cc983b6</t>
  </si>
  <si>
    <t>46fcc34a-97a1-f038-3016-022093fe87df</t>
  </si>
  <si>
    <t>46fcc34a-97a1-f038-cf8f-2b43cd9da3dd</t>
  </si>
  <si>
    <t>46fcc34a-97a1-f038-e100-75afc3eb2b59</t>
  </si>
  <si>
    <t>46fcc34a-97a1-f038-426b-3a0f8a44dfd7</t>
  </si>
  <si>
    <t>46fcc34a-97a1-f038-4f9e-dd80bd7b8b1c</t>
  </si>
  <si>
    <t>46fcc34a-97a1-f038-3e3d-e5681d587a20</t>
  </si>
  <si>
    <t>46fcc34a-97a1-f038-b630-3ffe3455a7da</t>
  </si>
  <si>
    <t>46fcc34a-97a1-f038-e968-203ac44b060f</t>
  </si>
  <si>
    <t>46fcc34a-97a1-f038-5563-19c776e8b2ec</t>
  </si>
  <si>
    <t>46fcc34a-97a1-f038-b5bb-442ce514d044</t>
  </si>
  <si>
    <t>46fcc34a-97a1-f038-1e7a-8285f098736d</t>
  </si>
  <si>
    <t>46fcc34a-97a1-f038-d193-226822c2b206</t>
  </si>
  <si>
    <t>46fcc34a-97a1-f038-a123-d4747d8d1080</t>
  </si>
  <si>
    <t>46fcc34a-97a1-f038-8c70-e6130a71adab</t>
  </si>
  <si>
    <t>46fcc34a-97a1-f038-a1dc-9c43c877ecb3</t>
  </si>
  <si>
    <t>46fcc34a-97a1-f038-94de-709570a0e6ad</t>
  </si>
  <si>
    <t>46fcc34a-97a1-f038-37c4-96e01dab3dbd</t>
  </si>
  <si>
    <t>46fcc34a-97a1-f038-eb4d-396682727acc</t>
  </si>
  <si>
    <t>46fcc34a-97a1-f038-4c69-07f645cc67af</t>
  </si>
  <si>
    <t>46fcc34a-97a1-f038-6407-6e95fa1328c5</t>
  </si>
  <si>
    <t>46fcc34a-97a1-f038-e16b-fcc656d95b8d</t>
  </si>
  <si>
    <t>46fcc34a-97a1-f038-6bcf-83aaefd136d9</t>
  </si>
  <si>
    <t>46fcc34a-97a1-f038-0d91-706248ffcf2b</t>
  </si>
  <si>
    <t>46fcc34a-97a1-f038-4e3e-c1be2f453fe4</t>
  </si>
  <si>
    <t>46fcc34a-97a1-f038-ea5f-befb62c6a10d</t>
  </si>
  <si>
    <t>46fcc34a-97a1-f038-bd44-289b75cb8bea</t>
  </si>
  <si>
    <t>46fcc34a-97a1-f038-2b3b-9e41c2377c9a</t>
  </si>
  <si>
    <t>46fcc34a-97a1-f038-440f-d5968d40d953</t>
  </si>
  <si>
    <t>46fcc34a-97a1-f038-e122-e77d0b78d268</t>
  </si>
  <si>
    <t>46fcc34a-97a1-f038-dc38-aec4048893e4</t>
  </si>
  <si>
    <t>46fcc34a-97a1-f038-d625-857794e18e71</t>
  </si>
  <si>
    <t>46fcc34a-97a1-f038-c2bb-a19436b83a5a</t>
  </si>
  <si>
    <t>46fcc34a-97a1-f038-d6af-c8b94f7cae43</t>
  </si>
  <si>
    <t>46fcc34a-97a1-f038-f0c2-bbc4ad58eb48</t>
  </si>
  <si>
    <t>46fcc34a-97a1-f038-eef3-961f5ab34eed</t>
  </si>
  <si>
    <t>46fcc34a-97a1-f038-7ddb-8f7b34964e31</t>
  </si>
  <si>
    <t>46fcc34a-97a1-f038-48b3-91f86928270d</t>
  </si>
  <si>
    <t>46fcc34a-97a1-f038-771f-2a8271a9c2ed</t>
  </si>
  <si>
    <t>46fcc34a-97a1-f038-f819-acf5c7c5c053</t>
  </si>
  <si>
    <t>6c4283c9-228b-2774-2eb7-5438fa1a67bf</t>
  </si>
  <si>
    <t>6c4283c9-228b-2774-ea88-056fbac733c7</t>
  </si>
  <si>
    <t>f6a306cf-7bd6-35f4-a6b7-2d07d273914c</t>
  </si>
  <si>
    <t>59f88cb1-79de-3625-bf4b-8650be4b9da9</t>
  </si>
  <si>
    <t>6c4283c9-228b-2774-6722-5d93ecde9b63</t>
  </si>
  <si>
    <t>6c4283c9-228b-2774-a411-ef7ccbed7d33</t>
  </si>
  <si>
    <t>6c4283c9-228b-2774-3553-acf37271f642</t>
  </si>
  <si>
    <t>6c4283c9-228b-2774-aba6-52c67258b141</t>
  </si>
  <si>
    <t>6c4283c9-228b-2774-33eb-9530ace867be</t>
  </si>
  <si>
    <t>6c4283c9-228b-2774-ce5b-e47a6bcb6b58</t>
  </si>
  <si>
    <t>6c4283c9-228b-2774-fc3f-930a19118264</t>
  </si>
  <si>
    <t>6c4283c9-228b-2774-120c-a8dad592b537</t>
  </si>
  <si>
    <t>6c4283c9-228b-2774-2ecd-23605fbffc3a</t>
  </si>
  <si>
    <t>6c4283c9-228b-2774-4c2e-5f297d1a47b2</t>
  </si>
  <si>
    <t>6c4283c9-228b-2774-b59d-cebb9b8ac5f2</t>
  </si>
  <si>
    <t>6c4283c9-228b-2774-aa27-8bdbb87a9904</t>
  </si>
  <si>
    <t>30889246-5f7d-9305-6614-726a4fb16834</t>
  </si>
  <si>
    <t>dd9914b0-9491-3330-a890-d34e95e497ea</t>
  </si>
  <si>
    <t>ed130f82-72d5-3eac-a7ef-5657103dab1e</t>
  </si>
  <si>
    <t>30889246-5f7d-9305-51d7-6fb5afd81835</t>
  </si>
  <si>
    <t>Seizure disorder (disorder)</t>
  </si>
  <si>
    <t>30889246-5f7d-9305-4a13-36b0de74f304</t>
  </si>
  <si>
    <t>30889246-5f7d-9305-1fc6-b14d9308937e</t>
  </si>
  <si>
    <t>30889246-5f7d-9305-890d-e32a05fcef38</t>
  </si>
  <si>
    <t>30889246-5f7d-9305-cdc7-c5a7ce794dbf</t>
  </si>
  <si>
    <t>30889246-5f7d-9305-88a0-699375c58b3c</t>
  </si>
  <si>
    <t>30889246-5f7d-9305-57b9-e97cd5e221b2</t>
  </si>
  <si>
    <t>30889246-5f7d-9305-7e77-76f2c3ab3ab0</t>
  </si>
  <si>
    <t>a418cf76-2ee3-3736-a752-29ee33e86015</t>
  </si>
  <si>
    <t>364dc66e-7bd0-3580-85d7-327b98af39d5</t>
  </si>
  <si>
    <t>30889246-5f7d-9305-46a9-78e82d3b58f3</t>
  </si>
  <si>
    <t>Sudden cardiac death (disorder)</t>
  </si>
  <si>
    <t>e7c068bb-6d29-27d3-c566-e9879612d896</t>
  </si>
  <si>
    <t>6873525f-1680-3ceb-b536-270d44b46e2e</t>
  </si>
  <si>
    <t>7a149352-0c69-3fc5-a0c6-3fe04570289c</t>
  </si>
  <si>
    <t>e7c068bb-6d29-27d3-da28-3198f3409f14</t>
  </si>
  <si>
    <t>e7c068bb-6d29-27d3-5b6f-4b5bacc6de6e</t>
  </si>
  <si>
    <t>e7c068bb-6d29-27d3-6fd6-3a5c484bebeb</t>
  </si>
  <si>
    <t>e7c068bb-6d29-27d3-2c1f-47120101c451</t>
  </si>
  <si>
    <t>e7c068bb-6d29-27d3-39bc-42cc6ba0cc2a</t>
  </si>
  <si>
    <t>e7c068bb-6d29-27d3-c7f8-f6d872840853</t>
  </si>
  <si>
    <t>e7c068bb-6d29-27d3-1166-594175012e73</t>
  </si>
  <si>
    <t>e7c068bb-6d29-27d3-8fb9-a62a41e9d0ac</t>
  </si>
  <si>
    <t>e7c068bb-6d29-27d3-8800-9a31f3e5320e</t>
  </si>
  <si>
    <t>e7c068bb-6d29-27d3-e040-5dbd2ecc6d6f</t>
  </si>
  <si>
    <t>e7c068bb-6d29-27d3-a0cd-a8701715cdbf</t>
  </si>
  <si>
    <t>e7c068bb-6d29-27d3-4e94-72e18f23c10f</t>
  </si>
  <si>
    <t>e7c068bb-6d29-27d3-a5b5-a0997a1e8c70</t>
  </si>
  <si>
    <t>e7c068bb-6d29-27d3-a5fc-d35e0946ae56</t>
  </si>
  <si>
    <t>e7c068bb-6d29-27d3-4ad3-b806ad68e7b4</t>
  </si>
  <si>
    <t>e7c068bb-6d29-27d3-4c01-7fed36009e51</t>
  </si>
  <si>
    <t>e7c068bb-6d29-27d3-58c8-a84034e72d1b</t>
  </si>
  <si>
    <t>e7c068bb-6d29-27d3-6e93-f067fa5a8a72</t>
  </si>
  <si>
    <t>e7c068bb-6d29-27d3-cb24-398a8add7512</t>
  </si>
  <si>
    <t>e7c068bb-6d29-27d3-d178-26f36dedabb2</t>
  </si>
  <si>
    <t>e7c068bb-6d29-27d3-3ba5-7c6572777ae0</t>
  </si>
  <si>
    <t>e7c068bb-6d29-27d3-e450-149b766f50bc</t>
  </si>
  <si>
    <t>e7c068bb-6d29-27d3-fca9-d6cd6c516c69</t>
  </si>
  <si>
    <t>e7c068bb-6d29-27d3-8f8b-d81034517071</t>
  </si>
  <si>
    <t>e7c068bb-6d29-27d3-9ec4-e35b2664fc79</t>
  </si>
  <si>
    <t>e7c068bb-6d29-27d3-c888-6b02b3fc5a4d</t>
  </si>
  <si>
    <t>e7c068bb-6d29-27d3-bc0e-7e364a230489</t>
  </si>
  <si>
    <t>e7c068bb-6d29-27d3-f8d9-5c1c5f495a1a</t>
  </si>
  <si>
    <t>e7c068bb-6d29-27d3-0903-c8e40bcf3904</t>
  </si>
  <si>
    <t>e7c068bb-6d29-27d3-f148-975a090b9ce7</t>
  </si>
  <si>
    <t>e7c068bb-6d29-27d3-259d-e6dfeecc1883</t>
  </si>
  <si>
    <t>ee4b7339-ca58-b6af-25b4-c3d0e1131a2e</t>
  </si>
  <si>
    <t>4f59f709-8b84-3d27-a04b-c6b7b5544413</t>
  </si>
  <si>
    <t>3daf431a-3ee8-3650-92b8-ffd9c5b5197b</t>
  </si>
  <si>
    <t>ee4b7339-ca58-b6af-b531-32344964d5bf</t>
  </si>
  <si>
    <t>3935e8a9-9b9f-fd00-9255-8c54f868d817</t>
  </si>
  <si>
    <t>3935e8a9-9b9f-fd00-bfbb-ebe3bc23efbc</t>
  </si>
  <si>
    <t>3935e8a9-9b9f-fd00-af08-066ece111ae6</t>
  </si>
  <si>
    <t>0fab3c4e-a028-39a6-b15a-be5a88b6aa2a</t>
  </si>
  <si>
    <t>1ad39563-df37-3584-aade-bb256157159e</t>
  </si>
  <si>
    <t>3935e8a9-9b9f-fd00-b41e-ead636c6f291</t>
  </si>
  <si>
    <t>3935e8a9-9b9f-fd00-4467-5f3948d8bb98</t>
  </si>
  <si>
    <t>3935e8a9-9b9f-fd00-4d5e-1c98bc1ff197</t>
  </si>
  <si>
    <t>3935e8a9-9b9f-fd00-da8e-18385a395926</t>
  </si>
  <si>
    <t>3935e8a9-9b9f-fd00-fa63-b04827d22a9a</t>
  </si>
  <si>
    <t>3935e8a9-9b9f-fd00-510c-a0a8a6dd88e4</t>
  </si>
  <si>
    <t>3935e8a9-9b9f-fd00-679b-309c21d5dee6</t>
  </si>
  <si>
    <t>3935e8a9-9b9f-fd00-7d38-1afd4b2c2f0c</t>
  </si>
  <si>
    <t>3935e8a9-9b9f-fd00-589c-a52f5b761fb3</t>
  </si>
  <si>
    <t>3935e8a9-9b9f-fd00-f058-15c868cb049c</t>
  </si>
  <si>
    <t>3935e8a9-9b9f-fd00-d8d3-994db01ae588</t>
  </si>
  <si>
    <t>3935e8a9-9b9f-fd00-2837-796fd528a3a6</t>
  </si>
  <si>
    <t>3935e8a9-9b9f-fd00-7161-c51526fc28ba</t>
  </si>
  <si>
    <t>3935e8a9-9b9f-fd00-0073-a6f989a74fda</t>
  </si>
  <si>
    <t>e1818b21-4458-3b9c-b2b8-7ed6f57ae078</t>
  </si>
  <si>
    <t>5a2ef0ce-4a09-31f5-8496-3ac4e406a0c8</t>
  </si>
  <si>
    <t>3935e8a9-9b9f-fd00-2f65-03c4677664d9</t>
  </si>
  <si>
    <t>3935e8a9-9b9f-fd00-fd90-0ae2d0fc8d14</t>
  </si>
  <si>
    <t>3935e8a9-9b9f-fd00-3c31-c7c86cef34f2</t>
  </si>
  <si>
    <t>3935e8a9-9b9f-fd00-531c-df0984d68b15</t>
  </si>
  <si>
    <t>3935e8a9-9b9f-fd00-6f3d-57c8c8043d53</t>
  </si>
  <si>
    <t>3935e8a9-9b9f-fd00-e504-c570996807d4</t>
  </si>
  <si>
    <t>3935e8a9-9b9f-fd00-c602-1511937e431b</t>
  </si>
  <si>
    <t>3935e8a9-9b9f-fd00-b7f4-9ee31aee329e</t>
  </si>
  <si>
    <t>3935e8a9-9b9f-fd00-af55-ac996bbfe052</t>
  </si>
  <si>
    <t>3935e8a9-9b9f-fd00-1e7a-5a722875630a</t>
  </si>
  <si>
    <t>3935e8a9-9b9f-fd00-a011-0fcae35527f9</t>
  </si>
  <si>
    <t>3935e8a9-9b9f-fd00-b318-0d90d352be50</t>
  </si>
  <si>
    <t>Periodic reevaluation and management of healthy individual (procedure)</t>
  </si>
  <si>
    <t>Screening for malignant neoplasm of breast (procedure)</t>
  </si>
  <si>
    <t>3935e8a9-9b9f-fd00-d0ae-706f2919fbfc</t>
  </si>
  <si>
    <t>Discussion about treatment (procedure)</t>
  </si>
  <si>
    <t>Malignant neoplasm of breast (disorder)</t>
  </si>
  <si>
    <t>3935e8a9-9b9f-fd00-b20d-6a67d0f3d199</t>
  </si>
  <si>
    <t>3935e8a9-9b9f-fd00-62fc-7cef8b010fa7</t>
  </si>
  <si>
    <t>3935e8a9-9b9f-fd00-1fbd-0a0a6f776c85</t>
  </si>
  <si>
    <t>3935e8a9-9b9f-fd00-f505-cfcd53056e57</t>
  </si>
  <si>
    <t>3935e8a9-9b9f-fd00-bf4d-c61fc5ca9191</t>
  </si>
  <si>
    <t>3935e8a9-9b9f-fd00-79cf-b1cd178c7b3b</t>
  </si>
  <si>
    <t>3935e8a9-9b9f-fd00-13c1-6af48e5445e9</t>
  </si>
  <si>
    <t>3935e8a9-9b9f-fd00-ff9f-9d5de7eb2ae4</t>
  </si>
  <si>
    <t>3935e8a9-9b9f-fd00-3ca1-40b5ca718095</t>
  </si>
  <si>
    <t>3935e8a9-9b9f-fd00-0699-0cc44c4b48db</t>
  </si>
  <si>
    <t>3935e8a9-9b9f-fd00-0fce-d74ec18f7962</t>
  </si>
  <si>
    <t>3935e8a9-9b9f-fd00-4d21-1dfcf247c0d5</t>
  </si>
  <si>
    <t>3935e8a9-9b9f-fd00-8837-383d9d4698f1</t>
  </si>
  <si>
    <t>3935e8a9-9b9f-fd00-25b2-3b8cf5f931f4</t>
  </si>
  <si>
    <t>3935e8a9-9b9f-fd00-631d-f5f90741d01c</t>
  </si>
  <si>
    <t>3935e8a9-9b9f-fd00-0178-e3da9b1a45bb</t>
  </si>
  <si>
    <t>3935e8a9-9b9f-fd00-d1b3-86708d72ca92</t>
  </si>
  <si>
    <t>3935e8a9-9b9f-fd00-faf4-158af67e98f9</t>
  </si>
  <si>
    <t>3935e8a9-9b9f-fd00-a022-02157e088859</t>
  </si>
  <si>
    <t>3935e8a9-9b9f-fd00-0364-61662a56035f</t>
  </si>
  <si>
    <t>3935e8a9-9b9f-fd00-6077-fd5c7981e6b6</t>
  </si>
  <si>
    <t>3935e8a9-9b9f-fd00-a35a-194c83fffbc5</t>
  </si>
  <si>
    <t>3935e8a9-9b9f-fd00-899a-67c4ddddbff5</t>
  </si>
  <si>
    <t>3935e8a9-9b9f-fd00-ac8a-cd4c1ab611cb</t>
  </si>
  <si>
    <t>3935e8a9-9b9f-fd00-59d4-939d13cbce4c</t>
  </si>
  <si>
    <t>3935e8a9-9b9f-fd00-c9b4-7f1c331043d6</t>
  </si>
  <si>
    <t>3935e8a9-9b9f-fd00-ba03-34a5042ec588</t>
  </si>
  <si>
    <t>3935e8a9-9b9f-fd00-1264-19bf315a653b</t>
  </si>
  <si>
    <t>3935e8a9-9b9f-fd00-71de-024a5ee21425</t>
  </si>
  <si>
    <t>3935e8a9-9b9f-fd00-ff86-4596631140d5</t>
  </si>
  <si>
    <t>3935e8a9-9b9f-fd00-42da-cf445be14e55</t>
  </si>
  <si>
    <t>3935e8a9-9b9f-fd00-b1ba-e0fef5349643</t>
  </si>
  <si>
    <t>3935e8a9-9b9f-fd00-2f93-d9e922aaa9da</t>
  </si>
  <si>
    <t>3935e8a9-9b9f-fd00-0a61-2b40b2de69db</t>
  </si>
  <si>
    <t>3935e8a9-9b9f-fd00-2c20-192aaf84232d</t>
  </si>
  <si>
    <t>3935e8a9-9b9f-fd00-3bd8-25eab98bf978</t>
  </si>
  <si>
    <t>3935e8a9-9b9f-fd00-189a-a18a667cb4b7</t>
  </si>
  <si>
    <t>3935e8a9-9b9f-fd00-04d5-06c90af879b5</t>
  </si>
  <si>
    <t>3935e8a9-9b9f-fd00-2f20-4410135456fe</t>
  </si>
  <si>
    <t>3935e8a9-9b9f-fd00-0477-6cfcb1a888b6</t>
  </si>
  <si>
    <t>3935e8a9-9b9f-fd00-7e93-3d07582fbc7a</t>
  </si>
  <si>
    <t>3935e8a9-9b9f-fd00-85d9-e8c3301dffae</t>
  </si>
  <si>
    <t>3935e8a9-9b9f-fd00-3259-79827d698512</t>
  </si>
  <si>
    <t>3935e8a9-9b9f-fd00-c0f4-bb8b7529770c</t>
  </si>
  <si>
    <t>Screening surveillance (regime/therapy)</t>
  </si>
  <si>
    <t>3935e8a9-9b9f-fd00-38f0-4af8f9fb1765</t>
  </si>
  <si>
    <t>3935e8a9-9b9f-fd00-4dcd-9c9aacf6f669</t>
  </si>
  <si>
    <t>3935e8a9-9b9f-fd00-b095-b2cea29553f0</t>
  </si>
  <si>
    <t>3935e8a9-9b9f-fd00-df3d-87daf73113bc</t>
  </si>
  <si>
    <t>3935e8a9-9b9f-fd00-4a28-b1f4ecab4e28</t>
  </si>
  <si>
    <t>3935e8a9-9b9f-fd00-9334-31a3c20cf1ad</t>
  </si>
  <si>
    <t>3935e8a9-9b9f-fd00-633a-65679d46b798</t>
  </si>
  <si>
    <t>3935e8a9-9b9f-fd00-d25b-0e215817c85d</t>
  </si>
  <si>
    <t>3935e8a9-9b9f-fd00-9555-d2aea15a1512</t>
  </si>
  <si>
    <t>3935e8a9-9b9f-fd00-c2f5-567c256783ec</t>
  </si>
  <si>
    <t>3935e8a9-9b9f-fd00-0244-3fce3ae21480</t>
  </si>
  <si>
    <t>3935e8a9-9b9f-fd00-bb2b-051bb92e0057</t>
  </si>
  <si>
    <t>3935e8a9-9b9f-fd00-5120-5f223c8c886d</t>
  </si>
  <si>
    <t>3935e8a9-9b9f-fd00-baa9-41ca3cc78385</t>
  </si>
  <si>
    <t>3935e8a9-9b9f-fd00-09b2-6e1f294655dc</t>
  </si>
  <si>
    <t>3935e8a9-9b9f-fd00-6a3f-c2d9ad289ef9</t>
  </si>
  <si>
    <t>3935e8a9-9b9f-fd00-b35c-00dc043bb08a</t>
  </si>
  <si>
    <t>3935e8a9-9b9f-fd00-ded9-cfd4cb410daa</t>
  </si>
  <si>
    <t>3935e8a9-9b9f-fd00-e52e-fbb94fd27c0e</t>
  </si>
  <si>
    <t>3935e8a9-9b9f-fd00-e72e-d1584ba5dba4</t>
  </si>
  <si>
    <t>3935e8a9-9b9f-fd00-89f8-7d497781b4aa</t>
  </si>
  <si>
    <t>3935e8a9-9b9f-fd00-3b09-aec53007b767</t>
  </si>
  <si>
    <t>3935e8a9-9b9f-fd00-6f5a-addafe74b61f</t>
  </si>
  <si>
    <t>3935e8a9-9b9f-fd00-4e3c-a3a7a2844fdc</t>
  </si>
  <si>
    <t>3935e8a9-9b9f-fd00-1a8a-166bb8f633df</t>
  </si>
  <si>
    <t>3935e8a9-9b9f-fd00-6a25-dffcdd4d1757</t>
  </si>
  <si>
    <t>3935e8a9-9b9f-fd00-e7e2-f55efcd70e26</t>
  </si>
  <si>
    <t>3935e8a9-9b9f-fd00-f341-be90057d6841</t>
  </si>
  <si>
    <t>3935e8a9-9b9f-fd00-4cd8-60ab19af8bc2</t>
  </si>
  <si>
    <t>3935e8a9-9b9f-fd00-de3d-7e468b533423</t>
  </si>
  <si>
    <t>3935e8a9-9b9f-fd00-9685-84fbb0a3e620</t>
  </si>
  <si>
    <t>3935e8a9-9b9f-fd00-1c04-6f89aa1a0644</t>
  </si>
  <si>
    <t>1dabc422-e007-d5ee-ffe2-fae7892313c7</t>
  </si>
  <si>
    <t>e5d50afe-8c7d-35f5-96f5-fb8941403b0f</t>
  </si>
  <si>
    <t>228d7c8a-0dea-37e2-83b6-7865d1c495ca</t>
  </si>
  <si>
    <t>1dabc422-e007-d5ee-49f6-977d0c0b33a1</t>
  </si>
  <si>
    <t>1dabc422-e007-d5ee-997c-ede7bcd16575</t>
  </si>
  <si>
    <t>1dabc422-e007-d5ee-eb50-50f3a1b9bbaf</t>
  </si>
  <si>
    <t>1dabc422-e007-d5ee-c402-66134e4e73b2</t>
  </si>
  <si>
    <t>1dabc422-e007-d5ee-dffd-3797fc297e14</t>
  </si>
  <si>
    <t>1dabc422-e007-d5ee-695a-fc5d9eb7608d</t>
  </si>
  <si>
    <t>1dabc422-e007-d5ee-d200-75babeef2bb3</t>
  </si>
  <si>
    <t>1dabc422-e007-d5ee-36c8-2d31cf2d8e1d</t>
  </si>
  <si>
    <t>883f57b8-89c6-3dc4-b6da-047705c88623</t>
  </si>
  <si>
    <t>4cdc0bdd-b122-3be4-9bf8-9a72d6b3b363</t>
  </si>
  <si>
    <t>1dabc422-e007-d5ee-4c8e-89010111c2b4</t>
  </si>
  <si>
    <t>1dabc422-e007-d5ee-4c5c-cb1c3f24009f</t>
  </si>
  <si>
    <t>1dabc422-e007-d5ee-5692-08f636ba36ba</t>
  </si>
  <si>
    <t>1dabc422-e007-d5ee-ed1d-8621d22c8281</t>
  </si>
  <si>
    <t>1dabc422-e007-d5ee-d391-5e79e6a4a0e0</t>
  </si>
  <si>
    <t>1dabc422-e007-d5ee-2199-8012d8d02d9c</t>
  </si>
  <si>
    <t>1dabc422-e007-d5ee-582a-a91500bafd3a</t>
  </si>
  <si>
    <t>1dabc422-e007-d5ee-230b-6924b1f4220f</t>
  </si>
  <si>
    <t>1dabc422-e007-d5ee-e5c3-99c5cde95736</t>
  </si>
  <si>
    <t>1dabc422-e007-d5ee-6aa6-8b44a027df8b</t>
  </si>
  <si>
    <t>Gunshot wound (disorder)</t>
  </si>
  <si>
    <t>1dabc422-e007-d5ee-9e07-de5e66483682</t>
  </si>
  <si>
    <t>4932efc0-a23f-3f57-803e-554caa6ae7a8</t>
  </si>
  <si>
    <t>b3cd9f66-f1f3-37fe-8f24-c839b43946fa</t>
  </si>
  <si>
    <t>1dabc422-e007-d5ee-4cc9-3f740040d606</t>
  </si>
  <si>
    <t>Bullet wound (disorder)</t>
  </si>
  <si>
    <t>1dabc422-e007-d5ee-b08d-fd785cc1cee6</t>
  </si>
  <si>
    <t>1dabc422-e007-d5ee-30aa-1357d47ed457</t>
  </si>
  <si>
    <t>1dabc422-e007-d5ee-bb02-414ecad9934f</t>
  </si>
  <si>
    <t>1dabc422-e007-d5ee-8047-410d3cdc599a</t>
  </si>
  <si>
    <t>1dabc422-e007-d5ee-e4e1-7d5732d523c7</t>
  </si>
  <si>
    <t>1dabc422-e007-d5ee-6ed0-a0f80627124d</t>
  </si>
  <si>
    <t>1dabc422-e007-d5ee-d3a4-159aad9323a6</t>
  </si>
  <si>
    <t>1dabc422-e007-d5ee-f191-effcc10bb427</t>
  </si>
  <si>
    <t>1dabc422-e007-d5ee-9fe8-f0a90cc9a3f1</t>
  </si>
  <si>
    <t>1dabc422-e007-d5ee-747f-8f639a19ff30</t>
  </si>
  <si>
    <t>3732fde5-efc6-d57a-79bf-e3e04b39e22e</t>
  </si>
  <si>
    <t>a4b91172-69e7-3895-bd89-b9a0868de5c2</t>
  </si>
  <si>
    <t>6686a8c8-2230-3b1d-ad5f-b42219997fd5</t>
  </si>
  <si>
    <t>3732fde5-efc6-d57a-0793-f144f041af74</t>
  </si>
  <si>
    <t>aade280a-3b90-3e48-9648-91109a964a63</t>
  </si>
  <si>
    <t>d38fde76-27d5-3434-b796-06c020e825f7</t>
  </si>
  <si>
    <t>3732fde5-efc6-d57a-220f-3a7f37fe4522</t>
  </si>
  <si>
    <t>3732fde5-efc6-d57a-04a1-88c5c87cf692</t>
  </si>
  <si>
    <t>3732fde5-efc6-d57a-88f7-6c8a4edce6e3</t>
  </si>
  <si>
    <t>3732fde5-efc6-d57a-0520-6184d092114d</t>
  </si>
  <si>
    <t>3732fde5-efc6-d57a-2ad1-50b9e41abf46</t>
  </si>
  <si>
    <t>3732fde5-efc6-d57a-ddc3-4358f4d15145</t>
  </si>
  <si>
    <t>3732fde5-efc6-d57a-e54f-bb5e158fe3d0</t>
  </si>
  <si>
    <t>3732fde5-efc6-d57a-0c0f-5258ae49bf4e</t>
  </si>
  <si>
    <t>3732fde5-efc6-d57a-82f0-65485cba9875</t>
  </si>
  <si>
    <t>3732fde5-efc6-d57a-105c-58e6664f3efa</t>
  </si>
  <si>
    <t>3732fde5-efc6-d57a-7773-b123991c509a</t>
  </si>
  <si>
    <t>3732fde5-efc6-d57a-60d9-7e3435cb75a4</t>
  </si>
  <si>
    <t>3732fde5-efc6-d57a-495c-e18dfeb5ad8c</t>
  </si>
  <si>
    <t>Telephone encounter (procedure)</t>
  </si>
  <si>
    <t>3732fde5-efc6-d57a-36a1-6c3ebef58fe0</t>
  </si>
  <si>
    <t>3732fde5-efc6-d57a-2f7f-cbbe4aff7f41</t>
  </si>
  <si>
    <t>3732fde5-efc6-d57a-aafc-3ee4323a41c3</t>
  </si>
  <si>
    <t>3732fde5-efc6-d57a-1386-f506588b63cb</t>
  </si>
  <si>
    <t>3732fde5-efc6-d57a-5b8d-a480950d5ccb</t>
  </si>
  <si>
    <t>3732fde5-efc6-d57a-244c-7303d2836565</t>
  </si>
  <si>
    <t>Hospital admission for isolation (procedure)</t>
  </si>
  <si>
    <t>Disease caused by severe acute respiratory syndrome coronavirus 2 (disorder)</t>
  </si>
  <si>
    <t>3732fde5-efc6-d57a-0be9-8d9d22713faf</t>
  </si>
  <si>
    <t>3732fde5-efc6-d57a-dc05-04a39c6e8387</t>
  </si>
  <si>
    <t>3732fde5-efc6-d57a-1c15-0f3aac2481f1</t>
  </si>
  <si>
    <t>3732fde5-efc6-d57a-a710-2eb0a64c6eef</t>
  </si>
  <si>
    <t>3732fde5-efc6-d57a-4290-bac0578594c4</t>
  </si>
  <si>
    <t>3732fde5-efc6-d57a-656a-45cd54c64340</t>
  </si>
  <si>
    <t>3732fde5-efc6-d57a-8cc4-c12fde87e9b0</t>
  </si>
  <si>
    <t>3732fde5-efc6-d57a-fd13-1f02a1221868</t>
  </si>
  <si>
    <t>3732fde5-efc6-d57a-65e5-dceafa38ca2f</t>
  </si>
  <si>
    <t>3732fde5-efc6-d57a-f3e3-ed3ea674f94e</t>
  </si>
  <si>
    <t>3732fde5-efc6-d57a-ddea-4bd3c30a6eaf</t>
  </si>
  <si>
    <t>3732fde5-efc6-d57a-847c-1f58b45e68f2</t>
  </si>
  <si>
    <t>3732fde5-efc6-d57a-e00b-aed566976d1b</t>
  </si>
  <si>
    <t>3732fde5-efc6-d57a-fd09-bf267684e413</t>
  </si>
  <si>
    <t>8f22037a-070f-3fcf-8f39-fa879f0ae107</t>
  </si>
  <si>
    <t>05e4e2bb-75df-350a-a145-c26ae13d1646</t>
  </si>
  <si>
    <t>3732fde5-efc6-d57a-14d2-1a5bfba44ffe</t>
  </si>
  <si>
    <t>3732fde5-efc6-d57a-ce46-cee24523c019</t>
  </si>
  <si>
    <t>3732fde5-efc6-d57a-c6cb-bb598642f9ef</t>
  </si>
  <si>
    <t>3732fde5-efc6-d57a-0be1-1dfc33a723af</t>
  </si>
  <si>
    <t>3732fde5-efc6-d57a-7ce6-486c5a0ccaf9</t>
  </si>
  <si>
    <t>9c26986a-d81d-62f0-7f4f-20589bb87ae1</t>
  </si>
  <si>
    <t>9c26986a-d81d-62f0-3acc-f267aad55165</t>
  </si>
  <si>
    <t>9c26986a-d81d-62f0-ecce-961c5addb697</t>
  </si>
  <si>
    <t>9c26986a-d81d-62f0-6c15-a006bccb0aa7</t>
  </si>
  <si>
    <t>9c26986a-d81d-62f0-b3dd-a21618256466</t>
  </si>
  <si>
    <t>9c26986a-d81d-62f0-9319-d9ec7c28f0dd</t>
  </si>
  <si>
    <t>9c26986a-d81d-62f0-837e-41247aafa520</t>
  </si>
  <si>
    <t>9c26986a-d81d-62f0-ad5e-0c501c79f99e</t>
  </si>
  <si>
    <t>9c26986a-d81d-62f0-7cf9-1e754f9bb456</t>
  </si>
  <si>
    <t>9c26986a-d81d-62f0-4fc0-85ee118a4984</t>
  </si>
  <si>
    <t>9c26986a-d81d-62f0-05b4-ee2afba1632d</t>
  </si>
  <si>
    <t>9c26986a-d81d-62f0-3834-12511f3d0b94</t>
  </si>
  <si>
    <t>9c26986a-d81d-62f0-e247-c0d35418ddfc</t>
  </si>
  <si>
    <t>9c26986a-d81d-62f0-557e-2c7942e13188</t>
  </si>
  <si>
    <t>9c26986a-d81d-62f0-ced6-1fdd19ea1a7d</t>
  </si>
  <si>
    <t>9c26986a-d81d-62f0-6065-2b6c53da9520</t>
  </si>
  <si>
    <t>9c26986a-d81d-62f0-918d-6b46712cdd3a</t>
  </si>
  <si>
    <t>9c26986a-d81d-62f0-1c72-3b3ee7ad0b68</t>
  </si>
  <si>
    <t>9c26986a-d81d-62f0-ca41-8ec3860f96c5</t>
  </si>
  <si>
    <t>9c26986a-d81d-62f0-d498-efdd0bd5da64</t>
  </si>
  <si>
    <t>9c26986a-d81d-62f0-9f36-bb02bc07d618</t>
  </si>
  <si>
    <t>9c26986a-d81d-62f0-8bdd-28220c4b3d21</t>
  </si>
  <si>
    <t>9c26986a-d81d-62f0-bd02-e439c95535e9</t>
  </si>
  <si>
    <t>9c26986a-d81d-62f0-ad79-874285a24b04</t>
  </si>
  <si>
    <t>9c26986a-d81d-62f0-cb39-4accde3011b3</t>
  </si>
  <si>
    <t>9c26986a-d81d-62f0-ceff-42ed450e0134</t>
  </si>
  <si>
    <t>9c26986a-d81d-62f0-7b0c-51d777c9d1b0</t>
  </si>
  <si>
    <t>9c26986a-d81d-62f0-db81-1a020fc48dcc</t>
  </si>
  <si>
    <t>9c26986a-d81d-62f0-ef38-f18f32356885</t>
  </si>
  <si>
    <t>9c26986a-d81d-62f0-b5da-a7003996997d</t>
  </si>
  <si>
    <t>9c26986a-d81d-62f0-6c40-988a427636f7</t>
  </si>
  <si>
    <t>3314e296-2326-2826-911a-5ed37a6d9920</t>
  </si>
  <si>
    <t>67cade01-dcfe-37b7-8e2c-b712d9e6fbba</t>
  </si>
  <si>
    <t>431c9038-ddca-3d97-a8f6-c46dd991efa5</t>
  </si>
  <si>
    <t>3314e296-2326-2826-0b54-189d70231639</t>
  </si>
  <si>
    <t>3314e296-2326-2826-dfaf-df11c54c0d86</t>
  </si>
  <si>
    <t>3314e296-2326-2826-84ae-cbecec394f05</t>
  </si>
  <si>
    <t>3314e296-2326-2826-742c-ccfdd4bf3a88</t>
  </si>
  <si>
    <t>3314e296-2326-2826-f230-98843387c8fd</t>
  </si>
  <si>
    <t>c0a33465-d309-3d2a-932e-9d554a7cc19c</t>
  </si>
  <si>
    <t>aeb12e87-a05e-351e-bb0b-16b7d1cbb72f</t>
  </si>
  <si>
    <t>3314e296-2326-2826-80a8-6594eda82a06</t>
  </si>
  <si>
    <t>3314e296-2326-2826-c0c5-70199ff5b42e</t>
  </si>
  <si>
    <t>3314e296-2326-2826-514a-df81e2b2efe9</t>
  </si>
  <si>
    <t>3314e296-2326-2826-de50-88eef0eedd62</t>
  </si>
  <si>
    <t>3314e296-2326-2826-01d1-e841f6c95319</t>
  </si>
  <si>
    <t>7cb70963-6f86-3eab-a12b-88deb31de793</t>
  </si>
  <si>
    <t>dc62130f-c804-3fa8-9108-84ab0398a3f0</t>
  </si>
  <si>
    <t>3314e296-2326-2826-4d65-2b5ea7d029bd</t>
  </si>
  <si>
    <t>3314e296-2326-2826-18d7-9b733123f995</t>
  </si>
  <si>
    <t>3314e296-2326-2826-3f0a-fee30f544c37</t>
  </si>
  <si>
    <t>3314e296-2326-2826-3689-50199400a19e</t>
  </si>
  <si>
    <t>3314e296-2326-2826-06f8-e7f6da57c226</t>
  </si>
  <si>
    <t>3314e296-2326-2826-75ea-9936d72cff1e</t>
  </si>
  <si>
    <t>3314e296-2326-2826-183c-0e63c9c2c345</t>
  </si>
  <si>
    <t>3314e296-2326-2826-6d12-6d823c28995b</t>
  </si>
  <si>
    <t>3314e296-2326-2826-e66e-ff31d38c5cc3</t>
  </si>
  <si>
    <t>3314e296-2326-2826-d84d-a800b444f908</t>
  </si>
  <si>
    <t>3314e296-2326-2826-3f0f-0debc8ca537b</t>
  </si>
  <si>
    <t>3314e296-2326-2826-d6a1-c8ef73dae655</t>
  </si>
  <si>
    <t>3314e296-2326-2826-51fb-d6ea66de10b2</t>
  </si>
  <si>
    <t>3314e296-2326-2826-90b9-47072e2449d8</t>
  </si>
  <si>
    <t>3314e296-2326-2826-258e-188743233b3a</t>
  </si>
  <si>
    <t>3314e296-2326-2826-2998-3800d9b1a634</t>
  </si>
  <si>
    <t>3314e296-2326-2826-5ed7-b3580a06600e</t>
  </si>
  <si>
    <t>3314e296-2326-2826-e96a-0b6b52a5847b</t>
  </si>
  <si>
    <t>3314e296-2326-2826-dffc-510aac833ff9</t>
  </si>
  <si>
    <t>3314e296-2326-2826-a776-1057a2123a9e</t>
  </si>
  <si>
    <t>3314e296-2326-2826-3154-bc9e58a9f907</t>
  </si>
  <si>
    <t>3314e296-2326-2826-d44f-c1305b45e833</t>
  </si>
  <si>
    <t>3314e296-2326-2826-6afd-96fa701c1bf1</t>
  </si>
  <si>
    <t>3314e296-2326-2826-e5fb-7aaef795e591</t>
  </si>
  <si>
    <t>3314e296-2326-2826-ffb0-3a9819c95da4</t>
  </si>
  <si>
    <t>3314e296-2326-2826-fbe3-1babc46942fb</t>
  </si>
  <si>
    <t>3314e296-2326-2826-aba8-78b0d8f1dc85</t>
  </si>
  <si>
    <t>3314e296-2326-2826-29fc-7672b21f61a8</t>
  </si>
  <si>
    <t>3314e296-2326-2826-1bbb-44b70cac9ddc</t>
  </si>
  <si>
    <t>3314e296-2326-2826-092b-0bde0b1f8d77</t>
  </si>
  <si>
    <t>3314e296-2326-2826-2d6e-19d563aa9381</t>
  </si>
  <si>
    <t>3314e296-2326-2826-27b4-e77cccbfe199</t>
  </si>
  <si>
    <t>3314e296-2326-2826-16fb-b3cc49911257</t>
  </si>
  <si>
    <t>3314e296-2326-2826-75f1-6a7627dd938a</t>
  </si>
  <si>
    <t>3314e296-2326-2826-05bc-4a7cc2721811</t>
  </si>
  <si>
    <t>3314e296-2326-2826-4544-7979891d6099</t>
  </si>
  <si>
    <t>3314e296-2326-2826-a051-443743d49209</t>
  </si>
  <si>
    <t>3314e296-2326-2826-1cae-e3335014fb50</t>
  </si>
  <si>
    <t>3314e296-2326-2826-1354-51293fdc8d6e</t>
  </si>
  <si>
    <t>3314e296-2326-2826-e1fc-a0c07f24d9df</t>
  </si>
  <si>
    <t>3314e296-2326-2826-c9c1-359e1d1d8c17</t>
  </si>
  <si>
    <t>3314e296-2326-2826-0325-a20e52eb57ca</t>
  </si>
  <si>
    <t>3314e296-2326-2826-f534-ec694f48da01</t>
  </si>
  <si>
    <t>3314e296-2326-2826-bb42-56acd916125b</t>
  </si>
  <si>
    <t>3314e296-2326-2826-9fd5-dcbd2ca2e0cc</t>
  </si>
  <si>
    <t>3314e296-2326-2826-6a24-b5094e644399</t>
  </si>
  <si>
    <t>3314e296-2326-2826-5023-c694147e4852</t>
  </si>
  <si>
    <t>3314e296-2326-2826-d0f3-428ca737aaf1</t>
  </si>
  <si>
    <t>3314e296-2326-2826-fb11-a0c52ce7e816</t>
  </si>
  <si>
    <t>3314e296-2326-2826-cda6-7aef235792f5</t>
  </si>
  <si>
    <t>3314e296-2326-2826-dade-9f840e05f82a</t>
  </si>
  <si>
    <t>3314e296-2326-2826-f55e-112ed6ec0c9d</t>
  </si>
  <si>
    <t>3314e296-2326-2826-1b3d-57d3f292f8f9</t>
  </si>
  <si>
    <t>3314e296-2326-2826-6e4d-de8dadf17bcd</t>
  </si>
  <si>
    <t>3314e296-2326-2826-4605-8665a9e0c1f4</t>
  </si>
  <si>
    <t>3314e296-2326-2826-df3a-1d13586a59f0</t>
  </si>
  <si>
    <t>72b1ca95-c4f0-269d-055d-703d19d1bc36</t>
  </si>
  <si>
    <t>f341c366-8313-3790-ab26-d8d27b116ff5</t>
  </si>
  <si>
    <t>37b33557-4e41-340d-b09b-cdfb5701b7d3</t>
  </si>
  <si>
    <t>72b1ca95-c4f0-269d-2cbd-2a52cd4581cf</t>
  </si>
  <si>
    <t>72b1ca95-c4f0-269d-9831-e98c6b102bf7</t>
  </si>
  <si>
    <t>72b1ca95-c4f0-269d-194d-1716a49805cb</t>
  </si>
  <si>
    <t>72b1ca95-c4f0-269d-98a1-9b4237924389</t>
  </si>
  <si>
    <t>72b1ca95-c4f0-269d-eb15-84232ac8b2b5</t>
  </si>
  <si>
    <t>72b1ca95-c4f0-269d-2a21-fe5958dc07c9</t>
  </si>
  <si>
    <t>6d16a8e3-3569-38ab-afac-a2f8c1125085</t>
  </si>
  <si>
    <t>89996fe4-9383-3417-a0d6-719613f14a80</t>
  </si>
  <si>
    <t>72b1ca95-c4f0-269d-01b9-54ed61876d6c</t>
  </si>
  <si>
    <t>72b1ca95-c4f0-269d-08c4-7f78251c3ede</t>
  </si>
  <si>
    <t>72b1ca95-c4f0-269d-ba08-f20e5f51a30d</t>
  </si>
  <si>
    <t>72b1ca95-c4f0-269d-14c4-39aff402c875</t>
  </si>
  <si>
    <t>72b1ca95-c4f0-269d-0ae7-904cdd678803</t>
  </si>
  <si>
    <t>72b1ca95-c4f0-269d-5576-a916ff1af9d3</t>
  </si>
  <si>
    <t>72b1ca95-c4f0-269d-d256-1623cdf99214</t>
  </si>
  <si>
    <t>72b1ca95-c4f0-269d-d925-292815595095</t>
  </si>
  <si>
    <t>72b1ca95-c4f0-269d-aa96-4fc5d8c65a0e</t>
  </si>
  <si>
    <t>72b1ca95-c4f0-269d-fe6d-1f774f2b1432</t>
  </si>
  <si>
    <t>72b1ca95-c4f0-269d-4b65-07082c715606</t>
  </si>
  <si>
    <t>72b1ca95-c4f0-269d-ad69-9d3ccea36c7b</t>
  </si>
  <si>
    <t>72b1ca95-c4f0-269d-d74b-799a945714bc</t>
  </si>
  <si>
    <t>72b1ca95-c4f0-269d-9cf0-b7c9f909a4e8</t>
  </si>
  <si>
    <t>72b1ca95-c4f0-269d-64cf-c59711992dea</t>
  </si>
  <si>
    <t>72b1ca95-c4f0-269d-2547-f42745728802</t>
  </si>
  <si>
    <t>72b1ca95-c4f0-269d-57f2-259b6c5b6558</t>
  </si>
  <si>
    <t>72b1ca95-c4f0-269d-ea30-81be132d0b37</t>
  </si>
  <si>
    <t>72b1ca95-c4f0-269d-27a4-abe27df2de74</t>
  </si>
  <si>
    <t>72b1ca95-c4f0-269d-529d-9af15f72a57f</t>
  </si>
  <si>
    <t>72b1ca95-c4f0-269d-6da4-ee52c093d983</t>
  </si>
  <si>
    <t>72b1ca95-c4f0-269d-e625-a878c493343f</t>
  </si>
  <si>
    <t>72b1ca95-c4f0-269d-4a53-b002c5161deb</t>
  </si>
  <si>
    <t>72b1ca95-c4f0-269d-8c50-8f1258c6e9ac</t>
  </si>
  <si>
    <t>72b1ca95-c4f0-269d-bbab-751a89fe43ac</t>
  </si>
  <si>
    <t>72b1ca95-c4f0-269d-9eeb-53ccba3a6a19</t>
  </si>
  <si>
    <t>72b1ca95-c4f0-269d-b1d6-fab8f8e07b0e</t>
  </si>
  <si>
    <t>72b1ca95-c4f0-269d-5de3-b7369ab079f6</t>
  </si>
  <si>
    <t>d537941e-1fb7-9868-7897-4026c5a683c2</t>
  </si>
  <si>
    <t>ede8251b-e165-3ef6-b8a0-305217ba8e88</t>
  </si>
  <si>
    <t>0c258f8d-78c1-3413-90ed-10ce52b95f29</t>
  </si>
  <si>
    <t>d537941e-1fb7-9868-1239-45d05e635300</t>
  </si>
  <si>
    <t>d537941e-1fb7-9868-8717-7fea5ee200fb</t>
  </si>
  <si>
    <t>d537941e-1fb7-9868-edde-6f8b7f64e1db</t>
  </si>
  <si>
    <t>d537941e-1fb7-9868-f597-32912631973f</t>
  </si>
  <si>
    <t>d537941e-1fb7-9868-9fd4-fb24866038e0</t>
  </si>
  <si>
    <t>d537941e-1fb7-9868-53be-fb45f12f8c19</t>
  </si>
  <si>
    <t>d537941e-1fb7-9868-a771-08a1673db909</t>
  </si>
  <si>
    <t>d537941e-1fb7-9868-900f-915f7b88875d</t>
  </si>
  <si>
    <t>d537941e-1fb7-9868-5af1-d53968b43468</t>
  </si>
  <si>
    <t>d537941e-1fb7-9868-31f9-b41273e67a37</t>
  </si>
  <si>
    <t>d537941e-1fb7-9868-e2d5-31f4acce1019</t>
  </si>
  <si>
    <t>d537941e-1fb7-9868-d78e-a3f69cef356b</t>
  </si>
  <si>
    <t>d537941e-1fb7-9868-d0e4-c35f47c7f574</t>
  </si>
  <si>
    <t>d537941e-1fb7-9868-23ff-830e723fea1e</t>
  </si>
  <si>
    <t>d537941e-1fb7-9868-55cf-b2b024c82478</t>
  </si>
  <si>
    <t>929528f5-8239-36c7-aacb-39424ede9cc5</t>
  </si>
  <si>
    <t>d583bb82-7479-3ce6-a4b9-9a68538498f2</t>
  </si>
  <si>
    <t>d537941e-1fb7-9868-f0cc-8142b29743c2</t>
  </si>
  <si>
    <t>d537941e-1fb7-9868-1651-bbb5f408602a</t>
  </si>
  <si>
    <t>d537941e-1fb7-9868-2f01-235276053855</t>
  </si>
  <si>
    <t>d537941e-1fb7-9868-b1bb-d0b91d67649f</t>
  </si>
  <si>
    <t>d537941e-1fb7-9868-2809-cd185d510ae8</t>
  </si>
  <si>
    <t>d537941e-1fb7-9868-eccf-4b44b39c7ba7</t>
  </si>
  <si>
    <t>d537941e-1fb7-9868-2c9c-ab9ae44c377a</t>
  </si>
  <si>
    <t>d537941e-1fb7-9868-e7ff-2504bb7a622d</t>
  </si>
  <si>
    <t>d537941e-1fb7-9868-3fe5-6e1fa0203d80</t>
  </si>
  <si>
    <t>d537941e-1fb7-9868-e637-dd3147aec234</t>
  </si>
  <si>
    <t>d537941e-1fb7-9868-bcd9-fe0ee1923b5c</t>
  </si>
  <si>
    <t>d537941e-1fb7-9868-0ccb-f12607a2a688</t>
  </si>
  <si>
    <t>d537941e-1fb7-9868-6caa-a7f9441a419b</t>
  </si>
  <si>
    <t>d537941e-1fb7-9868-9d6e-7d5b6fc0f9d7</t>
  </si>
  <si>
    <t>d537941e-1fb7-9868-7d2e-84a08bc1332a</t>
  </si>
  <si>
    <t>d537941e-1fb7-9868-c8af-ef4b5fe9dbe7</t>
  </si>
  <si>
    <t>d537941e-1fb7-9868-ec31-20771f1f5293</t>
  </si>
  <si>
    <t>d537941e-1fb7-9868-c7a7-15e321849844</t>
  </si>
  <si>
    <t>d537941e-1fb7-9868-c545-2a83ce132cf3</t>
  </si>
  <si>
    <t>5b0cd0a0-f277-3a66-bee6-d64b5be4a3f5</t>
  </si>
  <si>
    <t>a2048952-600d-3b1d-8c27-dad642e93cba</t>
  </si>
  <si>
    <t>d537941e-1fb7-9868-eb9a-00c1a3394519</t>
  </si>
  <si>
    <t>d537941e-1fb7-9868-67c7-df8368f7665e</t>
  </si>
  <si>
    <t>d537941e-1fb7-9868-3e1d-293fbc204d2d</t>
  </si>
  <si>
    <t>d537941e-1fb7-9868-951f-9627afb299d7</t>
  </si>
  <si>
    <t>d537941e-1fb7-9868-7da8-3bda69443e56</t>
  </si>
  <si>
    <t>d537941e-1fb7-9868-bea4-503714ca1e5d</t>
  </si>
  <si>
    <t>d537941e-1fb7-9868-3cde-7f2f3cc82cf4</t>
  </si>
  <si>
    <t>d537941e-1fb7-9868-6deb-ea0ea4b14b1f</t>
  </si>
  <si>
    <t>d537941e-1fb7-9868-ef6c-a36b6327e2b3</t>
  </si>
  <si>
    <t>d537941e-1fb7-9868-ee44-da8bc88b4fd6</t>
  </si>
  <si>
    <t>d537941e-1fb7-9868-2cc4-a4db85820d10</t>
  </si>
  <si>
    <t>d537941e-1fb7-9868-c4f7-2853153b754e</t>
  </si>
  <si>
    <t>d537941e-1fb7-9868-c272-ff07ce76b93e</t>
  </si>
  <si>
    <t>d537941e-1fb7-9868-ecc5-6b032a931f99</t>
  </si>
  <si>
    <t>d537941e-1fb7-9868-5e91-75e0fd218603</t>
  </si>
  <si>
    <t>d537941e-1fb7-9868-527b-353b7e18f586</t>
  </si>
  <si>
    <t>3eec36b2-71cc-13c4-1af6-f71c378e6ba7</t>
  </si>
  <si>
    <t>d9fe2c9c-135e-3da3-8de8-1a0ff165d886</t>
  </si>
  <si>
    <t>946d4297-9b88-3632-b766-e34243c5ae37</t>
  </si>
  <si>
    <t>3eec36b2-71cc-13c4-2522-946a5cb53deb</t>
  </si>
  <si>
    <t>3eec36b2-71cc-13c4-656c-648277e5cf74</t>
  </si>
  <si>
    <t>3eec36b2-71cc-13c4-4f65-af02ae1e3c0c</t>
  </si>
  <si>
    <t>3eec36b2-71cc-13c4-7c3c-b0eb332d661d</t>
  </si>
  <si>
    <t>3eec36b2-71cc-13c4-19f3-4977ac4717b5</t>
  </si>
  <si>
    <t>3eec36b2-71cc-13c4-c215-47acb6449985</t>
  </si>
  <si>
    <t>3eec36b2-71cc-13c4-42fa-bfc96da1024f</t>
  </si>
  <si>
    <t>3eec36b2-71cc-13c4-589d-8ea0618a436a</t>
  </si>
  <si>
    <t>3eec36b2-71cc-13c4-8bde-14e97bced69d</t>
  </si>
  <si>
    <t>3eec36b2-71cc-13c4-1beb-e73ce2ae4dd6</t>
  </si>
  <si>
    <t>3eec36b2-71cc-13c4-208f-92a973a3d7ed</t>
  </si>
  <si>
    <t>3eec36b2-71cc-13c4-da67-3e61882561ea</t>
  </si>
  <si>
    <t>3eec36b2-71cc-13c4-6142-5c6f0e3cd1d4</t>
  </si>
  <si>
    <t>3eec36b2-71cc-13c4-3656-3bf7232843bb</t>
  </si>
  <si>
    <t>3eec36b2-71cc-13c4-63ac-3af6b50645eb</t>
  </si>
  <si>
    <t>3eec36b2-71cc-13c4-4add-f5c485ed2fd2</t>
  </si>
  <si>
    <t>3eec36b2-71cc-13c4-8c0b-46d44df6bae5</t>
  </si>
  <si>
    <t>3eec36b2-71cc-13c4-5375-cba693886b80</t>
  </si>
  <si>
    <t>3eec36b2-71cc-13c4-50f3-3200ac83c10d</t>
  </si>
  <si>
    <t>7e6db51f-7c1b-3555-9e1c-6269ba6d704d</t>
  </si>
  <si>
    <t>0f816397-6977-3ec7-8ac5-408ae1ae4d42</t>
  </si>
  <si>
    <t>3eec36b2-71cc-13c4-ac4e-19047234f5b5</t>
  </si>
  <si>
    <t>3eec36b2-71cc-13c4-823d-0a4b7a15b575</t>
  </si>
  <si>
    <t>3eec36b2-71cc-13c4-b46a-345df0144308</t>
  </si>
  <si>
    <t>3eec36b2-71cc-13c4-bb45-200cf43f5b8d</t>
  </si>
  <si>
    <t>3eec36b2-71cc-13c4-4451-3c4ca4feb03e</t>
  </si>
  <si>
    <t>3eec36b2-71cc-13c4-4755-d866b74c015c</t>
  </si>
  <si>
    <t>3eec36b2-71cc-13c4-c1dd-27aa86e29ae9</t>
  </si>
  <si>
    <t>3eec36b2-71cc-13c4-05e8-791f80d3563b</t>
  </si>
  <si>
    <t>3eec36b2-71cc-13c4-340a-812abd667586</t>
  </si>
  <si>
    <t>3eec36b2-71cc-13c4-7948-ae8ba9939c14</t>
  </si>
  <si>
    <t>3eec36b2-71cc-13c4-4393-31f36dea142a</t>
  </si>
  <si>
    <t>3eec36b2-71cc-13c4-82eb-9de249d3e52c</t>
  </si>
  <si>
    <t>3eec36b2-71cc-13c4-8962-9d2cb102a467</t>
  </si>
  <si>
    <t>3eec36b2-71cc-13c4-4883-d06e8e3e6b80</t>
  </si>
  <si>
    <t>3eec36b2-71cc-13c4-a7d7-364bd2a4c771</t>
  </si>
  <si>
    <t>dc77ef0d-1846-94fd-060f-c0aeadca6c95</t>
  </si>
  <si>
    <t>ee6705d5-db4a-3120-bbe1-1e72972a841f</t>
  </si>
  <si>
    <t>b107a6fb-c17e-3ae8-b818-b05af96f6a5a</t>
  </si>
  <si>
    <t>dc77ef0d-1846-94fd-360f-05df66f063e0</t>
  </si>
  <si>
    <t>3eec36b2-71cc-13c4-2b66-f2b4422c060e</t>
  </si>
  <si>
    <t>dc77ef0d-1846-94fd-21ee-53eb16bd49e8</t>
  </si>
  <si>
    <t>3eec36b2-71cc-13c4-3303-086fa59fbf12</t>
  </si>
  <si>
    <t>3eec36b2-71cc-13c4-3181-2dd4a5dcda70</t>
  </si>
  <si>
    <t>dc77ef0d-1846-94fd-07d2-45bc10b0261f</t>
  </si>
  <si>
    <t>dc77ef0d-1846-94fd-f222-8570fdaff11e</t>
  </si>
  <si>
    <t>dc77ef0d-1846-94fd-7f6e-741293cc1fb9</t>
  </si>
  <si>
    <t>dc77ef0d-1846-94fd-e1e1-fb29186baf41</t>
  </si>
  <si>
    <t>dc77ef0d-1846-94fd-8872-5bae9864b2bb</t>
  </si>
  <si>
    <t>dc77ef0d-1846-94fd-a601-3036c5b3e21c</t>
  </si>
  <si>
    <t>dc77ef0d-1846-94fd-3269-81dfb121c8ec</t>
  </si>
  <si>
    <t>dc77ef0d-1846-94fd-681b-bb812a714698</t>
  </si>
  <si>
    <t>dc77ef0d-1846-94fd-b63e-04cc3e449a80</t>
  </si>
  <si>
    <t>3eec36b2-71cc-13c4-f5d7-8a4cb3f0c478</t>
  </si>
  <si>
    <t>dc77ef0d-1846-94fd-a868-2743d993cd20</t>
  </si>
  <si>
    <t>dc77ef0d-1846-94fd-64e4-392ed33e27d1</t>
  </si>
  <si>
    <t>dc77ef0d-1846-94fd-015e-80c19e6bb8ca</t>
  </si>
  <si>
    <t>dc77ef0d-1846-94fd-53b7-8bdef186295b</t>
  </si>
  <si>
    <t>dc77ef0d-1846-94fd-336b-18823bead21e</t>
  </si>
  <si>
    <t>dc77ef0d-1846-94fd-b824-5df950f21bbe</t>
  </si>
  <si>
    <t>3eec36b2-71cc-13c4-33bb-79dfc4794e4e</t>
  </si>
  <si>
    <t>dc77ef0d-1846-94fd-c254-85293b324e28</t>
  </si>
  <si>
    <t>3eec36b2-71cc-13c4-3f97-116e4177f319</t>
  </si>
  <si>
    <t>3eec36b2-71cc-13c4-5b3f-9021c7c8ebd7</t>
  </si>
  <si>
    <t>dc77ef0d-1846-94fd-3552-4360fc140325</t>
  </si>
  <si>
    <t>a2f8d8fe-665e-390f-8b9b-efdc0b14a77c</t>
  </si>
  <si>
    <t>6831150e-f3b0-37aa-869d-7d2a77c818f6</t>
  </si>
  <si>
    <t>Injury of knee (disorder)</t>
  </si>
  <si>
    <t>3eec36b2-71cc-13c4-0c4c-1f5ffc9de949</t>
  </si>
  <si>
    <t>3eec36b2-71cc-13c4-c8d1-98f94f25febc</t>
  </si>
  <si>
    <t>3eec36b2-71cc-13c4-2ab5-bea25535fb1f</t>
  </si>
  <si>
    <t>3eec36b2-71cc-13c4-8f24-9ad9be498969</t>
  </si>
  <si>
    <t>3eec36b2-71cc-13c4-7e94-3a07e79c8009</t>
  </si>
  <si>
    <t>3eec36b2-71cc-13c4-87fc-9ed5e82cee33</t>
  </si>
  <si>
    <t>3eec36b2-71cc-13c4-c1af-459102cc9f5e</t>
  </si>
  <si>
    <t>3eec36b2-71cc-13c4-f940-f7f7e0157a12</t>
  </si>
  <si>
    <t>3eec36b2-71cc-13c4-f798-fe0a3f5f5177</t>
  </si>
  <si>
    <t>3eec36b2-71cc-13c4-1ecc-89abac96523e</t>
  </si>
  <si>
    <t>3eec36b2-71cc-13c4-7b3d-ae78c4872056</t>
  </si>
  <si>
    <t>3eec36b2-71cc-13c4-25b6-044025c11441</t>
  </si>
  <si>
    <t>3eec36b2-71cc-13c4-23ef-eb0646a2c6aa</t>
  </si>
  <si>
    <t>3eec36b2-71cc-13c4-2818-02d940132710</t>
  </si>
  <si>
    <t>3eec36b2-71cc-13c4-daeb-4d66a65d7ed9</t>
  </si>
  <si>
    <t>3eec36b2-71cc-13c4-e642-370583bdf285</t>
  </si>
  <si>
    <t>3eec36b2-71cc-13c4-4a4b-5d59cd9f75f1</t>
  </si>
  <si>
    <t>3eec36b2-71cc-13c4-9156-a2b23f81ef00</t>
  </si>
  <si>
    <t>3eec36b2-71cc-13c4-c723-d1f522ecb283</t>
  </si>
  <si>
    <t>3eec36b2-71cc-13c4-65c4-fe0da3d676ce</t>
  </si>
  <si>
    <t>3eec36b2-71cc-13c4-53ea-2ff2a8e7fa83</t>
  </si>
  <si>
    <t>3eec36b2-71cc-13c4-ba1b-ca0854634316</t>
  </si>
  <si>
    <t>3eec36b2-71cc-13c4-adaa-c22f6c5e9bb1</t>
  </si>
  <si>
    <t>3eec36b2-71cc-13c4-7909-525d7ec9a1f2</t>
  </si>
  <si>
    <t>3eec36b2-71cc-13c4-69e5-a342dfb25e60</t>
  </si>
  <si>
    <t>3eec36b2-71cc-13c4-f789-c4fcf7fff4c4</t>
  </si>
  <si>
    <t>3eec36b2-71cc-13c4-4763-5a64b2fe51a3</t>
  </si>
  <si>
    <t>3eec36b2-71cc-13c4-597d-3caea598dfc8</t>
  </si>
  <si>
    <t>3eec36b2-71cc-13c4-4fca-05129da5acd7</t>
  </si>
  <si>
    <t>3eec36b2-71cc-13c4-3db5-a0cb7107a12c</t>
  </si>
  <si>
    <t>3099d813-4f5c-fc43-b969-49d6a658b587</t>
  </si>
  <si>
    <t>b44955d1-f0e2-3beb-a013-708a81dbe430</t>
  </si>
  <si>
    <t>44301a6b-2125-332e-ae5c-472866aef79c</t>
  </si>
  <si>
    <t>3099d813-4f5c-fc43-921b-3e55eebbc17c</t>
  </si>
  <si>
    <t>3099d813-4f5c-fc43-846a-95fbb4ee5d9b</t>
  </si>
  <si>
    <t>3099d813-4f5c-fc43-80a7-3188d806db60</t>
  </si>
  <si>
    <t>3099d813-4f5c-fc43-e034-2d5f00c1ca8b</t>
  </si>
  <si>
    <t>3099d813-4f5c-fc43-5c3e-969570a3ef34</t>
  </si>
  <si>
    <t>3099d813-4f5c-fc43-cc30-07914d40936a</t>
  </si>
  <si>
    <t>6fafb5d4-ecca-37ab-8d24-53036a8cbf1e</t>
  </si>
  <si>
    <t>3e14d3be-a053-3ff9-b615-e6410761f137</t>
  </si>
  <si>
    <t>3099d813-4f5c-fc43-01e4-7a4eb27e62a5</t>
  </si>
  <si>
    <t>3099d813-4f5c-fc43-bf68-21f59f159c3c</t>
  </si>
  <si>
    <t>3099d813-4f5c-fc43-a2ed-5602427bc978</t>
  </si>
  <si>
    <t>3099d813-4f5c-fc43-00de-f94580ba90db</t>
  </si>
  <si>
    <t>3099d813-4f5c-fc43-2db7-06eb48c0b0a4</t>
  </si>
  <si>
    <t>3099d813-4f5c-fc43-1f83-29ccacd653fa</t>
  </si>
  <si>
    <t>3099d813-4f5c-fc43-bc03-6bb1010effde</t>
  </si>
  <si>
    <t>3099d813-4f5c-fc43-935a-d1a61a18d877</t>
  </si>
  <si>
    <t>3099d813-4f5c-fc43-394d-169428a6f882</t>
  </si>
  <si>
    <t>3099d813-4f5c-fc43-076a-34ee4bca8007</t>
  </si>
  <si>
    <t>3099d813-4f5c-fc43-7335-4bb1cbdee99a</t>
  </si>
  <si>
    <t>3099d813-4f5c-fc43-24e9-2afe41b530b5</t>
  </si>
  <si>
    <t>3099d813-4f5c-fc43-4a15-561a3681b9ce</t>
  </si>
  <si>
    <t>3099d813-4f5c-fc43-d784-37ae33060ba3</t>
  </si>
  <si>
    <t>3099d813-4f5c-fc43-7546-ae81cd22fa61</t>
  </si>
  <si>
    <t>3099d813-4f5c-fc43-fecf-b51dbcf7083b</t>
  </si>
  <si>
    <t>3099d813-4f5c-fc43-0b25-7b129fb4f421</t>
  </si>
  <si>
    <t>3099d813-4f5c-fc43-84de-799fa221d0b5</t>
  </si>
  <si>
    <t>3099d813-4f5c-fc43-8a72-1fa052f9fb0e</t>
  </si>
  <si>
    <t>3099d813-4f5c-fc43-f6b5-a2650b6c379b</t>
  </si>
  <si>
    <t>3099d813-4f5c-fc43-e2d5-5e61f429467d</t>
  </si>
  <si>
    <t>c823813e-2588-4814-9082-f2dedf9f643a</t>
  </si>
  <si>
    <t>4e56c7ec-99e5-3023-8e4f-95ad18a03f06</t>
  </si>
  <si>
    <t>c199b43d-debe-3540-8aaa-4f2125f266bc</t>
  </si>
  <si>
    <t>c823813e-2588-4814-385d-56222a63bfa5</t>
  </si>
  <si>
    <t>3ff0f58b-7a1f-3334-9449-ff15f68b7d86</t>
  </si>
  <si>
    <t>0edb90a1-1400-320a-8e4e-e3d3964308c2</t>
  </si>
  <si>
    <t>c823813e-2588-4814-c4da-ebf24360eb12</t>
  </si>
  <si>
    <t>c823813e-2588-4814-5226-b31794dd64c9</t>
  </si>
  <si>
    <t>c823813e-2588-4814-d712-7f242bf72017</t>
  </si>
  <si>
    <t>c823813e-2588-4814-0eca-cb798a035f29</t>
  </si>
  <si>
    <t>7b20d1c4-c56b-3647-801c-5e4e13679073</t>
  </si>
  <si>
    <t>586331a4-4302-348a-a154-d2c294e5d008</t>
  </si>
  <si>
    <t>c823813e-2588-4814-e73f-2e543ed46910</t>
  </si>
  <si>
    <t>c823813e-2588-4814-a330-6e596b8fd9ae</t>
  </si>
  <si>
    <t>c823813e-2588-4814-f9cb-440519258100</t>
  </si>
  <si>
    <t>c823813e-2588-4814-90c1-24c32b687832</t>
  </si>
  <si>
    <t>c823813e-2588-4814-cde6-89d98eaef607</t>
  </si>
  <si>
    <t>c823813e-2588-4814-a3a9-ec257a69996d</t>
  </si>
  <si>
    <t>c823813e-2588-4814-5a92-2c6c027e320c</t>
  </si>
  <si>
    <t>c823813e-2588-4814-bb94-52f50480192f</t>
  </si>
  <si>
    <t>c823813e-2588-4814-b3f9-05fb27cbb683</t>
  </si>
  <si>
    <t>c823813e-2588-4814-6928-d41adf860d40</t>
  </si>
  <si>
    <t>c823813e-2588-4814-7f60-f7f5b0a3fbd9</t>
  </si>
  <si>
    <t>c823813e-2588-4814-0fce-d6cc44d6b381</t>
  </si>
  <si>
    <t>c823813e-2588-4814-5fa0-35a17e2893e8</t>
  </si>
  <si>
    <t>c823813e-2588-4814-71be-f4dd1d173d4d</t>
  </si>
  <si>
    <t>c823813e-2588-4814-a780-75347883627b</t>
  </si>
  <si>
    <t>c823813e-2588-4814-681f-97fa27b0438b</t>
  </si>
  <si>
    <t>c823813e-2588-4814-02f8-0184ab858af7</t>
  </si>
  <si>
    <t>c823813e-2588-4814-3dde-e23057540e71</t>
  </si>
  <si>
    <t>c823813e-2588-4814-7064-75bfa95793ba</t>
  </si>
  <si>
    <t>c823813e-2588-4814-ad24-5d8d0cfb1668</t>
  </si>
  <si>
    <t>c823813e-2588-4814-0729-8642b9c07086</t>
  </si>
  <si>
    <t>c823813e-2588-4814-d222-5fbbb07aa897</t>
  </si>
  <si>
    <t>c823813e-2588-4814-79d7-86cd8187c4c0</t>
  </si>
  <si>
    <t>c823813e-2588-4814-4e9f-8dc1e802cdec</t>
  </si>
  <si>
    <t>c823813e-2588-4814-fb93-08b0ad05abaa</t>
  </si>
  <si>
    <t>c823813e-2588-4814-85cf-39c61bc99db3</t>
  </si>
  <si>
    <t>c823813e-2588-4814-8319-9e2ea9d17979</t>
  </si>
  <si>
    <t>c823813e-2588-4814-8de7-614607d78af9</t>
  </si>
  <si>
    <t>c823813e-2588-4814-139d-ff62143f795b</t>
  </si>
  <si>
    <t>c823813e-2588-4814-0475-82b02101f39d</t>
  </si>
  <si>
    <t>c823813e-2588-4814-c3a7-ca9146dced54</t>
  </si>
  <si>
    <t>c823813e-2588-4814-66dc-ae5c78587bea</t>
  </si>
  <si>
    <t>c823813e-2588-4814-88cb-7024843fe0be</t>
  </si>
  <si>
    <t>c823813e-2588-4814-4dd4-4b63085c2e39</t>
  </si>
  <si>
    <t>c823813e-2588-4814-b1d5-3186a0a5a350</t>
  </si>
  <si>
    <t>c823813e-2588-4814-3dd8-7507cd8cb161</t>
  </si>
  <si>
    <t>c823813e-2588-4814-4ea2-c944b2e637d2</t>
  </si>
  <si>
    <t>c823813e-2588-4814-0c00-67d3cf42a62d</t>
  </si>
  <si>
    <t>bca1691f-8839-1d66-cc19-e5c8672162a5</t>
  </si>
  <si>
    <t>ba07b31b-bf14-39b8-be95-4c5ca5062daa</t>
  </si>
  <si>
    <t>e13638ea-c3c4-3fdf-a016-2d6c77f0f560</t>
  </si>
  <si>
    <t>bca1691f-8839-1d66-01a0-6777676f9f1d</t>
  </si>
  <si>
    <t>680532c8-2661-3b39-875a-b6ec0746ccf5</t>
  </si>
  <si>
    <t>9267a44b-df9c-30d3-9b3c-9218b228281f</t>
  </si>
  <si>
    <t>bca1691f-8839-1d66-713f-6f081276bc9b</t>
  </si>
  <si>
    <t>bca1691f-8839-1d66-fb59-a252aff3662c</t>
  </si>
  <si>
    <t>bca1691f-8839-1d66-538d-5a1e6c6ea744</t>
  </si>
  <si>
    <t>bca1691f-8839-1d66-549a-08f9f8460512</t>
  </si>
  <si>
    <t>bca1691f-8839-1d66-45c7-e87c64733302</t>
  </si>
  <si>
    <t>bca1691f-8839-1d66-a0d4-60da68dc8a2c</t>
  </si>
  <si>
    <t>bca1691f-8839-1d66-a0c9-295ffe4f6650</t>
  </si>
  <si>
    <t>bca1691f-8839-1d66-08fa-66c9476b5e71</t>
  </si>
  <si>
    <t>bca1691f-8839-1d66-19dd-a9c28b1066b8</t>
  </si>
  <si>
    <t>bca1691f-8839-1d66-e988-d87200387f36</t>
  </si>
  <si>
    <t>bca1691f-8839-1d66-06a7-e4691d5fb42a</t>
  </si>
  <si>
    <t>bca1691f-8839-1d66-8797-e2ac7c1260e1</t>
  </si>
  <si>
    <t>bca1691f-8839-1d66-1413-68d51bccf5f0</t>
  </si>
  <si>
    <t>bca1691f-8839-1d66-3ecf-c3f5ff267d42</t>
  </si>
  <si>
    <t>bca1691f-8839-1d66-1dae-992a98d0c2b4</t>
  </si>
  <si>
    <t>bca1691f-8839-1d66-3640-1d1000cb4f62</t>
  </si>
  <si>
    <t>bca1691f-8839-1d66-232b-0945d370fbf8</t>
  </si>
  <si>
    <t>bca1691f-8839-1d66-fecb-582d94c29205</t>
  </si>
  <si>
    <t>bca1691f-8839-1d66-d34c-49fbf401c829</t>
  </si>
  <si>
    <t>bca1691f-8839-1d66-47db-babeaa77ec95</t>
  </si>
  <si>
    <t>bca1691f-8839-1d66-cc1d-e58f9b0ee7f8</t>
  </si>
  <si>
    <t>bca1691f-8839-1d66-4973-0b347762b23c</t>
  </si>
  <si>
    <t>bca1691f-8839-1d66-36c4-3e9f8bbd6471</t>
  </si>
  <si>
    <t>bca1691f-8839-1d66-ca3b-ec38322bcb6e</t>
  </si>
  <si>
    <t>bca1691f-8839-1d66-3f27-12150a892c5c</t>
  </si>
  <si>
    <t>bca1691f-8839-1d66-8747-febad56d917c</t>
  </si>
  <si>
    <t>bca1691f-8839-1d66-38fb-920c0c6e4cca</t>
  </si>
  <si>
    <t>bca1691f-8839-1d66-8e46-83570ee82e15</t>
  </si>
  <si>
    <t>bca1691f-8839-1d66-9df9-e8fd3edaede0</t>
  </si>
  <si>
    <t>db28cc9a-fdfb-35a6-aef7-ab9b933ef244</t>
  </si>
  <si>
    <t>70a0f202-4c2f-32b7-b6e3-fe05ad374306</t>
  </si>
  <si>
    <t>bca1691f-8839-1d66-cd2e-c2396d5d30d2</t>
  </si>
  <si>
    <t>bca1691f-8839-1d66-7e3c-e7ab7a25bcc3</t>
  </si>
  <si>
    <t>bca1691f-8839-1d66-1ed2-87026bf317c4</t>
  </si>
  <si>
    <t>bca1691f-8839-1d66-d6e9-e37dc45c770b</t>
  </si>
  <si>
    <t>bca1691f-8839-1d66-037e-663b6dfddc61</t>
  </si>
  <si>
    <t>bca1691f-8839-1d66-f691-27d2916d884a</t>
  </si>
  <si>
    <t>bca1691f-8839-1d66-0627-2f54e426705d</t>
  </si>
  <si>
    <t>bca1691f-8839-1d66-3b6b-ced2b8cd4798</t>
  </si>
  <si>
    <t>bca1691f-8839-1d66-e1fe-900a2b7057bc</t>
  </si>
  <si>
    <t>bca1691f-8839-1d66-01e7-91d53322716e</t>
  </si>
  <si>
    <t>bca1691f-8839-1d66-5d5d-6e46aaf03cfd</t>
  </si>
  <si>
    <t>bca1691f-8839-1d66-829c-ade8d2a197b6</t>
  </si>
  <si>
    <t>bca1691f-8839-1d66-d96b-5691ec53e14c</t>
  </si>
  <si>
    <t>bca1691f-8839-1d66-94f6-bd2c12f81be6</t>
  </si>
  <si>
    <t>bca1691f-8839-1d66-9506-b879a1d9c46b</t>
  </si>
  <si>
    <t>bca1691f-8839-1d66-f1f0-72fe7f256112</t>
  </si>
  <si>
    <t>bca1691f-8839-1d66-bad8-7aae47cba822</t>
  </si>
  <si>
    <t>bca1691f-8839-1d66-44c1-201f55ff13fd</t>
  </si>
  <si>
    <t>bca1691f-8839-1d66-7df8-7e2722678b2e</t>
  </si>
  <si>
    <t>bca1691f-8839-1d66-f04b-5f9687923cd3</t>
  </si>
  <si>
    <t>bca1691f-8839-1d66-2791-bf2facb3a78f</t>
  </si>
  <si>
    <t>bca1691f-8839-1d66-0ba9-26b71d990599</t>
  </si>
  <si>
    <t>bca1691f-8839-1d66-44a0-322acd1f2377</t>
  </si>
  <si>
    <t>bca1691f-8839-1d66-c933-fadd20531121</t>
  </si>
  <si>
    <t>bca1691f-8839-1d66-f1a3-fb65aab9a11b</t>
  </si>
  <si>
    <t>bca1691f-8839-1d66-7079-2fe7b533b539</t>
  </si>
  <si>
    <t>bca1691f-8839-1d66-5b0d-278cd02d6278</t>
  </si>
  <si>
    <t>bca1691f-8839-1d66-ac1f-ef5e9dd25879</t>
  </si>
  <si>
    <t>bca1691f-8839-1d66-7e84-e6880fdbc3a2</t>
  </si>
  <si>
    <t>bca1691f-8839-1d66-62d0-52cd94b46edb</t>
  </si>
  <si>
    <t>bca1691f-8839-1d66-f96e-2b72189bb0ac</t>
  </si>
  <si>
    <t>bca1691f-8839-1d66-72e6-f895f571aa73</t>
  </si>
  <si>
    <t>bca1691f-8839-1d66-b56b-bfac18ed7ee6</t>
  </si>
  <si>
    <t>bca1691f-8839-1d66-9e60-de96bcfefa59</t>
  </si>
  <si>
    <t>bca1691f-8839-1d66-9031-9c3749f3d03f</t>
  </si>
  <si>
    <t>bca1691f-8839-1d66-812d-12aa3ceab865</t>
  </si>
  <si>
    <t>bca1691f-8839-1d66-edd9-7f048bc3cd9a</t>
  </si>
  <si>
    <t>bca1691f-8839-1d66-dbdd-03263edaa1fd</t>
  </si>
  <si>
    <t>bca1691f-8839-1d66-2de0-b868a4da82fa</t>
  </si>
  <si>
    <t>bca1691f-8839-1d66-79e6-cedf40af24d2</t>
  </si>
  <si>
    <t>bca1691f-8839-1d66-1651-920344da0d40</t>
  </si>
  <si>
    <t>bca1691f-8839-1d66-4768-2d5a8aa275a7</t>
  </si>
  <si>
    <t>bca1691f-8839-1d66-0a35-73d2f4fefb68</t>
  </si>
  <si>
    <t>bca1691f-8839-1d66-aa36-42dd19ebca13</t>
  </si>
  <si>
    <t>bca1691f-8839-1d66-09a9-372081f14030</t>
  </si>
  <si>
    <t>bca1691f-8839-1d66-f496-2a1b7799b7c5</t>
  </si>
  <si>
    <t>ca443842-f546-d34c-78dd-6933ac5872b4</t>
  </si>
  <si>
    <t>4ba48ef6-19f2-3177-bfaf-096daaebf26a</t>
  </si>
  <si>
    <t>a7c2ad87-10b5-34e5-9c3c-368743281a9d</t>
  </si>
  <si>
    <t>ca443842-f546-d34c-2eb4-2c2ccd8fb7a6</t>
  </si>
  <si>
    <t>cbebae9e-f95e-3d2c-9712-289ea8d6aeec</t>
  </si>
  <si>
    <t>434991bc-4468-3955-a131-9a7e7d8409c0</t>
  </si>
  <si>
    <t>ca443842-f546-d34c-0bc3-ff56dc50e36b</t>
  </si>
  <si>
    <t>ca443842-f546-d34c-93e1-11b27daf6b90</t>
  </si>
  <si>
    <t>bca1691f-8839-1d66-9565-c90d117de173</t>
  </si>
  <si>
    <t>ca443842-f546-d34c-8b59-e77f281dd648</t>
  </si>
  <si>
    <t>ca443842-f546-d34c-f593-f43f46f0e5e1</t>
  </si>
  <si>
    <t>ca443842-f546-d34c-2829-2ddca497185e</t>
  </si>
  <si>
    <t>ca443842-f546-d34c-86da-1288ca0c653b</t>
  </si>
  <si>
    <t>ca443842-f546-d34c-023c-2375a55615b1</t>
  </si>
  <si>
    <t>ca443842-f546-d34c-5044-9f65e27701d8</t>
  </si>
  <si>
    <t>ca443842-f546-d34c-4661-6ae0c1eaed89</t>
  </si>
  <si>
    <t>bca1691f-8839-1d66-5809-391c1a96ad57</t>
  </si>
  <si>
    <t>ca443842-f546-d34c-d2d4-00c640d71b18</t>
  </si>
  <si>
    <t>ca443842-f546-d34c-4a3f-d0b83dae8dc5</t>
  </si>
  <si>
    <t>ca443842-f546-d34c-eec2-1f51a098d56a</t>
  </si>
  <si>
    <t>ca443842-f546-d34c-4498-c45feb8fd940</t>
  </si>
  <si>
    <t>ca443842-f546-d34c-935e-84439a1e3aca</t>
  </si>
  <si>
    <t>bca1691f-8839-1d66-c087-7d0b3e73f30d</t>
  </si>
  <si>
    <t>ca443842-f546-d34c-e11a-12330e14a574</t>
  </si>
  <si>
    <t>ca443842-f546-d34c-67c7-55378d696d18</t>
  </si>
  <si>
    <t>ca443842-f546-d34c-3504-c85c28c8492a</t>
  </si>
  <si>
    <t>bca1691f-8839-1d66-2f1d-104158a02fa7</t>
  </si>
  <si>
    <t>bca1691f-8839-1d66-2483-947c9364ca50</t>
  </si>
  <si>
    <t>bca1691f-8839-1d66-7f22-ea8c9dc1db5d</t>
  </si>
  <si>
    <t>bca1691f-8839-1d66-c139-17b48c2fd8c5</t>
  </si>
  <si>
    <t>bca1691f-8839-1d66-492b-ea4b4fad383f</t>
  </si>
  <si>
    <t>ca443842-f546-d34c-1c02-f639b59c82fb</t>
  </si>
  <si>
    <t>ca443842-f546-d34c-56ab-0614245c6ece</t>
  </si>
  <si>
    <t>ca443842-f546-d34c-1cb1-2c8e21a8a6d5</t>
  </si>
  <si>
    <t>ca443842-f546-d34c-cd0d-efc1886d2b52</t>
  </si>
  <si>
    <t>ca443842-f546-d34c-4564-6c185b78a492</t>
  </si>
  <si>
    <t>ca443842-f546-d34c-6b33-dda7fbc92032</t>
  </si>
  <si>
    <t>ca443842-f546-d34c-3b47-9aa1948dc91a</t>
  </si>
  <si>
    <t>bca1691f-8839-1d66-ba62-7ed3c82920e5</t>
  </si>
  <si>
    <t>bca1691f-8839-1d66-0636-da5709bcb44d</t>
  </si>
  <si>
    <t>bca1691f-8839-1d66-7b76-9286d2773b2b</t>
  </si>
  <si>
    <t>bca1691f-8839-1d66-20c0-dd5f284f5bb4</t>
  </si>
  <si>
    <t>ca443842-f546-d34c-1f9f-0db65c3c45a0</t>
  </si>
  <si>
    <t>ca443842-f546-d34c-7ab9-aafbfdb303dc</t>
  </si>
  <si>
    <t>ca443842-f546-d34c-8db3-2614bd2e3488</t>
  </si>
  <si>
    <t>ca443842-f546-d34c-009d-9bdb1a81d3de</t>
  </si>
  <si>
    <t>ca443842-f546-d34c-e2b8-d0be116f778b</t>
  </si>
  <si>
    <t>ca443842-f546-d34c-d926-108f4fe6c380</t>
  </si>
  <si>
    <t>ca443842-f546-d34c-f3c4-fbada6a6c570</t>
  </si>
  <si>
    <t>ca443842-f546-d34c-aa3a-183048090178</t>
  </si>
  <si>
    <t>ca443842-f546-d34c-4ca5-06582f5a83c6</t>
  </si>
  <si>
    <t>db106514-f254-3402-b6a4-6d210c78c7e2</t>
  </si>
  <si>
    <t>a60094bf-380b-36d3-98af-6b7ceff25052</t>
  </si>
  <si>
    <t>ca443842-f546-d34c-6219-7091b2220784</t>
  </si>
  <si>
    <t>ca443842-f546-d34c-e4d9-0755c6923c4b</t>
  </si>
  <si>
    <t>ca443842-f546-d34c-1d9e-ad488a49c2cd</t>
  </si>
  <si>
    <t>bca1691f-8839-1d66-53f3-b473b992586e</t>
  </si>
  <si>
    <t>bca1691f-8839-1d66-ba0f-beb476038a1f</t>
  </si>
  <si>
    <t>fa34d205-5ac2-3ba2-80a4-bef345dc57f5</t>
  </si>
  <si>
    <t>e990358f-c561-3daf-b157-5ba8214c85cd</t>
  </si>
  <si>
    <t>bca1691f-8839-1d66-4ca6-df2ab5a45f04</t>
  </si>
  <si>
    <t>bca1691f-8839-1d66-c230-d71581c52147</t>
  </si>
  <si>
    <t>ca443842-f546-d34c-0c00-45c12b895f7e</t>
  </si>
  <si>
    <t>ca443842-f546-d34c-09ab-ad42bd923fad</t>
  </si>
  <si>
    <t>ca443842-f546-d34c-bb1e-a07155e1b996</t>
  </si>
  <si>
    <t>ca443842-f546-d34c-db25-d8294caad4d3</t>
  </si>
  <si>
    <t>ca443842-f546-d34c-1ed1-797181e589c6</t>
  </si>
  <si>
    <t>ca443842-f546-d34c-a049-828be70bdd1a</t>
  </si>
  <si>
    <t>bca1691f-8839-1d66-9b3e-21861e9c3c94</t>
  </si>
  <si>
    <t>bca1691f-8839-1d66-c701-29b284de2e4b</t>
  </si>
  <si>
    <t>bca1691f-8839-1d66-5024-6996753b0111</t>
  </si>
  <si>
    <t>ca443842-f546-d34c-bbf3-b0c74d27e655</t>
  </si>
  <si>
    <t>ca443842-f546-d34c-c7d0-c02f6b09d69f</t>
  </si>
  <si>
    <t>ca443842-f546-d34c-fea5-8d19f72350fb</t>
  </si>
  <si>
    <t>ca443842-f546-d34c-9829-611eeb8d019a</t>
  </si>
  <si>
    <t>ca443842-f546-d34c-2165-35e92fe192b4</t>
  </si>
  <si>
    <t>ca443842-f546-d34c-d724-1be86f1268ae</t>
  </si>
  <si>
    <t>ca443842-f546-d34c-aba2-c6568dd1c2e2</t>
  </si>
  <si>
    <t>ca443842-f546-d34c-9cce-6a8518e0c565</t>
  </si>
  <si>
    <t>ca443842-f546-d34c-44fc-0946c646c698</t>
  </si>
  <si>
    <t>ca443842-f546-d34c-941f-5dcd87d8b69d</t>
  </si>
  <si>
    <t>ca443842-f546-d34c-da5d-31ed4b677dcf</t>
  </si>
  <si>
    <t>ca443842-f546-d34c-7998-191bb88e4a91</t>
  </si>
  <si>
    <t>ca443842-f546-d34c-8c9f-ce74ca32bfb7</t>
  </si>
  <si>
    <t>ca443842-f546-d34c-faaf-940d102349c5</t>
  </si>
  <si>
    <t>ca443842-f546-d34c-1e60-c14ba2d3a65e</t>
  </si>
  <si>
    <t>bca1691f-8839-1d66-55e7-7676bd991e74</t>
  </si>
  <si>
    <t>bca1691f-8839-1d66-9bbb-6888e099e6d3</t>
  </si>
  <si>
    <t>bca1691f-8839-1d66-133d-d87ddfb5271d</t>
  </si>
  <si>
    <t>bca1691f-8839-1d66-fab1-5567381bfd67</t>
  </si>
  <si>
    <t>bca1691f-8839-1d66-2650-ca137669c4ba</t>
  </si>
  <si>
    <t>bca1691f-8839-1d66-af1c-98b639a139ce</t>
  </si>
  <si>
    <t>bca1691f-8839-1d66-12d0-0797bc627a17</t>
  </si>
  <si>
    <t>bca1691f-8839-1d66-e43b-18109c66ecf6</t>
  </si>
  <si>
    <t>bca1691f-8839-1d66-5689-29e1e4135b6b</t>
  </si>
  <si>
    <t>bca1691f-8839-1d66-4efc-29054f40a6ad</t>
  </si>
  <si>
    <t>bca1691f-8839-1d66-e85b-e318f6c0e229</t>
  </si>
  <si>
    <t>bca1691f-8839-1d66-0c80-a06b6fe7e5dd</t>
  </si>
  <si>
    <t>bca1691f-8839-1d66-c6d9-35bbe965ec0f</t>
  </si>
  <si>
    <t>bca1691f-8839-1d66-4d8a-af4235a5e11c</t>
  </si>
  <si>
    <t>bca1691f-8839-1d66-3f52-cb99804d074c</t>
  </si>
  <si>
    <t>bca1691f-8839-1d66-37ca-93a8ed04c54b</t>
  </si>
  <si>
    <t>bca1691f-8839-1d66-454d-2ad851b8aab8</t>
  </si>
  <si>
    <t>bca1691f-8839-1d66-9422-0adc478df70b</t>
  </si>
  <si>
    <t>bca1691f-8839-1d66-4f82-05389f746de6</t>
  </si>
  <si>
    <t>bca1691f-8839-1d66-c3ef-792605071b5e</t>
  </si>
  <si>
    <t>bca1691f-8839-1d66-a547-a6f13eb6dd52</t>
  </si>
  <si>
    <t>bca1691f-8839-1d66-6b14-889a125e7318</t>
  </si>
  <si>
    <t>bca1691f-8839-1d66-7f90-2a6a88d65ae0</t>
  </si>
  <si>
    <t>bca1691f-8839-1d66-aba8-c4649f2a53be</t>
  </si>
  <si>
    <t>bca1691f-8839-1d66-724b-feffbdb93ca8</t>
  </si>
  <si>
    <t>bca1691f-8839-1d66-bdf3-e613d29da0d1</t>
  </si>
  <si>
    <t>bca1691f-8839-1d66-e75f-c1573720a806</t>
  </si>
  <si>
    <t>bca1691f-8839-1d66-696c-410cd6aa3534</t>
  </si>
  <si>
    <t>bca1691f-8839-1d66-f8eb-e1b017f67e3f</t>
  </si>
  <si>
    <t>bca1691f-8839-1d66-6fc0-1f7fbf2b3186</t>
  </si>
  <si>
    <t>bca1691f-8839-1d66-7a4f-f913a3d9785f</t>
  </si>
  <si>
    <t>bca1691f-8839-1d66-47d4-896292c7b4eb</t>
  </si>
  <si>
    <t>bca1691f-8839-1d66-0518-10771ae0b593</t>
  </si>
  <si>
    <t>bca1691f-8839-1d66-add4-d563b226e54b</t>
  </si>
  <si>
    <t>bca1691f-8839-1d66-ff2a-6d5fe62f01ba</t>
  </si>
  <si>
    <t>bca1691f-8839-1d66-235e-3077973cd942</t>
  </si>
  <si>
    <t>bca1691f-8839-1d66-9af5-32dea394ed1e</t>
  </si>
  <si>
    <t>bca1691f-8839-1d66-e73a-cd4ec2f916d9</t>
  </si>
  <si>
    <t>bca1691f-8839-1d66-4328-3e3683b5ddd0</t>
  </si>
  <si>
    <t>bca1691f-8839-1d66-692a-73648db0dc84</t>
  </si>
  <si>
    <t>bca1691f-8839-1d66-42dc-1461331904f4</t>
  </si>
  <si>
    <t>bca1691f-8839-1d66-07db-c837b4ac51c9</t>
  </si>
  <si>
    <t>bca1691f-8839-1d66-f919-d6cf0710081a</t>
  </si>
  <si>
    <t>bca1691f-8839-1d66-6e27-d91448a86999</t>
  </si>
  <si>
    <t>bca1691f-8839-1d66-ae83-62a6756b355c</t>
  </si>
  <si>
    <t>bca1691f-8839-1d66-3d96-ad36b8fe3c5b</t>
  </si>
  <si>
    <t>bca1691f-8839-1d66-2863-7057eba54540</t>
  </si>
  <si>
    <t>bca1691f-8839-1d66-df09-2f61ae6213a2</t>
  </si>
  <si>
    <t>bca1691f-8839-1d66-4af9-bc382e6b3f3a</t>
  </si>
  <si>
    <t>bca1691f-8839-1d66-f033-17afcd8c29fe</t>
  </si>
  <si>
    <t>bca1691f-8839-1d66-d9dc-ec28e0597303</t>
  </si>
  <si>
    <t>bca1691f-8839-1d66-d2b0-4f25bf848b1b</t>
  </si>
  <si>
    <t>bca1691f-8839-1d66-dc1f-3d4ab2ddd09e</t>
  </si>
  <si>
    <t>bca1691f-8839-1d66-796d-1a1ff1496f43</t>
  </si>
  <si>
    <t>bca1691f-8839-1d66-2e9f-3849b237e356</t>
  </si>
  <si>
    <t>bca1691f-8839-1d66-e9b9-6cad1156ce8e</t>
  </si>
  <si>
    <t>bca1691f-8839-1d66-894c-5a4afafa9eba</t>
  </si>
  <si>
    <t>bca1691f-8839-1d66-0b58-63472cf0d9bf</t>
  </si>
  <si>
    <t>bca1691f-8839-1d66-ca93-8a3acd49ab55</t>
  </si>
  <si>
    <t>bca1691f-8839-1d66-f5fa-bc0252b671aa</t>
  </si>
  <si>
    <t>bca1691f-8839-1d66-bb55-56bf1d0c5260</t>
  </si>
  <si>
    <t>bca1691f-8839-1d66-57fd-a68f2793ac43</t>
  </si>
  <si>
    <t>bca1691f-8839-1d66-e9db-7432c952ba1a</t>
  </si>
  <si>
    <t>bca1691f-8839-1d66-0eb7-79da71ce665f</t>
  </si>
  <si>
    <t>bca1691f-8839-1d66-e8f6-c2ddac51b98b</t>
  </si>
  <si>
    <t>5693c080-f485-91e7-4d6c-b39b1579caee</t>
  </si>
  <si>
    <t>b3f4de6b-901d-3856-ba81-35dc48a63d17</t>
  </si>
  <si>
    <t>d7a93133-2538-32c1-93c0-a44961fd3b28</t>
  </si>
  <si>
    <t>bca1691f-8839-1d66-56f7-1730da1c42ac</t>
  </si>
  <si>
    <t>5693c080-f485-91e7-4533-c0538f2b28d4</t>
  </si>
  <si>
    <t>5693c080-f485-91e7-b1f0-289af62b1d07</t>
  </si>
  <si>
    <t>5693c080-f485-91e7-d551-b4f8563a4bd8</t>
  </si>
  <si>
    <t>8e3ca57f-6f74-3d61-9803-ab1424290216</t>
  </si>
  <si>
    <t>84e046b8-c01b-3ab0-a425-daebba961156</t>
  </si>
  <si>
    <t>5693c080-f485-91e7-e02b-5ffa119e99eb</t>
  </si>
  <si>
    <t>5693c080-f485-91e7-fdd9-76b03dda82f4</t>
  </si>
  <si>
    <t>bca1691f-8839-1d66-28ff-4c87db011f86</t>
  </si>
  <si>
    <t>5693c080-f485-91e7-fe53-5e8b40e60bbc</t>
  </si>
  <si>
    <t>5693c080-f485-91e7-0f9b-348962beab27</t>
  </si>
  <si>
    <t>bca1691f-8839-1d66-674d-3dc8cf940f34</t>
  </si>
  <si>
    <t>5693c080-f485-91e7-71d5-aa84c2a5fac7</t>
  </si>
  <si>
    <t>bca1691f-8839-1d66-2df7-64a60ddc92f4</t>
  </si>
  <si>
    <t>5693c080-f485-91e7-89e2-6783bb97e4bd</t>
  </si>
  <si>
    <t>5693c080-f485-91e7-b60b-1358639543c0</t>
  </si>
  <si>
    <t>bca1691f-8839-1d66-e6ee-293d125bd7da</t>
  </si>
  <si>
    <t>5693c080-f485-91e7-a5ca-fd711e26862e</t>
  </si>
  <si>
    <t>bca1691f-8839-1d66-71de-305450b619a9</t>
  </si>
  <si>
    <t>5693c080-f485-91e7-fd5f-192ce65dca7d</t>
  </si>
  <si>
    <t>5693c080-f485-91e7-c38f-c0f011d6753e</t>
  </si>
  <si>
    <t>5693c080-f485-91e7-93ff-ef1d9821fe5c</t>
  </si>
  <si>
    <t>bca1691f-8839-1d66-2c19-61101c366613</t>
  </si>
  <si>
    <t>bca1691f-8839-1d66-5184-8e23a33b484f</t>
  </si>
  <si>
    <t>5693c080-f485-91e7-5727-ac22739913a3</t>
  </si>
  <si>
    <t>bca1691f-8839-1d66-9180-dba06db668a2</t>
  </si>
  <si>
    <t>bca1691f-8839-1d66-0f5d-34d0ed1f7044</t>
  </si>
  <si>
    <t>5693c080-f485-91e7-16a2-7bfc60dc4738</t>
  </si>
  <si>
    <t>bca1691f-8839-1d66-8563-cfb5792ba8ec</t>
  </si>
  <si>
    <t>bca1691f-8839-1d66-02b5-d3f01c496a1a</t>
  </si>
  <si>
    <t>5693c080-f485-91e7-885d-53d40376852a</t>
  </si>
  <si>
    <t>bca1691f-8839-1d66-a20c-3096f2eb9cbb</t>
  </si>
  <si>
    <t>5693c080-f485-91e7-8610-1b1971129b45</t>
  </si>
  <si>
    <t>5693c080-f485-91e7-ae83-ad4291638b88</t>
  </si>
  <si>
    <t>5693c080-f485-91e7-9dff-fe3bf78f6e18</t>
  </si>
  <si>
    <t>bca1691f-8839-1d66-f24b-e22796e0f7d2</t>
  </si>
  <si>
    <t>5693c080-f485-91e7-d100-588719f55734</t>
  </si>
  <si>
    <t>bca1691f-8839-1d66-cc4b-3d1aa0426cf6</t>
  </si>
  <si>
    <t>bca1691f-8839-1d66-234d-82d45d38100e</t>
  </si>
  <si>
    <t>bca1691f-8839-1d66-305f-c2412947960a</t>
  </si>
  <si>
    <t>bca1691f-8839-1d66-445b-15615747b780</t>
  </si>
  <si>
    <t>bca1691f-8839-1d66-668b-0bc7c0ad29c8</t>
  </si>
  <si>
    <t>bca1691f-8839-1d66-ef1a-1547ecbf2ccc</t>
  </si>
  <si>
    <t>bca1691f-8839-1d66-7776-b4711050ad43</t>
  </si>
  <si>
    <t>5693c080-f485-91e7-ab5d-37c52ec04c90</t>
  </si>
  <si>
    <t>bca1691f-8839-1d66-cb88-e791295d047c</t>
  </si>
  <si>
    <t>5693c080-f485-91e7-5cd7-5693d8b26122</t>
  </si>
  <si>
    <t>bca1691f-8839-1d66-1580-5d2d48fe1570</t>
  </si>
  <si>
    <t>bca1691f-8839-1d66-dbe4-fb4d5912c0ae</t>
  </si>
  <si>
    <t>bca1691f-8839-1d66-e0f1-b3feb82107fd</t>
  </si>
  <si>
    <t>bca1691f-8839-1d66-52f4-79ab3ff8aac3</t>
  </si>
  <si>
    <t>5693c080-f485-91e7-76b9-019244d1a38d</t>
  </si>
  <si>
    <t>5693c080-f485-91e7-f2cc-ca1d58f1bff4</t>
  </si>
  <si>
    <t>5693c080-f485-91e7-fc09-a17e1ef182a2</t>
  </si>
  <si>
    <t>bca1691f-8839-1d66-80cc-792ec8ed4696</t>
  </si>
  <si>
    <t>bca1691f-8839-1d66-b30c-d8be5e17b1e0</t>
  </si>
  <si>
    <t>5693c080-f485-91e7-f8e0-eaa515864eaa</t>
  </si>
  <si>
    <t>bca1691f-8839-1d66-eaeb-42403e65c581</t>
  </si>
  <si>
    <t>bca1691f-8839-1d66-6e58-8100a3e01bd0</t>
  </si>
  <si>
    <t>bca1691f-8839-1d66-aa90-6e96f7be0845</t>
  </si>
  <si>
    <t>bca1691f-8839-1d66-118a-e898b839e8ed</t>
  </si>
  <si>
    <t>bca1691f-8839-1d66-e07d-45056ec6915b</t>
  </si>
  <si>
    <t>bca1691f-8839-1d66-fc77-e2dd4f9f75a4</t>
  </si>
  <si>
    <t>bca1691f-8839-1d66-f1f4-27b7892bbc9b</t>
  </si>
  <si>
    <t>bca1691f-8839-1d66-f31b-f3e4a5cbd140</t>
  </si>
  <si>
    <t>bca1691f-8839-1d66-9ed9-2787a6a0686f</t>
  </si>
  <si>
    <t>5693c080-f485-91e7-3ff0-793ab6c45796</t>
  </si>
  <si>
    <t>bca1691f-8839-1d66-57f0-400eafc698ee</t>
  </si>
  <si>
    <t>bca1691f-8839-1d66-e457-1b9a05d551db</t>
  </si>
  <si>
    <t>5693c080-f485-91e7-8fc6-9debaf65a3f8</t>
  </si>
  <si>
    <t>bca1691f-8839-1d66-0ede-1983bac651ad</t>
  </si>
  <si>
    <t>bca1691f-8839-1d66-76a6-078ea6b7d398</t>
  </si>
  <si>
    <t>bca1691f-8839-1d66-3015-bdda761229fa</t>
  </si>
  <si>
    <t>5693c080-f485-91e7-e26c-55a173677913</t>
  </si>
  <si>
    <t>5693c080-f485-91e7-397c-7dce7826313c</t>
  </si>
  <si>
    <t>bca1691f-8839-1d66-c234-cfeb2073c966</t>
  </si>
  <si>
    <t>bca1691f-8839-1d66-6326-fe6c28520e83</t>
  </si>
  <si>
    <t>bca1691f-8839-1d66-408e-b398ab2b128d</t>
  </si>
  <si>
    <t>bca1691f-8839-1d66-d817-a5e2798c3851</t>
  </si>
  <si>
    <t>bca1691f-8839-1d66-ab1d-7806205f2bff</t>
  </si>
  <si>
    <t>bca1691f-8839-1d66-1667-b953ffad4a13</t>
  </si>
  <si>
    <t>5693c080-f485-91e7-1b74-3d2497220e99</t>
  </si>
  <si>
    <t>bca1691f-8839-1d66-e313-7075235bf567</t>
  </si>
  <si>
    <t>bca1691f-8839-1d66-052d-21350eaee2ab</t>
  </si>
  <si>
    <t>bca1691f-8839-1d66-4acb-10e1e0adf6f1</t>
  </si>
  <si>
    <t>bca1691f-8839-1d66-cc54-cb050549ef65</t>
  </si>
  <si>
    <t>bca1691f-8839-1d66-d0ce-6248bee712b0</t>
  </si>
  <si>
    <t>5693c080-f485-91e7-60d7-02a9dbc031d7</t>
  </si>
  <si>
    <t>bca1691f-8839-1d66-749c-e9383ce02c42</t>
  </si>
  <si>
    <t>bca1691f-8839-1d66-1af2-d847d987e2d5</t>
  </si>
  <si>
    <t>5693c080-f485-91e7-b4f0-4e8972de91b2</t>
  </si>
  <si>
    <t>bca1691f-8839-1d66-cc59-e967ad289da5</t>
  </si>
  <si>
    <t>bca1691f-8839-1d66-6f0e-5b5c43d6dd31</t>
  </si>
  <si>
    <t>bca1691f-8839-1d66-901c-1fc440f1fc19</t>
  </si>
  <si>
    <t>bca1691f-8839-1d66-4419-23ae69a31132</t>
  </si>
  <si>
    <t>5693c080-f485-91e7-bee5-d9bfcedc3e97</t>
  </si>
  <si>
    <t>bca1691f-8839-1d66-ea98-560866730b1e</t>
  </si>
  <si>
    <t>bca1691f-8839-1d66-b746-ceaede37658f</t>
  </si>
  <si>
    <t>bca1691f-8839-1d66-e719-054079cd47ce</t>
  </si>
  <si>
    <t>bca1691f-8839-1d66-4959-663bb33f0d88</t>
  </si>
  <si>
    <t>5693c080-f485-91e7-1bae-e1c7ee79ce81</t>
  </si>
  <si>
    <t>bca1691f-8839-1d66-2c84-ce3ff8e6694d</t>
  </si>
  <si>
    <t>5693c080-f485-91e7-08be-99c241180048</t>
  </si>
  <si>
    <t>bca1691f-8839-1d66-ead3-28f6a676deca</t>
  </si>
  <si>
    <t>bca1691f-8839-1d66-bd64-984669580cf8</t>
  </si>
  <si>
    <t>bca1691f-8839-1d66-ad3c-869627b98f19</t>
  </si>
  <si>
    <t>bca1691f-8839-1d66-740e-98bec50dc64f</t>
  </si>
  <si>
    <t>bca1691f-8839-1d66-c850-e73dfda7e48f</t>
  </si>
  <si>
    <t>bca1691f-8839-1d66-4bc9-d405c2405219</t>
  </si>
  <si>
    <t>bca1691f-8839-1d66-940d-1f2e300e7cd7</t>
  </si>
  <si>
    <t>bca1691f-8839-1d66-f199-37a1cd39486a</t>
  </si>
  <si>
    <t>5693c080-f485-91e7-f392-f08776f03c80</t>
  </si>
  <si>
    <t>5693c080-f485-91e7-0551-1d90530afd21</t>
  </si>
  <si>
    <t>bca1691f-8839-1d66-048a-96c912a300a6</t>
  </si>
  <si>
    <t>bca1691f-8839-1d66-6dff-3d4584f67d1b</t>
  </si>
  <si>
    <t>bca1691f-8839-1d66-22e6-9593de363f0f</t>
  </si>
  <si>
    <t>5693c080-f485-91e7-4cf1-6353996906ef</t>
  </si>
  <si>
    <t>bca1691f-8839-1d66-e125-2cef50828d6e</t>
  </si>
  <si>
    <t>bca1691f-8839-1d66-6d89-030a979cf0bb</t>
  </si>
  <si>
    <t>bca1691f-8839-1d66-1a4d-43c6a50d4c03</t>
  </si>
  <si>
    <t>5693c080-f485-91e7-08f2-c9bb02499e4a</t>
  </si>
  <si>
    <t>bca1691f-8839-1d66-8513-eb759c80e46b</t>
  </si>
  <si>
    <t>bca1691f-8839-1d66-1016-19db4f19ea6d</t>
  </si>
  <si>
    <t>bca1691f-8839-1d66-3586-e6c32a948c17</t>
  </si>
  <si>
    <t>bca1691f-8839-1d66-e60d-038d2c673f33</t>
  </si>
  <si>
    <t>bca1691f-8839-1d66-479b-e9b736a7c113</t>
  </si>
  <si>
    <t>bca1691f-8839-1d66-d1c3-1008bb909d41</t>
  </si>
  <si>
    <t>bca1691f-8839-1d66-062d-be9cc163945f</t>
  </si>
  <si>
    <t>5693c080-f485-91e7-bcb8-528126589a71</t>
  </si>
  <si>
    <t>bca1691f-8839-1d66-e383-47a7bc7fe0a8</t>
  </si>
  <si>
    <t>5693c080-f485-91e7-5892-98dbd1e5b6a6</t>
  </si>
  <si>
    <t>5693c080-f485-91e7-f2df-50b62e7ed395</t>
  </si>
  <si>
    <t>bca1691f-8839-1d66-8c1b-ee2af1863e84</t>
  </si>
  <si>
    <t>5693c080-f485-91e7-6f8c-f2fa084ea40d</t>
  </si>
  <si>
    <t>bca1691f-8839-1d66-2a17-72f21621bf48</t>
  </si>
  <si>
    <t>bca1691f-8839-1d66-c6e2-b19c3bb62dcd</t>
  </si>
  <si>
    <t>5693c080-f485-91e7-82bd-031de9785457</t>
  </si>
  <si>
    <t>bca1691f-8839-1d66-b289-ad6f02cec222</t>
  </si>
  <si>
    <t>bca1691f-8839-1d66-7cef-30710049e2a0</t>
  </si>
  <si>
    <t>bca1691f-8839-1d66-4b12-b763d062c0da</t>
  </si>
  <si>
    <t>bca1691f-8839-1d66-b14e-9bf6fb2b777b</t>
  </si>
  <si>
    <t>bca1691f-8839-1d66-811c-39e455bfb854</t>
  </si>
  <si>
    <t>bca1691f-8839-1d66-8bd0-a78ecb4b80b7</t>
  </si>
  <si>
    <t>bca1691f-8839-1d66-4d3a-1e6243757f07</t>
  </si>
  <si>
    <t>5693c080-f485-91e7-4331-b0368ba8a639</t>
  </si>
  <si>
    <t>bca1691f-8839-1d66-b621-69b6778a40a5</t>
  </si>
  <si>
    <t>bca1691f-8839-1d66-9610-1b58ca5f3e16</t>
  </si>
  <si>
    <t>bca1691f-8839-1d66-d011-d0ae49022362</t>
  </si>
  <si>
    <t>bca1691f-8839-1d66-ee9b-afe1fe50337c</t>
  </si>
  <si>
    <t>bca1691f-8839-1d66-1c7c-fdad12cdeb85</t>
  </si>
  <si>
    <t>5693c080-f485-91e7-ee89-ee891923049a</t>
  </si>
  <si>
    <t>bca1691f-8839-1d66-5fc1-2c1f0616d754</t>
  </si>
  <si>
    <t>5693c080-f485-91e7-45ca-f636f29f0e96</t>
  </si>
  <si>
    <t>bca1691f-8839-1d66-9861-6b827ab55f9d</t>
  </si>
  <si>
    <t>5693c080-f485-91e7-24f7-6e1c832c46ae</t>
  </si>
  <si>
    <t>bca1691f-8839-1d66-4713-94a93411829f</t>
  </si>
  <si>
    <t>bca1691f-8839-1d66-3bd4-c17da5fc0833</t>
  </si>
  <si>
    <t>bca1691f-8839-1d66-413b-391b0902fc53</t>
  </si>
  <si>
    <t>bca1691f-8839-1d66-e0ed-fac8b2cab62f</t>
  </si>
  <si>
    <t>bca1691f-8839-1d66-1388-ea727fd39dd2</t>
  </si>
  <si>
    <t>bca1691f-8839-1d66-d765-01393debbd1b</t>
  </si>
  <si>
    <t>bca1691f-8839-1d66-0157-5804e8255b6d</t>
  </si>
  <si>
    <t>5693c080-f485-91e7-f0fc-68890a930c92</t>
  </si>
  <si>
    <t>bca1691f-8839-1d66-0ec9-6120ffafb598</t>
  </si>
  <si>
    <t>bca1691f-8839-1d66-438a-9c9c68797044</t>
  </si>
  <si>
    <t>bca1691f-8839-1d66-d7ae-fe369e19e62b</t>
  </si>
  <si>
    <t>bca1691f-8839-1d66-7a01-1283f289b78e</t>
  </si>
  <si>
    <t>5693c080-f485-91e7-df4a-bdb8522d08d3</t>
  </si>
  <si>
    <t>bca1691f-8839-1d66-cfe8-8eb058dcd4b4</t>
  </si>
  <si>
    <t>bca1691f-8839-1d66-54eb-dd7b1ef7f190</t>
  </si>
  <si>
    <t>bca1691f-8839-1d66-f9bf-1f75b2594da5</t>
  </si>
  <si>
    <t>bca1691f-8839-1d66-b4e8-567c03dd4eef</t>
  </si>
  <si>
    <t>bca1691f-8839-1d66-3877-ea9110aef83a</t>
  </si>
  <si>
    <t>bca1691f-8839-1d66-7b27-289ac111cb93</t>
  </si>
  <si>
    <t>bca1691f-8839-1d66-b11d-1b4d83a66df3</t>
  </si>
  <si>
    <t>bca1691f-8839-1d66-4d63-1accbd1faccb</t>
  </si>
  <si>
    <t>bca1691f-8839-1d66-ed5f-10f80d796512</t>
  </si>
  <si>
    <t>bca1691f-8839-1d66-acd2-712b63a5399c</t>
  </si>
  <si>
    <t>bca1691f-8839-1d66-5c76-dd45327cbd75</t>
  </si>
  <si>
    <t>bca1691f-8839-1d66-78cf-49ae232ad294</t>
  </si>
  <si>
    <t>bca1691f-8839-1d66-83d2-57d075ab98a9</t>
  </si>
  <si>
    <t>bca1691f-8839-1d66-b4bb-bddf9b7dbff5</t>
  </si>
  <si>
    <t>bca1691f-8839-1d66-c148-024c38c83737</t>
  </si>
  <si>
    <t>5693c080-f485-91e7-1975-f9417601db78</t>
  </si>
  <si>
    <t>5693c080-f485-91e7-6467-2dfff77d136f</t>
  </si>
  <si>
    <t>bca1691f-8839-1d66-35d8-b3a805092221</t>
  </si>
  <si>
    <t>bca1691f-8839-1d66-aabb-2b30e36bbe3a</t>
  </si>
  <si>
    <t>bca1691f-8839-1d66-4b35-7cdabfa2e0c0</t>
  </si>
  <si>
    <t>bca1691f-8839-1d66-ca2b-86bc42489f17</t>
  </si>
  <si>
    <t>5693c080-f485-91e7-f14d-4a441626bcfa</t>
  </si>
  <si>
    <t>bca1691f-8839-1d66-6acd-b86033f54da1</t>
  </si>
  <si>
    <t>bca1691f-8839-1d66-4d98-f7e81896cf1d</t>
  </si>
  <si>
    <t>bca1691f-8839-1d66-aded-0feec304902b</t>
  </si>
  <si>
    <t>5693c080-f485-91e7-3768-336842e607a3</t>
  </si>
  <si>
    <t>bca1691f-8839-1d66-94a6-b3970b767c04</t>
  </si>
  <si>
    <t>bca1691f-8839-1d66-de61-8c208065b05d</t>
  </si>
  <si>
    <t>5693c080-f485-91e7-5070-33c6eec97be5</t>
  </si>
  <si>
    <t>bca1691f-8839-1d66-9e93-5fc51ba0839e</t>
  </si>
  <si>
    <t>bca1691f-8839-1d66-0f5f-6943657acc48</t>
  </si>
  <si>
    <t>bca1691f-8839-1d66-d788-70bc32b961b2</t>
  </si>
  <si>
    <t>bca1691f-8839-1d66-582e-f6b01301aca8</t>
  </si>
  <si>
    <t>5693c080-f485-91e7-a439-311484e63827</t>
  </si>
  <si>
    <t>bca1691f-8839-1d66-264c-db3a905268cc</t>
  </si>
  <si>
    <t>bca1691f-8839-1d66-435d-123b4377ebce</t>
  </si>
  <si>
    <t>5693c080-f485-91e7-eb36-9a13913db62c</t>
  </si>
  <si>
    <t>bca1691f-8839-1d66-f1d0-7269077265ad</t>
  </si>
  <si>
    <t>bca1691f-8839-1d66-cf7b-aaea89e0ade6</t>
  </si>
  <si>
    <t>bca1691f-8839-1d66-d5a2-1ffab8c11a17</t>
  </si>
  <si>
    <t>bca1691f-8839-1d66-ef35-f2b9a6b33361</t>
  </si>
  <si>
    <t>bca1691f-8839-1d66-2e51-cf31e97edeb4</t>
  </si>
  <si>
    <t>bca1691f-8839-1d66-355d-066c67e7d12f</t>
  </si>
  <si>
    <t>5693c080-f485-91e7-b01a-b761da138d96</t>
  </si>
  <si>
    <t>5693c080-f485-91e7-c5bb-d67b926205e5</t>
  </si>
  <si>
    <t>bca1691f-8839-1d66-6f25-ed73cf3f05ad</t>
  </si>
  <si>
    <t>bca1691f-8839-1d66-62d0-f2a96e6e45c3</t>
  </si>
  <si>
    <t>5693c080-f485-91e7-9eb9-1c504b89ffae</t>
  </si>
  <si>
    <t>bca1691f-8839-1d66-c86c-a176c04f793a</t>
  </si>
  <si>
    <t>bca1691f-8839-1d66-8703-239adea529b5</t>
  </si>
  <si>
    <t>5693c080-f485-91e7-d164-6aa580934907</t>
  </si>
  <si>
    <t>bca1691f-8839-1d66-f328-07432cf48e3d</t>
  </si>
  <si>
    <t>5693c080-f485-91e7-d59e-825579665ebf</t>
  </si>
  <si>
    <t>bca1691f-8839-1d66-d829-87c62557bb55</t>
  </si>
  <si>
    <t>bca1691f-8839-1d66-2c45-01f1a4a9b8a0</t>
  </si>
  <si>
    <t>bca1691f-8839-1d66-896e-f593225fe101</t>
  </si>
  <si>
    <t>bca1691f-8839-1d66-8bf2-2318e7a3a590</t>
  </si>
  <si>
    <t>bca1691f-8839-1d66-54be-0430c3d489a7</t>
  </si>
  <si>
    <t>bca1691f-8839-1d66-0316-5ff66d9169d1</t>
  </si>
  <si>
    <t>5693c080-f485-91e7-5adf-5eb510ff9305</t>
  </si>
  <si>
    <t>bca1691f-8839-1d66-55ca-c3e84eefa2e6</t>
  </si>
  <si>
    <t>5693c080-f485-91e7-6473-03dfbee628e3</t>
  </si>
  <si>
    <t>bca1691f-8839-1d66-8172-0445f1204a6a</t>
  </si>
  <si>
    <t>5693c080-f485-91e7-27eb-bc9427f9f697</t>
  </si>
  <si>
    <t>5693c080-f485-91e7-7489-44956e8f91f8</t>
  </si>
  <si>
    <t>bca1691f-8839-1d66-8667-2528ff833e0c</t>
  </si>
  <si>
    <t>bca1691f-8839-1d66-b5f5-c678cf1f003d</t>
  </si>
  <si>
    <t>bca1691f-8839-1d66-14ea-f28e8f0e85da</t>
  </si>
  <si>
    <t>bca1691f-8839-1d66-faab-3d710a105fcc</t>
  </si>
  <si>
    <t>5693c080-f485-91e7-2295-9ebc819b7573</t>
  </si>
  <si>
    <t>bca1691f-8839-1d66-7502-23aabafe2e1d</t>
  </si>
  <si>
    <t>bca1691f-8839-1d66-a985-b2110ad17fe3</t>
  </si>
  <si>
    <t>5693c080-f485-91e7-72d4-4245f58abd50</t>
  </si>
  <si>
    <t>5693c080-f485-91e7-b2e4-d983aadd710b</t>
  </si>
  <si>
    <t>5693c080-f485-91e7-123e-b622ac2958fe</t>
  </si>
  <si>
    <t>5693c080-f485-91e7-e348-bce2765ff5c4</t>
  </si>
  <si>
    <t>5693c080-f485-91e7-86e8-a4777be05afb</t>
  </si>
  <si>
    <t>5693c080-f485-91e7-bda4-b35ab8f532ff</t>
  </si>
  <si>
    <t>5693c080-f485-91e7-d382-1105552e9144</t>
  </si>
  <si>
    <t>bca1691f-8839-1d66-cf27-15a984f3cfa7</t>
  </si>
  <si>
    <t>bca1691f-8839-1d66-1531-f6848af0ab01</t>
  </si>
  <si>
    <t>5693c080-f485-91e7-4ea1-f60e44f2d024</t>
  </si>
  <si>
    <t>5693c080-f485-91e7-fcf7-131e1dfa24e8</t>
  </si>
  <si>
    <t>bca1691f-8839-1d66-4121-c359425a15bf</t>
  </si>
  <si>
    <t>5693c080-f485-91e7-6b79-dae2069f547b</t>
  </si>
  <si>
    <t>5693c080-f485-91e7-d891-754be4002310</t>
  </si>
  <si>
    <t>bca1691f-8839-1d66-3d0d-97a3dd190af3</t>
  </si>
  <si>
    <t>bca1691f-8839-1d66-8fb8-21d826ce2ba3</t>
  </si>
  <si>
    <t>5693c080-f485-91e7-e065-5fdc37452de5</t>
  </si>
  <si>
    <t>bca1691f-8839-1d66-865f-9fa01d9e1cfe</t>
  </si>
  <si>
    <t>5693c080-f485-91e7-8bdf-409835149bed</t>
  </si>
  <si>
    <t>bca1691f-8839-1d66-c150-4b1d11d623a9</t>
  </si>
  <si>
    <t>bca1691f-8839-1d66-86cf-203e0d3b9bfc</t>
  </si>
  <si>
    <t>5693c080-f485-91e7-4732-8f092674410a</t>
  </si>
  <si>
    <t>5693c080-f485-91e7-5e1d-015254d67162</t>
  </si>
  <si>
    <t>bca1691f-8839-1d66-25d2-cd60c6746a0f</t>
  </si>
  <si>
    <t>5693c080-f485-91e7-5492-ccc24cb6399c</t>
  </si>
  <si>
    <t>5693c080-f485-91e7-c883-9f1aa4792250</t>
  </si>
  <si>
    <t>bca1691f-8839-1d66-6d45-9c1b6bfc8958</t>
  </si>
  <si>
    <t>bca1691f-8839-1d66-60b9-8c38ff79da46</t>
  </si>
  <si>
    <t>bca1691f-8839-1d66-7686-15d2480cca38</t>
  </si>
  <si>
    <t>5693c080-f485-91e7-5fd7-55b2ff2b152a</t>
  </si>
  <si>
    <t>bca1691f-8839-1d66-addf-21498744a32b</t>
  </si>
  <si>
    <t>bca1691f-8839-1d66-81e0-6146144d27c3</t>
  </si>
  <si>
    <t>5693c080-f485-91e7-80b7-b9c6d63a6bd6</t>
  </si>
  <si>
    <t>bca1691f-8839-1d66-7a72-ff4b6f94a555</t>
  </si>
  <si>
    <t>bca1691f-8839-1d66-63a7-7d2ddc3f2e91</t>
  </si>
  <si>
    <t>5693c080-f485-91e7-5b7f-d47811499ef6</t>
  </si>
  <si>
    <t>5693c080-f485-91e7-ac17-a9bfb75ed20d</t>
  </si>
  <si>
    <t>bca1691f-8839-1d66-ab4e-4cd6b5836da1</t>
  </si>
  <si>
    <t>5693c080-f485-91e7-4b3d-daa1f9f59aec</t>
  </si>
  <si>
    <t>5693c080-f485-91e7-981e-5d157ae12974</t>
  </si>
  <si>
    <t>bca1691f-8839-1d66-4322-005a14ee0769</t>
  </si>
  <si>
    <t>5693c080-f485-91e7-bd2e-670dbabf2e76</t>
  </si>
  <si>
    <t>5693c080-f485-91e7-8db8-42e5c59f0c39</t>
  </si>
  <si>
    <t>bca1691f-8839-1d66-dc52-6345bc4d7961</t>
  </si>
  <si>
    <t>5693c080-f485-91e7-004f-7dd9fe101f30</t>
  </si>
  <si>
    <t>bca1691f-8839-1d66-82e8-5ef6878e0ecc</t>
  </si>
  <si>
    <t>5693c080-f485-91e7-b568-563711e9477b</t>
  </si>
  <si>
    <t>bca1691f-8839-1d66-9339-d09560d59146</t>
  </si>
  <si>
    <t>bca1691f-8839-1d66-4556-876311b56371</t>
  </si>
  <si>
    <t>bca1691f-8839-1d66-bd61-08d5af5f9e26</t>
  </si>
  <si>
    <t>5693c080-f485-91e7-6f47-bab6657d8417</t>
  </si>
  <si>
    <t>bca1691f-8839-1d66-28f5-fddaec86e620</t>
  </si>
  <si>
    <t>5693c080-f485-91e7-d65c-4181cd25f860</t>
  </si>
  <si>
    <t>5693c080-f485-91e7-cd16-2bf6edcdd350</t>
  </si>
  <si>
    <t>bca1691f-8839-1d66-c613-177636677dc6</t>
  </si>
  <si>
    <t>5693c080-f485-91e7-89fc-f43f764cb6a5</t>
  </si>
  <si>
    <t>bca1691f-8839-1d66-7008-28841b2656d2</t>
  </si>
  <si>
    <t>5693c080-f485-91e7-5bf9-55394374a359</t>
  </si>
  <si>
    <t>5693c080-f485-91e7-4137-b9b3a772bc0e</t>
  </si>
  <si>
    <t>bca1691f-8839-1d66-bdf9-2bfaebe1be0d</t>
  </si>
  <si>
    <t>5693c080-f485-91e7-fe95-0c0438e8002a</t>
  </si>
  <si>
    <t>5693c080-f485-91e7-b717-03a877c82e5e</t>
  </si>
  <si>
    <t>bca1691f-8839-1d66-953b-81e31e33296e</t>
  </si>
  <si>
    <t>5693c080-f485-91e7-bfa1-7c5a31b329ab</t>
  </si>
  <si>
    <t>bca1691f-8839-1d66-a3f9-3441b80b1048</t>
  </si>
  <si>
    <t>5693c080-f485-91e7-9897-235847e014d5</t>
  </si>
  <si>
    <t>bca1691f-8839-1d66-3582-9da10e326b3b</t>
  </si>
  <si>
    <t>bca1691f-8839-1d66-9e8e-00e872e54919</t>
  </si>
  <si>
    <t>bca1691f-8839-1d66-91d3-7b08c85919f6</t>
  </si>
  <si>
    <t>5693c080-f485-91e7-a953-e31a68ed5402</t>
  </si>
  <si>
    <t>bca1691f-8839-1d66-4314-6eaa93269767</t>
  </si>
  <si>
    <t>5693c080-f485-91e7-0a16-21c3a2966b3b</t>
  </si>
  <si>
    <t>5693c080-f485-91e7-0cff-74234d4364ac</t>
  </si>
  <si>
    <t>bca1691f-8839-1d66-ebfe-a662eafa6bbf</t>
  </si>
  <si>
    <t>5693c080-f485-91e7-7bbe-c1ab1b38bf9d</t>
  </si>
  <si>
    <t>bca1691f-8839-1d66-573a-0c9010d18ad9</t>
  </si>
  <si>
    <t>5693c080-f485-91e7-29bf-6ebe26e532d8</t>
  </si>
  <si>
    <t>bca1691f-8839-1d66-46d4-8b691e57ed2d</t>
  </si>
  <si>
    <t>bca1691f-8839-1d66-2b80-f0f79254d21c</t>
  </si>
  <si>
    <t>5693c080-f485-91e7-6c95-3ec83f8da3a3</t>
  </si>
  <si>
    <t>bca1691f-8839-1d66-06b3-594fdc74fe80</t>
  </si>
  <si>
    <t>bca1691f-8839-1d66-c5d2-4b7ed8766fdc</t>
  </si>
  <si>
    <t>bca1691f-8839-1d66-45eb-d77bfa57ef6d</t>
  </si>
  <si>
    <t>5693c080-f485-91e7-2b8e-3766984e0ded</t>
  </si>
  <si>
    <t>5693c080-f485-91e7-747d-616456a1bde8</t>
  </si>
  <si>
    <t>bca1691f-8839-1d66-afa7-5601f24afa56</t>
  </si>
  <si>
    <t>5693c080-f485-91e7-e9fa-6167e5b46a2f</t>
  </si>
  <si>
    <t>bca1691f-8839-1d66-9b0c-52bc54ba98ec</t>
  </si>
  <si>
    <t>5693c080-f485-91e7-ee79-8b7773bf61ab</t>
  </si>
  <si>
    <t>bca1691f-8839-1d66-8314-656b37a27885</t>
  </si>
  <si>
    <t>bca1691f-8839-1d66-aefb-e31ff5184bac</t>
  </si>
  <si>
    <t>5693c080-f485-91e7-c457-7123951dd9a4</t>
  </si>
  <si>
    <t>bca1691f-8839-1d66-dc6d-9006e7d0ff0b</t>
  </si>
  <si>
    <t>bca1691f-8839-1d66-d438-78a1127ea08d</t>
  </si>
  <si>
    <t>bca1691f-8839-1d66-17bd-bc3d447e43fc</t>
  </si>
  <si>
    <t>5693c080-f485-91e7-034b-3de865cc2797</t>
  </si>
  <si>
    <t>5693c080-f485-91e7-624a-95829a0defc7</t>
  </si>
  <si>
    <t>bca1691f-8839-1d66-bac5-205c30668c19</t>
  </si>
  <si>
    <t>5693c080-f485-91e7-90b3-f232dde54da1</t>
  </si>
  <si>
    <t>bca1691f-8839-1d66-22fd-86cda0bb807c</t>
  </si>
  <si>
    <t>5693c080-f485-91e7-c7db-571f996cfd66</t>
  </si>
  <si>
    <t>5693c080-f485-91e7-23dd-922afabbd9e4</t>
  </si>
  <si>
    <t>bca1691f-8839-1d66-bf2e-540d767cc224</t>
  </si>
  <si>
    <t>bca1691f-8839-1d66-3827-c225a3c376d5</t>
  </si>
  <si>
    <t>bca1691f-8839-1d66-c892-87b46a34e42c</t>
  </si>
  <si>
    <t>5693c080-f485-91e7-0e74-0981cb317cab</t>
  </si>
  <si>
    <t>bca1691f-8839-1d66-cbea-ed0bca80bba3</t>
  </si>
  <si>
    <t>bca1691f-8839-1d66-36b7-dd02c843d266</t>
  </si>
  <si>
    <t>5693c080-f485-91e7-a4a1-9872c1e148a9</t>
  </si>
  <si>
    <t>bca1691f-8839-1d66-f7b1-e465a8b6f1fd</t>
  </si>
  <si>
    <t>5693c080-f485-91e7-f2ec-14abfb3a8219</t>
  </si>
  <si>
    <t>bca1691f-8839-1d66-53d2-6b25de3d2733</t>
  </si>
  <si>
    <t>5693c080-f485-91e7-aca5-32aee652e771</t>
  </si>
  <si>
    <t>bca1691f-8839-1d66-ff20-d9858baadfcd</t>
  </si>
  <si>
    <t>bca1691f-8839-1d66-8a69-de4d303a9d77</t>
  </si>
  <si>
    <t>5693c080-f485-91e7-6f0d-5cce7824b373</t>
  </si>
  <si>
    <t>bca1691f-8839-1d66-aaea-e70842dcb40b</t>
  </si>
  <si>
    <t>bca1691f-8839-1d66-5c19-5e0469facdb0</t>
  </si>
  <si>
    <t>5693c080-f485-91e7-3fd3-a7cb9c4518f6</t>
  </si>
  <si>
    <t>bca1691f-8839-1d66-03a0-82b1712fc871</t>
  </si>
  <si>
    <t>bca1691f-8839-1d66-dbd1-d678f0ade177</t>
  </si>
  <si>
    <t>bca1691f-8839-1d66-b5bf-7ad594b0a144</t>
  </si>
  <si>
    <t>bca1691f-8839-1d66-4187-024b16f1ebe2</t>
  </si>
  <si>
    <t>bca1691f-8839-1d66-01d9-283d7e3ea3d6</t>
  </si>
  <si>
    <t>bca1691f-8839-1d66-4d61-41d78766ae7f</t>
  </si>
  <si>
    <t>bca1691f-8839-1d66-2fbb-aa47a33ae851</t>
  </si>
  <si>
    <t>bca1691f-8839-1d66-4ca4-652f4e67850d</t>
  </si>
  <si>
    <t>bca1691f-8839-1d66-c2d1-fbcfde42d826</t>
  </si>
  <si>
    <t>bca1691f-8839-1d66-2f50-ab15b766e496</t>
  </si>
  <si>
    <t>bca1691f-8839-1d66-e6ff-ecc974fbc1b0</t>
  </si>
  <si>
    <t>bca1691f-8839-1d66-73d6-6552a3e3fb4c</t>
  </si>
  <si>
    <t>bca1691f-8839-1d66-5a68-226d3bf5265b</t>
  </si>
  <si>
    <t>bca1691f-8839-1d66-24e9-59230e20ea27</t>
  </si>
  <si>
    <t>bca1691f-8839-1d66-f767-72273a7e6510</t>
  </si>
  <si>
    <t>bca1691f-8839-1d66-68d7-7e487055881c</t>
  </si>
  <si>
    <t>bca1691f-8839-1d66-2c40-4a1f739894de</t>
  </si>
  <si>
    <t>bca1691f-8839-1d66-4768-56715a374c75</t>
  </si>
  <si>
    <t>bca1691f-8839-1d66-09c2-ca7cd85d5041</t>
  </si>
  <si>
    <t>bca1691f-8839-1d66-0d2b-122c3eaa418e</t>
  </si>
  <si>
    <t>bca1691f-8839-1d66-017f-1317f5127c09</t>
  </si>
  <si>
    <t>bca1691f-8839-1d66-9795-4c40fa307ec2</t>
  </si>
  <si>
    <t>bca1691f-8839-1d66-49a1-65524747e6ec</t>
  </si>
  <si>
    <t>bca1691f-8839-1d66-18d9-55611eb44b0f</t>
  </si>
  <si>
    <t>bca1691f-8839-1d66-7116-91fac4732893</t>
  </si>
  <si>
    <t>bca1691f-8839-1d66-685f-7ae5fb594e9e</t>
  </si>
  <si>
    <t>bca1691f-8839-1d66-21b6-d0d43786eb27</t>
  </si>
  <si>
    <t>bca1691f-8839-1d66-293e-c94b4725c779</t>
  </si>
  <si>
    <t>bca1691f-8839-1d66-9138-4a0f2ca2d6dc</t>
  </si>
  <si>
    <t>bca1691f-8839-1d66-270a-ec17076c2294</t>
  </si>
  <si>
    <t>bca1691f-8839-1d66-9b28-ed0a8cf74e1a</t>
  </si>
  <si>
    <t>bca1691f-8839-1d66-b639-d5d7964a3ce3</t>
  </si>
  <si>
    <t>bca1691f-8839-1d66-7277-8f7c207bb3b1</t>
  </si>
  <si>
    <t>bca1691f-8839-1d66-0c0c-82bd0f3e2c12</t>
  </si>
  <si>
    <t>bca1691f-8839-1d66-7c90-edb596ef6240</t>
  </si>
  <si>
    <t>bca1691f-8839-1d66-b4d7-fabece4c3293</t>
  </si>
  <si>
    <t>bca1691f-8839-1d66-980d-0e66be171232</t>
  </si>
  <si>
    <t>bca1691f-8839-1d66-e683-c36c866d3eb2</t>
  </si>
  <si>
    <t>bca1691f-8839-1d66-ac0b-7ff62a3b33bd</t>
  </si>
  <si>
    <t>bca1691f-8839-1d66-03b4-e8aeb9686a3b</t>
  </si>
  <si>
    <t>bca1691f-8839-1d66-b081-a87bfd7a813c</t>
  </si>
  <si>
    <t>bca1691f-8839-1d66-127e-2e8771ebab3d</t>
  </si>
  <si>
    <t>bca1691f-8839-1d66-2f42-e3c3e753b29a</t>
  </si>
  <si>
    <t>bca1691f-8839-1d66-2413-fe1cde621093</t>
  </si>
  <si>
    <t>bca1691f-8839-1d66-39cb-12cbfbde15d0</t>
  </si>
  <si>
    <t>bca1691f-8839-1d66-30c7-030bb6411d21</t>
  </si>
  <si>
    <t>bca1691f-8839-1d66-91e6-c54adcc60425</t>
  </si>
  <si>
    <t>bca1691f-8839-1d66-1d8c-984458f1e179</t>
  </si>
  <si>
    <t>bca1691f-8839-1d66-85e8-a0cda3c26c04</t>
  </si>
  <si>
    <t>bca1691f-8839-1d66-864d-f517c1b42896</t>
  </si>
  <si>
    <t>bca1691f-8839-1d66-b1e3-eb696f370b8c</t>
  </si>
  <si>
    <t>bca1691f-8839-1d66-046e-f41cb197085d</t>
  </si>
  <si>
    <t>bca1691f-8839-1d66-1a37-edb0cbd8acfc</t>
  </si>
  <si>
    <t>bca1691f-8839-1d66-67b7-9aaa04bf71fc</t>
  </si>
  <si>
    <t>bca1691f-8839-1d66-0fbb-1b96570c1034</t>
  </si>
  <si>
    <t>bca1691f-8839-1d66-e76e-1a640e1fb064</t>
  </si>
  <si>
    <t>bca1691f-8839-1d66-a7d8-41067fbc83df</t>
  </si>
  <si>
    <t>bca1691f-8839-1d66-6c0e-eff0f14cc9a1</t>
  </si>
  <si>
    <t>bca1691f-8839-1d66-7623-418d96b29271</t>
  </si>
  <si>
    <t>bca1691f-8839-1d66-4e6e-acda9e207ce7</t>
  </si>
  <si>
    <t>bca1691f-8839-1d66-2d76-f76587f58e72</t>
  </si>
  <si>
    <t>bca1691f-8839-1d66-3f00-cd3cb821a205</t>
  </si>
  <si>
    <t>bca1691f-8839-1d66-3a0d-25f9e3ffe29f</t>
  </si>
  <si>
    <t>Validation check</t>
  </si>
  <si>
    <t>Total Patients</t>
  </si>
  <si>
    <t>Result</t>
  </si>
  <si>
    <t>Total Encounters</t>
  </si>
  <si>
    <t>Duplicate patient IDs</t>
  </si>
  <si>
    <t>Duplicate Encounter Ids</t>
  </si>
  <si>
    <t>Healthcare Data Quality Validation Report</t>
  </si>
  <si>
    <t>Missing Patient IDs</t>
  </si>
  <si>
    <t>Missing Encounter IDs</t>
  </si>
  <si>
    <t>Missing Encounter Patient IDs</t>
  </si>
  <si>
    <t>Missing Encounter Reasons</t>
  </si>
  <si>
    <t>Encounters with Unmatched Patient IDs</t>
  </si>
  <si>
    <t>Row Labels</t>
  </si>
  <si>
    <t>Grand Total</t>
  </si>
  <si>
    <t>Column Labels</t>
  </si>
  <si>
    <t>Missing Reason Count</t>
  </si>
  <si>
    <t>Encounters with Invalid Date Order</t>
  </si>
  <si>
    <t>Encounters with Negative Claim Costs</t>
  </si>
  <si>
    <t>Encounters with Missing Claim Costs</t>
  </si>
  <si>
    <t>Encounters with Zero Claim Costs</t>
  </si>
  <si>
    <t>Encounters with Missing Start Dates</t>
  </si>
  <si>
    <t>Encounters with Missing Stop Dates</t>
  </si>
  <si>
    <t>Data Quality Findings</t>
  </si>
  <si>
    <t>Identifier Validation</t>
  </si>
  <si>
    <t>No duplicate, missing, or unmatched patient/encounter IDs identified.</t>
  </si>
  <si>
    <t>Date Validation</t>
  </si>
  <si>
    <t>No missing encounter timestamps or invalid START/STOP order identified.</t>
  </si>
  <si>
    <t>Financial Validation</t>
  </si>
  <si>
    <t>No missing, negative, or zero total claim costs identified.</t>
  </si>
  <si>
    <t>Missing Clinical Information</t>
  </si>
  <si>
    <t>2,044 encounters (36.7%) lack reason descriptions; wellness encounters account for 1,254 of these.</t>
  </si>
  <si>
    <t>Recommended Action</t>
  </si>
  <si>
    <t>Investigate reason-description completeness by encounter type and documentation requirements before determining whether remediation is necessary.</t>
  </si>
  <si>
    <t>Healthcare Patient &amp; Encounter Analytics</t>
  </si>
  <si>
    <t>Project Type</t>
  </si>
  <si>
    <t>Healthcare Data Analytics Work Sample</t>
  </si>
  <si>
    <t>Data Source</t>
  </si>
  <si>
    <t>Synthea — Synthetic Patient Data</t>
  </si>
  <si>
    <t>Primary Tools</t>
  </si>
  <si>
    <t>Excel, MySQL, Power BI</t>
  </si>
  <si>
    <t>Data Privacy</t>
  </si>
  <si>
    <t>Synthetic data; no real patient information</t>
  </si>
  <si>
    <t>Project Objective</t>
  </si>
  <si>
    <t>Analyze synthetic patient and encounter data to evaluate healthcare utilization, validate data quality, identify operational trends, and develop data-driven recommendations to support healthcare decision-making.</t>
  </si>
  <si>
    <t>Analysis Methodology</t>
  </si>
  <si>
    <t>Data Extraction</t>
  </si>
  <si>
    <t>Imported synthetic patient and encounter datasets into Excel and MySQL for analysis</t>
  </si>
  <si>
    <t>Data Integration</t>
  </si>
  <si>
    <t>Linked patient and encounter records using the unique patient identifier</t>
  </si>
  <si>
    <t>Data Validation</t>
  </si>
  <si>
    <t>Checked duplicates, missing values, patient-encounter relationships, date consistency, and claim costs.</t>
  </si>
  <si>
    <t>Data Analysis</t>
  </si>
  <si>
    <t>Used SQL aggregations and Excel PivotTables to examine encounter utilization, costs, and missing information.</t>
  </si>
  <si>
    <t>Visualization</t>
  </si>
  <si>
    <t>Developed a Power BI report to visualize healthcare utilization and financial trends.</t>
  </si>
  <si>
    <t>Key Findings</t>
  </si>
  <si>
    <t>Data Integrity</t>
  </si>
  <si>
    <t>All 5,571 encounters matched existing patient records, with no duplicate patient or encounter IDs identified.</t>
  </si>
  <si>
    <t>2,044 encounters (36.7%) have missing reason descriptions.</t>
  </si>
  <si>
    <t>Documentation Pattern</t>
  </si>
  <si>
    <t>Wellness visits account for 1,254 (61.4%) of all missing encounter reasons.</t>
  </si>
  <si>
    <t>Date and Cost Validation</t>
  </si>
  <si>
    <t>No missing encounter timestamps, invalid date order, or missing, negative, or zero claim costs were identified.</t>
  </si>
  <si>
    <t>Healthcare Recommendations</t>
  </si>
  <si>
    <t>Documentation Review</t>
  </si>
  <si>
    <t>Review encounters with missing reason descriptions, prioritizing encounter types where this information is required for clinical quality reporting.</t>
  </si>
  <si>
    <t>Data Quality Monitoring</t>
  </si>
  <si>
    <t>Quality Improvement</t>
  </si>
  <si>
    <t>Implement regular checks for missing clinical information, duplicate records, and invalid encounter data.</t>
  </si>
  <si>
    <t>Develop a dashboard to monitor documentation completeness by encounter type and support targeted workflow improvements.</t>
  </si>
  <si>
    <t>Project Limitations</t>
  </si>
  <si>
    <t>Synthetic Dataset</t>
  </si>
  <si>
    <t>Data were generated using Synthea and do not represent actual patients or healthcare organizations.</t>
  </si>
  <si>
    <t>Clinical Interpretation</t>
  </si>
  <si>
    <t>Observed utilization and cost patterns are illustrative and should not be generalized to real-world clinical outcomes.</t>
  </si>
  <si>
    <t>Missing Information</t>
  </si>
  <si>
    <t>Missing encounter reasons may reflect how synthetic records were generated; their significance requires further investigation.</t>
  </si>
  <si>
    <t>EHR Experience</t>
  </si>
  <si>
    <t>This project demonstrates EHR-style data analysis using exported synthetic records, not direct access to a production EHR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</si>
</sst>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wrapText="1"/>
    </xf>
    <xf numFmtId="3" fontId="0" fillId="0" borderId="0" xfId="0" applyNumberFormat="1"/>
    <xf numFmtId="0" fontId="4" fillId="0" borderId="0" xfId="0" applyFon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sree K" refreshedDate="46314.650069560186" createdVersion="8" refreshedVersion="8" minRefreshableVersion="3" recordCount="5571" xr:uid="{A0034C3D-99E7-4A25-B377-FCCCF7E9F03C}">
  <cacheSource type="worksheet">
    <worksheetSource name="Encounters_data"/>
  </cacheSource>
  <cacheFields count="15">
    <cacheField name="Id" numFmtId="0">
      <sharedItems/>
    </cacheField>
    <cacheField name="START" numFmtId="22">
      <sharedItems containsSemiMixedTypes="0" containsNonDate="0" containsDate="1" containsString="0" minDate="1942-11-26T15:44:21" maxDate="2026-08-16T19:50:14"/>
    </cacheField>
    <cacheField name="STOP" numFmtId="22">
      <sharedItems containsSemiMixedTypes="0" containsNonDate="0" containsDate="1" containsString="0" minDate="1942-11-26T16:08:48" maxDate="2026-08-16T20:50:14"/>
    </cacheField>
    <cacheField name="PATIENT" numFmtId="0">
      <sharedItems/>
    </cacheField>
    <cacheField name="ORGANIZATION" numFmtId="0">
      <sharedItems/>
    </cacheField>
    <cacheField name="PROVIDER" numFmtId="0">
      <sharedItems/>
    </cacheField>
    <cacheField name="PAYER" numFmtId="0">
      <sharedItems/>
    </cacheField>
    <cacheField name="ENCOUNTERCLASS" numFmtId="0">
      <sharedItems count="10">
        <s v="wellness"/>
        <s v="ambulatory"/>
        <s v="outpatient"/>
        <s v="emergency"/>
        <s v="urgentcare"/>
        <s v="hospice"/>
        <s v="inpatient"/>
        <s v="snf"/>
        <s v="virtual"/>
        <s v="home"/>
      </sharedItems>
    </cacheField>
    <cacheField name="CODE" numFmtId="0">
      <sharedItems containsSemiMixedTypes="0" containsString="0" containsNumber="1" containsInteger="1" minValue="1505002" maxValue="453131000124105"/>
    </cacheField>
    <cacheField name="DESCRIPTION" numFmtId="0">
      <sharedItems/>
    </cacheField>
    <cacheField name="BASE_ENCOUNTER_COST" numFmtId="0">
      <sharedItems containsSemiMixedTypes="0" containsString="0" containsNumber="1" minValue="75" maxValue="146.18"/>
    </cacheField>
    <cacheField name="TOTAL_CLAIM_COST" numFmtId="0">
      <sharedItems containsSemiMixedTypes="0" containsString="0" containsNumber="1" minValue="75" maxValue="78571.12"/>
    </cacheField>
    <cacheField name="PAYER_COVERAGE" numFmtId="0">
      <sharedItems containsSemiMixedTypes="0" containsString="0" containsNumber="1" minValue="0" maxValue="78571.12"/>
    </cacheField>
    <cacheField name="REASONCODE" numFmtId="0">
      <sharedItems containsString="0" containsBlank="1" containsNumber="1" containsInteger="1" minValue="3718001" maxValue="442571000124108"/>
    </cacheField>
    <cacheField name="REASONDESCRIPTION" numFmtId="0">
      <sharedItems count="105">
        <s v=""/>
        <s v="Acute bronchitis (disorder)"/>
        <s v="Viral sinusitis (disorder)"/>
        <s v="Patient referral for dental care (procedure)"/>
        <s v="Normal pregnancy (finding)"/>
        <s v="Acute infective cystitis (disorder)"/>
        <s v="Congenital uterine anomaly (disorder)"/>
        <s v="Blighted ovum (disorder)"/>
        <s v="Loss of teeth (disorder)"/>
        <s v="Acute viral pharyngitis (disorder)"/>
        <s v="Tree nut (substance)"/>
        <s v="Allergic disposition (finding)"/>
        <s v="Childhood asthma (disorder)"/>
        <s v="Sprain (morphologic abnormality)"/>
        <s v="Acute bacterial sinusitis (disorder)"/>
        <s v="Contraception care (regime/therapy)"/>
        <s v="Perennial allergic rhinitis with seasonal variation (disorder)"/>
        <s v="Gingivitis (disorder)"/>
        <s v="Streptococcal sore throat (disorder)"/>
        <s v="Ischemic heart disease (disorder)"/>
        <s v="Laceration - injury (disorder)"/>
        <s v="Alzheimer's disease (disorder)"/>
        <s v="Sinusitis (disorder)"/>
        <s v="Localized  primary osteoarthritis of the hand (disorder)"/>
        <s v="Fracture of mandible (disorder)"/>
        <s v="Otitis media (disorder)"/>
        <s v="Complete miscarriage (disorder)"/>
        <s v="Impacted molars (disorder)"/>
        <s v="Appendicitis (disorder)"/>
        <s v="Screening for malignant neoplasm of colon (procedure)"/>
        <s v="Suspected disease caused by Severe acute respiratory coronavirus 2 (situation)"/>
        <s v="Essential hypertension (disorder)"/>
        <s v="Anemia (disorder)"/>
        <s v="Chronic pain (finding)"/>
        <s v="Fetus with chromosomal abnormality (disorder)"/>
        <s v="Sterilization requested (situation)"/>
        <s v="Fracture of bone (disorder)"/>
        <s v="Fracture of forearm (disorder)"/>
        <s v="Asthma (disorder)"/>
        <s v="Fracture of clavicle (disorder)"/>
        <s v="Diabetes mellitus type 2 (disorder)"/>
        <s v="Acute ST segment elevation myocardial infarction (disorder)"/>
        <s v="Contact dermatitis (disorder)"/>
        <s v="Tubal pregnancy (disorder)"/>
        <s v="Perennial allergic rhinitis (disorder)"/>
        <s v="Injury of neck (disorder)"/>
        <s v="Patient transfer to skilled nursing facility (procedure)"/>
        <s v="Fracture of ankle (disorder)"/>
        <s v="Injury of tendon of the rotator cuff of shoulder (disorder)"/>
        <s v="Alveolitis of jaw (disorder)"/>
        <s v="Sepsis (disorder)"/>
        <s v="Osteoarthritis of knee (disorder)"/>
        <s v="Hyperlipidemia (disorder)"/>
        <s v="Abnormal findings diagnostic imaging heart+coronary circulat (finding)"/>
        <s v="History of coronary artery bypass grafting (situation)"/>
        <s v="Acute allergic reaction (disorder)"/>
        <s v="Cow's milk (substance)"/>
        <s v="Atopic dermatitis (disorder)"/>
        <s v="Shellfish (substance)"/>
        <s v="Seasonal allergic rhinitis (disorder)"/>
        <s v="Sleep disorder (disorder)"/>
        <s v="Polyp of colon (disorder)"/>
        <s v="Eggs (edible) (substance)"/>
        <s v="Fracture subluxation of wrist (disorder)"/>
        <s v="Chronic congestive heart failure (disorder)"/>
        <s v="Burn injury (morphologic abnormality)"/>
        <s v="Epidermal burn of skin (disorder)"/>
        <s v="Osteoarthritis of hip (disorder)"/>
        <s v="Malignant neoplasm of colon (disorder)"/>
        <s v="Concussion injury of brain (disorder)"/>
        <s v="Concussion with loss of consciousness (disorder)"/>
        <s v="Myocardial infarction (disorder)"/>
        <s v="Acute non-ST segment elevation myocardial infarction (disorder)"/>
        <s v="Cerebral palsy (disorder)"/>
        <s v="Preinfarction syndrome (disorder)"/>
        <s v="Transition from acute care to home-health care (finding)"/>
        <s v="Acquired immune deficiency syndrome (disorder)"/>
        <s v="Cystic fibrosis (disorder)"/>
        <s v="Acute respiratory failure (disorder)"/>
        <s v="Sepsis caused by Staphylococcus aureus (disorder)"/>
        <s v="Sepsis caused by Pseudomonas (disorder)"/>
        <s v="Gout"/>
        <s v="Adolescent idiopathic scoliosis (disorder)"/>
        <s v="Concussion with no loss of consciousness (disorder)"/>
        <s v="Chronic kidney disease stage 4 (disorder)"/>
        <s v="Opioid abuse"/>
        <s v="Wheat (substance)"/>
        <s v="Aortic valve stenosis (disorder)"/>
        <s v="Cerebrovascular accident (disorder)"/>
        <s v="Torus palatinus (disorder)"/>
        <s v="Chronic intractable migraine without aura (disorder)"/>
        <s v="Dependent drug abuse (disorder)"/>
        <s v="Overdose (disorder)"/>
        <s v="Homeless (finding)"/>
        <s v="Traumatic dislocation of temporomandibular joint (disorder)"/>
        <s v="Fracture of rib (disorder)"/>
        <s v="History of aortic valve replacement (situation)"/>
        <s v="Seizure disorder (disorder)"/>
        <s v="Sudden cardiac death (disorder)"/>
        <s v="Screening for malignant neoplasm of breast (procedure)"/>
        <s v="Malignant neoplasm of breast (disorder)"/>
        <s v="Gunshot wound (disorder)"/>
        <s v="Bullet wound (disorder)"/>
        <s v="Disease caused by severe acute respiratory syndrome coronavirus 2 (disorder)"/>
        <s v="Injury of knee (disorder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1">
  <r>
    <s v="cc3eac4a-34a7-9a15-13f3-57f4a6b934f9"/>
    <d v="1996-03-11T03:35:36"/>
    <d v="1996-03-11T04:21:33"/>
    <s v="cc3eac4a-34a7-9a15-1522-8087135631b7"/>
    <s v="a3327df4-d092-350b-b551-e60c82076c9a"/>
    <s v="a7db224a-b937-3e39-be28-5431d106bfdb"/>
    <s v="e03e23c9-4df1-3eb6-a62d-f70f02301496"/>
    <x v="0"/>
    <n v="162673000"/>
    <s v="General examination of patient (procedure)"/>
    <n v="136.80000000000001"/>
    <n v="704.2"/>
    <n v="0"/>
    <m/>
    <x v="0"/>
  </r>
  <r>
    <s v="cc3eac4a-34a7-9a15-1dc5-a353457420c6"/>
    <d v="2006-03-27T03:35:36"/>
    <d v="2006-03-27T04:29:36"/>
    <s v="cc3eac4a-34a7-9a15-1522-8087135631b7"/>
    <s v="a3327df4-d092-350b-b551-e60c82076c9a"/>
    <s v="a7db224a-b937-3e39-be28-5431d106bfdb"/>
    <s v="734afbd6-4794-363b-9bc0-6a3981533ed5"/>
    <x v="0"/>
    <n v="162673000"/>
    <s v="General examination of patient (procedure)"/>
    <n v="136.80000000000001"/>
    <n v="1300.9100000000001"/>
    <n v="0"/>
    <m/>
    <x v="0"/>
  </r>
  <r>
    <s v="cc3eac4a-34a7-9a15-94b5-26ac8c6c7134"/>
    <d v="2009-03-30T04:35:36"/>
    <d v="2009-03-30T05:25:14"/>
    <s v="cc3eac4a-34a7-9a15-1522-8087135631b7"/>
    <s v="a3327df4-d092-350b-b551-e60c82076c9a"/>
    <s v="a7db224a-b937-3e39-be28-5431d106bfdb"/>
    <s v="734afbd6-4794-363b-9bc0-6a3981533ed5"/>
    <x v="0"/>
    <n v="162673000"/>
    <s v="General examination of patient (procedure)"/>
    <n v="136.80000000000001"/>
    <n v="1275.5"/>
    <n v="0"/>
    <m/>
    <x v="0"/>
  </r>
  <r>
    <s v="cc3eac4a-34a7-9a15-2a3d-1a1ba491a8ac"/>
    <d v="2012-04-02T04:35:36"/>
    <d v="2012-04-02T05:18:03"/>
    <s v="cc3eac4a-34a7-9a15-1522-8087135631b7"/>
    <s v="a3327df4-d092-350b-b551-e60c82076c9a"/>
    <s v="a7db224a-b937-3e39-be28-5431d106bfdb"/>
    <s v="0133f751-9229-3cfd-815f-b6d4979bdd6a"/>
    <x v="0"/>
    <n v="162673000"/>
    <s v="General examination of patient (procedure)"/>
    <n v="136.80000000000001"/>
    <n v="934.74"/>
    <n v="0"/>
    <m/>
    <x v="0"/>
  </r>
  <r>
    <s v="cc3eac4a-34a7-9a15-99df-e3a0393fa95e"/>
    <d v="2015-04-06T04:35:36"/>
    <d v="2015-04-06T05:07:26"/>
    <s v="cc3eac4a-34a7-9a15-1522-8087135631b7"/>
    <s v="a3327df4-d092-350b-b551-e60c82076c9a"/>
    <s v="a7db224a-b937-3e39-be28-5431d106bfdb"/>
    <s v="0133f751-9229-3cfd-815f-b6d4979bdd6a"/>
    <x v="0"/>
    <n v="162673000"/>
    <s v="General examination of patient (procedure)"/>
    <n v="136.80000000000001"/>
    <n v="860.16"/>
    <n v="0"/>
    <m/>
    <x v="0"/>
  </r>
  <r>
    <s v="cc3eac4a-34a7-9a15-d602-66b0bd935203"/>
    <d v="2016-03-28T00:35:36"/>
    <d v="2016-03-28T00:52:09"/>
    <s v="cc3eac4a-34a7-9a15-1522-8087135631b7"/>
    <s v="e59fb2d5-508c-38c6-af2e-21d8216dd2b0"/>
    <s v="0c7ec305-444a-3054-9718-196281023a20"/>
    <s v="0133f751-9229-3cfd-815f-b6d4979bdd6a"/>
    <x v="1"/>
    <n v="185345009"/>
    <s v="Encounter for symptom (procedure)"/>
    <n v="85.55"/>
    <n v="13218.36"/>
    <n v="4341.54"/>
    <n v="10509002"/>
    <x v="1"/>
  </r>
  <r>
    <s v="cc3eac4a-34a7-9a15-25f1-0d3ead2180b6"/>
    <d v="2016-10-25T05:35:36"/>
    <d v="2016-10-25T05:50:36"/>
    <s v="cc3eac4a-34a7-9a15-1522-8087135631b7"/>
    <s v="e59fb2d5-508c-38c6-af2e-21d8216dd2b0"/>
    <s v="0c7ec305-444a-3054-9718-196281023a20"/>
    <s v="0133f751-9229-3cfd-815f-b6d4979bdd6a"/>
    <x v="1"/>
    <n v="185345009"/>
    <s v="Encounter for symptom (procedure)"/>
    <n v="85.55"/>
    <n v="85.55"/>
    <n v="85.55"/>
    <n v="444814009"/>
    <x v="2"/>
  </r>
  <r>
    <s v="cc3eac4a-34a7-9a15-da83-de2c625ae978"/>
    <d v="2018-01-22T03:35:36"/>
    <d v="2018-01-22T04:34:09"/>
    <s v="cc3eac4a-34a7-9a15-1522-8087135631b7"/>
    <s v="a3327df4-d092-350b-b551-e60c82076c9a"/>
    <s v="a7db224a-b937-3e39-be28-5431d106bfdb"/>
    <s v="0133f751-9229-3cfd-815f-b6d4979bdd6a"/>
    <x v="0"/>
    <n v="162673000"/>
    <s v="General examination of patient (procedure)"/>
    <n v="136.80000000000001"/>
    <n v="1211.8599999999999"/>
    <n v="0"/>
    <m/>
    <x v="0"/>
  </r>
  <r>
    <s v="cc3eac4a-34a7-9a15-197d-c8faa82aee51"/>
    <d v="2018-02-05T03:35:36"/>
    <d v="2018-02-05T07:53:48"/>
    <s v="cc3eac4a-34a7-9a15-1522-8087135631b7"/>
    <s v="e59fb2d5-508c-38c6-af2e-21d8216dd2b0"/>
    <s v="0c7ec305-444a-3054-9718-196281023a20"/>
    <s v="0133f751-9229-3cfd-815f-b6d4979bdd6a"/>
    <x v="1"/>
    <n v="185349003"/>
    <s v="Encounter for check up (procedure)"/>
    <n v="85.55"/>
    <n v="3968.15"/>
    <n v="0"/>
    <n v="103697008"/>
    <x v="3"/>
  </r>
  <r>
    <s v="cc3eac4a-34a7-9a15-747e-7510e2463417"/>
    <d v="2020-01-27T03:35:36"/>
    <d v="2020-01-27T04:07:58"/>
    <s v="cc3eac4a-34a7-9a15-1522-8087135631b7"/>
    <s v="a3327df4-d092-350b-b551-e60c82076c9a"/>
    <s v="a7db224a-b937-3e39-be28-5431d106bfdb"/>
    <s v="0133f751-9229-3cfd-815f-b6d4979bdd6a"/>
    <x v="0"/>
    <n v="162673000"/>
    <s v="General examination of patient (procedure)"/>
    <n v="136.80000000000001"/>
    <n v="1347.86"/>
    <n v="0"/>
    <m/>
    <x v="0"/>
  </r>
  <r>
    <s v="cc3eac4a-34a7-9a15-88f3-730564694133"/>
    <d v="2020-02-10T03:35:36"/>
    <d v="2020-02-10T06:53:59"/>
    <s v="cc3eac4a-34a7-9a15-1522-8087135631b7"/>
    <s v="e59fb2d5-508c-38c6-af2e-21d8216dd2b0"/>
    <s v="0c7ec305-444a-3054-9718-196281023a20"/>
    <s v="0133f751-9229-3cfd-815f-b6d4979bdd6a"/>
    <x v="1"/>
    <n v="185349003"/>
    <s v="Encounter for check up (procedure)"/>
    <n v="85.55"/>
    <n v="3536.75"/>
    <n v="0"/>
    <n v="103697008"/>
    <x v="3"/>
  </r>
  <r>
    <s v="cc3eac4a-34a7-9a15-f753-5f808d4cf215"/>
    <d v="2021-10-18T04:35:36"/>
    <d v="2021-10-18T04:50:36"/>
    <s v="cc3eac4a-34a7-9a15-1522-8087135631b7"/>
    <s v="e59fb2d5-508c-38c6-af2e-21d8216dd2b0"/>
    <s v="0c7ec305-444a-3054-9718-196281023a20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cc3eac4a-34a7-9a15-ca00-ed6e196c4120"/>
    <d v="2021-11-08T03:35:36"/>
    <d v="2021-11-08T03:50:36"/>
    <s v="cc3eac4a-34a7-9a15-1522-8087135631b7"/>
    <s v="e59fb2d5-508c-38c6-af2e-21d8216dd2b0"/>
    <s v="0c7ec305-444a-3054-9718-196281023a20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cc3eac4a-34a7-9a15-ca32-5d73928c0a72"/>
    <d v="2022-01-31T03:35:36"/>
    <d v="2022-01-31T04:35:08"/>
    <s v="cc3eac4a-34a7-9a15-1522-8087135631b7"/>
    <s v="a3327df4-d092-350b-b551-e60c82076c9a"/>
    <s v="a7db224a-b937-3e39-be28-5431d106bfdb"/>
    <s v="0133f751-9229-3cfd-815f-b6d4979bdd6a"/>
    <x v="0"/>
    <n v="162673000"/>
    <s v="General examination of patient (procedure)"/>
    <n v="136.80000000000001"/>
    <n v="785.58"/>
    <n v="0"/>
    <m/>
    <x v="0"/>
  </r>
  <r>
    <s v="cc3eac4a-34a7-9a15-473f-34cd7ed0707a"/>
    <d v="2022-02-14T03:35:36"/>
    <d v="2022-02-14T06:51:32"/>
    <s v="cc3eac4a-34a7-9a15-1522-8087135631b7"/>
    <s v="e59fb2d5-508c-38c6-af2e-21d8216dd2b0"/>
    <s v="0c7ec305-444a-3054-9718-196281023a20"/>
    <s v="0133f751-9229-3cfd-815f-b6d4979bdd6a"/>
    <x v="1"/>
    <n v="185349003"/>
    <s v="Encounter for check up (procedure)"/>
    <n v="85.55"/>
    <n v="3105.35"/>
    <n v="0"/>
    <n v="103697008"/>
    <x v="3"/>
  </r>
  <r>
    <s v="cc3eac4a-34a7-9a15-65ed-a29acec55dc1"/>
    <d v="2024-02-05T03:35:36"/>
    <d v="2024-02-05T04:35:09"/>
    <s v="cc3eac4a-34a7-9a15-1522-8087135631b7"/>
    <s v="a3327df4-d092-350b-b551-e60c82076c9a"/>
    <s v="a7db224a-b937-3e39-be28-5431d106bfdb"/>
    <s v="734afbd6-4794-363b-9bc0-6a3981533ed5"/>
    <x v="0"/>
    <n v="162673000"/>
    <s v="General examination of patient (procedure)"/>
    <n v="136.80000000000001"/>
    <n v="934.74"/>
    <n v="0"/>
    <m/>
    <x v="0"/>
  </r>
  <r>
    <s v="cc3eac4a-34a7-9a15-a77a-027dab52c156"/>
    <d v="2025-11-29T08:35:36"/>
    <d v="2025-11-29T08:50:36"/>
    <s v="cc3eac4a-34a7-9a15-1522-8087135631b7"/>
    <s v="e59fb2d5-508c-38c6-af2e-21d8216dd2b0"/>
    <s v="0c7ec305-444a-3054-9718-196281023a20"/>
    <s v="734afbd6-4794-363b-9bc0-6a3981533ed5"/>
    <x v="1"/>
    <n v="185345009"/>
    <s v="Encounter for symptom (procedure)"/>
    <n v="85.55"/>
    <n v="85.55"/>
    <n v="0"/>
    <n v="444814009"/>
    <x v="2"/>
  </r>
  <r>
    <s v="cc3eac4a-34a7-9a15-0045-5d8e18d8dd42"/>
    <d v="2026-02-09T03:35:36"/>
    <d v="2026-02-09T04:29:10"/>
    <s v="cc3eac4a-34a7-9a15-1522-8087135631b7"/>
    <s v="a3327df4-d092-350b-b551-e60c82076c9a"/>
    <s v="a7db224a-b937-3e39-be28-5431d106bfdb"/>
    <s v="734afbd6-4794-363b-9bc0-6a3981533ed5"/>
    <x v="0"/>
    <n v="162673000"/>
    <s v="General examination of patient (procedure)"/>
    <n v="136.80000000000001"/>
    <n v="778.78"/>
    <n v="0"/>
    <m/>
    <x v="0"/>
  </r>
  <r>
    <s v="8b9df7af-24b3-66ee-5a2b-56f7415801c1"/>
    <d v="2016-03-19T23:41:03"/>
    <d v="2016-03-19T23:56:03"/>
    <s v="8b9df7af-24b3-66ee-afeb-2734ebcbd33c"/>
    <s v="00ffb204-07b4-3c72-a678-fa252e6cf86c"/>
    <s v="a814538f-c305-35f6-93ff-645e767c9352"/>
    <s v="734afbd6-4794-363b-9bc0-6a3981533ed5"/>
    <x v="0"/>
    <n v="410620009"/>
    <s v="Well child visit (procedure)"/>
    <n v="136.80000000000001"/>
    <n v="704.2"/>
    <n v="0"/>
    <m/>
    <x v="0"/>
  </r>
  <r>
    <s v="8b9df7af-24b3-66ee-d46c-520a00b76fa8"/>
    <d v="2017-03-25T23:41:03"/>
    <d v="2017-03-25T23:56:03"/>
    <s v="8b9df7af-24b3-66ee-afeb-2734ebcbd33c"/>
    <s v="00ffb204-07b4-3c72-a678-fa252e6cf86c"/>
    <s v="a814538f-c305-35f6-93ff-645e767c9352"/>
    <s v="734afbd6-4794-363b-9bc0-6a3981533ed5"/>
    <x v="0"/>
    <n v="410620009"/>
    <s v="Well child visit (procedure)"/>
    <n v="136.80000000000001"/>
    <n v="914.78"/>
    <n v="0"/>
    <m/>
    <x v="0"/>
  </r>
  <r>
    <s v="8b9df7af-24b3-66ee-4f78-03cdb6ff5bba"/>
    <d v="2017-10-07T23:41:03"/>
    <d v="2017-10-07T23:56:03"/>
    <s v="8b9df7af-24b3-66ee-afeb-2734ebcbd33c"/>
    <s v="2836d9ac-c6a6-39d1-8f13-fdf0fc8928f4"/>
    <s v="51936775-54b2-3316-b84c-195ddefe763c"/>
    <s v="734afbd6-4794-363b-9bc0-6a3981533ed5"/>
    <x v="1"/>
    <n v="424441002"/>
    <s v="Prenatal initial visit (regime/therapy)"/>
    <n v="142.58000000000001"/>
    <n v="34696.559999999998"/>
    <n v="27322.67"/>
    <n v="72892002"/>
    <x v="4"/>
  </r>
  <r>
    <s v="8b9df7af-24b3-66ee-d48d-a93131227737"/>
    <d v="2017-11-04T23:41:03"/>
    <d v="2017-11-04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0048.06"/>
    <n v="8038.44"/>
    <n v="72892002"/>
    <x v="4"/>
  </r>
  <r>
    <s v="8b9df7af-24b3-66ee-4471-11430487e72a"/>
    <d v="2017-12-02T22:41:03"/>
    <d v="2017-12-02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6073.89"/>
    <n v="16073.89"/>
    <n v="72892002"/>
    <x v="4"/>
  </r>
  <r>
    <s v="8b9df7af-24b3-66ee-b97e-1c176cec62b8"/>
    <d v="2017-12-30T22:41:03"/>
    <d v="2017-12-30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1046.15"/>
    <n v="11046.15"/>
    <n v="72892002"/>
    <x v="4"/>
  </r>
  <r>
    <s v="8b9df7af-24b3-66ee-9d06-83dc92f9a5ef"/>
    <d v="2018-01-27T22:41:03"/>
    <d v="2018-01-27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2619.2"/>
    <n v="12619.2"/>
    <n v="72892002"/>
    <x v="4"/>
  </r>
  <r>
    <s v="8b9df7af-24b3-66ee-9cc4-2984f0ec47fe"/>
    <d v="2018-02-24T22:41:03"/>
    <d v="2018-02-24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5661.8"/>
    <n v="11363.04"/>
    <n v="72892002"/>
    <x v="4"/>
  </r>
  <r>
    <s v="8b9df7af-24b3-66ee-1167-3b1eca5a2d7e"/>
    <d v="2018-03-24T23:41:03"/>
    <d v="2018-03-24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5125.45"/>
    <n v="12100.36"/>
    <n v="72892002"/>
    <x v="4"/>
  </r>
  <r>
    <s v="8b9df7af-24b3-66ee-e180-382ed946a8f9"/>
    <d v="2018-03-31T23:41:03"/>
    <d v="2018-04-01T00:21:05"/>
    <s v="8b9df7af-24b3-66ee-afeb-2734ebcbd33c"/>
    <s v="00ffb204-07b4-3c72-a678-fa252e6cf86c"/>
    <s v="a814538f-c305-35f6-93ff-645e767c9352"/>
    <s v="734afbd6-4794-363b-9bc0-6a3981533ed5"/>
    <x v="0"/>
    <n v="410620009"/>
    <s v="Well child visit (procedure)"/>
    <n v="136.80000000000001"/>
    <n v="704.2"/>
    <n v="563.36"/>
    <m/>
    <x v="0"/>
  </r>
  <r>
    <s v="8b9df7af-24b3-66ee-78c2-50cf19fce820"/>
    <d v="2018-04-21T23:41:03"/>
    <d v="2018-04-21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8420.2000000000007"/>
    <n v="6736.16"/>
    <n v="72892002"/>
    <x v="4"/>
  </r>
  <r>
    <s v="8b9df7af-24b3-66ee-28ef-815aae24040e"/>
    <d v="2018-05-05T23:41:03"/>
    <d v="2018-05-05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4081.91"/>
    <n v="14081.91"/>
    <n v="72892002"/>
    <x v="4"/>
  </r>
  <r>
    <s v="8b9df7af-24b3-66ee-478d-13b9c49a3711"/>
    <d v="2018-05-12T23:41:03"/>
    <d v="2018-05-12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2541.92"/>
    <n v="12541.92"/>
    <n v="72892002"/>
    <x v="4"/>
  </r>
  <r>
    <s v="8b9df7af-24b3-66ee-06bd-475d45a43175"/>
    <d v="2018-05-19T23:41:03"/>
    <d v="2018-05-19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4665.96"/>
    <n v="4665.96"/>
    <n v="72892002"/>
    <x v="4"/>
  </r>
  <r>
    <s v="8b9df7af-24b3-66ee-7fad-869b4430a8aa"/>
    <d v="2018-05-26T23:41:03"/>
    <d v="2018-05-27T00:41:03"/>
    <s v="8b9df7af-24b3-66ee-afeb-2734ebcbd33c"/>
    <s v="1ddd51d1-7297-3c3b-bad5-98aecd5e4a79"/>
    <s v="978b6103-bc5e-3c77-a066-133aa89bbbf1"/>
    <s v="734afbd6-4794-363b-9bc0-6a3981533ed5"/>
    <x v="3"/>
    <n v="183460006"/>
    <s v="Obstetric emergency hospital admission (procedure)"/>
    <n v="146.18"/>
    <n v="4512.5200000000004"/>
    <n v="4512.5200000000004"/>
    <n v="72892002"/>
    <x v="4"/>
  </r>
  <r>
    <s v="8b9df7af-24b3-66ee-4eeb-9468ea972e4f"/>
    <d v="2018-07-07T23:41:03"/>
    <d v="2018-07-07T23:56:03"/>
    <s v="8b9df7af-24b3-66ee-afeb-2734ebcbd33c"/>
    <s v="2836d9ac-c6a6-39d1-8f13-fdf0fc8928f4"/>
    <s v="51936775-54b2-3316-b84c-195ddefe763c"/>
    <s v="734afbd6-4794-363b-9bc0-6a3981533ed5"/>
    <x v="1"/>
    <n v="169762003"/>
    <s v="Postnatal visit (regime/therapy)"/>
    <n v="142.58000000000001"/>
    <n v="1005.38"/>
    <n v="1005.38"/>
    <m/>
    <x v="0"/>
  </r>
  <r>
    <s v="8b9df7af-24b3-66ee-7f91-c7e4c7fa1bfc"/>
    <d v="2019-04-06T23:41:03"/>
    <d v="2019-04-07T00:14:12"/>
    <s v="8b9df7af-24b3-66ee-afeb-2734ebcbd33c"/>
    <s v="00ffb204-07b4-3c72-a678-fa252e6cf86c"/>
    <s v="a814538f-c305-35f6-93ff-645e767c9352"/>
    <s v="734afbd6-4794-363b-9bc0-6a3981533ed5"/>
    <x v="0"/>
    <n v="162673000"/>
    <s v="General examination of patient (procedure)"/>
    <n v="136.80000000000001"/>
    <n v="919.9"/>
    <n v="0"/>
    <m/>
    <x v="0"/>
  </r>
  <r>
    <s v="8b9df7af-24b3-66ee-0403-196b85240811"/>
    <d v="2019-04-20T23:41:03"/>
    <d v="2019-04-21T02:52:36"/>
    <s v="8b9df7af-24b3-66ee-afeb-2734ebcbd33c"/>
    <s v="2836d9ac-c6a6-39d1-8f13-fdf0fc8928f4"/>
    <s v="51936775-54b2-3316-b84c-195ddefe763c"/>
    <s v="734afbd6-4794-363b-9bc0-6a3981533ed5"/>
    <x v="1"/>
    <n v="185349003"/>
    <s v="Encounter for check up (procedure)"/>
    <n v="85.55"/>
    <n v="3105.35"/>
    <n v="2053.8000000000002"/>
    <n v="103697008"/>
    <x v="3"/>
  </r>
  <r>
    <s v="8b9df7af-24b3-66ee-a2e0-1afc2a82be80"/>
    <d v="2020-04-11T23:41:03"/>
    <d v="2020-04-12T00:35:35"/>
    <s v="8b9df7af-24b3-66ee-afeb-2734ebcbd33c"/>
    <s v="00ffb204-07b4-3c72-a678-fa252e6cf86c"/>
    <s v="a814538f-c305-35f6-93ff-645e767c9352"/>
    <s v="734afbd6-4794-363b-9bc0-6a3981533ed5"/>
    <x v="0"/>
    <n v="162673000"/>
    <s v="General examination of patient (procedure)"/>
    <n v="136.80000000000001"/>
    <n v="919.9"/>
    <n v="0"/>
    <m/>
    <x v="0"/>
  </r>
  <r>
    <s v="8b9df7af-24b3-66ee-b5e3-425f8288f353"/>
    <d v="2020-07-25T23:41:03"/>
    <d v="2020-07-25T23:56:03"/>
    <s v="8b9df7af-24b3-66ee-afeb-2734ebcbd33c"/>
    <s v="2836d9ac-c6a6-39d1-8f13-fdf0fc8928f4"/>
    <s v="51936775-54b2-3316-b84c-195ddefe763c"/>
    <s v="734afbd6-4794-363b-9bc0-6a3981533ed5"/>
    <x v="1"/>
    <n v="424441002"/>
    <s v="Prenatal initial visit (regime/therapy)"/>
    <n v="142.58000000000001"/>
    <n v="42342.36"/>
    <n v="33443.4"/>
    <n v="72892002"/>
    <x v="4"/>
  </r>
  <r>
    <s v="8b9df7af-24b3-66ee-91d1-5f83576c9c1f"/>
    <d v="2020-08-22T23:41:03"/>
    <d v="2020-08-22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8314.75"/>
    <n v="8314.75"/>
    <n v="72892002"/>
    <x v="4"/>
  </r>
  <r>
    <s v="8b9df7af-24b3-66ee-587c-25de867f4519"/>
    <d v="2020-09-19T23:41:03"/>
    <d v="2020-09-19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4315.46"/>
    <n v="14315.46"/>
    <n v="72892002"/>
    <x v="4"/>
  </r>
  <r>
    <s v="8b9df7af-24b3-66ee-8585-435498f3c0f5"/>
    <d v="2020-10-17T23:41:03"/>
    <d v="2020-10-17T23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6523.31"/>
    <n v="6523.31"/>
    <n v="72892002"/>
    <x v="4"/>
  </r>
  <r>
    <s v="8b9df7af-24b3-66ee-b42c-bbf046bc0ab8"/>
    <d v="2020-11-14T22:41:03"/>
    <d v="2020-11-14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6443.19"/>
    <n v="6443.19"/>
    <n v="72892002"/>
    <x v="4"/>
  </r>
  <r>
    <s v="8b9df7af-24b3-66ee-6e92-99e3acd14bac"/>
    <d v="2020-11-23T03:41:03"/>
    <d v="2020-11-23T03:56:03"/>
    <s v="8b9df7af-24b3-66ee-afeb-2734ebcbd33c"/>
    <s v="2836d9ac-c6a6-39d1-8f13-fdf0fc8928f4"/>
    <s v="51936775-54b2-3316-b84c-195ddefe763c"/>
    <s v="734afbd6-4794-363b-9bc0-6a3981533ed5"/>
    <x v="1"/>
    <n v="185345009"/>
    <s v="Encounter for symptom (procedure)"/>
    <n v="85.55"/>
    <n v="85.55"/>
    <n v="85.55"/>
    <n v="444814009"/>
    <x v="2"/>
  </r>
  <r>
    <s v="8b9df7af-24b3-66ee-31b1-033f231db143"/>
    <d v="2020-12-12T22:41:03"/>
    <d v="2020-12-12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7853.29"/>
    <n v="17853.29"/>
    <n v="72892002"/>
    <x v="4"/>
  </r>
  <r>
    <s v="8b9df7af-24b3-66ee-4272-0881a1395d49"/>
    <d v="2021-01-09T22:41:03"/>
    <d v="2021-01-09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4665.96"/>
    <n v="4665.96"/>
    <n v="72892002"/>
    <x v="4"/>
  </r>
  <r>
    <s v="8b9df7af-24b3-66ee-b19d-4331a0dc2a85"/>
    <d v="2021-02-06T22:41:03"/>
    <d v="2021-02-06T22:56:03"/>
    <s v="8b9df7af-24b3-66ee-afeb-2734ebcbd33c"/>
    <s v="2836d9ac-c6a6-39d1-8f13-fdf0fc8928f4"/>
    <s v="51936775-54b2-3316-b84c-195ddefe763c"/>
    <s v="734afbd6-4794-363b-9bc0-6a3981533ed5"/>
    <x v="1"/>
    <n v="424619006"/>
    <s v="Prenatal visit (regime/therapy)"/>
    <n v="142.58000000000001"/>
    <n v="8291.18"/>
    <n v="8291.18"/>
    <n v="72892002"/>
    <x v="4"/>
  </r>
  <r>
    <s v="8b9df7af-24b3-66ee-7a57-9152a0fd284b"/>
    <d v="2021-02-20T22:41:03"/>
    <d v="2021-02-20T22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7664.78"/>
    <n v="7514.78"/>
    <n v="72892002"/>
    <x v="4"/>
  </r>
  <r>
    <s v="8b9df7af-24b3-66ee-987c-a47acb8b28a9"/>
    <d v="2021-02-27T22:41:03"/>
    <d v="2021-02-27T23:41:03"/>
    <s v="8b9df7af-24b3-66ee-afeb-2734ebcbd33c"/>
    <s v="1ddd51d1-7297-3c3b-bad5-98aecd5e4a79"/>
    <s v="978b6103-bc5e-3c77-a066-133aa89bbbf1"/>
    <s v="df166300-5a78-3502-a46a-832842197811"/>
    <x v="3"/>
    <n v="183460006"/>
    <s v="Obstetric emergency hospital admission (procedure)"/>
    <n v="146.18"/>
    <n v="1440.38"/>
    <n v="1390.38"/>
    <n v="72892002"/>
    <x v="4"/>
  </r>
  <r>
    <s v="8b9df7af-24b3-66ee-8975-1ef03abfc74d"/>
    <d v="2021-04-10T23:41:03"/>
    <d v="2021-04-10T23:56:03"/>
    <s v="8b9df7af-24b3-66ee-afeb-2734ebcbd33c"/>
    <s v="2836d9ac-c6a6-39d1-8f13-fdf0fc8928f4"/>
    <s v="51936775-54b2-3316-b84c-195ddefe763c"/>
    <s v="df166300-5a78-3502-a46a-832842197811"/>
    <x v="1"/>
    <n v="169762003"/>
    <s v="Postnatal visit (regime/therapy)"/>
    <n v="142.58000000000001"/>
    <n v="1005.38"/>
    <n v="955.38"/>
    <m/>
    <x v="0"/>
  </r>
  <r>
    <s v="8b9df7af-24b3-66ee-5ca7-72a6a1f9f6bc"/>
    <d v="2021-06-16T23:41:03"/>
    <d v="2021-06-17T01:02:31"/>
    <s v="8b9df7af-24b3-66ee-afeb-2734ebcbd33c"/>
    <s v="2836d9ac-c6a6-39d1-8f13-fdf0fc8928f4"/>
    <s v="51936775-54b2-3316-b84c-195ddefe763c"/>
    <s v="df166300-5a78-3502-a46a-832842197811"/>
    <x v="1"/>
    <n v="185345009"/>
    <s v="Encounter for symptom (procedure)"/>
    <n v="85.55"/>
    <n v="3179.93"/>
    <n v="3129.93"/>
    <n v="307426000"/>
    <x v="5"/>
  </r>
  <r>
    <s v="8b9df7af-24b3-66ee-4ddb-21d867a9468e"/>
    <d v="2021-08-14T23:41:03"/>
    <d v="2021-08-14T23:56:03"/>
    <s v="8b9df7af-24b3-66ee-afeb-2734ebcbd33c"/>
    <s v="2836d9ac-c6a6-39d1-8f13-fdf0fc8928f4"/>
    <s v="51936775-54b2-3316-b84c-195ddefe763c"/>
    <s v="df166300-5a78-3502-a46a-832842197811"/>
    <x v="1"/>
    <n v="424441002"/>
    <s v="Prenatal initial visit (regime/therapy)"/>
    <n v="142.58000000000001"/>
    <n v="56031.53"/>
    <n v="55981.53"/>
    <n v="72892002"/>
    <x v="4"/>
  </r>
  <r>
    <s v="8b9df7af-24b3-66ee-5d36-10b5aa04c135"/>
    <d v="2021-09-11T23:41:03"/>
    <d v="2021-09-11T23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1944.96"/>
    <n v="11894.96"/>
    <n v="72892002"/>
    <x v="4"/>
  </r>
  <r>
    <s v="8b9df7af-24b3-66ee-c09b-0032c401e2c2"/>
    <d v="2021-10-09T23:41:03"/>
    <d v="2021-10-09T23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42.58000000000001"/>
    <n v="92.58"/>
    <n v="72892002"/>
    <x v="4"/>
  </r>
  <r>
    <s v="8b9df7af-24b3-66ee-55a2-0fb29e44e440"/>
    <d v="2021-10-29T23:41:03"/>
    <d v="2021-10-29T23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005.38"/>
    <n v="955.38"/>
    <n v="37849005"/>
    <x v="6"/>
  </r>
  <r>
    <s v="8b9df7af-24b3-66ee-e0f9-1ae395abeb9d"/>
    <d v="2021-11-06T23:41:03"/>
    <d v="2021-11-06T23:56:03"/>
    <s v="8b9df7af-24b3-66ee-afeb-2734ebcbd33c"/>
    <s v="2836d9ac-c6a6-39d1-8f13-fdf0fc8928f4"/>
    <s v="51936775-54b2-3316-b84c-195ddefe763c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b9df7af-24b3-66ee-80e6-bc5c888da0bc"/>
    <d v="2021-11-27T22:41:03"/>
    <d v="2021-11-27T22:56:03"/>
    <s v="8b9df7af-24b3-66ee-afeb-2734ebcbd33c"/>
    <s v="2836d9ac-c6a6-39d1-8f13-fdf0fc8928f4"/>
    <s v="51936775-54b2-3316-b84c-195ddefe763c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b9df7af-24b3-66ee-276d-b0d31e4b09ba"/>
    <d v="2022-02-01T16:41:03"/>
    <d v="2022-02-01T16:56:03"/>
    <s v="8b9df7af-24b3-66ee-afeb-2734ebcbd33c"/>
    <s v="2836d9ac-c6a6-39d1-8f13-fdf0fc8928f4"/>
    <s v="51936775-54b2-3316-b84c-195ddefe763c"/>
    <s v="df166300-5a78-3502-a46a-832842197811"/>
    <x v="1"/>
    <n v="185345009"/>
    <s v="Encounter for symptom (procedure)"/>
    <n v="85.55"/>
    <n v="624.47"/>
    <n v="574.47"/>
    <n v="10509002"/>
    <x v="1"/>
  </r>
  <r>
    <s v="8b9df7af-24b3-66ee-9c34-e83c58fe8a61"/>
    <d v="2022-02-12T22:41:03"/>
    <d v="2022-02-12T23:13:28"/>
    <s v="8b9df7af-24b3-66ee-afeb-2734ebcbd33c"/>
    <s v="2836d9ac-c6a6-39d1-8f13-fdf0fc8928f4"/>
    <s v="51936775-54b2-3316-b84c-195ddefe763c"/>
    <s v="8fa6c185-e44e-3e34-8bd8-39be8694f4ce"/>
    <x v="2"/>
    <n v="185349003"/>
    <s v="Encounter for check up (procedure)"/>
    <n v="85.55"/>
    <n v="1060.95"/>
    <n v="0"/>
    <m/>
    <x v="0"/>
  </r>
  <r>
    <s v="8b9df7af-24b3-66ee-f894-82c17d1ea6db"/>
    <d v="2022-04-04T23:41:03"/>
    <d v="2022-04-04T23:56:03"/>
    <s v="8b9df7af-24b3-66ee-afeb-2734ebcbd33c"/>
    <s v="2836d9ac-c6a6-39d1-8f13-fdf0fc8928f4"/>
    <s v="51936775-54b2-3316-b84c-195ddefe763c"/>
    <s v="8fa6c185-e44e-3e34-8bd8-39be8694f4ce"/>
    <x v="1"/>
    <n v="185345009"/>
    <s v="Encounter for symptom (procedure)"/>
    <n v="85.55"/>
    <n v="85.55"/>
    <n v="0"/>
    <n v="444814009"/>
    <x v="2"/>
  </r>
  <r>
    <s v="8b9df7af-24b3-66ee-29f0-922778478d6d"/>
    <d v="2022-06-11T23:41:03"/>
    <d v="2022-06-11T23:56:03"/>
    <s v="8b9df7af-24b3-66ee-afeb-2734ebcbd33c"/>
    <s v="2836d9ac-c6a6-39d1-8f13-fdf0fc8928f4"/>
    <s v="51936775-54b2-3316-b84c-195ddefe763c"/>
    <s v="8fa6c185-e44e-3e34-8bd8-39be8694f4ce"/>
    <x v="1"/>
    <n v="424441002"/>
    <s v="Prenatal initial visit (regime/therapy)"/>
    <n v="142.58000000000001"/>
    <n v="36386.83"/>
    <n v="23123.33"/>
    <n v="72892002"/>
    <x v="4"/>
  </r>
  <r>
    <s v="65cbad6a-eb9d-420e-3f14-179e0a19da2e"/>
    <d v="1966-08-09T02:35:38"/>
    <d v="1966-08-09T03:33:19"/>
    <s v="65cbad6a-eb9d-420e-9bab-b4f9c6aab7db"/>
    <s v="31e00f85-6909-3d9f-afc6-5ae507ab0c06"/>
    <s v="98cb411d-622d-3bc7-8237-db45749a3351"/>
    <s v="e03e23c9-4df1-3eb6-a62d-f70f02301496"/>
    <x v="0"/>
    <n v="162673000"/>
    <s v="General examination of patient (procedure)"/>
    <n v="136.80000000000001"/>
    <n v="704.2"/>
    <n v="0"/>
    <m/>
    <x v="0"/>
  </r>
  <r>
    <s v="65cbad6a-eb9d-420e-dcb6-99076c13b909"/>
    <d v="1985-08-22T02:35:38"/>
    <d v="1985-08-22T02:50:38"/>
    <s v="65cbad6a-eb9d-420e-9bab-b4f9c6aab7db"/>
    <s v="e2eab39c-5195-34aa-b35f-e89e37cfed01"/>
    <s v="bd19ee55-7b5f-3edb-9d74-a279232ace7a"/>
    <s v="e03e23c9-4df1-3eb6-a62d-f70f02301496"/>
    <x v="1"/>
    <n v="424619006"/>
    <s v="Prenatal visit (regime/therapy)"/>
    <n v="142.58000000000001"/>
    <n v="1005.38"/>
    <n v="0"/>
    <n v="35999006"/>
    <x v="7"/>
  </r>
  <r>
    <s v="65cbad6a-eb9d-420e-fb31-5e187739ba91"/>
    <d v="1990-06-26T02:35:38"/>
    <d v="1990-06-26T03:23:37"/>
    <s v="65cbad6a-eb9d-420e-9bab-b4f9c6aab7db"/>
    <s v="31e00f85-6909-3d9f-afc6-5ae507ab0c06"/>
    <s v="98cb411d-622d-3bc7-8237-db45749a3351"/>
    <s v="e03e23c9-4df1-3eb6-a62d-f70f02301496"/>
    <x v="0"/>
    <n v="162673000"/>
    <s v="General examination of patient (procedure)"/>
    <n v="136.80000000000001"/>
    <n v="1053.25"/>
    <n v="0"/>
    <m/>
    <x v="0"/>
  </r>
  <r>
    <s v="65cbad6a-eb9d-420e-61a7-d16dedd45743"/>
    <d v="1999-06-22T02:35:38"/>
    <d v="1999-06-22T03:20:02"/>
    <s v="65cbad6a-eb9d-420e-9bab-b4f9c6aab7db"/>
    <s v="31e00f85-6909-3d9f-afc6-5ae507ab0c06"/>
    <s v="98cb411d-622d-3bc7-8237-db45749a3351"/>
    <s v="e03e23c9-4df1-3eb6-a62d-f70f02301496"/>
    <x v="0"/>
    <n v="162673000"/>
    <s v="General examination of patient (procedure)"/>
    <n v="136.80000000000001"/>
    <n v="1545.82"/>
    <n v="0"/>
    <m/>
    <x v="0"/>
  </r>
  <r>
    <s v="65cbad6a-eb9d-420e-eae3-f36ab69d7822"/>
    <d v="2008-08-12T02:35:38"/>
    <d v="2008-08-12T03:23:04"/>
    <s v="65cbad6a-eb9d-420e-9bab-b4f9c6aab7db"/>
    <s v="31e00f85-6909-3d9f-afc6-5ae507ab0c06"/>
    <s v="98cb411d-622d-3bc7-8237-db45749a3351"/>
    <s v="0133f751-9229-3cfd-815f-b6d4979bdd6a"/>
    <x v="0"/>
    <n v="162673000"/>
    <s v="General examination of patient (procedure)"/>
    <n v="136.80000000000001"/>
    <n v="4799.8900000000003"/>
    <n v="0"/>
    <m/>
    <x v="0"/>
  </r>
  <r>
    <s v="65cbad6a-eb9d-420e-4c77-271414e1453f"/>
    <d v="2012-09-04T02:35:38"/>
    <d v="2012-09-04T03:25:20"/>
    <s v="65cbad6a-eb9d-420e-9bab-b4f9c6aab7db"/>
    <s v="31e00f85-6909-3d9f-afc6-5ae507ab0c06"/>
    <s v="98cb411d-622d-3bc7-8237-db45749a3351"/>
    <s v="0133f751-9229-3cfd-815f-b6d4979bdd6a"/>
    <x v="0"/>
    <n v="162673000"/>
    <s v="General examination of patient (procedure)"/>
    <n v="136.80000000000001"/>
    <n v="704.2"/>
    <n v="0"/>
    <m/>
    <x v="0"/>
  </r>
  <r>
    <s v="65cbad6a-eb9d-420e-16c1-2706bd12c159"/>
    <d v="2013-09-10T02:35:38"/>
    <d v="2013-09-10T03:29:42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914.78"/>
    <n v="564.98"/>
    <m/>
    <x v="0"/>
  </r>
  <r>
    <s v="65cbad6a-eb9d-420e-5ffe-48701db7582e"/>
    <d v="2013-10-01T02:35:38"/>
    <d v="2013-10-01T03:50:49"/>
    <s v="65cbad6a-eb9d-420e-9bab-b4f9c6aab7db"/>
    <s v="e2eab39c-5195-34aa-b35f-e89e37cfed01"/>
    <s v="bd19ee55-7b5f-3edb-9d74-a279232ace7a"/>
    <s v="a735bf55-83e9-331a-899d-a82a60b9f60c"/>
    <x v="1"/>
    <n v="185347001"/>
    <s v="Encounter for problem (procedure)"/>
    <n v="85.55"/>
    <n v="1379.75"/>
    <n v="1103.8"/>
    <n v="37320007"/>
    <x v="8"/>
  </r>
  <r>
    <s v="65cbad6a-eb9d-420e-aef5-3f6b7c21c719"/>
    <d v="2014-09-16T02:35:38"/>
    <d v="2014-09-16T03:15:54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914.78"/>
    <n v="547.16"/>
    <m/>
    <x v="0"/>
  </r>
  <r>
    <s v="65cbad6a-eb9d-420e-a0a1-bdea0e245db8"/>
    <d v="2015-09-22T02:35:38"/>
    <d v="2015-09-22T03:06:33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04.2"/>
    <n v="379.38"/>
    <m/>
    <x v="0"/>
  </r>
  <r>
    <s v="65cbad6a-eb9d-420e-32d1-80d7bf5c030d"/>
    <d v="2016-09-27T02:35:38"/>
    <d v="2016-09-27T03:30:38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78.78"/>
    <n v="445.48"/>
    <m/>
    <x v="0"/>
  </r>
  <r>
    <s v="8b9df7af-24b3-66ee-9dcb-d8741bb2695c"/>
    <d v="2022-06-23T02:41:03"/>
    <d v="2022-06-23T02:56:03"/>
    <s v="8b9df7af-24b3-66ee-afeb-2734ebcbd33c"/>
    <s v="2836d9ac-c6a6-39d1-8f13-fdf0fc8928f4"/>
    <s v="51936775-54b2-3316-b84c-195ddefe763c"/>
    <s v="8fa6c185-e44e-3e34-8bd8-39be8694f4ce"/>
    <x v="1"/>
    <n v="185345009"/>
    <s v="Encounter for symptom (procedure)"/>
    <n v="85.55"/>
    <n v="948.35"/>
    <n v="948.35"/>
    <n v="195662009"/>
    <x v="9"/>
  </r>
  <r>
    <s v="9a3814bb-f5b0-05f3-3c53-f8c9735ec82c"/>
    <d v="2016-04-02T22:15:31"/>
    <d v="2016-04-02T22:30:31"/>
    <s v="9a3814bb-f5b0-05f3-928e-fe6640d5aa2a"/>
    <s v="afc661fd-71d9-3fc3-adf2-3fc3b5e8a140"/>
    <s v="4f69f42f-d99c-3263-986f-9ef6450d0be9"/>
    <s v="df166300-5a78-3502-a46a-832842197811"/>
    <x v="1"/>
    <n v="185347001"/>
    <s v="Encounter for problem (procedure)"/>
    <n v="85.55"/>
    <n v="85.55"/>
    <n v="35.549999999999997"/>
    <n v="442571000124108"/>
    <x v="10"/>
  </r>
  <r>
    <s v="8b9df7af-24b3-66ee-185a-88d5f175c333"/>
    <d v="2022-07-09T23:41:03"/>
    <d v="2022-07-09T23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13274.66"/>
    <n v="13274.66"/>
    <n v="72892002"/>
    <x v="4"/>
  </r>
  <r>
    <s v="9a3814bb-f5b0-05f3-7f8d-c24687b1fda7"/>
    <d v="2016-04-13T13:15:31"/>
    <d v="2016-04-13T13:52:21"/>
    <s v="9a3814bb-f5b0-05f3-928e-fe6640d5aa2a"/>
    <s v="afc661fd-71d9-3fc3-adf2-3fc3b5e8a140"/>
    <s v="4f69f42f-d99c-3263-986f-9ef6450d0be9"/>
    <s v="df166300-5a78-3502-a46a-832842197811"/>
    <x v="1"/>
    <n v="185347001"/>
    <s v="Encounter for problem (procedure)"/>
    <n v="85.55"/>
    <n v="516.95000000000005"/>
    <n v="466.95"/>
    <n v="609328004"/>
    <x v="11"/>
  </r>
  <r>
    <s v="65cbad6a-eb9d-420e-802d-9c94561b5a98"/>
    <d v="2016-10-04T02:35:38"/>
    <d v="2016-10-04T02:50:38"/>
    <s v="65cbad6a-eb9d-420e-9bab-b4f9c6aab7db"/>
    <s v="e2eab39c-5195-34aa-b35f-e89e37cfed01"/>
    <s v="bd19ee55-7b5f-3edb-9d74-a279232ace7a"/>
    <s v="a735bf55-83e9-331a-899d-a82a60b9f60c"/>
    <x v="1"/>
    <n v="185345009"/>
    <s v="Encounter for symptom (procedure)"/>
    <n v="85.55"/>
    <n v="85.55"/>
    <n v="68.44"/>
    <n v="444814009"/>
    <x v="2"/>
  </r>
  <r>
    <s v="65cbad6a-eb9d-420e-d24a-e5f1ba757a9e"/>
    <d v="2016-10-11T02:35:38"/>
    <d v="2016-10-11T05:31:22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103697008"/>
    <x v="3"/>
  </r>
  <r>
    <s v="8b9df7af-24b3-66ee-9804-e0e8b3da4793"/>
    <d v="2022-08-06T23:41:03"/>
    <d v="2022-08-06T23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13983.43"/>
    <n v="13983.43"/>
    <n v="72892002"/>
    <x v="4"/>
  </r>
  <r>
    <s v="9a3814bb-f5b0-05f3-fd4c-254dd9709c4a"/>
    <d v="2016-09-24T22:15:31"/>
    <d v="2016-09-24T22:30:31"/>
    <s v="9a3814bb-f5b0-05f3-928e-fe6640d5aa2a"/>
    <s v="b574fc4f-313c-38a4-9baf-7e12e431a499"/>
    <s v="ffa29343-48ef-3bad-b921-69da80c7406d"/>
    <s v="df166300-5a78-3502-a46a-832842197811"/>
    <x v="0"/>
    <n v="410620009"/>
    <s v="Well child visit (procedure)"/>
    <n v="136.80000000000001"/>
    <n v="816.8"/>
    <n v="716.8"/>
    <m/>
    <x v="0"/>
  </r>
  <r>
    <s v="9a3814bb-f5b0-05f3-75e2-7ee3319679d2"/>
    <d v="2016-12-24T21:15:31"/>
    <d v="2016-12-24T21:30:31"/>
    <s v="9a3814bb-f5b0-05f3-928e-fe6640d5aa2a"/>
    <s v="b574fc4f-313c-38a4-9baf-7e12e431a499"/>
    <s v="ffa29343-48ef-3bad-b921-69da80c7406d"/>
    <s v="df166300-5a78-3502-a46a-832842197811"/>
    <x v="0"/>
    <n v="410620009"/>
    <s v="Well child visit (procedure)"/>
    <n v="136.80000000000001"/>
    <n v="272.8"/>
    <n v="272.8"/>
    <m/>
    <x v="0"/>
  </r>
  <r>
    <s v="65cbad6a-eb9d-420e-d730-51652ff5a678"/>
    <d v="2017-10-03T02:35:38"/>
    <d v="2017-10-03T03:33:19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04.2"/>
    <n v="379.65"/>
    <m/>
    <x v="0"/>
  </r>
  <r>
    <s v="9a3814bb-f5b0-05f3-3f8b-754f16ccdc6a"/>
    <d v="2017-06-24T22:15:31"/>
    <d v="2017-06-24T22:30:31"/>
    <s v="9a3814bb-f5b0-05f3-928e-fe6640d5aa2a"/>
    <s v="b574fc4f-313c-38a4-9baf-7e12e431a499"/>
    <s v="ffa29343-48ef-3bad-b921-69da80c7406d"/>
    <s v="df166300-5a78-3502-a46a-832842197811"/>
    <x v="0"/>
    <n v="410620009"/>
    <s v="Well child visit (procedure)"/>
    <n v="136.80000000000001"/>
    <n v="1108.99"/>
    <n v="1108.99"/>
    <m/>
    <x v="0"/>
  </r>
  <r>
    <s v="9a3814bb-f5b0-05f3-8607-12bcd1ea3eba"/>
    <d v="2017-09-06T22:15:31"/>
    <d v="2017-09-06T22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516.95000000000005"/>
    <n v="0"/>
    <n v="233678006"/>
    <x v="12"/>
  </r>
  <r>
    <s v="8b9df7af-24b3-66ee-6c30-b58c004451a0"/>
    <d v="2022-09-03T23:41:03"/>
    <d v="2022-09-03T23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8693.92"/>
    <n v="8693.92"/>
    <n v="72892002"/>
    <x v="4"/>
  </r>
  <r>
    <s v="9a3814bb-f5b0-05f3-5b77-adbaaf993479"/>
    <d v="2017-12-23T21:15:31"/>
    <d v="2017-12-23T21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272.8"/>
    <n v="0"/>
    <m/>
    <x v="0"/>
  </r>
  <r>
    <s v="8b9df7af-24b3-66ee-1210-f68874be88a5"/>
    <d v="2022-10-01T23:41:03"/>
    <d v="2022-10-01T23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8335.43"/>
    <n v="8335.43"/>
    <n v="72892002"/>
    <x v="4"/>
  </r>
  <r>
    <s v="8b9df7af-24b3-66ee-aaa8-477cddb35e9b"/>
    <d v="2022-10-29T23:41:03"/>
    <d v="2022-10-29T23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18324.73"/>
    <n v="18324.73"/>
    <n v="72892002"/>
    <x v="4"/>
  </r>
  <r>
    <s v="9a3814bb-f5b0-05f3-6f85-20b8fe1a53e0"/>
    <d v="2018-03-05T21:15:31"/>
    <d v="2018-03-05T21:30:31"/>
    <s v="9a3814bb-f5b0-05f3-928e-fe6640d5aa2a"/>
    <s v="afc661fd-71d9-3fc3-adf2-3fc3b5e8a140"/>
    <s v="4f69f42f-d99c-3263-986f-9ef6450d0be9"/>
    <s v="0133f751-9229-3cfd-815f-b6d4979bdd6a"/>
    <x v="1"/>
    <n v="394701000"/>
    <s v="Asthma follow-up (regime/therapy)"/>
    <n v="142.58000000000001"/>
    <n v="142.58000000000001"/>
    <n v="0"/>
    <n v="233678006"/>
    <x v="12"/>
  </r>
  <r>
    <s v="8b9df7af-24b3-66ee-17bc-5e79e81c237e"/>
    <d v="2022-11-26T22:41:03"/>
    <d v="2022-11-26T22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16484.990000000002"/>
    <n v="16484.990000000002"/>
    <n v="72892002"/>
    <x v="4"/>
  </r>
  <r>
    <s v="9a3814bb-f5b0-05f3-f5e5-86c32271300f"/>
    <d v="2018-06-09T22:15:31"/>
    <d v="2018-06-09T22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278.58"/>
    <n v="0"/>
    <m/>
    <x v="0"/>
  </r>
  <r>
    <s v="8b9df7af-24b3-66ee-b7c8-f014ff07652b"/>
    <d v="2022-12-24T22:41:03"/>
    <d v="2022-12-24T22:56:03"/>
    <s v="8b9df7af-24b3-66ee-afeb-2734ebcbd33c"/>
    <s v="2836d9ac-c6a6-39d1-8f13-fdf0fc8928f4"/>
    <s v="51936775-54b2-3316-b84c-195ddefe763c"/>
    <s v="8fa6c185-e44e-3e34-8bd8-39be8694f4ce"/>
    <x v="1"/>
    <n v="424619006"/>
    <s v="Prenatal visit (regime/therapy)"/>
    <n v="142.58000000000001"/>
    <n v="5528.76"/>
    <n v="5528.76"/>
    <n v="72892002"/>
    <x v="4"/>
  </r>
  <r>
    <s v="8b9df7af-24b3-66ee-eb41-51c775e7f964"/>
    <d v="2023-01-04T22:54:37"/>
    <d v="2023-01-04T23:54:37"/>
    <s v="8b9df7af-24b3-66ee-afeb-2734ebcbd33c"/>
    <s v="1ddd51d1-7297-3c3b-bad5-98aecd5e4a79"/>
    <s v="978b6103-bc5e-3c77-a066-133aa89bbbf1"/>
    <s v="8fa6c185-e44e-3e34-8bd8-39be8694f4ce"/>
    <x v="3"/>
    <n v="50849002"/>
    <s v="Emergency room admission (procedure)"/>
    <n v="146.18"/>
    <n v="146.18"/>
    <n v="146.18"/>
    <n v="384709000"/>
    <x v="13"/>
  </r>
  <r>
    <s v="8b9df7af-24b3-66ee-4651-4c7a9f177207"/>
    <d v="2023-01-07T22:41:03"/>
    <d v="2023-01-07T23:41:03"/>
    <s v="8b9df7af-24b3-66ee-afeb-2734ebcbd33c"/>
    <s v="1ddd51d1-7297-3c3b-bad5-98aecd5e4a79"/>
    <s v="978b6103-bc5e-3c77-a066-133aa89bbbf1"/>
    <s v="8fa6c185-e44e-3e34-8bd8-39be8694f4ce"/>
    <x v="3"/>
    <n v="183460006"/>
    <s v="Obstetric emergency hospital admission (procedure)"/>
    <n v="146.18"/>
    <n v="3218.38"/>
    <n v="3218.38"/>
    <n v="72892002"/>
    <x v="4"/>
  </r>
  <r>
    <s v="9a3814bb-f5b0-05f3-e0dc-309e11331886"/>
    <d v="2018-06-16T22:15:31"/>
    <d v="2018-06-16T22:36:30"/>
    <s v="9a3814bb-f5b0-05f3-928e-fe6640d5aa2a"/>
    <s v="afc661fd-71d9-3fc3-adf2-3fc3b5e8a140"/>
    <s v="4f69f42f-d99c-3263-986f-9ef6450d0be9"/>
    <s v="0133f751-9229-3cfd-815f-b6d4979bdd6a"/>
    <x v="2"/>
    <n v="185349003"/>
    <s v="Encounter for check up (procedure)"/>
    <n v="85.55"/>
    <n v="516.95000000000005"/>
    <n v="0"/>
    <m/>
    <x v="0"/>
  </r>
  <r>
    <s v="8b9df7af-24b3-66ee-2136-18486708d4cb"/>
    <d v="2023-02-18T22:41:03"/>
    <d v="2023-02-18T22:56:03"/>
    <s v="8b9df7af-24b3-66ee-afeb-2734ebcbd33c"/>
    <s v="2836d9ac-c6a6-39d1-8f13-fdf0fc8928f4"/>
    <s v="51936775-54b2-3316-b84c-195ddefe763c"/>
    <s v="df166300-5a78-3502-a46a-832842197811"/>
    <x v="1"/>
    <n v="169762003"/>
    <s v="Postnatal visit (regime/therapy)"/>
    <n v="142.58000000000001"/>
    <n v="1005.38"/>
    <n v="855.38"/>
    <m/>
    <x v="0"/>
  </r>
  <r>
    <s v="8b9df7af-24b3-66ee-7f9c-54810c4e1d9a"/>
    <d v="2023-04-15T23:41:03"/>
    <d v="2023-04-16T00:32:29"/>
    <s v="8b9df7af-24b3-66ee-afeb-2734ebcbd33c"/>
    <s v="00ffb204-07b4-3c72-a678-fa252e6cf86c"/>
    <s v="a814538f-c305-35f6-93ff-645e767c9352"/>
    <s v="df166300-5a78-3502-a46a-832842197811"/>
    <x v="0"/>
    <n v="162673000"/>
    <s v="General examination of patient (procedure)"/>
    <n v="136.80000000000001"/>
    <n v="1777.58"/>
    <n v="1777.58"/>
    <m/>
    <x v="0"/>
  </r>
  <r>
    <s v="9a3814bb-f5b0-05f3-64ee-20a4a3ba6c0c"/>
    <d v="2018-06-23T22:15:31"/>
    <d v="2018-06-23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796.52"/>
    <n v="0"/>
    <m/>
    <x v="0"/>
  </r>
  <r>
    <s v="9a3814bb-f5b0-05f3-230f-6985db10794d"/>
    <d v="2018-06-30T22:15:31"/>
    <d v="2018-07-01T02:18:24"/>
    <s v="9a3814bb-f5b0-05f3-928e-fe6640d5aa2a"/>
    <s v="afc661fd-71d9-3fc3-adf2-3fc3b5e8a140"/>
    <s v="4f69f42f-d99c-3263-986f-9ef6450d0be9"/>
    <s v="0133f751-9229-3cfd-815f-b6d4979bdd6a"/>
    <x v="1"/>
    <n v="185349003"/>
    <s v="Encounter for check up (procedure)"/>
    <n v="85.55"/>
    <n v="3536.75"/>
    <n v="837.88"/>
    <n v="103697008"/>
    <x v="3"/>
  </r>
  <r>
    <s v="8b9df7af-24b3-66ee-17a0-a4332e1be12b"/>
    <d v="2023-06-24T23:41:03"/>
    <d v="2023-06-24T23:56:03"/>
    <s v="8b9df7af-24b3-66ee-afeb-2734ebcbd33c"/>
    <s v="2836d9ac-c6a6-39d1-8f13-fdf0fc8928f4"/>
    <s v="51936775-54b2-3316-b84c-195ddefe763c"/>
    <s v="df166300-5a78-3502-a46a-832842197811"/>
    <x v="1"/>
    <n v="424441002"/>
    <s v="Prenatal initial visit (regime/therapy)"/>
    <n v="142.58000000000001"/>
    <n v="6453.97"/>
    <n v="6403.97"/>
    <n v="72892002"/>
    <x v="4"/>
  </r>
  <r>
    <s v="65cbad6a-eb9d-420e-17d0-e115ed697eef"/>
    <d v="2017-10-17T02:35:38"/>
    <d v="2017-10-17T06:05:41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3536.75"/>
    <n v="2829.4"/>
    <n v="103697008"/>
    <x v="3"/>
  </r>
  <r>
    <s v="9a3814bb-f5b0-05f3-2250-ae200a0ef6f1"/>
    <d v="2018-07-07T22:15:31"/>
    <d v="2018-07-07T22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85.55"/>
    <n v="51.33"/>
    <n v="75498004"/>
    <x v="14"/>
  </r>
  <r>
    <s v="9a3814bb-f5b0-05f3-a43f-3241e9cb896f"/>
    <d v="2018-09-03T22:15:31"/>
    <d v="2018-09-03T22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92.93"/>
    <n v="0"/>
    <n v="75498004"/>
    <x v="14"/>
  </r>
  <r>
    <s v="9a3814bb-f5b0-05f3-b856-6d47e4b2e36e"/>
    <d v="2018-09-15T22:15:31"/>
    <d v="2018-09-15T22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358.28"/>
    <n v="0"/>
    <m/>
    <x v="0"/>
  </r>
  <r>
    <s v="9a3814bb-f5b0-05f3-4fb0-647d12ee1490"/>
    <d v="2018-09-22T22:15:31"/>
    <d v="2018-09-22T22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358.28"/>
    <n v="0"/>
    <m/>
    <x v="0"/>
  </r>
  <r>
    <s v="8b9df7af-24b3-66ee-54c5-e64e1a58f927"/>
    <d v="2023-07-06T23:41:03"/>
    <d v="2023-07-06T23:56:03"/>
    <s v="8b9df7af-24b3-66ee-afeb-2734ebcbd33c"/>
    <s v="2836d9ac-c6a6-39d1-8f13-fdf0fc8928f4"/>
    <s v="51936775-54b2-3316-b84c-195ddefe763c"/>
    <s v="df166300-5a78-3502-a46a-832842197811"/>
    <x v="1"/>
    <n v="270427003"/>
    <s v="Patient-initiated encounter (procedure)"/>
    <n v="85.55"/>
    <n v="4444.9799999999996"/>
    <n v="4394.9799999999996"/>
    <n v="72892002"/>
    <x v="4"/>
  </r>
  <r>
    <s v="8b9df7af-24b3-66ee-2790-1781792485b4"/>
    <d v="2023-07-23T23:41:03"/>
    <d v="2023-07-23T23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443.68"/>
    <n v="1393.68"/>
    <n v="72892002"/>
    <x v="4"/>
  </r>
  <r>
    <s v="8b9df7af-24b3-66ee-7598-ee5379ec466e"/>
    <d v="2023-10-28T23:41:03"/>
    <d v="2023-10-28T23:56:03"/>
    <s v="8b9df7af-24b3-66ee-afeb-2734ebcbd33c"/>
    <s v="2836d9ac-c6a6-39d1-8f13-fdf0fc8928f4"/>
    <s v="51936775-54b2-3316-b84c-195ddefe763c"/>
    <s v="df166300-5a78-3502-a46a-832842197811"/>
    <x v="1"/>
    <n v="424441002"/>
    <s v="Prenatal initial visit (regime/therapy)"/>
    <n v="142.58000000000001"/>
    <n v="10856.7"/>
    <n v="10806.7"/>
    <n v="72892002"/>
    <x v="4"/>
  </r>
  <r>
    <s v="65cbad6a-eb9d-420e-4aff-42d0a7eb0810"/>
    <d v="2018-07-22T17:35:38"/>
    <d v="2018-07-22T17:50:38"/>
    <s v="65cbad6a-eb9d-420e-9bab-b4f9c6aab7db"/>
    <s v="e2eab39c-5195-34aa-b35f-e89e37cfed01"/>
    <s v="bd19ee55-7b5f-3edb-9d74-a279232ace7a"/>
    <s v="a735bf55-83e9-331a-899d-a82a60b9f60c"/>
    <x v="1"/>
    <n v="185345009"/>
    <s v="Encounter for symptom (procedure)"/>
    <n v="85.55"/>
    <n v="85.55"/>
    <n v="0"/>
    <n v="195662009"/>
    <x v="9"/>
  </r>
  <r>
    <s v="8b9df7af-24b3-66ee-d35e-86dac93d3bc7"/>
    <d v="2023-11-05T22:41:03"/>
    <d v="2023-11-05T22:56:03"/>
    <s v="8b9df7af-24b3-66ee-afeb-2734ebcbd33c"/>
    <s v="2836d9ac-c6a6-39d1-8f13-fdf0fc8928f4"/>
    <s v="51936775-54b2-3316-b84c-195ddefe763c"/>
    <s v="df166300-5a78-3502-a46a-832842197811"/>
    <x v="1"/>
    <n v="270427003"/>
    <s v="Patient-initiated encounter (procedure)"/>
    <n v="85.55"/>
    <n v="4444.9799999999996"/>
    <n v="4394.9799999999996"/>
    <n v="72892002"/>
    <x v="4"/>
  </r>
  <r>
    <s v="65cbad6a-eb9d-420e-cb98-2a75b5b04b47"/>
    <d v="2018-10-09T02:35:38"/>
    <d v="2018-10-09T03:19:58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04.2"/>
    <n v="454.35"/>
    <m/>
    <x v="0"/>
  </r>
  <r>
    <s v="8b9df7af-24b3-66ee-d2b9-bc48cbb4ab75"/>
    <d v="2023-11-15T22:41:03"/>
    <d v="2023-11-15T22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443.68"/>
    <n v="1393.68"/>
    <n v="72892002"/>
    <x v="4"/>
  </r>
  <r>
    <s v="8b9df7af-24b3-66ee-1ebd-36cda2ea80f3"/>
    <d v="2024-02-17T22:41:03"/>
    <d v="2024-02-17T22:56:03"/>
    <s v="8b9df7af-24b3-66ee-afeb-2734ebcbd33c"/>
    <s v="2836d9ac-c6a6-39d1-8f13-fdf0fc8928f4"/>
    <s v="51936775-54b2-3316-b84c-195ddefe763c"/>
    <s v="df166300-5a78-3502-a46a-832842197811"/>
    <x v="1"/>
    <n v="424441002"/>
    <s v="Prenatal initial visit (regime/therapy)"/>
    <n v="142.58000000000001"/>
    <n v="22217.93"/>
    <n v="22067.93"/>
    <n v="72892002"/>
    <x v="4"/>
  </r>
  <r>
    <s v="8b9df7af-24b3-66ee-3bd8-99c55bc704a1"/>
    <d v="2024-02-28T22:41:03"/>
    <d v="2024-02-28T22:56:03"/>
    <s v="8b9df7af-24b3-66ee-afeb-2734ebcbd33c"/>
    <s v="2836d9ac-c6a6-39d1-8f13-fdf0fc8928f4"/>
    <s v="51936775-54b2-3316-b84c-195ddefe763c"/>
    <s v="df166300-5a78-3502-a46a-832842197811"/>
    <x v="1"/>
    <n v="270427003"/>
    <s v="Patient-initiated encounter (procedure)"/>
    <n v="85.55"/>
    <n v="4444.9799999999996"/>
    <n v="4394.9799999999996"/>
    <n v="72892002"/>
    <x v="4"/>
  </r>
  <r>
    <s v="8b9df7af-24b3-66ee-0699-652a802bf405"/>
    <d v="2024-03-06T22:41:03"/>
    <d v="2024-03-06T22:56:03"/>
    <s v="8b9df7af-24b3-66ee-afeb-2734ebcbd33c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594.98"/>
    <n v="1544.98"/>
    <n v="72892002"/>
    <x v="4"/>
  </r>
  <r>
    <s v="8b9df7af-24b3-66ee-642b-5775fe565710"/>
    <d v="2024-04-01T23:41:03"/>
    <d v="2024-04-01T23:59:52"/>
    <s v="8b9df7af-24b3-66ee-afeb-2734ebcbd33c"/>
    <s v="2836d9ac-c6a6-39d1-8f13-fdf0fc8928f4"/>
    <s v="51936775-54b2-3316-b84c-195ddefe763c"/>
    <s v="df166300-5a78-3502-a46a-832842197811"/>
    <x v="2"/>
    <n v="698314001"/>
    <s v="Consultation for treatment (procedure)"/>
    <n v="142.58000000000001"/>
    <n v="1250.8499999999999"/>
    <n v="1200.8499999999999"/>
    <n v="389095005"/>
    <x v="15"/>
  </r>
  <r>
    <s v="9a3814bb-f5b0-05f3-dc32-28cb99d5b416"/>
    <d v="2018-09-29T22:15:31"/>
    <d v="2018-09-29T22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85.55"/>
    <n v="0"/>
    <n v="75498004"/>
    <x v="14"/>
  </r>
  <r>
    <s v="8b9df7af-24b3-66ee-6b2d-786a018c04a3"/>
    <d v="2024-07-13T23:41:03"/>
    <d v="2024-07-14T00:00:34"/>
    <s v="8b9df7af-24b3-66ee-afeb-2734ebcbd33c"/>
    <s v="2836d9ac-c6a6-39d1-8f13-fdf0fc8928f4"/>
    <s v="51936775-54b2-3316-b84c-195ddefe763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9a3814bb-f5b0-05f3-4909-86e1cbc82d22"/>
    <d v="2018-10-26T22:15:31"/>
    <d v="2018-10-26T22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85.55"/>
    <n v="0"/>
    <n v="232353008"/>
    <x v="16"/>
  </r>
  <r>
    <s v="9a3814bb-f5b0-05f3-074a-f57f8d982676"/>
    <d v="2018-12-22T21:15:31"/>
    <d v="2018-12-22T21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352.5"/>
    <n v="0"/>
    <m/>
    <x v="0"/>
  </r>
  <r>
    <s v="8b9df7af-24b3-66ee-e934-5036fa74adaf"/>
    <d v="2024-10-12T23:41:03"/>
    <d v="2024-10-12T23:59:19"/>
    <s v="8b9df7af-24b3-66ee-afeb-2734ebcbd33c"/>
    <s v="2836d9ac-c6a6-39d1-8f13-fdf0fc8928f4"/>
    <s v="51936775-54b2-3316-b84c-195ddefe763c"/>
    <s v="df166300-5a78-3502-a46a-832842197811"/>
    <x v="2"/>
    <n v="308335008"/>
    <s v="Patient encounter procedure (procedure)"/>
    <n v="142.58000000000001"/>
    <n v="1677.53"/>
    <n v="1627.53"/>
    <n v="389095005"/>
    <x v="15"/>
  </r>
  <r>
    <s v="8b9df7af-24b3-66ee-fc9f-74f403548317"/>
    <d v="2025-01-11T22:41:03"/>
    <d v="2025-01-11T22:56:03"/>
    <s v="8b9df7af-24b3-66ee-afeb-2734ebcbd33c"/>
    <s v="2836d9ac-c6a6-39d1-8f13-fdf0fc8928f4"/>
    <s v="51936775-54b2-3316-b84c-195ddefe763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8b9df7af-24b3-66ee-6977-093eb32c9351"/>
    <d v="2025-04-12T23:41:03"/>
    <d v="2025-04-12T23:57:44"/>
    <s v="8b9df7af-24b3-66ee-afeb-2734ebcbd33c"/>
    <s v="2836d9ac-c6a6-39d1-8f13-fdf0fc8928f4"/>
    <s v="51936775-54b2-3316-b84c-195ddefe763c"/>
    <s v="8fa6c185-e44e-3e34-8bd8-39be8694f4ce"/>
    <x v="2"/>
    <n v="308335008"/>
    <s v="Patient encounter procedure (procedure)"/>
    <n v="142.58000000000001"/>
    <n v="2685.7"/>
    <n v="0"/>
    <n v="389095005"/>
    <x v="15"/>
  </r>
  <r>
    <s v="8b9df7af-24b3-66ee-b5c2-2c183b6f64da"/>
    <d v="2025-07-12T23:41:03"/>
    <d v="2025-07-12T23:56:03"/>
    <s v="8b9df7af-24b3-66ee-afeb-2734ebcbd33c"/>
    <s v="2836d9ac-c6a6-39d1-8f13-fdf0fc8928f4"/>
    <s v="51936775-54b2-3316-b84c-195ddefe763c"/>
    <s v="8fa6c185-e44e-3e34-8bd8-39be8694f4ce"/>
    <x v="2"/>
    <n v="308335008"/>
    <s v="Patient encounter procedure (procedure)"/>
    <n v="142.58000000000001"/>
    <n v="1250.8499999999999"/>
    <n v="0"/>
    <n v="389095005"/>
    <x v="15"/>
  </r>
  <r>
    <s v="9a3814bb-f5b0-05f3-fee0-b557bc5b1d34"/>
    <d v="2019-01-05T21:15:31"/>
    <d v="2019-01-05T21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938.26"/>
    <n v="0"/>
    <m/>
    <x v="0"/>
  </r>
  <r>
    <s v="8b9df7af-24b3-66ee-d0c0-7a83657e5aa2"/>
    <d v="2025-10-11T23:41:03"/>
    <d v="2025-10-11T23:56:03"/>
    <s v="8b9df7af-24b3-66ee-afeb-2734ebcbd33c"/>
    <s v="2836d9ac-c6a6-39d1-8f13-fdf0fc8928f4"/>
    <s v="51936775-54b2-3316-b84c-195ddefe763c"/>
    <s v="8fa6c185-e44e-3e34-8bd8-39be8694f4ce"/>
    <x v="2"/>
    <n v="308335008"/>
    <s v="Patient encounter procedure (procedure)"/>
    <n v="142.58000000000001"/>
    <n v="1250.8499999999999"/>
    <n v="481.18"/>
    <n v="389095005"/>
    <x v="15"/>
  </r>
  <r>
    <s v="8b9df7af-24b3-66ee-3b2d-88de9f25cd70"/>
    <d v="2026-01-10T22:41:03"/>
    <d v="2026-01-10T22:56:03"/>
    <s v="8b9df7af-24b3-66ee-afeb-2734ebcbd33c"/>
    <s v="2836d9ac-c6a6-39d1-8f13-fdf0fc8928f4"/>
    <s v="51936775-54b2-3316-b84c-195ddefe763c"/>
    <s v="8fa6c185-e44e-3e34-8bd8-39be8694f4ce"/>
    <x v="2"/>
    <n v="308335008"/>
    <s v="Patient encounter procedure (procedure)"/>
    <n v="142.58000000000001"/>
    <n v="1250.8499999999999"/>
    <n v="875.6"/>
    <n v="389095005"/>
    <x v="15"/>
  </r>
  <r>
    <s v="8b9df7af-24b3-66ee-2a44-d77cc104c24b"/>
    <d v="2026-04-11T23:41:03"/>
    <d v="2026-04-11T23:56:03"/>
    <s v="8b9df7af-24b3-66ee-afeb-2734ebcbd33c"/>
    <s v="2836d9ac-c6a6-39d1-8f13-fdf0fc8928f4"/>
    <s v="51936775-54b2-3316-b84c-195ddefe763c"/>
    <s v="8fa6c185-e44e-3e34-8bd8-39be8694f4ce"/>
    <x v="2"/>
    <n v="308335008"/>
    <s v="Patient encounter procedure (procedure)"/>
    <n v="142.58000000000001"/>
    <n v="1250.8499999999999"/>
    <n v="0"/>
    <n v="389095005"/>
    <x v="15"/>
  </r>
  <r>
    <s v="9a3814bb-f5b0-05f3-9206-3042e7a75083"/>
    <d v="2019-01-12T21:15:31"/>
    <d v="2019-01-12T21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142.58000000000001"/>
    <n v="0"/>
    <m/>
    <x v="0"/>
  </r>
  <r>
    <s v="8b9df7af-24b3-66ee-bf90-f3660887778c"/>
    <d v="2026-04-25T23:41:03"/>
    <d v="2026-04-26T00:25:59"/>
    <s v="8b9df7af-24b3-66ee-afeb-2734ebcbd33c"/>
    <s v="00ffb204-07b4-3c72-a678-fa252e6cf86c"/>
    <s v="a814538f-c305-35f6-93ff-645e767c9352"/>
    <s v="8fa6c185-e44e-3e34-8bd8-39be8694f4ce"/>
    <x v="0"/>
    <n v="162673000"/>
    <s v="General examination of patient (procedure)"/>
    <n v="136.80000000000001"/>
    <n v="1362.13"/>
    <n v="0"/>
    <m/>
    <x v="0"/>
  </r>
  <r>
    <s v="8b9df7af-24b3-66ee-b703-e162169e58c2"/>
    <d v="2026-05-09T23:41:03"/>
    <d v="2026-05-10T03:38:18"/>
    <s v="8b9df7af-24b3-66ee-afeb-2734ebcbd33c"/>
    <s v="2836d9ac-c6a6-39d1-8f13-fdf0fc8928f4"/>
    <s v="51936775-54b2-3316-b84c-195ddefe763c"/>
    <s v="8fa6c185-e44e-3e34-8bd8-39be8694f4ce"/>
    <x v="1"/>
    <n v="185349003"/>
    <s v="Encounter for check up (procedure)"/>
    <n v="85.55"/>
    <n v="3105.35"/>
    <n v="943.79"/>
    <n v="66383009"/>
    <x v="17"/>
  </r>
  <r>
    <s v="65cbad6a-eb9d-420e-e583-f53289e71e90"/>
    <d v="2018-10-23T02:35:38"/>
    <d v="2018-10-23T06:47:05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3536.75"/>
    <n v="2829.4"/>
    <n v="103697008"/>
    <x v="3"/>
  </r>
  <r>
    <s v="8b9df7af-24b3-66ee-b7fa-c5907474839c"/>
    <d v="2026-07-11T23:41:03"/>
    <d v="2026-07-11T23:56:03"/>
    <s v="8b9df7af-24b3-66ee-afeb-2734ebcbd33c"/>
    <s v="2836d9ac-c6a6-39d1-8f13-fdf0fc8928f4"/>
    <s v="51936775-54b2-3316-b84c-195ddefe763c"/>
    <s v="8fa6c185-e44e-3e34-8bd8-39be8694f4ce"/>
    <x v="2"/>
    <n v="308335008"/>
    <s v="Patient encounter procedure (procedure)"/>
    <n v="142.58000000000001"/>
    <n v="2174.48"/>
    <n v="1522.14"/>
    <n v="389095005"/>
    <x v="15"/>
  </r>
  <r>
    <s v="9a3814bb-f5b0-05f3-652a-d61c0c19617d"/>
    <d v="2019-01-19T21:15:31"/>
    <d v="2019-01-19T21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864.14"/>
    <n v="0"/>
    <m/>
    <x v="0"/>
  </r>
  <r>
    <s v="9a3814bb-f5b0-05f3-5b9e-1c747c9bef10"/>
    <d v="2019-01-26T21:15:31"/>
    <d v="2019-01-26T21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573.98"/>
    <n v="0"/>
    <m/>
    <x v="0"/>
  </r>
  <r>
    <s v="65cbad6a-eb9d-420e-5d27-8dbe153b9ace"/>
    <d v="2019-10-15T02:35:38"/>
    <d v="2019-10-15T03:09:32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989.36"/>
    <n v="615.99"/>
    <m/>
    <x v="0"/>
  </r>
  <r>
    <s v="9a3814bb-f5b0-05f3-0942-95c84e537b88"/>
    <d v="2019-02-02T21:15:31"/>
    <d v="2019-02-02T23:20:25"/>
    <s v="9a3814bb-f5b0-05f3-928e-fe6640d5aa2a"/>
    <s v="afc661fd-71d9-3fc3-adf2-3fc3b5e8a140"/>
    <s v="4f69f42f-d99c-3263-986f-9ef6450d0be9"/>
    <s v="0133f751-9229-3cfd-815f-b6d4979bdd6a"/>
    <x v="1"/>
    <n v="185349003"/>
    <s v="Encounter for check up (procedure)"/>
    <n v="85.55"/>
    <n v="3105.35"/>
    <n v="1609.54"/>
    <n v="103697008"/>
    <x v="3"/>
  </r>
  <r>
    <s v="9a3814bb-f5b0-05f3-6ea8-79f53ba33c72"/>
    <d v="2019-02-09T21:15:31"/>
    <d v="2019-02-09T21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2340.9"/>
    <n v="1404.54"/>
    <n v="43878008"/>
    <x v="18"/>
  </r>
  <r>
    <s v="9a3814bb-f5b0-05f3-6f9f-4d5f03daf23a"/>
    <d v="2019-02-28T21:15:31"/>
    <d v="2019-02-28T21:30:31"/>
    <s v="9a3814bb-f5b0-05f3-928e-fe6640d5aa2a"/>
    <s v="afc661fd-71d9-3fc3-adf2-3fc3b5e8a140"/>
    <s v="4f69f42f-d99c-3263-986f-9ef6450d0be9"/>
    <s v="0133f751-9229-3cfd-815f-b6d4979bdd6a"/>
    <x v="1"/>
    <n v="394701000"/>
    <s v="Asthma follow-up (regime/therapy)"/>
    <n v="142.58000000000001"/>
    <n v="142.58000000000001"/>
    <n v="85.55"/>
    <n v="233678006"/>
    <x v="12"/>
  </r>
  <r>
    <s v="65cbad6a-eb9d-420e-7de1-2b2961d601c0"/>
    <d v="2019-10-29T02:35:38"/>
    <d v="2019-10-29T06:05:39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2673.95"/>
    <n v="2139.16"/>
    <n v="66383009"/>
    <x v="17"/>
  </r>
  <r>
    <s v="9a3814bb-f5b0-05f3-a55a-498bd0064bd9"/>
    <d v="2019-06-22T22:15:31"/>
    <d v="2019-06-22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136.80000000000001"/>
    <n v="82.08"/>
    <m/>
    <x v="0"/>
  </r>
  <r>
    <s v="9a3814bb-f5b0-05f3-173a-1276dc11f969"/>
    <d v="2020-05-28T11:15:31"/>
    <d v="2020-05-28T11:30:31"/>
    <s v="9a3814bb-f5b0-05f3-928e-fe6640d5aa2a"/>
    <s v="afc661fd-71d9-3fc3-adf2-3fc3b5e8a140"/>
    <s v="4f69f42f-d99c-3263-986f-9ef6450d0be9"/>
    <s v="0133f751-9229-3cfd-815f-b6d4979bdd6a"/>
    <x v="1"/>
    <n v="185347001"/>
    <s v="Encounter for problem (procedure)"/>
    <n v="85.55"/>
    <n v="85.55"/>
    <n v="0"/>
    <n v="442571000124108"/>
    <x v="10"/>
  </r>
  <r>
    <s v="9a3814bb-f5b0-05f3-d39e-cf2100cb0ab9"/>
    <d v="2020-06-27T22:15:31"/>
    <d v="2020-06-27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816.8"/>
    <n v="0"/>
    <m/>
    <x v="0"/>
  </r>
  <r>
    <s v="9a3814bb-f5b0-05f3-4c97-bdf8295b8a0b"/>
    <d v="2020-08-21T22:15:31"/>
    <d v="2020-08-21T22:30:31"/>
    <s v="9a3814bb-f5b0-05f3-928e-fe6640d5aa2a"/>
    <s v="afc661fd-71d9-3fc3-adf2-3fc3b5e8a140"/>
    <s v="4f69f42f-d99c-3263-986f-9ef6450d0be9"/>
    <s v="0133f751-9229-3cfd-815f-b6d4979bdd6a"/>
    <x v="1"/>
    <n v="394701000"/>
    <s v="Asthma follow-up (regime/therapy)"/>
    <n v="142.58000000000001"/>
    <n v="142.58000000000001"/>
    <n v="0"/>
    <n v="233678006"/>
    <x v="12"/>
  </r>
  <r>
    <s v="9a3814bb-f5b0-05f3-1a49-bec247006f2e"/>
    <d v="2021-07-03T22:15:31"/>
    <d v="2021-07-03T22:32:25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778.78"/>
    <n v="0"/>
    <m/>
    <x v="0"/>
  </r>
  <r>
    <s v="65cbad6a-eb9d-420e-7096-68be1f0875eb"/>
    <d v="2019-11-05T01:35:38"/>
    <d v="2019-11-05T02:25:36"/>
    <s v="65cbad6a-eb9d-420e-9bab-b4f9c6aab7db"/>
    <s v="74ab949d-17ac-3309-83a0-13b4405c66aa"/>
    <s v="35fedf4a-4da7-315e-a103-dbcfea0540fa"/>
    <s v="a735bf55-83e9-331a-899d-a82a60b9f60c"/>
    <x v="1"/>
    <n v="185347001"/>
    <s v="Encounter for problem (procedure)"/>
    <n v="85.55"/>
    <n v="516.95000000000005"/>
    <n v="413.56"/>
    <n v="414545008"/>
    <x v="19"/>
  </r>
  <r>
    <s v="65cbad6a-eb9d-420e-fcf5-197afc1cd1d8"/>
    <d v="2019-11-09T13:25:36"/>
    <d v="2019-11-09T17:37:34"/>
    <s v="65cbad6a-eb9d-420e-9bab-b4f9c6aab7db"/>
    <s v="74ab949d-17ac-3309-83a0-13b4405c66aa"/>
    <s v="35fedf4a-4da7-315e-a103-dbcfea0540fa"/>
    <s v="a735bf55-83e9-331a-899d-a82a60b9f60c"/>
    <x v="1"/>
    <n v="185347001"/>
    <s v="Encounter for problem (procedure)"/>
    <n v="85.55"/>
    <n v="1444.46"/>
    <n v="1155.57"/>
    <n v="414545008"/>
    <x v="19"/>
  </r>
  <r>
    <s v="65cbad6a-eb9d-420e-8b03-3cb4fe1dea67"/>
    <d v="2019-11-12T09:37:34"/>
    <d v="2019-11-12T10:43:06"/>
    <s v="65cbad6a-eb9d-420e-9bab-b4f9c6aab7db"/>
    <s v="74ab949d-17ac-3309-83a0-13b4405c66aa"/>
    <s v="35fedf4a-4da7-315e-a103-dbcfea0540fa"/>
    <s v="a735bf55-83e9-331a-899d-a82a60b9f60c"/>
    <x v="1"/>
    <n v="185347001"/>
    <s v="Encounter for problem (procedure)"/>
    <n v="85.55"/>
    <n v="9341.15"/>
    <n v="7472.92"/>
    <n v="414545008"/>
    <x v="19"/>
  </r>
  <r>
    <s v="65cbad6a-eb9d-420e-297c-43f9a9096506"/>
    <d v="2019-12-23T03:35:38"/>
    <d v="2019-12-23T03:56:22"/>
    <s v="65cbad6a-eb9d-420e-9bab-b4f9c6aab7db"/>
    <s v="e2eab39c-5195-34aa-b35f-e89e37cfed01"/>
    <s v="bd19ee55-7b5f-3edb-9d74-a279232ace7a"/>
    <s v="a735bf55-83e9-331a-899d-a82a60b9f60c"/>
    <x v="1"/>
    <n v="185345009"/>
    <s v="Encounter for symptom (procedure)"/>
    <n v="85.55"/>
    <n v="5740.39"/>
    <n v="4592.3100000000004"/>
    <n v="10509002"/>
    <x v="1"/>
  </r>
  <r>
    <s v="65cbad6a-eb9d-420e-dfb3-7b7cc860ed4b"/>
    <d v="2019-12-31T01:35:38"/>
    <d v="2019-12-31T02:06:16"/>
    <s v="65cbad6a-eb9d-420e-9bab-b4f9c6aab7db"/>
    <s v="bccd7d67-203c-3d93-b6b0-bff5a146cd1d"/>
    <s v="25a63771-aea1-310b-ad1e-004c7a015b49"/>
    <s v="a735bf55-83e9-331a-899d-a82a60b9f60c"/>
    <x v="4"/>
    <n v="702927004"/>
    <s v="Urgent care clinic (environment)"/>
    <n v="142.58000000000001"/>
    <n v="1366"/>
    <n v="1092.8"/>
    <m/>
    <x v="0"/>
  </r>
  <r>
    <s v="9a3814bb-f5b0-05f3-9d5d-5b85d9fc6d0c"/>
    <d v="2021-07-10T22:15:31"/>
    <d v="2021-07-11T01:50:12"/>
    <s v="9a3814bb-f5b0-05f3-928e-fe6640d5aa2a"/>
    <s v="afc661fd-71d9-3fc3-adf2-3fc3b5e8a140"/>
    <s v="4f69f42f-d99c-3263-986f-9ef6450d0be9"/>
    <s v="0133f751-9229-3cfd-815f-b6d4979bdd6a"/>
    <x v="1"/>
    <n v="185349003"/>
    <s v="Encounter for check up (procedure)"/>
    <n v="85.55"/>
    <n v="3105.35"/>
    <n v="0"/>
    <n v="103697008"/>
    <x v="3"/>
  </r>
  <r>
    <s v="65cbad6a-eb9d-420e-38e2-1e59dd7d813f"/>
    <d v="2020-01-14T01:35:38"/>
    <d v="2020-01-14T05:03:32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2673.95"/>
    <n v="2139.16"/>
    <n v="66383009"/>
    <x v="17"/>
  </r>
  <r>
    <s v="65cbad6a-eb9d-420e-0c28-4eb837f969bc"/>
    <d v="2020-10-20T02:35:38"/>
    <d v="2020-10-20T03:08:40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89.66"/>
    <n v="449.62"/>
    <m/>
    <x v="0"/>
  </r>
  <r>
    <s v="9a3814bb-f5b0-05f3-38a7-d04d770223c1"/>
    <d v="2022-02-12T21:15:31"/>
    <d v="2022-02-12T21:30:31"/>
    <s v="9a3814bb-f5b0-05f3-928e-fe6640d5aa2a"/>
    <s v="afc661fd-71d9-3fc3-adf2-3fc3b5e8a140"/>
    <s v="4f69f42f-d99c-3263-986f-9ef6450d0be9"/>
    <s v="0133f751-9229-3cfd-815f-b6d4979bdd6a"/>
    <x v="1"/>
    <n v="394701000"/>
    <s v="Asthma follow-up (regime/therapy)"/>
    <n v="142.58000000000001"/>
    <n v="142.58000000000001"/>
    <n v="0"/>
    <n v="233678006"/>
    <x v="12"/>
  </r>
  <r>
    <s v="9a3814bb-f5b0-05f3-42c4-51d4baaa898c"/>
    <d v="2022-07-09T22:15:31"/>
    <d v="2022-07-09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696.6"/>
    <n v="0"/>
    <m/>
    <x v="0"/>
  </r>
  <r>
    <s v="65cbad6a-eb9d-420e-e18f-06567b11bab4"/>
    <d v="2020-11-03T01:35:38"/>
    <d v="2020-11-03T04:37:53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3536.75"/>
    <n v="2829.4"/>
    <n v="103697008"/>
    <x v="3"/>
  </r>
  <r>
    <s v="9a3814bb-f5b0-05f3-08d8-ff809fb6a22c"/>
    <d v="2023-07-15T22:15:31"/>
    <d v="2023-07-15T22:30:31"/>
    <s v="9a3814bb-f5b0-05f3-928e-fe6640d5aa2a"/>
    <s v="b574fc4f-313c-38a4-9baf-7e12e431a499"/>
    <s v="ffa29343-48ef-3bad-b921-69da80c7406d"/>
    <s v="e03e23c9-4df1-3eb6-a62d-f70f02301496"/>
    <x v="0"/>
    <n v="410620009"/>
    <s v="Well child visit (procedure)"/>
    <n v="136.80000000000001"/>
    <n v="1011.45"/>
    <n v="0"/>
    <m/>
    <x v="0"/>
  </r>
  <r>
    <s v="65cbad6a-eb9d-420e-85e2-7f279505905d"/>
    <d v="2021-02-09T01:35:38"/>
    <d v="2021-02-09T01:50:38"/>
    <s v="65cbad6a-eb9d-420e-9bab-b4f9c6aab7db"/>
    <s v="e2eab39c-5195-34aa-b35f-e89e37cfed01"/>
    <s v="bd19ee55-7b5f-3edb-9d74-a279232ace7a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65cbad6a-eb9d-420e-0f2d-402e1aa618cf"/>
    <d v="2021-03-02T01:35:38"/>
    <d v="2021-03-02T01:50:38"/>
    <s v="65cbad6a-eb9d-420e-9bab-b4f9c6aab7db"/>
    <s v="e2eab39c-5195-34aa-b35f-e89e37cfed01"/>
    <s v="bd19ee55-7b5f-3edb-9d74-a279232ace7a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9a3814bb-f5b0-05f3-f853-69d65aca1542"/>
    <d v="2023-07-22T22:15:31"/>
    <d v="2023-07-23T02:26:17"/>
    <s v="9a3814bb-f5b0-05f3-928e-fe6640d5aa2a"/>
    <s v="afc661fd-71d9-3fc3-adf2-3fc3b5e8a140"/>
    <s v="4f69f42f-d99c-3263-986f-9ef6450d0be9"/>
    <s v="0133f751-9229-3cfd-815f-b6d4979bdd6a"/>
    <x v="1"/>
    <n v="185349003"/>
    <s v="Encounter for check up (procedure)"/>
    <n v="85.55"/>
    <n v="3968.15"/>
    <n v="0"/>
    <n v="103697008"/>
    <x v="3"/>
  </r>
  <r>
    <s v="65cbad6a-eb9d-420e-6765-d9156d8d9b6b"/>
    <d v="2021-10-26T02:35:38"/>
    <d v="2021-10-26T03:22:27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1567"/>
    <n v="1071.58"/>
    <m/>
    <x v="0"/>
  </r>
  <r>
    <s v="9a3814bb-f5b0-05f3-d5d2-0e67c98717f7"/>
    <d v="2023-08-06T22:15:31"/>
    <d v="2023-08-06T22:30:31"/>
    <s v="9a3814bb-f5b0-05f3-928e-fe6640d5aa2a"/>
    <s v="afc661fd-71d9-3fc3-adf2-3fc3b5e8a140"/>
    <s v="4f69f42f-d99c-3263-986f-9ef6450d0be9"/>
    <s v="0133f751-9229-3cfd-815f-b6d4979bdd6a"/>
    <x v="1"/>
    <n v="394701000"/>
    <s v="Asthma follow-up (regime/therapy)"/>
    <n v="142.58000000000001"/>
    <n v="142.58000000000001"/>
    <n v="0"/>
    <n v="233678006"/>
    <x v="12"/>
  </r>
  <r>
    <s v="9a3814bb-f5b0-05f3-d4fc-a488cd5ae1ea"/>
    <d v="2024-07-20T22:15:31"/>
    <d v="2024-07-20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272.8"/>
    <n v="0"/>
    <m/>
    <x v="0"/>
  </r>
  <r>
    <s v="9a3814bb-f5b0-05f3-a210-1453648ef3bc"/>
    <d v="2024-08-03T22:15:31"/>
    <d v="2024-08-03T23:15:31"/>
    <s v="9a3814bb-f5b0-05f3-928e-fe6640d5aa2a"/>
    <s v="263d1b03-1560-3fc3-b93d-c33a0cbd5837"/>
    <s v="42dfd2f9-1027-3e4c-a336-3858dcfcb492"/>
    <s v="0133f751-9229-3cfd-815f-b6d4979bdd6a"/>
    <x v="3"/>
    <n v="50849002"/>
    <s v="Emergency room admission (procedure)"/>
    <n v="146.18"/>
    <n v="5458.96"/>
    <n v="2.57"/>
    <n v="312608009"/>
    <x v="20"/>
  </r>
  <r>
    <s v="65cbad6a-eb9d-420e-4900-5472c217c1f3"/>
    <d v="2021-11-02T02:35:38"/>
    <d v="2021-11-02T03:43:01"/>
    <s v="65cbad6a-eb9d-420e-9bab-b4f9c6aab7db"/>
    <s v="e2eab39c-5195-34aa-b35f-e89e37cfed01"/>
    <s v="bd19ee55-7b5f-3edb-9d74-a279232ace7a"/>
    <s v="a735bf55-83e9-331a-899d-a82a60b9f60c"/>
    <x v="1"/>
    <n v="185347001"/>
    <s v="Encounter for problem (procedure)"/>
    <n v="85.55"/>
    <n v="1379.75"/>
    <n v="1103.8"/>
    <n v="37320007"/>
    <x v="8"/>
  </r>
  <r>
    <s v="65cbad6a-eb9d-420e-52e3-53ae4760ca67"/>
    <d v="2021-11-16T01:35:38"/>
    <d v="2021-11-16T04:46:07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103697008"/>
    <x v="3"/>
  </r>
  <r>
    <s v="9a3814bb-f5b0-05f3-f3c7-7e3f60d12ec1"/>
    <d v="2024-10-31T20:15:31"/>
    <d v="2024-10-31T20:30:31"/>
    <s v="9a3814bb-f5b0-05f3-928e-fe6640d5aa2a"/>
    <s v="afc661fd-71d9-3fc3-adf2-3fc3b5e8a140"/>
    <s v="4f69f42f-d99c-3263-986f-9ef6450d0be9"/>
    <s v="0133f751-9229-3cfd-815f-b6d4979bdd6a"/>
    <x v="1"/>
    <n v="185345009"/>
    <s v="Encounter for symptom (procedure)"/>
    <n v="85.55"/>
    <n v="4094.67"/>
    <n v="2456.8000000000002"/>
    <n v="10509002"/>
    <x v="1"/>
  </r>
  <r>
    <s v="9a3814bb-f5b0-05f3-b6af-12cc25dd601d"/>
    <d v="2024-11-09T21:15:31"/>
    <d v="2024-11-09T21:30:31"/>
    <s v="9a3814bb-f5b0-05f3-928e-fe6640d5aa2a"/>
    <s v="bccd7d67-203c-3d93-b6b0-bff5a146cd1d"/>
    <s v="25a63771-aea1-310b-ad1e-004c7a015b49"/>
    <s v="0133f751-9229-3cfd-815f-b6d4979bdd6a"/>
    <x v="4"/>
    <n v="702927004"/>
    <s v="Urgent care clinic (environment)"/>
    <n v="142.58000000000001"/>
    <n v="573.98"/>
    <n v="344.39"/>
    <m/>
    <x v="0"/>
  </r>
  <r>
    <s v="65cbad6a-eb9d-420e-e7cd-d5d14c10f4de"/>
    <d v="2021-11-23T02:43:01"/>
    <d v="2021-11-23T03:29:34"/>
    <s v="65cbad6a-eb9d-420e-9bab-b4f9c6aab7d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37320007"/>
    <x v="8"/>
  </r>
  <r>
    <s v="9a3814bb-f5b0-05f3-e4d0-1f4e3f48d49e"/>
    <d v="2024-11-16T21:15:31"/>
    <d v="2024-11-17T03:32:27"/>
    <s v="9a3814bb-f5b0-05f3-928e-fe6640d5aa2a"/>
    <s v="afc661fd-71d9-3fc3-adf2-3fc3b5e8a140"/>
    <s v="4f69f42f-d99c-3263-986f-9ef6450d0be9"/>
    <s v="0133f751-9229-3cfd-815f-b6d4979bdd6a"/>
    <x v="1"/>
    <n v="185349003"/>
    <s v="Encounter for check up (procedure)"/>
    <n v="85.55"/>
    <n v="5262.35"/>
    <n v="3157.41"/>
    <n v="66383009"/>
    <x v="17"/>
  </r>
  <r>
    <s v="65cbad6a-eb9d-420e-2f67-761e3d58aff8"/>
    <d v="2022-11-01T02:35:38"/>
    <d v="2022-11-01T03:32:05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1641.58"/>
    <n v="1127.96"/>
    <m/>
    <x v="0"/>
  </r>
  <r>
    <s v="65cbad6a-eb9d-420e-f440-94ba212e4d11"/>
    <d v="2022-11-15T01:35:38"/>
    <d v="2022-11-15T04:35:58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103697008"/>
    <x v="3"/>
  </r>
  <r>
    <s v="9a3814bb-f5b0-05f3-ed8d-715fba402558"/>
    <d v="2025-07-26T22:15:31"/>
    <d v="2025-07-26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272.8"/>
    <n v="0"/>
    <m/>
    <x v="0"/>
  </r>
  <r>
    <s v="65cbad6a-eb9d-420e-c6da-5cfe2ca83535"/>
    <d v="2023-06-20T02:35:38"/>
    <d v="2023-06-24T02:50:38"/>
    <s v="65cbad6a-eb9d-420e-9bab-b4f9c6aab7db"/>
    <s v="b8d40f5c-9e4d-3639-89ef-8bf375cb3184"/>
    <s v="a51e707e-c955-3c60-8557-e79b4efee27a"/>
    <s v="a735bf55-83e9-331a-899d-a82a60b9f60c"/>
    <x v="5"/>
    <n v="305336008"/>
    <s v="Admission to hospice (procedure)"/>
    <n v="137.53"/>
    <n v="4020.13"/>
    <n v="3029.7"/>
    <n v="26929004"/>
    <x v="21"/>
  </r>
  <r>
    <s v="9a3814bb-f5b0-05f3-9d73-dcb9860d8bda"/>
    <d v="2025-08-02T22:15:31"/>
    <d v="2025-08-02T23:15:31"/>
    <s v="9a3814bb-f5b0-05f3-928e-fe6640d5aa2a"/>
    <s v="263d1b03-1560-3fc3-b93d-c33a0cbd5837"/>
    <s v="42dfd2f9-1027-3e4c-a336-3858dcfcb492"/>
    <s v="0133f751-9229-3cfd-815f-b6d4979bdd6a"/>
    <x v="3"/>
    <n v="183478001"/>
    <s v="Emergency hospital admission for asthma (procedure)"/>
    <n v="146.18"/>
    <n v="146.18"/>
    <n v="0"/>
    <n v="233678006"/>
    <x v="12"/>
  </r>
  <r>
    <s v="9a3814bb-f5b0-05f3-8f6e-9a15b5a948c0"/>
    <d v="2025-08-04T23:15:31"/>
    <d v="2025-08-04T23:30:31"/>
    <s v="9a3814bb-f5b0-05f3-928e-fe6640d5aa2a"/>
    <s v="afc661fd-71d9-3fc3-adf2-3fc3b5e8a140"/>
    <s v="4f69f42f-d99c-3263-986f-9ef6450d0be9"/>
    <s v="0133f751-9229-3cfd-815f-b6d4979bdd6a"/>
    <x v="1"/>
    <n v="394701000"/>
    <s v="Asthma follow-up (regime/therapy)"/>
    <n v="142.58000000000001"/>
    <n v="142.58000000000001"/>
    <n v="0"/>
    <n v="233678006"/>
    <x v="12"/>
  </r>
  <r>
    <s v="9a3814bb-f5b0-05f3-f546-8c0f5c6fe803"/>
    <d v="2026-08-01T22:15:31"/>
    <d v="2026-08-01T22:30:31"/>
    <s v="9a3814bb-f5b0-05f3-928e-fe6640d5aa2a"/>
    <s v="b574fc4f-313c-38a4-9baf-7e12e431a499"/>
    <s v="ffa29343-48ef-3bad-b921-69da80c7406d"/>
    <s v="0133f751-9229-3cfd-815f-b6d4979bdd6a"/>
    <x v="0"/>
    <n v="410620009"/>
    <s v="Well child visit (procedure)"/>
    <n v="136.80000000000001"/>
    <n v="2049.58"/>
    <n v="0"/>
    <m/>
    <x v="0"/>
  </r>
  <r>
    <s v="65cbad6a-eb9d-420e-86bf-3aea121f5309"/>
    <d v="2023-11-07T01:35:38"/>
    <d v="2023-11-07T02:26:50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922.46"/>
    <n v="737.97"/>
    <m/>
    <x v="0"/>
  </r>
  <r>
    <s v="65cbad6a-eb9d-420e-bc6a-1ea991ec33b8"/>
    <d v="2023-11-21T01:35:38"/>
    <d v="2023-11-21T04:51:42"/>
    <s v="65cbad6a-eb9d-420e-9bab-b4f9c6aab7db"/>
    <s v="e2eab39c-5195-34aa-b35f-e89e37cfed01"/>
    <s v="bd19ee55-7b5f-3edb-9d74-a279232ace7a"/>
    <s v="a735bf55-83e9-331a-899d-a82a60b9f60c"/>
    <x v="1"/>
    <n v="185349003"/>
    <s v="Encounter for check up (procedure)"/>
    <n v="85.55"/>
    <n v="2673.95"/>
    <n v="2139.16"/>
    <n v="66383009"/>
    <x v="17"/>
  </r>
  <r>
    <s v="65cbad6a-eb9d-420e-cc2d-d2bce5446461"/>
    <d v="2024-11-12T01:35:38"/>
    <d v="2024-11-12T02:32:34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78.78"/>
    <n v="440.96"/>
    <m/>
    <x v="0"/>
  </r>
  <r>
    <s v="9a3814bb-f5b0-05f3-8a36-71495c57357a"/>
    <d v="2026-08-08T22:15:31"/>
    <d v="2026-08-09T00:35:01"/>
    <s v="9a3814bb-f5b0-05f3-928e-fe6640d5aa2a"/>
    <s v="afc661fd-71d9-3fc3-adf2-3fc3b5e8a140"/>
    <s v="4f69f42f-d99c-3263-986f-9ef6450d0be9"/>
    <s v="0133f751-9229-3cfd-815f-b6d4979bdd6a"/>
    <x v="1"/>
    <n v="185349003"/>
    <s v="Encounter for check up (procedure)"/>
    <n v="85.55"/>
    <n v="3105.35"/>
    <n v="0"/>
    <n v="66383009"/>
    <x v="17"/>
  </r>
  <r>
    <s v="65cbad6a-eb9d-420e-b29e-9f5a4097e8f8"/>
    <d v="2025-11-18T01:35:38"/>
    <d v="2025-11-18T02:34:23"/>
    <s v="65cbad6a-eb9d-420e-9bab-b4f9c6aab7db"/>
    <s v="31e00f85-6909-3d9f-afc6-5ae507ab0c06"/>
    <s v="98cb411d-622d-3bc7-8237-db45749a3351"/>
    <s v="a735bf55-83e9-331a-899d-a82a60b9f60c"/>
    <x v="0"/>
    <n v="162673000"/>
    <s v="General examination of patient (procedure)"/>
    <n v="136.80000000000001"/>
    <n v="778.78"/>
    <n v="459.16"/>
    <m/>
    <x v="0"/>
  </r>
  <r>
    <s v="6a703775-432b-ba7d-3f93-ea8d466a92a5"/>
    <d v="2001-07-23T04:35:53"/>
    <d v="2001-07-23T04:50:53"/>
    <s v="6a703775-432b-ba7d-d53a-c4d7bb0f5b58"/>
    <s v="9adfae03-673d-365d-9052-f705098fa3e4"/>
    <s v="28e98af0-d17a-345c-8fc6-6662b16c17c4"/>
    <s v="df166300-5a78-3502-a46a-832842197811"/>
    <x v="1"/>
    <n v="185345009"/>
    <s v="Encounter for symptom (procedure)"/>
    <n v="85.55"/>
    <n v="92.93"/>
    <n v="0"/>
    <n v="36971009"/>
    <x v="22"/>
  </r>
  <r>
    <s v="6a703775-432b-ba7d-567e-e37728875f6b"/>
    <d v="2013-03-18T11:35:53"/>
    <d v="2013-03-18T12:31:53"/>
    <s v="6a703775-432b-ba7d-d53a-c4d7bb0f5b58"/>
    <s v="72f50aa0-d8c9-34dc-ac58-c428323f3bcd"/>
    <s v="c6fde204-071e-39e4-b582-9f064386b375"/>
    <s v="df166300-5a78-3502-a46a-832842197811"/>
    <x v="0"/>
    <n v="162673000"/>
    <s v="General examination of patient (procedure)"/>
    <n v="136.80000000000001"/>
    <n v="704.2"/>
    <n v="604.20000000000005"/>
    <m/>
    <x v="0"/>
  </r>
  <r>
    <s v="6a703775-432b-ba7d-ba38-b48923476cdd"/>
    <d v="2013-11-18T10:35:53"/>
    <d v="2013-11-18T11:12:25"/>
    <s v="6a703775-432b-ba7d-d53a-c4d7bb0f5b58"/>
    <s v="9adfae03-673d-365d-9052-f705098fa3e4"/>
    <s v="28e98af0-d17a-345c-8fc6-6662b16c17c4"/>
    <s v="df166300-5a78-3502-a46a-832842197811"/>
    <x v="2"/>
    <n v="185349003"/>
    <s v="Encounter for check up (procedure)"/>
    <n v="85.55"/>
    <n v="1025.71"/>
    <n v="975.71"/>
    <m/>
    <x v="0"/>
  </r>
  <r>
    <s v="6a703775-432b-ba7d-6046-b031af6a687e"/>
    <d v="2014-03-24T11:35:53"/>
    <d v="2014-03-24T12:12:04"/>
    <s v="6a703775-432b-ba7d-d53a-c4d7bb0f5b58"/>
    <s v="72f50aa0-d8c9-34dc-ac58-c428323f3bcd"/>
    <s v="c6fde204-071e-39e4-b582-9f064386b375"/>
    <s v="df166300-5a78-3502-a46a-832842197811"/>
    <x v="0"/>
    <n v="162673000"/>
    <s v="General examination of patient (procedure)"/>
    <n v="136.80000000000001"/>
    <n v="568.20000000000005"/>
    <n v="468.2"/>
    <m/>
    <x v="0"/>
  </r>
  <r>
    <s v="6a703775-432b-ba7d-892c-98977158a794"/>
    <d v="2017-03-27T11:35:53"/>
    <d v="2017-03-27T12:06:44"/>
    <s v="6a703775-432b-ba7d-d53a-c4d7bb0f5b58"/>
    <s v="72f50aa0-d8c9-34dc-ac58-c428323f3bcd"/>
    <s v="c6fde204-071e-39e4-b582-9f064386b375"/>
    <s v="df166300-5a78-3502-a46a-832842197811"/>
    <x v="0"/>
    <n v="162673000"/>
    <s v="General examination of patient (procedure)"/>
    <n v="136.80000000000001"/>
    <n v="1186.78"/>
    <n v="1086.78"/>
    <m/>
    <x v="0"/>
  </r>
  <r>
    <s v="6a703775-432b-ba7d-77d9-2fb4dece664c"/>
    <d v="2017-08-28T19:35:53"/>
    <d v="2017-08-28T19:50:53"/>
    <s v="6a703775-432b-ba7d-d53a-c4d7bb0f5b58"/>
    <s v="9adfae03-673d-365d-9052-f705098fa3e4"/>
    <s v="28e98af0-d17a-345c-8fc6-6662b16c17c4"/>
    <s v="df166300-5a78-3502-a46a-832842197811"/>
    <x v="1"/>
    <n v="185345009"/>
    <s v="Encounter for symptom (procedure)"/>
    <n v="85.55"/>
    <n v="3536.75"/>
    <n v="3486.75"/>
    <n v="43878008"/>
    <x v="18"/>
  </r>
  <r>
    <s v="6a703775-432b-ba7d-8f41-85e12c767fa2"/>
    <d v="2020-03-30T11:35:53"/>
    <d v="2020-03-30T12:06:45"/>
    <s v="6a703775-432b-ba7d-d53a-c4d7bb0f5b58"/>
    <s v="72f50aa0-d8c9-34dc-ac58-c428323f3bcd"/>
    <s v="c6fde204-071e-39e4-b582-9f064386b375"/>
    <s v="df166300-5a78-3502-a46a-832842197811"/>
    <x v="0"/>
    <n v="162673000"/>
    <s v="General examination of patient (procedure)"/>
    <n v="136.80000000000001"/>
    <n v="704.2"/>
    <n v="604.20000000000005"/>
    <m/>
    <x v="0"/>
  </r>
  <r>
    <s v="6a703775-432b-ba7d-0a31-917111e9a587"/>
    <d v="2020-04-13T11:35:53"/>
    <d v="2020-04-13T14:43:35"/>
    <s v="6a703775-432b-ba7d-d53a-c4d7bb0f5b58"/>
    <s v="9adfae03-673d-365d-9052-f705098fa3e4"/>
    <s v="28e98af0-d17a-345c-8fc6-6662b16c17c4"/>
    <s v="df166300-5a78-3502-a46a-832842197811"/>
    <x v="1"/>
    <n v="185349003"/>
    <s v="Encounter for check up (procedure)"/>
    <n v="85.55"/>
    <n v="3105.35"/>
    <n v="3055.35"/>
    <n v="66383009"/>
    <x v="17"/>
  </r>
  <r>
    <s v="6a703775-432b-ba7d-7e24-f438474ce178"/>
    <d v="2023-03-10T14:35:53"/>
    <d v="2023-03-10T14:50:53"/>
    <s v="6a703775-432b-ba7d-d53a-c4d7bb0f5b58"/>
    <s v="9adfae03-673d-365d-9052-f705098fa3e4"/>
    <s v="28e98af0-d17a-345c-8fc6-6662b16c17c4"/>
    <s v="df166300-5a78-3502-a46a-832842197811"/>
    <x v="1"/>
    <n v="185345009"/>
    <s v="Encounter for symptom (procedure)"/>
    <n v="85.55"/>
    <n v="10606.55"/>
    <n v="10556.55"/>
    <n v="10509002"/>
    <x v="1"/>
  </r>
  <r>
    <s v="6a703775-432b-ba7d-e331-32d2fbc77a76"/>
    <d v="2023-03-20T11:35:53"/>
    <d v="2023-03-20T12:28:44"/>
    <s v="6a703775-432b-ba7d-d53a-c4d7bb0f5b58"/>
    <s v="9adfae03-673d-365d-9052-f705098fa3e4"/>
    <s v="28e98af0-d17a-345c-8fc6-6662b16c17c4"/>
    <s v="df166300-5a78-3502-a46a-832842197811"/>
    <x v="2"/>
    <n v="185349003"/>
    <s v="Encounter for check up (procedure)"/>
    <n v="85.55"/>
    <n v="727.53"/>
    <n v="677.53"/>
    <m/>
    <x v="0"/>
  </r>
  <r>
    <s v="6a703775-432b-ba7d-7de6-222151f0b7db"/>
    <d v="2023-04-03T11:35:53"/>
    <d v="2023-04-03T12:23:49"/>
    <s v="6a703775-432b-ba7d-d53a-c4d7bb0f5b58"/>
    <s v="72f50aa0-d8c9-34dc-ac58-c428323f3bcd"/>
    <s v="c6fde204-071e-39e4-b582-9f064386b375"/>
    <s v="df166300-5a78-3502-a46a-832842197811"/>
    <x v="0"/>
    <n v="162673000"/>
    <s v="General examination of patient (procedure)"/>
    <n v="136.80000000000001"/>
    <n v="919.9"/>
    <n v="919.9"/>
    <m/>
    <x v="0"/>
  </r>
  <r>
    <s v="6a703775-432b-ba7d-7763-ceacc64f5878"/>
    <d v="2023-04-10T11:35:53"/>
    <d v="2023-04-10T18:27:06"/>
    <s v="6a703775-432b-ba7d-d53a-c4d7bb0f5b58"/>
    <s v="9adfae03-673d-365d-9052-f705098fa3e4"/>
    <s v="28e98af0-d17a-345c-8fc6-6662b16c17c4"/>
    <s v="df166300-5a78-3502-a46a-832842197811"/>
    <x v="1"/>
    <n v="185349003"/>
    <s v="Encounter for check up (procedure)"/>
    <n v="85.55"/>
    <n v="5262.35"/>
    <n v="5212.3500000000004"/>
    <n v="103697008"/>
    <x v="3"/>
  </r>
  <r>
    <s v="6a703775-432b-ba7d-ce73-e1d5a5b1d37e"/>
    <d v="2026-04-06T11:35:53"/>
    <d v="2026-04-06T12:24:17"/>
    <s v="6a703775-432b-ba7d-d53a-c4d7bb0f5b58"/>
    <s v="72f50aa0-d8c9-34dc-ac58-c428323f3bcd"/>
    <s v="c6fde204-071e-39e4-b582-9f064386b375"/>
    <s v="df166300-5a78-3502-a46a-832842197811"/>
    <x v="0"/>
    <n v="162673000"/>
    <s v="General examination of patient (procedure)"/>
    <n v="136.80000000000001"/>
    <n v="914.78"/>
    <n v="814.78"/>
    <m/>
    <x v="0"/>
  </r>
  <r>
    <s v="6a703775-432b-ba7d-d0ba-498ac5cc4b0f"/>
    <d v="2026-04-20T11:35:53"/>
    <d v="2026-04-20T17:34:51"/>
    <s v="6a703775-432b-ba7d-d53a-c4d7bb0f5b58"/>
    <s v="9adfae03-673d-365d-9052-f705098fa3e4"/>
    <s v="28e98af0-d17a-345c-8fc6-6662b16c17c4"/>
    <s v="df166300-5a78-3502-a46a-832842197811"/>
    <x v="1"/>
    <n v="185349003"/>
    <s v="Encounter for check up (procedure)"/>
    <n v="85.55"/>
    <n v="4399.55"/>
    <n v="4349.55"/>
    <n v="103697008"/>
    <x v="3"/>
  </r>
  <r>
    <s v="355cd402-8f45-353f-9e4f-7fb45f1a02d0"/>
    <d v="2004-08-08T16:03:49"/>
    <d v="2004-08-08T17:02:20"/>
    <s v="355cd402-8f45-353f-013f-ecb627e85106"/>
    <s v="a730c5e6-a15f-3e36-8112-8579e507d330"/>
    <s v="fac3c5b7-5517-37fc-8ba9-c2ff6840be56"/>
    <s v="e03e23c9-4df1-3eb6-a62d-f70f02301496"/>
    <x v="0"/>
    <n v="162673000"/>
    <s v="General examination of patient (procedure)"/>
    <n v="136.80000000000001"/>
    <n v="919.9"/>
    <n v="0"/>
    <m/>
    <x v="0"/>
  </r>
  <r>
    <s v="355cd402-8f45-353f-4ca1-6bc923aa32d3"/>
    <d v="2014-08-24T16:03:49"/>
    <d v="2014-08-24T16:39:46"/>
    <s v="355cd402-8f45-353f-013f-ecb627e85106"/>
    <s v="a730c5e6-a15f-3e36-8112-8579e507d330"/>
    <s v="fac3c5b7-5517-37fc-8ba9-c2ff6840be56"/>
    <s v="734afbd6-4794-363b-9bc0-6a3981533ed5"/>
    <x v="0"/>
    <n v="162673000"/>
    <s v="General examination of patient (procedure)"/>
    <n v="136.80000000000001"/>
    <n v="704.2"/>
    <n v="0"/>
    <m/>
    <x v="0"/>
  </r>
  <r>
    <s v="355cd402-8f45-353f-a3cc-1bce4e2d22f9"/>
    <d v="2016-05-22T16:03:49"/>
    <d v="2016-05-22T17:00:50"/>
    <s v="355cd402-8f45-353f-013f-ecb627e85106"/>
    <s v="ab701a70-a658-340e-8f69-ee196a7d40c6"/>
    <s v="fb885f7c-4155-39b9-bc7e-e1a1c5ebcf1f"/>
    <s v="734afbd6-4794-363b-9bc0-6a3981533ed5"/>
    <x v="4"/>
    <n v="702927004"/>
    <s v="Urgent care clinic (environment)"/>
    <n v="142.58000000000001"/>
    <n v="709.98"/>
    <n v="567.98"/>
    <m/>
    <x v="0"/>
  </r>
  <r>
    <s v="355cd402-8f45-353f-5189-d4a08215b463"/>
    <d v="2017-08-27T16:03:49"/>
    <d v="2017-08-27T16:58:59"/>
    <s v="355cd402-8f45-353f-013f-ecb627e85106"/>
    <s v="a730c5e6-a15f-3e36-8112-8579e507d330"/>
    <s v="fac3c5b7-5517-37fc-8ba9-c2ff6840be56"/>
    <s v="0133f751-9229-3cfd-815f-b6d4979bdd6a"/>
    <x v="0"/>
    <n v="162673000"/>
    <s v="General examination of patient (procedure)"/>
    <n v="136.80000000000001"/>
    <n v="1499.42"/>
    <n v="0"/>
    <m/>
    <x v="0"/>
  </r>
  <r>
    <s v="355cd402-8f45-353f-ddcf-9fc3195844fe"/>
    <d v="2018-05-27T16:03:49"/>
    <d v="2018-05-27T16:57:12"/>
    <s v="355cd402-8f45-353f-013f-ecb627e85106"/>
    <s v="352f2e3b-0708-3eb4-9f7e-e73a685bf379"/>
    <s v="4ba67eac-a99d-34c8-9055-4cf0013c75cc"/>
    <s v="0133f751-9229-3cfd-815f-b6d4979bdd6a"/>
    <x v="2"/>
    <n v="185349003"/>
    <s v="Encounter for check up (procedure)"/>
    <n v="85.55"/>
    <n v="868.65"/>
    <n v="0"/>
    <m/>
    <x v="0"/>
  </r>
  <r>
    <s v="355cd402-8f45-353f-9d86-7796def9af0c"/>
    <d v="2018-05-28T07:03:49"/>
    <d v="2018-05-28T07:18:49"/>
    <s v="355cd402-8f45-353f-013f-ecb627e85106"/>
    <s v="352f2e3b-0708-3eb4-9f7e-e73a685bf379"/>
    <s v="4ba67eac-a99d-34c8-9055-4cf0013c75cc"/>
    <s v="0133f751-9229-3cfd-815f-b6d4979bdd6a"/>
    <x v="1"/>
    <n v="185345009"/>
    <s v="Encounter for symptom (procedure)"/>
    <n v="85.55"/>
    <n v="85.55"/>
    <n v="0"/>
    <n v="444814009"/>
    <x v="2"/>
  </r>
  <r>
    <s v="355cd402-8f45-353f-75fa-51b846024d8b"/>
    <d v="2020-08-30T16:03:49"/>
    <d v="2020-08-30T16:39:13"/>
    <s v="355cd402-8f45-353f-013f-ecb627e85106"/>
    <s v="a730c5e6-a15f-3e36-8112-8579e507d330"/>
    <s v="fac3c5b7-5517-37fc-8ba9-c2ff6840be56"/>
    <s v="0133f751-9229-3cfd-815f-b6d4979bdd6a"/>
    <x v="0"/>
    <n v="162673000"/>
    <s v="General examination of patient (procedure)"/>
    <n v="136.80000000000001"/>
    <n v="853.36"/>
    <n v="0"/>
    <m/>
    <x v="0"/>
  </r>
  <r>
    <s v="355cd402-8f45-353f-7d81-41419abc0b3e"/>
    <d v="2020-09-13T16:03:49"/>
    <d v="2020-09-13T19:17:14"/>
    <s v="355cd402-8f45-353f-013f-ecb627e85106"/>
    <s v="352f2e3b-0708-3eb4-9f7e-e73a685bf379"/>
    <s v="4ba67eac-a99d-34c8-9055-4cf0013c75cc"/>
    <s v="0133f751-9229-3cfd-815f-b6d4979bdd6a"/>
    <x v="1"/>
    <n v="185349003"/>
    <s v="Encounter for check up (procedure)"/>
    <n v="85.55"/>
    <n v="3105.35"/>
    <n v="0"/>
    <n v="66383009"/>
    <x v="17"/>
  </r>
  <r>
    <s v="355cd402-8f45-353f-b0a4-509225aaf371"/>
    <d v="2021-05-02T16:03:49"/>
    <d v="2021-05-02T16:18:49"/>
    <s v="355cd402-8f45-353f-013f-ecb627e85106"/>
    <s v="352f2e3b-0708-3eb4-9f7e-e73a685bf379"/>
    <s v="4ba67eac-a99d-34c8-9055-4cf0013c75cc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355cd402-8f45-353f-5e3e-1b23228a7c5e"/>
    <d v="2021-05-23T16:03:49"/>
    <d v="2021-05-23T16:18:49"/>
    <s v="355cd402-8f45-353f-013f-ecb627e85106"/>
    <s v="352f2e3b-0708-3eb4-9f7e-e73a685bf379"/>
    <s v="4ba67eac-a99d-34c8-9055-4cf0013c75cc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355cd402-8f45-353f-1912-e967f1c137e0"/>
    <d v="2021-09-06T16:03:49"/>
    <d v="2021-09-06T16:18:49"/>
    <s v="355cd402-8f45-353f-013f-ecb627e85106"/>
    <s v="352f2e3b-0708-3eb4-9f7e-e73a685bf379"/>
    <s v="4ba67eac-a99d-34c8-9055-4cf0013c75cc"/>
    <s v="734afbd6-4794-363b-9bc0-6a3981533ed5"/>
    <x v="1"/>
    <n v="185347001"/>
    <s v="Encounter for problem (procedure)"/>
    <n v="85.55"/>
    <n v="85.55"/>
    <n v="0"/>
    <n v="201834006"/>
    <x v="23"/>
  </r>
  <r>
    <s v="355cd402-8f45-353f-6f7d-c8d267f69b15"/>
    <d v="2022-02-16T15:44:43"/>
    <d v="2022-02-16T17:56:44"/>
    <s v="355cd402-8f45-353f-013f-ecb627e85106"/>
    <s v="a525d084-5a8f-3859-a048-2130a4092ec8"/>
    <s v="72169acb-3501-3504-b175-fe06b9ef2202"/>
    <s v="734afbd6-4794-363b-9bc0-6a3981533ed5"/>
    <x v="3"/>
    <n v="50849002"/>
    <s v="Emergency room admission (procedure)"/>
    <n v="146.18"/>
    <n v="1871.78"/>
    <n v="537.05999999999995"/>
    <n v="263172003"/>
    <x v="24"/>
  </r>
  <r>
    <s v="355cd402-8f45-353f-45f4-97121ef38e7d"/>
    <d v="2022-02-27T15:03:49"/>
    <d v="2022-02-27T18:24:11"/>
    <s v="355cd402-8f45-353f-013f-ecb627e85106"/>
    <s v="352f2e3b-0708-3eb4-9f7e-e73a685bf379"/>
    <s v="4ba67eac-a99d-34c8-9055-4cf0013c75cc"/>
    <s v="734afbd6-4794-363b-9bc0-6a3981533ed5"/>
    <x v="1"/>
    <n v="185349003"/>
    <s v="Encounter for check up (procedure)"/>
    <n v="85.55"/>
    <n v="3536.75"/>
    <n v="2829.4"/>
    <n v="263172003"/>
    <x v="24"/>
  </r>
  <r>
    <s v="355cd402-8f45-353f-0d67-50a419bea3f6"/>
    <d v="2022-04-02T18:56:44"/>
    <d v="2022-04-02T19:13:27"/>
    <s v="355cd402-8f45-353f-013f-ecb627e85106"/>
    <s v="352f2e3b-0708-3eb4-9f7e-e73a685bf379"/>
    <s v="4ba67eac-a99d-34c8-9055-4cf0013c75cc"/>
    <s v="734afbd6-4794-363b-9bc0-6a3981533ed5"/>
    <x v="1"/>
    <n v="185349003"/>
    <s v="Encounter for check up (procedure)"/>
    <n v="85.55"/>
    <n v="948.35"/>
    <n v="758.68"/>
    <n v="263172003"/>
    <x v="24"/>
  </r>
  <r>
    <s v="355cd402-8f45-353f-b5fe-ab995e860b84"/>
    <d v="2023-09-03T16:03:49"/>
    <d v="2023-09-03T16:41:04"/>
    <s v="355cd402-8f45-353f-013f-ecb627e85106"/>
    <s v="a730c5e6-a15f-3e36-8112-8579e507d330"/>
    <s v="fac3c5b7-5517-37fc-8ba9-c2ff6840be56"/>
    <s v="8fa6c185-e44e-3e34-8bd8-39be8694f4ce"/>
    <x v="0"/>
    <n v="162673000"/>
    <s v="General examination of patient (procedure)"/>
    <n v="136.80000000000001"/>
    <n v="778.78"/>
    <n v="0"/>
    <m/>
    <x v="0"/>
  </r>
  <r>
    <s v="355cd402-8f45-353f-c5f2-148b79f46d17"/>
    <d v="2023-09-17T16:03:49"/>
    <d v="2023-09-17T19:25:16"/>
    <s v="355cd402-8f45-353f-013f-ecb627e85106"/>
    <s v="352f2e3b-0708-3eb4-9f7e-e73a685bf379"/>
    <s v="4ba67eac-a99d-34c8-9055-4cf0013c75cc"/>
    <s v="8fa6c185-e44e-3e34-8bd8-39be8694f4ce"/>
    <x v="1"/>
    <n v="185349003"/>
    <s v="Encounter for check up (procedure)"/>
    <n v="85.55"/>
    <n v="3105.35"/>
    <n v="0"/>
    <n v="66383009"/>
    <x v="17"/>
  </r>
  <r>
    <s v="355cd402-8f45-353f-2a6b-d8b5e297465f"/>
    <d v="2026-06-21T16:03:49"/>
    <d v="2026-06-21T16:53:19"/>
    <s v="355cd402-8f45-353f-013f-ecb627e85106"/>
    <s v="a730c5e6-a15f-3e36-8112-8579e507d330"/>
    <s v="fac3c5b7-5517-37fc-8ba9-c2ff6840be56"/>
    <s v="8fa6c185-e44e-3e34-8bd8-39be8694f4ce"/>
    <x v="0"/>
    <n v="162673000"/>
    <s v="General examination of patient (procedure)"/>
    <n v="136.80000000000001"/>
    <n v="914.78"/>
    <n v="0"/>
    <m/>
    <x v="0"/>
  </r>
  <r>
    <s v="355cd402-8f45-353f-7da6-0154208efe61"/>
    <d v="2026-07-05T16:03:49"/>
    <d v="2026-07-05T19:59:02"/>
    <s v="355cd402-8f45-353f-013f-ecb627e85106"/>
    <s v="352f2e3b-0708-3eb4-9f7e-e73a685bf379"/>
    <s v="4ba67eac-a99d-34c8-9055-4cf0013c75cc"/>
    <s v="8fa6c185-e44e-3e34-8bd8-39be8694f4ce"/>
    <x v="1"/>
    <n v="185349003"/>
    <s v="Encounter for check up (procedure)"/>
    <n v="85.55"/>
    <n v="3105.35"/>
    <n v="0"/>
    <n v="103697008"/>
    <x v="3"/>
  </r>
  <r>
    <s v="c38b96b6-90ae-fabe-2c56-75d1741c477b"/>
    <d v="2017-11-05T12:44:55"/>
    <d v="2017-11-05T12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738.15"/>
    <n v="0"/>
    <m/>
    <x v="0"/>
  </r>
  <r>
    <s v="c38b96b6-90ae-fabe-3d03-a93c7e8343a4"/>
    <d v="2017-12-10T12:44:55"/>
    <d v="2017-12-10T12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272.8"/>
    <n v="0"/>
    <m/>
    <x v="0"/>
  </r>
  <r>
    <s v="c38b96b6-90ae-fabe-d6a4-25370ca04317"/>
    <d v="2018-02-11T12:44:55"/>
    <d v="2018-02-11T12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1679.6"/>
    <n v="0"/>
    <m/>
    <x v="0"/>
  </r>
  <r>
    <s v="c38b96b6-90ae-fabe-fae5-f0f8a269a787"/>
    <d v="2018-04-15T13:44:55"/>
    <d v="2018-04-15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1110.1500000000001"/>
    <n v="0"/>
    <m/>
    <x v="0"/>
  </r>
  <r>
    <s v="c38b96b6-90ae-fabe-64e7-49c11c4bf08f"/>
    <d v="2018-07-15T13:44:55"/>
    <d v="2018-07-15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816.8"/>
    <n v="0"/>
    <m/>
    <x v="0"/>
  </r>
  <r>
    <s v="c38b96b6-90ae-fabe-6e64-9de049421c74"/>
    <d v="2018-10-14T13:44:55"/>
    <d v="2018-10-14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999.6"/>
    <n v="0"/>
    <m/>
    <x v="0"/>
  </r>
  <r>
    <s v="c38b96b6-90ae-fabe-f809-d9fa5cd639c4"/>
    <d v="2019-01-13T12:44:55"/>
    <d v="2019-01-13T12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816.8"/>
    <n v="0"/>
    <m/>
    <x v="0"/>
  </r>
  <r>
    <s v="c38b96b6-90ae-fabe-40c0-eab8b78b0a5a"/>
    <d v="2019-02-28T12:44:55"/>
    <d v="2019-02-28T12:59:55"/>
    <s v="c38b96b6-90ae-fabe-6f3c-cfd91d0fb21d"/>
    <s v="05fcf001-ab24-3d7d-85f7-f64942d82738"/>
    <s v="9876dc61-49f0-3488-809b-5dc9adac813b"/>
    <s v="26aab0cd-6aba-3e1b-ac5b-05c8867e762c"/>
    <x v="2"/>
    <n v="185345009"/>
    <s v="Encounter for symptom (procedure)"/>
    <n v="85.55"/>
    <n v="85.55"/>
    <n v="0"/>
    <n v="65363002"/>
    <x v="25"/>
  </r>
  <r>
    <s v="c38b96b6-90ae-fabe-e13b-42cc19a4ab62"/>
    <d v="2019-04-14T13:44:55"/>
    <d v="2019-04-14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272.8"/>
    <n v="0"/>
    <m/>
    <x v="0"/>
  </r>
  <r>
    <s v="c38b96b6-90ae-fabe-f38e-e4b4185331c6"/>
    <d v="2019-10-13T13:44:55"/>
    <d v="2019-10-13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488.5"/>
    <n v="0"/>
    <m/>
    <x v="0"/>
  </r>
  <r>
    <s v="c38b96b6-90ae-fabe-5899-77a0ebf2b9d0"/>
    <d v="2020-04-12T13:44:55"/>
    <d v="2020-04-12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704.2"/>
    <n v="0"/>
    <m/>
    <x v="0"/>
  </r>
  <r>
    <s v="c38b96b6-90ae-fabe-091c-8ae0e55d3dbd"/>
    <d v="2020-04-19T13:44:55"/>
    <d v="2020-04-19T17:39:35"/>
    <s v="c38b96b6-90ae-fabe-6f3c-cfd91d0fb21d"/>
    <s v="05fcf001-ab24-3d7d-85f7-f64942d82738"/>
    <s v="9876dc61-49f0-3488-809b-5dc9adac813b"/>
    <s v="26aab0cd-6aba-3e1b-ac5b-05c8867e762c"/>
    <x v="1"/>
    <n v="185349003"/>
    <s v="Encounter for check up (procedure)"/>
    <n v="85.55"/>
    <n v="3105.35"/>
    <n v="0"/>
    <n v="103697008"/>
    <x v="3"/>
  </r>
  <r>
    <s v="c38b96b6-90ae-fabe-defb-706a164f1112"/>
    <d v="2020-10-11T13:44:55"/>
    <d v="2020-10-11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704.2"/>
    <n v="0"/>
    <m/>
    <x v="0"/>
  </r>
  <r>
    <s v="c38b96b6-90ae-fabe-3eea-1a9a07175b52"/>
    <d v="2020-10-18T13:44:55"/>
    <d v="2020-10-18T16:17:33"/>
    <s v="c38b96b6-90ae-fabe-6f3c-cfd91d0fb21d"/>
    <s v="05fcf001-ab24-3d7d-85f7-f64942d82738"/>
    <s v="9876dc61-49f0-3488-809b-5dc9adac813b"/>
    <s v="26aab0cd-6aba-3e1b-ac5b-05c8867e762c"/>
    <x v="1"/>
    <n v="185349003"/>
    <s v="Encounter for check up (procedure)"/>
    <n v="85.55"/>
    <n v="2673.95"/>
    <n v="734.18"/>
    <n v="103697008"/>
    <x v="3"/>
  </r>
  <r>
    <s v="c38b96b6-90ae-fabe-4102-0d19042d8ab5"/>
    <d v="2020-12-24T02:44:55"/>
    <d v="2020-12-24T02:59:55"/>
    <s v="c38b96b6-90ae-fabe-6f3c-cfd91d0fb21d"/>
    <s v="05fcf001-ab24-3d7d-85f7-f64942d82738"/>
    <s v="9876dc61-49f0-3488-809b-5dc9adac813b"/>
    <s v="26aab0cd-6aba-3e1b-ac5b-05c8867e762c"/>
    <x v="1"/>
    <n v="185345009"/>
    <s v="Encounter for symptom (procedure)"/>
    <n v="85.55"/>
    <n v="3536.75"/>
    <n v="0"/>
    <n v="195662009"/>
    <x v="9"/>
  </r>
  <r>
    <s v="c38b96b6-90ae-fabe-6d09-5cf2454e20bb"/>
    <d v="2021-04-11T13:44:55"/>
    <d v="2021-04-11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999.6"/>
    <n v="0"/>
    <m/>
    <x v="0"/>
  </r>
  <r>
    <s v="c38b96b6-90ae-fabe-dfc8-e8435121130c"/>
    <d v="2021-10-10T13:44:55"/>
    <d v="2021-10-10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704.2"/>
    <n v="0"/>
    <m/>
    <x v="0"/>
  </r>
  <r>
    <s v="c38b96b6-90ae-fabe-afe6-2f45be988ae3"/>
    <d v="2021-10-17T13:44:55"/>
    <d v="2021-10-17T16:12:08"/>
    <s v="c38b96b6-90ae-fabe-6f3c-cfd91d0fb21d"/>
    <s v="05fcf001-ab24-3d7d-85f7-f64942d82738"/>
    <s v="9876dc61-49f0-3488-809b-5dc9adac813b"/>
    <s v="26aab0cd-6aba-3e1b-ac5b-05c8867e762c"/>
    <x v="1"/>
    <n v="185349003"/>
    <s v="Encounter for check up (procedure)"/>
    <n v="85.55"/>
    <n v="2673.95"/>
    <n v="1092.3"/>
    <n v="103697008"/>
    <x v="3"/>
  </r>
  <r>
    <s v="c38b96b6-90ae-fabe-7109-0a038369cde2"/>
    <d v="2022-10-16T13:44:55"/>
    <d v="2022-10-16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1466.47"/>
    <n v="0"/>
    <m/>
    <x v="0"/>
  </r>
  <r>
    <s v="c38b96b6-90ae-fabe-ece3-4ee00e1d8da8"/>
    <d v="2022-10-23T13:44:55"/>
    <d v="2022-10-23T16:47:55"/>
    <s v="c38b96b6-90ae-fabe-6f3c-cfd91d0fb21d"/>
    <s v="05fcf001-ab24-3d7d-85f7-f64942d82738"/>
    <s v="9876dc61-49f0-3488-809b-5dc9adac813b"/>
    <s v="26aab0cd-6aba-3e1b-ac5b-05c8867e762c"/>
    <x v="1"/>
    <n v="185349003"/>
    <s v="Encounter for check up (procedure)"/>
    <n v="85.55"/>
    <n v="3105.35"/>
    <n v="0"/>
    <n v="103697008"/>
    <x v="3"/>
  </r>
  <r>
    <s v="c38b96b6-90ae-fabe-ae39-ec5e6e73429c"/>
    <d v="2023-10-22T13:44:55"/>
    <d v="2023-10-22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347.38"/>
    <n v="0"/>
    <m/>
    <x v="0"/>
  </r>
  <r>
    <s v="c38b96b6-90ae-fabe-3807-0b4e110e9828"/>
    <d v="2024-10-27T13:44:55"/>
    <d v="2024-10-27T13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488.5"/>
    <n v="0"/>
    <m/>
    <x v="0"/>
  </r>
  <r>
    <s v="c38b96b6-90ae-fabe-0ab4-bd5e913e1311"/>
    <d v="2025-11-02T12:44:55"/>
    <d v="2025-11-02T12:59:55"/>
    <s v="c38b96b6-90ae-fabe-6f3c-cfd91d0fb21d"/>
    <s v="b5e6f1bd-c744-3556-9775-5ff8399eea33"/>
    <s v="3367d933-1fe2-3895-b49f-87da1122a2e5"/>
    <s v="26aab0cd-6aba-3e1b-ac5b-05c8867e762c"/>
    <x v="0"/>
    <n v="410620009"/>
    <s v="Well child visit (procedure)"/>
    <n v="136.80000000000001"/>
    <n v="488.5"/>
    <n v="0"/>
    <m/>
    <x v="0"/>
  </r>
  <r>
    <s v="c38b96b6-90ae-fabe-f7fd-9703bd58a092"/>
    <d v="2026-05-10T15:44:55"/>
    <d v="2026-05-10T15:59:55"/>
    <s v="c38b96b6-90ae-fabe-6f3c-cfd91d0fb21d"/>
    <s v="05fcf001-ab24-3d7d-85f7-f64942d82738"/>
    <s v="9876dc61-49f0-3488-809b-5dc9adac813b"/>
    <s v="26aab0cd-6aba-3e1b-ac5b-05c8867e762c"/>
    <x v="1"/>
    <n v="185345009"/>
    <s v="Encounter for symptom (procedure)"/>
    <n v="85.55"/>
    <n v="85.55"/>
    <n v="0"/>
    <n v="195662009"/>
    <x v="9"/>
  </r>
  <r>
    <s v="239b0c86-371a-3080-583a-1327b97f90c1"/>
    <d v="1995-12-30T20:38:24"/>
    <d v="1995-12-30T20:53:24"/>
    <s v="239b0c86-371a-3080-fcd9-8379b296bc9a"/>
    <s v="89171335-b9c0-3326-98d6-a837d432b9fd"/>
    <s v="66830869-c952-3647-bf73-8b58b6cbdca4"/>
    <s v="df166300-5a78-3502-a46a-832842197811"/>
    <x v="1"/>
    <n v="185345009"/>
    <s v="Encounter for symptom (procedure)"/>
    <n v="85.55"/>
    <n v="92.93"/>
    <n v="42.93"/>
    <n v="75498004"/>
    <x v="14"/>
  </r>
  <r>
    <s v="239b0c86-371a-3080-4fc1-023f6c279cb5"/>
    <d v="1998-12-29T20:38:24"/>
    <d v="1998-12-29T20:53:24"/>
    <s v="239b0c86-371a-3080-fcd9-8379b296bc9a"/>
    <s v="89171335-b9c0-3326-98d6-a837d432b9fd"/>
    <s v="66830869-c952-3647-bf73-8b58b6cbdca4"/>
    <s v="df166300-5a78-3502-a46a-832842197811"/>
    <x v="1"/>
    <n v="185345009"/>
    <s v="Encounter for symptom (procedure)"/>
    <n v="85.55"/>
    <n v="85.55"/>
    <n v="35.549999999999997"/>
    <n v="232353008"/>
    <x v="16"/>
  </r>
  <r>
    <s v="239b0c86-371a-3080-a233-d4a7bb71d391"/>
    <d v="1999-01-03T05:38:24"/>
    <d v="1999-01-03T06:09:21"/>
    <s v="239b0c86-371a-3080-fcd9-8379b296bc9a"/>
    <s v="89171335-b9c0-3326-98d6-a837d432b9fd"/>
    <s v="66830869-c952-3647-bf73-8b58b6cbdca4"/>
    <s v="df166300-5a78-3502-a46a-832842197811"/>
    <x v="1"/>
    <n v="185347001"/>
    <s v="Encounter for problem (procedure)"/>
    <n v="85.55"/>
    <n v="516.95000000000005"/>
    <n v="466.95"/>
    <n v="609328004"/>
    <x v="11"/>
  </r>
  <r>
    <s v="239b0c86-371a-3080-76ff-6c53260cef25"/>
    <d v="2013-07-05T21:38:24"/>
    <d v="2013-07-05T22:38:19"/>
    <s v="239b0c86-371a-3080-fcd9-8379b296bc9a"/>
    <s v="dd3307db-114c-3f11-be44-a9eef6bb3fc5"/>
    <s v="febd162a-a116-3b23-908c-fc6992cd1845"/>
    <s v="df166300-5a78-3502-a46a-832842197811"/>
    <x v="0"/>
    <n v="162673000"/>
    <s v="General examination of patient (procedure)"/>
    <n v="136.80000000000001"/>
    <n v="704.2"/>
    <n v="604.20000000000005"/>
    <m/>
    <x v="0"/>
  </r>
  <r>
    <s v="239b0c86-371a-3080-3705-07c92462fe0d"/>
    <d v="2014-07-11T21:38:24"/>
    <d v="2014-07-11T22:22:57"/>
    <s v="239b0c86-371a-3080-fcd9-8379b296bc9a"/>
    <s v="dd3307db-114c-3f11-be44-a9eef6bb3fc5"/>
    <s v="febd162a-a116-3b23-908c-fc6992cd1845"/>
    <s v="df166300-5a78-3502-a46a-832842197811"/>
    <x v="0"/>
    <n v="162673000"/>
    <s v="General examination of patient (procedure)"/>
    <n v="136.80000000000001"/>
    <n v="704.2"/>
    <n v="704.2"/>
    <m/>
    <x v="0"/>
  </r>
  <r>
    <s v="239b0c86-371a-3080-4c61-740bae151fb8"/>
    <d v="2016-01-25T20:38:24"/>
    <d v="2016-01-25T20:53:24"/>
    <s v="239b0c86-371a-3080-fcd9-8379b296bc9a"/>
    <s v="89171335-b9c0-3326-98d6-a837d432b9fd"/>
    <s v="66830869-c952-3647-bf73-8b58b6cbdca4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239b0c86-371a-3080-d705-55c103ebe520"/>
    <d v="2017-07-14T21:38:24"/>
    <d v="2017-07-14T22:13:23"/>
    <s v="239b0c86-371a-3080-fcd9-8379b296bc9a"/>
    <s v="dd3307db-114c-3f11-be44-a9eef6bb3fc5"/>
    <s v="febd162a-a116-3b23-908c-fc6992cd1845"/>
    <s v="df166300-5a78-3502-a46a-832842197811"/>
    <x v="0"/>
    <n v="162673000"/>
    <s v="General examination of patient (procedure)"/>
    <n v="136.80000000000001"/>
    <n v="1613"/>
    <n v="1513"/>
    <m/>
    <x v="0"/>
  </r>
  <r>
    <s v="239b0c86-371a-3080-21af-7582d7d624b7"/>
    <d v="2018-01-14T20:38:24"/>
    <d v="2018-01-14T20:53:24"/>
    <s v="239b0c86-371a-3080-fcd9-8379b296bc9a"/>
    <s v="89171335-b9c0-3326-98d6-a837d432b9fd"/>
    <s v="66830869-c952-3647-bf73-8b58b6cbdca4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239b0c86-371a-3080-5a95-3f1faf102297"/>
    <d v="2018-08-30T21:38:24"/>
    <d v="2018-08-31T00:06:21"/>
    <s v="239b0c86-371a-3080-fcd9-8379b296bc9a"/>
    <s v="0a8a4b11-d0b8-3cd2-92cd-983de5189cfa"/>
    <s v="30ae29c5-af14-340d-92d9-6563bc0335f9"/>
    <s v="df166300-5a78-3502-a46a-832842197811"/>
    <x v="3"/>
    <n v="185345009"/>
    <s v="Encounter for symptom (procedure)"/>
    <n v="87.71"/>
    <n v="5488.25"/>
    <n v="5418.19"/>
    <n v="307426000"/>
    <x v="5"/>
  </r>
  <r>
    <s v="239b0c86-371a-3080-63cb-55792a22ce1e"/>
    <d v="2019-05-22T14:38:24"/>
    <d v="2019-05-22T14:53:24"/>
    <s v="239b0c86-371a-3080-fcd9-8379b296bc9a"/>
    <s v="89171335-b9c0-3326-98d6-a837d432b9fd"/>
    <s v="66830869-c952-3647-bf73-8b58b6cbdca4"/>
    <s v="df166300-5a78-3502-a46a-832842197811"/>
    <x v="1"/>
    <n v="185345009"/>
    <s v="Encounter for symptom (procedure)"/>
    <n v="85.55"/>
    <n v="85.55"/>
    <n v="0"/>
    <n v="195662009"/>
    <x v="9"/>
  </r>
  <r>
    <s v="239b0c86-371a-3080-1921-fc20d50e762c"/>
    <d v="2020-01-04T20:38:24"/>
    <d v="2020-01-04T20:53:58"/>
    <s v="239b0c86-371a-3080-fcd9-8379b296bc9a"/>
    <s v="89171335-b9c0-3326-98d6-a837d432b9fd"/>
    <s v="66830869-c952-3647-bf73-8b58b6cbdca4"/>
    <s v="df166300-5a78-3502-a46a-832842197811"/>
    <x v="2"/>
    <n v="698314001"/>
    <s v="Consultation for treatment (procedure)"/>
    <n v="142.58000000000001"/>
    <n v="2454.81"/>
    <n v="2340.36"/>
    <n v="389095005"/>
    <x v="15"/>
  </r>
  <r>
    <s v="239b0c86-371a-3080-d2e1-0ef6160fa37e"/>
    <d v="2020-04-17T21:38:24"/>
    <d v="2020-04-17T21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a747-1569955c5adb"/>
    <d v="2020-07-17T21:38:24"/>
    <d v="2020-07-17T22:18:52"/>
    <s v="239b0c86-371a-3080-fcd9-8379b296bc9a"/>
    <s v="dd3307db-114c-3f11-be44-a9eef6bb3fc5"/>
    <s v="febd162a-a116-3b23-908c-fc6992cd1845"/>
    <s v="df166300-5a78-3502-a46a-832842197811"/>
    <x v="0"/>
    <n v="162673000"/>
    <s v="General examination of patient (procedure)"/>
    <n v="136.80000000000001"/>
    <n v="993.2"/>
    <n v="893.2"/>
    <m/>
    <x v="0"/>
  </r>
  <r>
    <s v="239b0c86-371a-3080-90e2-720148158646"/>
    <d v="2020-07-24T21:38:24"/>
    <d v="2020-07-24T21:53:52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239b0c86-371a-3080-2c39-ea1a55405f24"/>
    <d v="2020-10-23T21:38:24"/>
    <d v="2020-10-23T21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239b0c86-371a-3080-2a80-536ffd0830ab"/>
    <d v="2021-01-22T20:38:24"/>
    <d v="2021-01-22T20:54:01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c6b6-64e2d9eef026"/>
    <d v="2021-04-23T21:38:24"/>
    <d v="2021-04-23T21:54:13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2525-2dd1449b5d98"/>
    <d v="2021-07-23T21:38:24"/>
    <d v="2021-07-30T21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685"/>
    <n v="1535"/>
    <n v="389095005"/>
    <x v="15"/>
  </r>
  <r>
    <s v="239b0c86-371a-3080-5c63-19137a19645e"/>
    <d v="2021-08-20T21:38:24"/>
    <d v="2021-08-20T21:53:24"/>
    <s v="239b0c86-371a-3080-fcd9-8379b296bc9a"/>
    <s v="89171335-b9c0-3326-98d6-a837d432b9fd"/>
    <s v="66830869-c952-3647-bf73-8b58b6cbdca4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239b0c86-371a-3080-8cb7-caf8d0bccfb3"/>
    <d v="2021-10-22T21:38:24"/>
    <d v="2021-10-22T21:55:02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426.52"/>
    <n v="1376.52"/>
    <n v="389095005"/>
    <x v="15"/>
  </r>
  <r>
    <s v="239b0c86-371a-3080-5731-cf137eeb7e2d"/>
    <d v="2021-12-24T20:53:58"/>
    <d v="2021-12-24T21:09:15"/>
    <s v="239b0c86-371a-3080-fcd9-8379b296bc9a"/>
    <s v="89171335-b9c0-3326-98d6-a837d432b9fd"/>
    <s v="66830869-c952-3647-bf73-8b58b6cbdca4"/>
    <s v="df166300-5a78-3502-a46a-832842197811"/>
    <x v="2"/>
    <n v="698314001"/>
    <s v="Consultation for treatment (procedure)"/>
    <n v="142.58000000000001"/>
    <n v="2182.37"/>
    <n v="2132.37"/>
    <n v="389095005"/>
    <x v="15"/>
  </r>
  <r>
    <s v="239b0c86-371a-3080-fa24-fe1b553753cc"/>
    <d v="2022-01-21T20:38:24"/>
    <d v="2022-01-21T20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905.87"/>
    <n v="1855.87"/>
    <n v="389095005"/>
    <x v="15"/>
  </r>
  <r>
    <s v="239b0c86-371a-3080-5c3b-9056b9113129"/>
    <d v="2022-04-22T21:38:24"/>
    <d v="2022-04-22T21:55:42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da2b-bee98c0e8ed6"/>
    <d v="2022-07-22T21:38:24"/>
    <d v="2022-07-22T21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100.8499999999999"/>
    <n v="389095005"/>
    <x v="15"/>
  </r>
  <r>
    <s v="239b0c86-371a-3080-3401-f06deeabcd58"/>
    <d v="2022-10-14T21:38:24"/>
    <d v="2022-10-14T22:29:48"/>
    <s v="239b0c86-371a-3080-fcd9-8379b296bc9a"/>
    <s v="a14e698d-a9ba-3eae-9c8b-682ec726433d"/>
    <s v="d3e4f7c6-32c4-3b53-9ea1-87b81d3376fc"/>
    <s v="df166300-5a78-3502-a46a-832842197811"/>
    <x v="4"/>
    <n v="702927004"/>
    <s v="Urgent care clinic (environment)"/>
    <n v="142.58000000000001"/>
    <n v="1392.79"/>
    <n v="1342.79"/>
    <m/>
    <x v="0"/>
  </r>
  <r>
    <s v="239b0c86-371a-3080-9b32-2894ac29b6fa"/>
    <d v="2022-10-21T21:38:24"/>
    <d v="2022-10-21T21:53:24"/>
    <s v="239b0c86-371a-3080-fcd9-8379b296bc9a"/>
    <s v="89171335-b9c0-3326-98d6-a837d432b9fd"/>
    <s v="66830869-c952-3647-bf73-8b58b6cbdca4"/>
    <s v="df166300-5a78-3502-a46a-832842197811"/>
    <x v="2"/>
    <n v="185349003"/>
    <s v="Encounter for check up (procedure)"/>
    <n v="85.55"/>
    <n v="221.55"/>
    <n v="171.55"/>
    <m/>
    <x v="0"/>
  </r>
  <r>
    <s v="239b0c86-371a-3080-f892-ea08f9fdbdfa"/>
    <d v="2022-10-28T21:38:24"/>
    <d v="2022-10-28T21:59:20"/>
    <s v="239b0c86-371a-3080-fcd9-8379b296bc9a"/>
    <s v="89171335-b9c0-3326-98d6-a837d432b9fd"/>
    <s v="66830869-c952-3647-bf73-8b58b6cbdca4"/>
    <s v="df166300-5a78-3502-a46a-832842197811"/>
    <x v="1"/>
    <n v="185345009"/>
    <s v="Encounter for symptom (procedure)"/>
    <n v="85.55"/>
    <n v="265.62"/>
    <n v="215.62"/>
    <n v="10509002"/>
    <x v="1"/>
  </r>
  <r>
    <s v="239b0c86-371a-3080-c2a5-81a39720127c"/>
    <d v="2022-11-04T21:38:24"/>
    <d v="2022-11-04T21:53:31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239b0c86-371a-3080-a1d5-21ea652c2c51"/>
    <d v="2022-11-11T20:38:24"/>
    <d v="2022-11-12T02:55:14"/>
    <s v="239b0c86-371a-3080-fcd9-8379b296bc9a"/>
    <s v="89171335-b9c0-3326-98d6-a837d432b9fd"/>
    <s v="66830869-c952-3647-bf73-8b58b6cbdca4"/>
    <s v="df166300-5a78-3502-a46a-832842197811"/>
    <x v="1"/>
    <n v="185349003"/>
    <s v="Encounter for check up (procedure)"/>
    <n v="85.55"/>
    <n v="4830.95"/>
    <n v="4780.95"/>
    <n v="66383009"/>
    <x v="17"/>
  </r>
  <r>
    <s v="239b0c86-371a-3080-529f-c94be9c07755"/>
    <d v="2022-12-19T21:09:15"/>
    <d v="2022-12-19T21:24:15"/>
    <s v="239b0c86-371a-3080-fcd9-8379b296bc9a"/>
    <s v="89171335-b9c0-3326-98d6-a837d432b9fd"/>
    <s v="66830869-c952-3647-bf73-8b58b6cbdca4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87f7ad7b-85f9-d26d-6ace-0a1185fb78d1"/>
    <d v="1987-06-19T19:31:00"/>
    <d v="1987-06-19T20:02:18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919.9"/>
    <n v="769.9"/>
    <m/>
    <x v="0"/>
  </r>
  <r>
    <s v="239b0c86-371a-3080-5d16-a79cfd29843c"/>
    <d v="2022-12-24T13:09:15"/>
    <d v="2022-12-24T14:00:06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5495.09"/>
    <n v="15445.09"/>
    <n v="389095005"/>
    <x v="15"/>
  </r>
  <r>
    <s v="87f7ad7b-85f9-d26d-2738-9080392bfe67"/>
    <d v="1989-12-26T18:31:00"/>
    <d v="1989-12-26T18:46:00"/>
    <s v="87f7ad7b-85f9-d26d-5a41-9933f4039331"/>
    <s v="19a3afba-b409-3650-a0ab-f3faf6e391ef"/>
    <s v="b2e78e97-6916-32dc-a96a-2d67d24b8270"/>
    <s v="df166300-5a78-3502-a46a-832842197811"/>
    <x v="1"/>
    <n v="424619006"/>
    <s v="Prenatal visit (regime/therapy)"/>
    <n v="142.58000000000001"/>
    <n v="1005.38"/>
    <n v="955.38"/>
    <n v="156073000"/>
    <x v="26"/>
  </r>
  <r>
    <s v="87f7ad7b-85f9-d26d-98dd-55637e225cfe"/>
    <d v="2011-05-06T19:31:00"/>
    <d v="2011-05-06T20:19:31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1050.78"/>
    <n v="950.78"/>
    <m/>
    <x v="0"/>
  </r>
  <r>
    <s v="239b0c86-371a-3080-cb32-73f087a66bda"/>
    <d v="2023-02-03T20:38:24"/>
    <d v="2023-02-03T20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2670.39"/>
    <n v="2620.39"/>
    <n v="389095005"/>
    <x v="15"/>
  </r>
  <r>
    <s v="239b0c86-371a-3080-bb63-6afd569b1ef2"/>
    <d v="2023-02-10T20:38:24"/>
    <d v="2023-02-10T21:38:24"/>
    <s v="239b0c86-371a-3080-fcd9-8379b296bc9a"/>
    <s v="0a8a4b11-d0b8-3cd2-92cd-983de5189cfa"/>
    <s v="30ae29c5-af14-340d-92d9-6563bc0335f9"/>
    <s v="df166300-5a78-3502-a46a-832842197811"/>
    <x v="3"/>
    <n v="50849002"/>
    <s v="Emergency room admission (procedure)"/>
    <n v="146.18"/>
    <n v="4140.8900000000003"/>
    <n v="4090.89"/>
    <n v="312608009"/>
    <x v="20"/>
  </r>
  <r>
    <s v="239b0c86-371a-3080-e532-c4cf2a692624"/>
    <d v="2023-05-05T21:38:24"/>
    <d v="2023-05-05T21:57:51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994.38"/>
    <n v="1944.38"/>
    <n v="389095005"/>
    <x v="15"/>
  </r>
  <r>
    <s v="239b0c86-371a-3080-6120-abc460eff99c"/>
    <d v="2023-07-21T21:38:24"/>
    <d v="2023-07-21T22:22:20"/>
    <s v="239b0c86-371a-3080-fcd9-8379b296bc9a"/>
    <s v="dd3307db-114c-3f11-be44-a9eef6bb3fc5"/>
    <s v="febd162a-a116-3b23-908c-fc6992cd1845"/>
    <s v="df166300-5a78-3502-a46a-832842197811"/>
    <x v="0"/>
    <n v="162673000"/>
    <s v="General examination of patient (procedure)"/>
    <n v="136.80000000000001"/>
    <n v="704.2"/>
    <n v="604.20000000000005"/>
    <m/>
    <x v="0"/>
  </r>
  <r>
    <s v="239b0c86-371a-3080-5ce9-50d053801203"/>
    <d v="2023-08-04T21:38:24"/>
    <d v="2023-08-04T21:55:3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820.33"/>
    <n v="1770.33"/>
    <n v="389095005"/>
    <x v="15"/>
  </r>
  <r>
    <s v="239b0c86-371a-3080-e494-4c4d16711b1b"/>
    <d v="2023-11-03T21:38:24"/>
    <d v="2023-11-03T21:54:07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cabf-b6f2b116d003"/>
    <d v="2023-12-19T14:00:06"/>
    <d v="2023-12-19T14:15:06"/>
    <s v="239b0c86-371a-3080-fcd9-8379b296bc9a"/>
    <s v="89171335-b9c0-3326-98d6-a837d432b9fd"/>
    <s v="66830869-c952-3647-bf73-8b58b6cbdca4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239b0c86-371a-3080-9ab7-8b267995152f"/>
    <d v="2024-02-02T20:38:24"/>
    <d v="2024-02-02T20:57:46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2179-4f0c635cb815"/>
    <d v="2024-05-03T21:38:24"/>
    <d v="2024-05-03T21:57:20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239b0c86-371a-3080-49a5-dbd6302f9dc1"/>
    <d v="2024-08-02T21:38:24"/>
    <d v="2024-08-02T21:54:41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100.8499999999999"/>
    <n v="389095005"/>
    <x v="15"/>
  </r>
  <r>
    <s v="239b0c86-371a-3080-4e67-4df1f96f9eea"/>
    <d v="2024-11-01T21:38:24"/>
    <d v="2024-11-01T21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3192.93"/>
    <n v="3142.93"/>
    <n v="389095005"/>
    <x v="15"/>
  </r>
  <r>
    <s v="239b0c86-371a-3080-e4bb-f93e65b86270"/>
    <d v="2024-11-08T20:38:24"/>
    <d v="2024-11-08T20:53:24"/>
    <s v="239b0c86-371a-3080-fcd9-8379b296bc9a"/>
    <s v="89171335-b9c0-3326-98d6-a837d432b9fd"/>
    <s v="66830869-c952-3647-bf73-8b58b6cbdca4"/>
    <s v="df166300-5a78-3502-a46a-832842197811"/>
    <x v="1"/>
    <n v="185345009"/>
    <s v="Encounter for symptom (procedure)"/>
    <n v="85.55"/>
    <n v="85.55"/>
    <n v="35.549999999999997"/>
    <n v="444814009"/>
    <x v="2"/>
  </r>
  <r>
    <s v="87f7ad7b-85f9-d26d-528c-75a0a272f300"/>
    <d v="2011-06-14T19:31:00"/>
    <d v="2011-06-14T20:31:00"/>
    <s v="87f7ad7b-85f9-d26d-5a41-9933f4039331"/>
    <s v="e68de1a0-767e-3466-b9a6-43948ee073d3"/>
    <s v="a660d3e5-6770-3a81-a586-77b312f5ef69"/>
    <s v="df166300-5a78-3502-a46a-832842197811"/>
    <x v="3"/>
    <n v="50849002"/>
    <s v="Emergency room admission (procedure)"/>
    <n v="146.18"/>
    <n v="14106.26"/>
    <n v="14056.26"/>
    <n v="196416002"/>
    <x v="27"/>
  </r>
  <r>
    <s v="87f7ad7b-85f9-d26d-9676-37fa1dd512ce"/>
    <d v="2013-05-10T19:31:00"/>
    <d v="2013-05-10T20:08:28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1476.17"/>
    <n v="1476.17"/>
    <m/>
    <x v="0"/>
  </r>
  <r>
    <s v="87f7ad7b-85f9-d26d-c42f-6f71be3e4b0b"/>
    <d v="2015-05-15T19:31:00"/>
    <d v="2015-05-15T20:29:03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853.36"/>
    <n v="753.36"/>
    <m/>
    <x v="0"/>
  </r>
  <r>
    <s v="87f7ad7b-85f9-d26d-4cad-f4f86bd71724"/>
    <d v="2015-12-14T16:27:47"/>
    <d v="2015-12-14T16:42:47"/>
    <s v="87f7ad7b-85f9-d26d-5a41-9933f4039331"/>
    <s v="d0894f6b-78d7-338d-82ad-b63de4d40014"/>
    <s v="52d976a6-7d7e-3109-96e6-732b66f54669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87f7ad7b-85f9-d26d-1d74-1aac2639cbc8"/>
    <d v="2016-12-11T14:34:13"/>
    <d v="2016-12-11T15:00:38"/>
    <s v="87f7ad7b-85f9-d26d-5a41-9933f4039331"/>
    <s v="d0894f6b-78d7-338d-82ad-b63de4d40014"/>
    <s v="52d976a6-7d7e-3109-96e6-732b66f54669"/>
    <s v="df166300-5a78-3502-a46a-832842197811"/>
    <x v="2"/>
    <n v="698314001"/>
    <s v="Consultation for treatment (procedure)"/>
    <n v="142.58000000000001"/>
    <n v="13234.83"/>
    <n v="13084.83"/>
    <n v="389095005"/>
    <x v="15"/>
  </r>
  <r>
    <s v="87f7ad7b-85f9-d26d-6205-1b948e1b37be"/>
    <d v="2017-02-24T18:31:00"/>
    <d v="2017-02-24T19:17:35"/>
    <s v="87f7ad7b-85f9-d26d-5a41-9933f4039331"/>
    <s v="d0894f6b-78d7-338d-82ad-b63de4d40014"/>
    <s v="52d976a6-7d7e-3109-96e6-732b66f54669"/>
    <s v="df166300-5a78-3502-a46a-832842197811"/>
    <x v="2"/>
    <n v="185349003"/>
    <s v="Encounter for check up (procedure)"/>
    <n v="85.55"/>
    <n v="1372.08"/>
    <n v="1322.08"/>
    <m/>
    <x v="0"/>
  </r>
  <r>
    <s v="239b0c86-371a-3080-eacc-19377fafa53a"/>
    <d v="2025-01-31T20:38:24"/>
    <d v="2025-01-31T20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3788.22"/>
    <n v="3738.22"/>
    <n v="389095005"/>
    <x v="15"/>
  </r>
  <r>
    <s v="239b0c86-371a-3080-4049-0285d0b4518c"/>
    <d v="2025-05-02T21:38:24"/>
    <d v="2025-05-02T21:53:24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239b0c86-371a-3080-819e-685ce9cf4ffa"/>
    <d v="2025-08-01T21:38:24"/>
    <d v="2025-08-01T21:54:32"/>
    <s v="239b0c86-371a-3080-fcd9-8379b296bc9a"/>
    <s v="89171335-b9c0-3326-98d6-a837d432b9fd"/>
    <s v="66830869-c952-3647-bf73-8b58b6cbdca4"/>
    <s v="df166300-5a78-3502-a46a-832842197811"/>
    <x v="2"/>
    <n v="308335008"/>
    <s v="Patient encounter procedure (procedure)"/>
    <n v="142.58000000000001"/>
    <n v="1250.8499999999999"/>
    <n v="1100.8499999999999"/>
    <n v="389095005"/>
    <x v="15"/>
  </r>
  <r>
    <s v="239b0c86-371a-3080-c538-81d26b024ff7"/>
    <d v="2025-09-26T21:38:24"/>
    <d v="2025-09-26T21:53:24"/>
    <s v="239b0c86-371a-3080-fcd9-8379b296bc9a"/>
    <s v="89171335-b9c0-3326-98d6-a837d432b9fd"/>
    <s v="66830869-c952-3647-bf73-8b58b6cbdca4"/>
    <s v="df166300-5a78-3502-a46a-832842197811"/>
    <x v="1"/>
    <n v="424441002"/>
    <s v="Prenatal initial visit (regime/therapy)"/>
    <n v="142.58000000000001"/>
    <n v="40020.769999999997"/>
    <n v="39970.769999999997"/>
    <n v="72892002"/>
    <x v="4"/>
  </r>
  <r>
    <s v="87f7ad7b-85f9-d26d-8404-84e3b121240b"/>
    <d v="2017-03-03T18:31:00"/>
    <d v="2017-03-03T19:31:00"/>
    <s v="87f7ad7b-85f9-d26d-5a41-9933f4039331"/>
    <s v="e68de1a0-767e-3466-b9a6-43948ee073d3"/>
    <s v="a660d3e5-6770-3a81-a586-77b312f5ef69"/>
    <s v="df166300-5a78-3502-a46a-832842197811"/>
    <x v="3"/>
    <n v="50849002"/>
    <s v="Emergency room admission (procedure)"/>
    <n v="146.18"/>
    <n v="146.18"/>
    <n v="96.18"/>
    <n v="74400008"/>
    <x v="28"/>
  </r>
  <r>
    <s v="87f7ad7b-85f9-d26d-2bc9-54896a9dc2e4"/>
    <d v="2017-03-03T18:31:00"/>
    <d v="2017-03-05T10:17:58"/>
    <s v="87f7ad7b-85f9-d26d-5a41-9933f4039331"/>
    <s v="a2cc09de-c1e2-3126-8c09-d49f95225281"/>
    <s v="3c7aa1c1-9d69-3425-b601-48988bab0163"/>
    <s v="df166300-5a78-3502-a46a-832842197811"/>
    <x v="6"/>
    <n v="185347001"/>
    <s v="Encounter for problem (procedure)"/>
    <n v="87.71"/>
    <n v="21432.77"/>
    <n v="21382.77"/>
    <n v="74400008"/>
    <x v="28"/>
  </r>
  <r>
    <s v="87f7ad7b-85f9-d26d-fc24-e40761f6971c"/>
    <d v="2017-05-19T19:31:00"/>
    <d v="2017-05-19T20:11:13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919.9"/>
    <n v="819.9"/>
    <m/>
    <x v="0"/>
  </r>
  <r>
    <s v="239b0c86-371a-3080-0c0a-f7ee5d0a77c3"/>
    <d v="2025-10-24T21:38:24"/>
    <d v="2025-10-24T21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14559.51"/>
    <n v="14509.51"/>
    <n v="72892002"/>
    <x v="4"/>
  </r>
  <r>
    <s v="87f7ad7b-85f9-d26d-308d-3c022a1a32d5"/>
    <d v="2017-12-06T15:00:38"/>
    <d v="2017-12-06T15:15:38"/>
    <s v="87f7ad7b-85f9-d26d-5a41-9933f4039331"/>
    <s v="d0894f6b-78d7-338d-82ad-b63de4d40014"/>
    <s v="52d976a6-7d7e-3109-96e6-732b66f54669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239b0c86-371a-3080-50a9-a52cedafbe13"/>
    <d v="2025-11-21T20:38:24"/>
    <d v="2025-11-21T20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7852.23"/>
    <n v="7802.23"/>
    <n v="72892002"/>
    <x v="4"/>
  </r>
  <r>
    <s v="239b0c86-371a-3080-3b65-7b4fa24e244f"/>
    <d v="2025-12-19T20:38:24"/>
    <d v="2025-12-19T20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4665.96"/>
    <n v="4615.96"/>
    <n v="72892002"/>
    <x v="4"/>
  </r>
  <r>
    <s v="239b0c86-371a-3080-8f3c-6df842fd3d0d"/>
    <d v="2026-01-16T20:38:24"/>
    <d v="2026-01-16T20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11451.02"/>
    <n v="11401.02"/>
    <n v="72892002"/>
    <x v="4"/>
  </r>
  <r>
    <s v="239b0c86-371a-3080-e114-0f92ec76c7fa"/>
    <d v="2026-02-13T20:38:24"/>
    <d v="2026-02-13T20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20660.32"/>
    <n v="20610.32"/>
    <n v="72892002"/>
    <x v="4"/>
  </r>
  <r>
    <s v="239b0c86-371a-3080-08d2-d10f08926e02"/>
    <d v="2026-03-13T21:38:24"/>
    <d v="2026-03-13T21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5179.21"/>
    <n v="5129.21"/>
    <n v="72892002"/>
    <x v="4"/>
  </r>
  <r>
    <s v="87f7ad7b-85f9-d26d-8fd2-ceda10957c9c"/>
    <d v="2018-12-01T15:00:38"/>
    <d v="2018-12-01T15:15:38"/>
    <s v="87f7ad7b-85f9-d26d-5a41-9933f4039331"/>
    <s v="d0894f6b-78d7-338d-82ad-b63de4d40014"/>
    <s v="52d976a6-7d7e-3109-96e6-732b66f54669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87f7ad7b-85f9-d26d-bb84-66575820aa54"/>
    <d v="2019-04-26T19:31:00"/>
    <d v="2019-04-26T20:05:27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914.78"/>
    <n v="814.78"/>
    <m/>
    <x v="0"/>
  </r>
  <r>
    <s v="239b0c86-371a-3080-63d3-2a5accf8ce04"/>
    <d v="2026-04-10T21:38:24"/>
    <d v="2026-04-10T21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7238.72"/>
    <n v="7188.72"/>
    <n v="72892002"/>
    <x v="4"/>
  </r>
  <r>
    <s v="239b0c86-371a-3080-c5ad-1c0f353ae7c7"/>
    <d v="2026-04-24T21:38:24"/>
    <d v="2026-04-24T21:53:24"/>
    <s v="239b0c86-371a-3080-fcd9-8379b296bc9a"/>
    <s v="89171335-b9c0-3326-98d6-a837d432b9fd"/>
    <s v="66830869-c952-3647-bf73-8b58b6cbdca4"/>
    <s v="df166300-5a78-3502-a46a-832842197811"/>
    <x v="1"/>
    <n v="424619006"/>
    <s v="Prenatal visit (regime/therapy)"/>
    <n v="142.58000000000001"/>
    <n v="4665.96"/>
    <n v="4615.96"/>
    <n v="72892002"/>
    <x v="4"/>
  </r>
  <r>
    <s v="239b0c86-371a-3080-1dd0-0c519384ef64"/>
    <d v="2026-05-01T21:38:24"/>
    <d v="2026-05-01T22:38:24"/>
    <s v="239b0c86-371a-3080-fcd9-8379b296bc9a"/>
    <s v="0a8a4b11-d0b8-3cd2-92cd-983de5189cfa"/>
    <s v="30ae29c5-af14-340d-92d9-6563bc0335f9"/>
    <s v="df166300-5a78-3502-a46a-832842197811"/>
    <x v="3"/>
    <n v="183460006"/>
    <s v="Obstetric emergency hospital admission (procedure)"/>
    <n v="146.18"/>
    <n v="6874.57"/>
    <n v="6824.57"/>
    <n v="72892002"/>
    <x v="4"/>
  </r>
  <r>
    <s v="239b0c86-371a-3080-eca3-7b0794d2f4d5"/>
    <d v="2026-06-12T21:38:24"/>
    <d v="2026-06-12T21:53:24"/>
    <s v="239b0c86-371a-3080-fcd9-8379b296bc9a"/>
    <s v="89171335-b9c0-3326-98d6-a837d432b9fd"/>
    <s v="66830869-c952-3647-bf73-8b58b6cbdca4"/>
    <s v="df166300-5a78-3502-a46a-832842197811"/>
    <x v="1"/>
    <n v="169762003"/>
    <s v="Postnatal visit (regime/therapy)"/>
    <n v="142.58000000000001"/>
    <n v="1005.38"/>
    <n v="855.38"/>
    <m/>
    <x v="0"/>
  </r>
  <r>
    <s v="239b0c86-371a-3080-e10b-744151fca259"/>
    <d v="2026-07-24T21:38:24"/>
    <d v="2026-07-24T22:15:42"/>
    <s v="239b0c86-371a-3080-fcd9-8379b296bc9a"/>
    <s v="dd3307db-114c-3f11-be44-a9eef6bb3fc5"/>
    <s v="febd162a-a116-3b23-908c-fc6992cd1845"/>
    <s v="df166300-5a78-3502-a46a-832842197811"/>
    <x v="0"/>
    <n v="162673000"/>
    <s v="General examination of patient (procedure)"/>
    <n v="136.80000000000001"/>
    <n v="1130.48"/>
    <n v="1130.48"/>
    <m/>
    <x v="0"/>
  </r>
  <r>
    <s v="239b0c86-371a-3080-1e57-cf86a2510d4b"/>
    <d v="2026-08-07T21:38:24"/>
    <d v="2026-08-08T00:56:47"/>
    <s v="239b0c86-371a-3080-fcd9-8379b296bc9a"/>
    <s v="89171335-b9c0-3326-98d6-a837d432b9fd"/>
    <s v="66830869-c952-3647-bf73-8b58b6cbdca4"/>
    <s v="df166300-5a78-3502-a46a-832842197811"/>
    <x v="1"/>
    <n v="185349003"/>
    <s v="Encounter for check up (procedure)"/>
    <n v="85.55"/>
    <n v="2673.95"/>
    <n v="2623.95"/>
    <n v="66383009"/>
    <x v="17"/>
  </r>
  <r>
    <s v="87f7ad7b-85f9-d26d-167e-9c4816bd35f9"/>
    <d v="2019-05-03T19:31:00"/>
    <d v="2019-05-03T20:05:35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10001.48"/>
    <n v="9951.48"/>
    <n v="275978004"/>
    <x v="29"/>
  </r>
  <r>
    <s v="87f7ad7b-85f9-d26d-a5b9-d11c9b138579"/>
    <d v="2019-12-06T18:31:00"/>
    <d v="2019-12-06T19:18:47"/>
    <s v="87f7ad7b-85f9-d26d-5a41-9933f4039331"/>
    <s v="d0894f6b-78d7-338d-82ad-b63de4d40014"/>
    <s v="52d976a6-7d7e-3109-96e6-732b66f54669"/>
    <s v="df166300-5a78-3502-a46a-832842197811"/>
    <x v="2"/>
    <n v="308335008"/>
    <s v="Patient encounter procedure (procedure)"/>
    <n v="142.58000000000001"/>
    <n v="573.98"/>
    <n v="523.98"/>
    <n v="389095005"/>
    <x v="15"/>
  </r>
  <r>
    <s v="87f7ad7b-85f9-d26d-5832-02f6b7a712d7"/>
    <d v="2020-05-01T19:31:00"/>
    <d v="2020-05-01T20:25:31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976.2"/>
    <n v="876.2"/>
    <m/>
    <x v="0"/>
  </r>
  <r>
    <s v="87f7ad7b-85f9-d26d-2a4e-d117289c562c"/>
    <d v="2020-05-15T19:31:00"/>
    <d v="2020-05-16T01:39:54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4399.55"/>
    <n v="4349.55"/>
    <n v="66383009"/>
    <x v="17"/>
  </r>
  <r>
    <s v="87f7ad7b-85f9-d26d-e330-a68f417ab6e4"/>
    <d v="2021-05-07T19:31:00"/>
    <d v="2021-05-07T20:07:05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1368.12"/>
    <n v="1268.1199999999999"/>
    <m/>
    <x v="0"/>
  </r>
  <r>
    <s v="87f7ad7b-85f9-d26d-2b6f-2ff581d9f5d4"/>
    <d v="2021-05-10T19:31:00"/>
    <d v="2021-05-10T20:49:58"/>
    <s v="87f7ad7b-85f9-d26d-5a41-9933f4039331"/>
    <s v="19a3afba-b409-3650-a0ab-f3faf6e391ef"/>
    <s v="b2e78e97-6916-32dc-a96a-2d67d24b8270"/>
    <s v="df166300-5a78-3502-a46a-832842197811"/>
    <x v="1"/>
    <n v="185345009"/>
    <s v="Encounter for symptom (procedure)"/>
    <n v="85.55"/>
    <n v="239.67"/>
    <n v="189.67"/>
    <n v="840544004"/>
    <x v="30"/>
  </r>
  <r>
    <s v="87f7ad7b-85f9-d26d-934e-c7375bed15a3"/>
    <d v="2022-05-13T19:31:00"/>
    <d v="2022-05-13T20:17:28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1002.62"/>
    <n v="902.62"/>
    <m/>
    <x v="0"/>
  </r>
  <r>
    <s v="87f7ad7b-85f9-d26d-5f08-f4398ac29a86"/>
    <d v="2022-05-27T19:31:00"/>
    <d v="2022-05-27T22:48:02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3105.35"/>
    <n v="3055.35"/>
    <n v="103697008"/>
    <x v="3"/>
  </r>
  <r>
    <s v="87f7ad7b-85f9-d26d-4fbd-b31201c4ee13"/>
    <d v="2023-05-19T19:31:00"/>
    <d v="2023-05-19T20:18:14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919.9"/>
    <n v="819.9"/>
    <m/>
    <x v="0"/>
  </r>
  <r>
    <s v="87f7ad7b-85f9-d26d-f261-433d205b50fa"/>
    <d v="2023-06-02T19:31:00"/>
    <d v="2023-06-02T22:17:39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3105.35"/>
    <n v="3055.35"/>
    <n v="103697008"/>
    <x v="3"/>
  </r>
  <r>
    <s v="87f7ad7b-85f9-d26d-e0dd-4693ca635e6b"/>
    <d v="2023-06-18T19:31:00"/>
    <d v="2023-06-18T19:46:00"/>
    <s v="87f7ad7b-85f9-d26d-5a41-9933f4039331"/>
    <s v="19a3afba-b409-3650-a0ab-f3faf6e391ef"/>
    <s v="b2e78e97-6916-32dc-a96a-2d67d24b8270"/>
    <s v="df166300-5a78-3502-a46a-832842197811"/>
    <x v="1"/>
    <n v="390906007"/>
    <s v="Follow-up encounter (procedure)"/>
    <n v="85.55"/>
    <n v="85.55"/>
    <n v="35.549999999999997"/>
    <n v="59621000"/>
    <x v="31"/>
  </r>
  <r>
    <s v="87f7ad7b-85f9-d26d-b7c2-0d595a4f6917"/>
    <d v="2023-08-17T19:31:00"/>
    <d v="2023-08-17T19:46:00"/>
    <s v="87f7ad7b-85f9-d26d-5a41-9933f4039331"/>
    <s v="19a3afba-b409-3650-a0ab-f3faf6e391ef"/>
    <s v="b2e78e97-6916-32dc-a96a-2d67d24b8270"/>
    <s v="df166300-5a78-3502-a46a-832842197811"/>
    <x v="1"/>
    <n v="390906007"/>
    <s v="Follow-up encounter (procedure)"/>
    <n v="85.55"/>
    <n v="85.55"/>
    <n v="35.549999999999997"/>
    <n v="59621000"/>
    <x v="31"/>
  </r>
  <r>
    <s v="87f7ad7b-85f9-d26d-8751-b1e329116ba7"/>
    <d v="2023-10-16T19:31:00"/>
    <d v="2023-10-16T19:46:00"/>
    <s v="87f7ad7b-85f9-d26d-5a41-9933f4039331"/>
    <s v="19a3afba-b409-3650-a0ab-f3faf6e391ef"/>
    <s v="b2e78e97-6916-32dc-a96a-2d67d24b8270"/>
    <s v="df166300-5a78-3502-a46a-832842197811"/>
    <x v="1"/>
    <n v="390906007"/>
    <s v="Follow-up encounter (procedure)"/>
    <n v="85.55"/>
    <n v="85.55"/>
    <n v="35.549999999999997"/>
    <n v="59621000"/>
    <x v="31"/>
  </r>
  <r>
    <s v="87f7ad7b-85f9-d26d-ddd6-f6df356d7112"/>
    <d v="2024-05-02T20:05:35"/>
    <d v="2024-05-02T20:32:22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5138.45"/>
    <n v="4988.45"/>
    <n v="275978004"/>
    <x v="29"/>
  </r>
  <r>
    <s v="87f7ad7b-85f9-d26d-09ee-5e327026a48e"/>
    <d v="2024-05-24T19:31:00"/>
    <d v="2024-05-24T20:15:16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919.9"/>
    <n v="919.9"/>
    <m/>
    <x v="0"/>
  </r>
  <r>
    <s v="87f7ad7b-85f9-d26d-8968-938d7d6962f9"/>
    <d v="2024-06-07T19:31:00"/>
    <d v="2024-06-07T22:55:33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3105.35"/>
    <n v="3055.35"/>
    <n v="66383009"/>
    <x v="17"/>
  </r>
  <r>
    <s v="87f7ad7b-85f9-d26d-b61b-88b4a390193b"/>
    <d v="2025-05-30T19:31:00"/>
    <d v="2025-05-30T20:16:54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778.78"/>
    <n v="678.78"/>
    <m/>
    <x v="0"/>
  </r>
  <r>
    <s v="87f7ad7b-85f9-d26d-8ed1-78321688f54b"/>
    <d v="2025-06-13T19:31:00"/>
    <d v="2025-06-13T22:44:03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3105.35"/>
    <n v="3055.35"/>
    <n v="66383009"/>
    <x v="17"/>
  </r>
  <r>
    <s v="87f7ad7b-85f9-d26d-42fa-0b23756aa084"/>
    <d v="2026-06-05T19:31:00"/>
    <d v="2026-06-05T20:14:55"/>
    <s v="87f7ad7b-85f9-d26d-5a41-9933f4039331"/>
    <s v="f1664435-2eca-3eff-bd1a-13701e7ad1bd"/>
    <s v="7a40e3fd-1c53-3d13-a07b-3a50ad3d68ba"/>
    <s v="df166300-5a78-3502-a46a-832842197811"/>
    <x v="0"/>
    <n v="162673000"/>
    <s v="General examination of patient (procedure)"/>
    <n v="136.80000000000001"/>
    <n v="778.78"/>
    <n v="678.78"/>
    <m/>
    <x v="0"/>
  </r>
  <r>
    <s v="87f7ad7b-85f9-d26d-cf1a-95b514289d63"/>
    <d v="2026-06-19T19:31:00"/>
    <d v="2026-06-19T22:56:29"/>
    <s v="87f7ad7b-85f9-d26d-5a41-9933f4039331"/>
    <s v="19a3afba-b409-3650-a0ab-f3faf6e391ef"/>
    <s v="b2e78e97-6916-32dc-a96a-2d67d24b8270"/>
    <s v="df166300-5a78-3502-a46a-832842197811"/>
    <x v="1"/>
    <n v="185349003"/>
    <s v="Encounter for check up (procedure)"/>
    <n v="85.55"/>
    <n v="3536.75"/>
    <n v="3486.75"/>
    <n v="103697008"/>
    <x v="3"/>
  </r>
  <r>
    <s v="f5749532-3295-ad01-d458-6563c570663c"/>
    <d v="1990-11-05T02:20:24"/>
    <d v="1990-11-05T03:09:10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919.9"/>
    <n v="0"/>
    <m/>
    <x v="0"/>
  </r>
  <r>
    <s v="f5749532-3295-ad01-e596-ecdf3cf1e767"/>
    <d v="2000-11-20T02:20:24"/>
    <d v="2000-11-20T03:03:53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917"/>
    <n v="733.59"/>
    <m/>
    <x v="0"/>
  </r>
  <r>
    <s v="f5749532-3295-ad01-ff01-45763dd7c52b"/>
    <d v="2000-11-27T02:20:24"/>
    <d v="2000-11-27T03:23:54"/>
    <s v="f5749532-3295-ad01-d9b5-932c997e7a01"/>
    <s v="3b021cb6-4745-3d9d-8436-230055f770bd"/>
    <s v="3aadffc5-0246-3fc8-8981-6c99c5a22e8b"/>
    <s v="d31fccc3-1767-390d-966a-22a5156f4219"/>
    <x v="1"/>
    <n v="185347001"/>
    <s v="Encounter for problem (procedure)"/>
    <n v="85.55"/>
    <n v="1706.26"/>
    <n v="1365"/>
    <n v="271737000"/>
    <x v="32"/>
  </r>
  <r>
    <s v="f5749532-3295-ad01-64d4-ecb86b7d8653"/>
    <d v="2003-11-24T02:20:24"/>
    <d v="2003-11-24T03:03:47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996.16"/>
    <n v="0"/>
    <m/>
    <x v="0"/>
  </r>
  <r>
    <s v="f5749532-3295-ad01-f559-54b5bf1bdefd"/>
    <d v="2012-09-17T03:20:24"/>
    <d v="2012-09-17T04:15:07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1343.99"/>
    <n v="0"/>
    <m/>
    <x v="0"/>
  </r>
  <r>
    <s v="f5749532-3295-ad01-b198-0b8422f92d43"/>
    <d v="2012-10-08T03:20:24"/>
    <d v="2012-10-08T04:25:38"/>
    <s v="f5749532-3295-ad01-d9b5-932c997e7a01"/>
    <s v="3b021cb6-4745-3d9d-8436-230055f770bd"/>
    <s v="3aadffc5-0246-3fc8-8981-6c99c5a22e8b"/>
    <s v="d31fccc3-1767-390d-966a-22a5156f4219"/>
    <x v="1"/>
    <n v="185347001"/>
    <s v="Encounter for problem (procedure)"/>
    <n v="85.55"/>
    <n v="1379.75"/>
    <n v="1103.8"/>
    <n v="37320007"/>
    <x v="8"/>
  </r>
  <r>
    <s v="f5749532-3295-ad01-245e-b4c477ee898a"/>
    <d v="2014-09-22T03:20:24"/>
    <d v="2014-09-22T03:55:30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1132.1600000000001"/>
    <n v="0"/>
    <m/>
    <x v="0"/>
  </r>
  <r>
    <s v="f5749532-3295-ad01-c53e-0cfd46599b2c"/>
    <d v="2015-09-09T04:29:31"/>
    <d v="2015-09-09T04:44:31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142.58000000000001"/>
    <n v="114.06"/>
    <n v="389095005"/>
    <x v="15"/>
  </r>
  <r>
    <s v="f5749532-3295-ad01-0f8c-1aea90e943c6"/>
    <d v="2016-09-03T04:29:31"/>
    <d v="2016-09-03T04:44:31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142.58000000000001"/>
    <n v="0"/>
    <n v="389095005"/>
    <x v="15"/>
  </r>
  <r>
    <s v="f5749532-3295-ad01-0049-abe9f9382d17"/>
    <d v="2016-09-26T03:20:24"/>
    <d v="2016-09-26T04:03:42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785.58"/>
    <n v="0"/>
    <m/>
    <x v="0"/>
  </r>
  <r>
    <s v="f5749532-3295-ad01-f3bc-407311274bf6"/>
    <d v="2017-08-29T04:29:31"/>
    <d v="2017-08-29T04:44:31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142.58000000000001"/>
    <n v="0"/>
    <n v="389095005"/>
    <x v="15"/>
  </r>
  <r>
    <s v="f5749532-3295-ad01-26b1-0b0a46d08586"/>
    <d v="2017-10-30T03:20:24"/>
    <d v="2017-10-30T04:11:41"/>
    <s v="f5749532-3295-ad01-d9b5-932c997e7a01"/>
    <s v="3b021cb6-4745-3d9d-8436-230055f770bd"/>
    <s v="3aadffc5-0246-3fc8-8981-6c99c5a22e8b"/>
    <s v="d31fccc3-1767-390d-966a-22a5156f4219"/>
    <x v="2"/>
    <n v="308335008"/>
    <s v="Patient encounter procedure (procedure)"/>
    <n v="142.58000000000001"/>
    <n v="24757.68"/>
    <n v="18639.740000000002"/>
    <n v="389095005"/>
    <x v="15"/>
  </r>
  <r>
    <s v="f5749532-3295-ad01-7458-0a7edc951fd9"/>
    <d v="2017-11-20T02:20:24"/>
    <d v="2017-11-20T02:56:56"/>
    <s v="f5749532-3295-ad01-d9b5-932c997e7a01"/>
    <s v="3b021cb6-4745-3d9d-8436-230055f770bd"/>
    <s v="3aadffc5-0246-3fc8-8981-6c99c5a22e8b"/>
    <s v="d31fccc3-1767-390d-966a-22a5156f4219"/>
    <x v="2"/>
    <n v="185349003"/>
    <s v="Encounter for check up (procedure)"/>
    <n v="85.55"/>
    <n v="1493.82"/>
    <n v="1195.04"/>
    <m/>
    <x v="0"/>
  </r>
  <r>
    <s v="f5749532-3295-ad01-c495-dc0a50f64d58"/>
    <d v="2017-11-27T02:20:24"/>
    <d v="2017-11-27T02:35:24"/>
    <s v="f5749532-3295-ad01-d9b5-932c997e7a01"/>
    <s v="3b021cb6-4745-3d9d-8436-230055f770bd"/>
    <s v="3aadffc5-0246-3fc8-8981-6c99c5a22e8b"/>
    <s v="d31fccc3-1767-390d-966a-22a5156f4219"/>
    <x v="1"/>
    <n v="185345009"/>
    <s v="Encounter for symptom (procedure)"/>
    <n v="85.55"/>
    <n v="85.55"/>
    <n v="68.44"/>
    <n v="444814009"/>
    <x v="2"/>
  </r>
  <r>
    <s v="f5749532-3295-ad01-0103-e324fc633aff"/>
    <d v="2018-08-24T04:29:31"/>
    <d v="2018-08-24T04:44:31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142.58000000000001"/>
    <n v="114.06"/>
    <n v="389095005"/>
    <x v="15"/>
  </r>
  <r>
    <s v="f5749532-3295-ad01-6506-a9bcd107ca02"/>
    <d v="2018-10-01T03:20:24"/>
    <d v="2018-10-01T03:53:25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1241.48"/>
    <n v="0"/>
    <m/>
    <x v="0"/>
  </r>
  <r>
    <s v="f5749532-3295-ad01-5d0e-c3905bcb60fe"/>
    <d v="2019-08-19T04:29:31"/>
    <d v="2019-08-19T04:53:11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4052.91"/>
    <n v="3079.61"/>
    <n v="389095005"/>
    <x v="15"/>
  </r>
  <r>
    <s v="f5749532-3295-ad01-85bf-2ba1c9e089e2"/>
    <d v="2020-08-13T04:53:11"/>
    <d v="2020-08-13T05:08:11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142.58000000000001"/>
    <n v="0"/>
    <n v="389095005"/>
    <x v="15"/>
  </r>
  <r>
    <s v="f5749532-3295-ad01-9331-d44e8c930ae1"/>
    <d v="2020-08-16T00:53:11"/>
    <d v="2020-08-16T01:39:40"/>
    <s v="f5749532-3295-ad01-d9b5-932c997e7a01"/>
    <s v="3b021cb6-4745-3d9d-8436-230055f770bd"/>
    <s v="3aadffc5-0246-3fc8-8981-6c99c5a22e8b"/>
    <s v="d31fccc3-1767-390d-966a-22a5156f4219"/>
    <x v="2"/>
    <n v="308335008"/>
    <s v="Patient encounter procedure (procedure)"/>
    <n v="142.58000000000001"/>
    <n v="15783.94"/>
    <n v="11582.82"/>
    <n v="389095005"/>
    <x v="15"/>
  </r>
  <r>
    <s v="f5749532-3295-ad01-7a44-711db61d3a16"/>
    <d v="2020-10-05T03:20:24"/>
    <d v="2020-10-05T04:04:16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778.78"/>
    <n v="0"/>
    <m/>
    <x v="0"/>
  </r>
  <r>
    <s v="f5749532-3295-ad01-eb9d-d574a10d9f8e"/>
    <d v="2020-10-19T03:20:24"/>
    <d v="2020-10-19T09:11:18"/>
    <s v="f5749532-3295-ad01-d9b5-932c997e7a01"/>
    <s v="3b021cb6-4745-3d9d-8436-230055f770bd"/>
    <s v="3aadffc5-0246-3fc8-8981-6c99c5a22e8b"/>
    <s v="d31fccc3-1767-390d-966a-22a5156f4219"/>
    <x v="1"/>
    <n v="185349003"/>
    <s v="Encounter for check up (procedure)"/>
    <n v="85.55"/>
    <n v="4830.95"/>
    <n v="3321.38"/>
    <n v="66383009"/>
    <x v="17"/>
  </r>
  <r>
    <s v="f5749532-3295-ad01-e964-e9a8ef9d6c89"/>
    <d v="2021-08-16T03:20:24"/>
    <d v="2021-08-16T03:35:24"/>
    <s v="f5749532-3295-ad01-d9b5-932c997e7a01"/>
    <s v="3b021cb6-4745-3d9d-8436-230055f770bd"/>
    <s v="3aadffc5-0246-3fc8-8981-6c99c5a22e8b"/>
    <s v="d31fccc3-1767-390d-966a-22a5156f4219"/>
    <x v="2"/>
    <n v="33879002"/>
    <s v="Administration of vaccine to produce active immunity (procedure)"/>
    <n v="142.58000000000001"/>
    <n v="278.58"/>
    <n v="222.86"/>
    <m/>
    <x v="0"/>
  </r>
  <r>
    <s v="f5749532-3295-ad01-b661-5d3b99d5bb71"/>
    <d v="2021-09-06T03:20:24"/>
    <d v="2021-09-06T03:35:24"/>
    <s v="f5749532-3295-ad01-d9b5-932c997e7a01"/>
    <s v="3b021cb6-4745-3d9d-8436-230055f770bd"/>
    <s v="3aadffc5-0246-3fc8-8981-6c99c5a22e8b"/>
    <s v="d31fccc3-1767-390d-966a-22a5156f4219"/>
    <x v="2"/>
    <n v="33879002"/>
    <s v="Administration of vaccine to produce active immunity (procedure)"/>
    <n v="142.58000000000001"/>
    <n v="278.58"/>
    <n v="222.86"/>
    <m/>
    <x v="0"/>
  </r>
  <r>
    <s v="f5749532-3295-ad01-ad12-bd0e89f74c09"/>
    <d v="2021-09-25T10:20:24"/>
    <d v="2021-09-25T10:35:24"/>
    <s v="f5749532-3295-ad01-d9b5-932c997e7a01"/>
    <s v="3b021cb6-4745-3d9d-8436-230055f770bd"/>
    <s v="3aadffc5-0246-3fc8-8981-6c99c5a22e8b"/>
    <s v="d31fccc3-1767-390d-966a-22a5156f4219"/>
    <x v="1"/>
    <n v="185345009"/>
    <s v="Encounter for symptom (procedure)"/>
    <n v="85.55"/>
    <n v="948.35"/>
    <n v="0"/>
    <n v="43878008"/>
    <x v="18"/>
  </r>
  <r>
    <s v="f5749532-3295-ad01-48aa-eb6c4531d139"/>
    <d v="2021-11-01T03:20:24"/>
    <d v="2021-11-01T04:23:47"/>
    <s v="f5749532-3295-ad01-d9b5-932c997e7a01"/>
    <s v="3b021cb6-4745-3d9d-8436-230055f770bd"/>
    <s v="3aadffc5-0246-3fc8-8981-6c99c5a22e8b"/>
    <s v="d31fccc3-1767-390d-966a-22a5156f4219"/>
    <x v="2"/>
    <n v="308335008"/>
    <s v="Patient encounter procedure (procedure)"/>
    <n v="142.58000000000001"/>
    <n v="7963.24"/>
    <n v="5970.86"/>
    <n v="389095005"/>
    <x v="15"/>
  </r>
  <r>
    <s v="f5749532-3295-ad01-493d-dffc15d5dae5"/>
    <d v="2021-11-08T02:20:24"/>
    <d v="2021-11-08T03:20:16"/>
    <s v="f5749532-3295-ad01-d9b5-932c997e7a01"/>
    <s v="3b021cb6-4745-3d9d-8436-230055f770bd"/>
    <s v="3aadffc5-0246-3fc8-8981-6c99c5a22e8b"/>
    <s v="d31fccc3-1767-390d-966a-22a5156f4219"/>
    <x v="1"/>
    <n v="185347001"/>
    <s v="Encounter for problem (procedure)"/>
    <n v="85.55"/>
    <n v="1379.75"/>
    <n v="1103.8"/>
    <n v="37320007"/>
    <x v="8"/>
  </r>
  <r>
    <s v="f5749532-3295-ad01-4142-7c51d7bba5be"/>
    <d v="2021-11-22T03:20:16"/>
    <d v="2021-11-22T03:53:59"/>
    <s v="f5749532-3295-ad01-d9b5-932c997e7a01"/>
    <s v="3b021cb6-4745-3d9d-8436-230055f770bd"/>
    <s v="3aadffc5-0246-3fc8-8981-6c99c5a22e8b"/>
    <s v="d31fccc3-1767-390d-966a-22a5156f4219"/>
    <x v="1"/>
    <n v="390906007"/>
    <s v="Follow-up encounter (procedure)"/>
    <n v="85.55"/>
    <n v="516.95000000000005"/>
    <n v="413.56"/>
    <n v="37320007"/>
    <x v="8"/>
  </r>
  <r>
    <s v="f5749532-3295-ad01-61e6-c7911e74323d"/>
    <d v="2022-08-06T01:39:40"/>
    <d v="2022-08-06T01:54:40"/>
    <s v="f5749532-3295-ad01-d9b5-932c997e7a01"/>
    <s v="3b021cb6-4745-3d9d-8436-230055f770bd"/>
    <s v="3aadffc5-0246-3fc8-8981-6c99c5a22e8b"/>
    <s v="d31fccc3-1767-390d-966a-22a5156f4219"/>
    <x v="2"/>
    <n v="698314001"/>
    <s v="Consultation for treatment (procedure)"/>
    <n v="142.58000000000001"/>
    <n v="142.58000000000001"/>
    <n v="114.06"/>
    <n v="389095005"/>
    <x v="15"/>
  </r>
  <r>
    <s v="f5749532-3295-ad01-1f5f-89549394d085"/>
    <d v="2022-09-12T03:20:24"/>
    <d v="2022-09-12T04:12:57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996.16"/>
    <n v="0"/>
    <m/>
    <x v="0"/>
  </r>
  <r>
    <s v="f5749532-3295-ad01-8323-452805a161ec"/>
    <d v="2022-09-19T03:20:24"/>
    <d v="2022-09-19T03:47:37"/>
    <s v="f5749532-3295-ad01-d9b5-932c997e7a01"/>
    <s v="3b021cb6-4745-3d9d-8436-230055f770bd"/>
    <s v="3aadffc5-0246-3fc8-8981-6c99c5a22e8b"/>
    <s v="d31fccc3-1767-390d-966a-22a5156f4219"/>
    <x v="1"/>
    <n v="185349003"/>
    <s v="Encounter for check up (procedure)"/>
    <n v="85.55"/>
    <n v="8634.99"/>
    <n v="6538.52"/>
    <n v="275978004"/>
    <x v="29"/>
  </r>
  <r>
    <s v="f5749532-3295-ad01-a568-149b495f8778"/>
    <d v="2023-08-14T03:20:24"/>
    <d v="2023-08-14T03:49:59"/>
    <s v="f5749532-3295-ad01-d9b5-932c997e7a01"/>
    <s v="3b021cb6-4745-3d9d-8436-230055f770bd"/>
    <s v="3aadffc5-0246-3fc8-8981-6c99c5a22e8b"/>
    <s v="d31fccc3-1767-390d-966a-22a5156f4219"/>
    <x v="2"/>
    <n v="308335008"/>
    <s v="Patient encounter procedure (procedure)"/>
    <n v="142.58000000000001"/>
    <n v="4052.91"/>
    <n v="3242.32"/>
    <n v="389095005"/>
    <x v="15"/>
  </r>
  <r>
    <s v="f5749532-3295-ad01-6cbd-ec9547d6551c"/>
    <d v="2023-09-18T03:20:24"/>
    <d v="2023-09-18T04:07:46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1380.34"/>
    <n v="0"/>
    <m/>
    <x v="0"/>
  </r>
  <r>
    <s v="f5749532-3295-ad01-b7a2-ddd897c9e7da"/>
    <d v="2024-09-23T03:20:24"/>
    <d v="2024-09-23T04:02:05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1655.18"/>
    <n v="157.74"/>
    <m/>
    <x v="0"/>
  </r>
  <r>
    <s v="f5749532-3295-ad01-f7b3-590b37932e3b"/>
    <d v="2024-10-07T03:20:24"/>
    <d v="2024-10-07T06:37:55"/>
    <s v="f5749532-3295-ad01-d9b5-932c997e7a01"/>
    <s v="3b021cb6-4745-3d9d-8436-230055f770bd"/>
    <s v="3aadffc5-0246-3fc8-8981-6c99c5a22e8b"/>
    <s v="d31fccc3-1767-390d-966a-22a5156f4219"/>
    <x v="1"/>
    <n v="185349003"/>
    <s v="Encounter for check up (procedure)"/>
    <n v="85.55"/>
    <n v="3536.75"/>
    <n v="2829.4"/>
    <n v="66383009"/>
    <x v="17"/>
  </r>
  <r>
    <s v="f5749532-3295-ad01-8285-7d02efa5284b"/>
    <d v="2025-09-29T03:20:24"/>
    <d v="2025-09-29T04:12:00"/>
    <s v="f5749532-3295-ad01-d9b5-932c997e7a01"/>
    <s v="df3f566c-97e5-31ed-b0fe-4b452666f736"/>
    <s v="b8f4f640-1844-3dc4-ac53-bc340b054c32"/>
    <s v="d31fccc3-1767-390d-966a-22a5156f4219"/>
    <x v="0"/>
    <n v="162673000"/>
    <s v="General examination of patient (procedure)"/>
    <n v="136.80000000000001"/>
    <n v="1075.8599999999999"/>
    <n v="0"/>
    <m/>
    <x v="0"/>
  </r>
  <r>
    <s v="f5749532-3295-ad01-8601-92ba8138d033"/>
    <d v="2025-10-13T03:20:24"/>
    <d v="2025-10-13T06:32:39"/>
    <s v="f5749532-3295-ad01-d9b5-932c997e7a01"/>
    <s v="3b021cb6-4745-3d9d-8436-230055f770bd"/>
    <s v="3aadffc5-0246-3fc8-8981-6c99c5a22e8b"/>
    <s v="d31fccc3-1767-390d-966a-22a5156f4219"/>
    <x v="1"/>
    <n v="185349003"/>
    <s v="Encounter for check up (procedure)"/>
    <n v="85.55"/>
    <n v="3105.35"/>
    <n v="2282.52"/>
    <n v="103697008"/>
    <x v="3"/>
  </r>
  <r>
    <s v="9389eec9-a5c3-a9e1-4c38-70dca811fe9b"/>
    <d v="2015-06-21T04:11:56"/>
    <d v="2015-06-21T04:31:22"/>
    <s v="9389eec9-a5c3-a9e1-b675-93cd1f199532"/>
    <s v="ad82d624-72eb-3c7d-a76d-79f2668d1390"/>
    <s v="876be811-c588-38a4-ae9d-d6d24ddacb8c"/>
    <s v="26aab0cd-6aba-3e1b-ac5b-05c8867e762c"/>
    <x v="0"/>
    <n v="410620009"/>
    <s v="Well child visit (procedure)"/>
    <n v="136.80000000000001"/>
    <n v="704.2"/>
    <n v="0"/>
    <m/>
    <x v="0"/>
  </r>
  <r>
    <s v="9389eec9-a5c3-a9e1-668d-f126350322a4"/>
    <d v="2017-05-09T04:11:56"/>
    <d v="2017-05-09T04:26:56"/>
    <s v="9389eec9-a5c3-a9e1-b675-93cd1f199532"/>
    <s v="5018c664-e283-30eb-932a-529d9a19b3b5"/>
    <s v="a7f200fe-ebb4-340f-87b6-cc924271580f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389eec9-a5c3-a9e1-a371-841def40f943"/>
    <d v="2017-07-02T04:11:56"/>
    <d v="2017-07-02T04:34:10"/>
    <s v="9389eec9-a5c3-a9e1-b675-93cd1f199532"/>
    <s v="ad82d624-72eb-3c7d-a76d-79f2668d1390"/>
    <s v="876be811-c588-38a4-ae9d-d6d24ddacb8c"/>
    <s v="26aab0cd-6aba-3e1b-ac5b-05c8867e762c"/>
    <x v="0"/>
    <n v="410620009"/>
    <s v="Well child visit (procedure)"/>
    <n v="136.80000000000001"/>
    <n v="1130.48"/>
    <n v="0"/>
    <m/>
    <x v="0"/>
  </r>
  <r>
    <s v="9389eec9-a5c3-a9e1-ecd6-a456432c56f2"/>
    <d v="2017-07-16T04:11:56"/>
    <d v="2017-07-16T10:29:39"/>
    <s v="9389eec9-a5c3-a9e1-b675-93cd1f199532"/>
    <s v="5018c664-e283-30eb-932a-529d9a19b3b5"/>
    <s v="a7f200fe-ebb4-340f-87b6-cc924271580f"/>
    <s v="26aab0cd-6aba-3e1b-ac5b-05c8867e762c"/>
    <x v="1"/>
    <n v="185349003"/>
    <s v="Encounter for check up (procedure)"/>
    <n v="85.55"/>
    <n v="5262.35"/>
    <n v="257.26"/>
    <n v="66383009"/>
    <x v="17"/>
  </r>
  <r>
    <s v="9389eec9-a5c3-a9e1-419c-23e600484574"/>
    <d v="2017-10-06T09:11:56"/>
    <d v="2017-10-06T09:26:56"/>
    <s v="9389eec9-a5c3-a9e1-b675-93cd1f199532"/>
    <s v="5018c664-e283-30eb-932a-529d9a19b3b5"/>
    <s v="a7f200fe-ebb4-340f-87b6-cc924271580f"/>
    <s v="26aab0cd-6aba-3e1b-ac5b-05c8867e762c"/>
    <x v="1"/>
    <n v="185345009"/>
    <s v="Encounter for symptom (procedure)"/>
    <n v="85.55"/>
    <n v="85.55"/>
    <n v="51.33"/>
    <n v="195662009"/>
    <x v="9"/>
  </r>
  <r>
    <s v="9389eec9-a5c3-a9e1-80f1-c11cb839ddce"/>
    <d v="2018-07-08T04:11:56"/>
    <d v="2018-07-08T04:26:56"/>
    <s v="9389eec9-a5c3-a9e1-b675-93cd1f199532"/>
    <s v="ad82d624-72eb-3c7d-a76d-79f2668d1390"/>
    <s v="876be811-c588-38a4-ae9d-d6d24ddacb8c"/>
    <s v="26aab0cd-6aba-3e1b-ac5b-05c8867e762c"/>
    <x v="0"/>
    <n v="410620009"/>
    <s v="Well child visit (procedure)"/>
    <n v="136.80000000000001"/>
    <n v="564.6"/>
    <n v="0"/>
    <m/>
    <x v="0"/>
  </r>
  <r>
    <s v="9389eec9-a5c3-a9e1-0136-291f289128f9"/>
    <d v="2018-07-15T04:11:56"/>
    <d v="2018-07-15T04:26:56"/>
    <s v="9389eec9-a5c3-a9e1-b675-93cd1f199532"/>
    <s v="5018c664-e283-30eb-932a-529d9a19b3b5"/>
    <s v="a7f200fe-ebb4-340f-87b6-cc924271580f"/>
    <s v="26aab0cd-6aba-3e1b-ac5b-05c8867e762c"/>
    <x v="1"/>
    <n v="424441002"/>
    <s v="Prenatal initial visit (regime/therapy)"/>
    <n v="142.58000000000001"/>
    <n v="8323.5300000000007"/>
    <n v="1676.48"/>
    <n v="72892002"/>
    <x v="4"/>
  </r>
  <r>
    <s v="9389eec9-a5c3-a9e1-f46c-43bae3357f23"/>
    <d v="2018-07-31T04:11:56"/>
    <d v="2018-07-31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005.38"/>
    <n v="603.23"/>
    <n v="35999006"/>
    <x v="7"/>
  </r>
  <r>
    <s v="9389eec9-a5c3-a9e1-aac8-9bb64ab88101"/>
    <d v="2018-11-04T03:11:56"/>
    <d v="2018-11-04T03:26:56"/>
    <s v="9389eec9-a5c3-a9e1-b675-93cd1f199532"/>
    <s v="5018c664-e283-30eb-932a-529d9a19b3b5"/>
    <s v="a7f200fe-ebb4-340f-87b6-cc924271580f"/>
    <s v="26aab0cd-6aba-3e1b-ac5b-05c8867e762c"/>
    <x v="1"/>
    <n v="424441002"/>
    <s v="Prenatal initial visit (regime/therapy)"/>
    <n v="142.58000000000001"/>
    <n v="49296.66"/>
    <n v="29577.99"/>
    <n v="72892002"/>
    <x v="4"/>
  </r>
  <r>
    <s v="9389eec9-a5c3-a9e1-ea30-1a945c5da86a"/>
    <d v="2018-12-02T03:11:56"/>
    <d v="2018-12-02T03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1074.15"/>
    <n v="11074.15"/>
    <n v="72892002"/>
    <x v="4"/>
  </r>
  <r>
    <s v="9389eec9-a5c3-a9e1-593f-97645f5c913b"/>
    <d v="2018-12-08T03:11:56"/>
    <d v="2018-12-08T04:38:12"/>
    <s v="9389eec9-a5c3-a9e1-b675-93cd1f199532"/>
    <s v="5018c664-e283-30eb-932a-529d9a19b3b5"/>
    <s v="a7f200fe-ebb4-340f-87b6-cc924271580f"/>
    <s v="26aab0cd-6aba-3e1b-ac5b-05c8867e762c"/>
    <x v="1"/>
    <n v="185345009"/>
    <s v="Encounter for symptom (procedure)"/>
    <n v="85.55"/>
    <n v="3179.93"/>
    <n v="3179.93"/>
    <n v="307426000"/>
    <x v="5"/>
  </r>
  <r>
    <s v="9389eec9-a5c3-a9e1-2bfa-f0581f00b317"/>
    <d v="2018-12-08T14:38:12"/>
    <d v="2018-12-08T15:35:57"/>
    <s v="9389eec9-a5c3-a9e1-b675-93cd1f199532"/>
    <s v="5018c664-e283-30eb-932a-529d9a19b3b5"/>
    <s v="a7f200fe-ebb4-340f-87b6-cc924271580f"/>
    <s v="26aab0cd-6aba-3e1b-ac5b-05c8867e762c"/>
    <x v="1"/>
    <n v="185345009"/>
    <s v="Encounter for symptom (procedure)"/>
    <n v="85.55"/>
    <n v="1811.15"/>
    <n v="1811.15"/>
    <n v="307426000"/>
    <x v="5"/>
  </r>
  <r>
    <s v="9389eec9-a5c3-a9e1-d79f-351a18c0b608"/>
    <d v="2018-12-09T10:35:57"/>
    <d v="2018-12-09T12:27:07"/>
    <s v="9389eec9-a5c3-a9e1-b675-93cd1f199532"/>
    <s v="11ba6a26-59b4-3728-a268-6dc9929962b4"/>
    <s v="3378210d-d67d-3d1c-9540-1916b1e62509"/>
    <s v="26aab0cd-6aba-3e1b-ac5b-05c8867e762c"/>
    <x v="3"/>
    <n v="185347001"/>
    <s v="Encounter for problem (procedure)"/>
    <n v="87.71"/>
    <n v="3613.49"/>
    <n v="3613.49"/>
    <m/>
    <x v="0"/>
  </r>
  <r>
    <s v="9389eec9-a5c3-a9e1-0adb-1e857aeec7f4"/>
    <d v="2018-12-30T03:11:56"/>
    <d v="2018-12-30T03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7609.32"/>
    <n v="7609.32"/>
    <n v="72892002"/>
    <x v="4"/>
  </r>
  <r>
    <s v="9389eec9-a5c3-a9e1-b529-e6c8be475edb"/>
    <d v="2019-01-27T03:11:56"/>
    <d v="2019-01-27T03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8974.77"/>
    <n v="8974.77"/>
    <n v="72892002"/>
    <x v="4"/>
  </r>
  <r>
    <s v="9389eec9-a5c3-a9e1-c45c-e7bc49418e1a"/>
    <d v="2019-02-24T03:11:56"/>
    <d v="2019-02-24T03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9658.41"/>
    <n v="9658.41"/>
    <n v="72892002"/>
    <x v="4"/>
  </r>
  <r>
    <s v="9389eec9-a5c3-a9e1-a483-8fc335f38902"/>
    <d v="2019-03-24T04:11:56"/>
    <d v="2019-03-24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0223.049999999999"/>
    <n v="10223.049999999999"/>
    <n v="72892002"/>
    <x v="4"/>
  </r>
  <r>
    <s v="9389eec9-a5c3-a9e1-53ee-50502d6395bf"/>
    <d v="2019-04-21T04:11:56"/>
    <d v="2019-04-21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4665.96"/>
    <n v="4665.96"/>
    <n v="72892002"/>
    <x v="4"/>
  </r>
  <r>
    <s v="9389eec9-a5c3-a9e1-a2d6-1fc55e98e868"/>
    <d v="2019-05-19T04:11:56"/>
    <d v="2019-05-19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8540.0499999999993"/>
    <n v="8540.0499999999993"/>
    <n v="72892002"/>
    <x v="4"/>
  </r>
  <r>
    <s v="9389eec9-a5c3-a9e1-10af-ba718d11f940"/>
    <d v="2019-06-02T04:11:56"/>
    <d v="2019-06-02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6269.27"/>
    <n v="105.16"/>
    <n v="72892002"/>
    <x v="4"/>
  </r>
  <r>
    <s v="9389eec9-a5c3-a9e1-ce33-16c8b32db101"/>
    <d v="2019-06-09T04:11:56"/>
    <d v="2019-06-09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7549.49"/>
    <n v="4529.6899999999996"/>
    <n v="72892002"/>
    <x v="4"/>
  </r>
  <r>
    <s v="9389eec9-a5c3-a9e1-50a5-8c4a53614136"/>
    <d v="2019-06-16T04:11:56"/>
    <d v="2019-06-16T05:11:56"/>
    <s v="9389eec9-a5c3-a9e1-b675-93cd1f199532"/>
    <s v="11ba6a26-59b4-3728-a268-6dc9929962b4"/>
    <s v="3378210d-d67d-3d1c-9540-1916b1e62509"/>
    <s v="26aab0cd-6aba-3e1b-ac5b-05c8867e762c"/>
    <x v="3"/>
    <n v="183460006"/>
    <s v="Obstetric emergency hospital admission (procedure)"/>
    <n v="146.18"/>
    <n v="5687.19"/>
    <n v="5687.19"/>
    <n v="72892002"/>
    <x v="4"/>
  </r>
  <r>
    <s v="9389eec9-a5c3-a9e1-df33-33f0c4999786"/>
    <d v="2019-06-25T04:11:56"/>
    <d v="2019-06-25T04:26:56"/>
    <s v="9389eec9-a5c3-a9e1-b675-93cd1f199532"/>
    <s v="5018c664-e283-30eb-932a-529d9a19b3b5"/>
    <s v="a7f200fe-ebb4-340f-87b6-cc924271580f"/>
    <s v="26aab0cd-6aba-3e1b-ac5b-05c8867e762c"/>
    <x v="2"/>
    <n v="185347001"/>
    <s v="Encounter for problem (procedure)"/>
    <n v="85.55"/>
    <n v="85.55"/>
    <n v="85.55"/>
    <n v="82423001"/>
    <x v="33"/>
  </r>
  <r>
    <s v="9389eec9-a5c3-a9e1-fb0c-3ac48e85daa9"/>
    <d v="2019-07-14T04:11:56"/>
    <d v="2019-07-14T05:07:24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1567"/>
    <n v="1567"/>
    <m/>
    <x v="0"/>
  </r>
  <r>
    <s v="9389eec9-a5c3-a9e1-dd36-fed085906cdd"/>
    <d v="2019-07-28T04:11:56"/>
    <d v="2019-07-28T07:53:52"/>
    <s v="9389eec9-a5c3-a9e1-b675-93cd1f199532"/>
    <s v="5018c664-e283-30eb-932a-529d9a19b3b5"/>
    <s v="a7f200fe-ebb4-340f-87b6-cc924271580f"/>
    <s v="26aab0cd-6aba-3e1b-ac5b-05c8867e762c"/>
    <x v="1"/>
    <n v="185349003"/>
    <s v="Encounter for check up (procedure)"/>
    <n v="85.55"/>
    <n v="3968.15"/>
    <n v="3968.15"/>
    <n v="103697008"/>
    <x v="3"/>
  </r>
  <r>
    <s v="9389eec9-a5c3-a9e1-5a26-6b6f4ff159ea"/>
    <d v="2019-08-04T04:11:56"/>
    <d v="2019-08-04T04:26:56"/>
    <s v="9389eec9-a5c3-a9e1-b675-93cd1f199532"/>
    <s v="5018c664-e283-30eb-932a-529d9a19b3b5"/>
    <s v="a7f200fe-ebb4-340f-87b6-cc924271580f"/>
    <s v="26aab0cd-6aba-3e1b-ac5b-05c8867e762c"/>
    <x v="1"/>
    <n v="169762003"/>
    <s v="Postnatal visit (regime/therapy)"/>
    <n v="142.58000000000001"/>
    <n v="1005.38"/>
    <n v="1005.38"/>
    <m/>
    <x v="0"/>
  </r>
  <r>
    <s v="9389eec9-a5c3-a9e1-207f-348a088b07b1"/>
    <d v="2019-08-06T23:11:56"/>
    <d v="2019-08-06T23:26:56"/>
    <s v="9389eec9-a5c3-a9e1-b675-93cd1f199532"/>
    <s v="5018c664-e283-30eb-932a-529d9a19b3b5"/>
    <s v="a7f200fe-ebb4-340f-87b6-cc924271580f"/>
    <s v="26aab0cd-6aba-3e1b-ac5b-05c8867e762c"/>
    <x v="1"/>
    <n v="390906007"/>
    <s v="Follow-up encounter (procedure)"/>
    <n v="85.55"/>
    <n v="85.55"/>
    <n v="85.55"/>
    <n v="82423001"/>
    <x v="33"/>
  </r>
  <r>
    <s v="9389eec9-a5c3-a9e1-fa68-f012be6e268f"/>
    <d v="2020-07-19T04:11:56"/>
    <d v="2020-07-19T04:50:10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704.2"/>
    <n v="0"/>
    <m/>
    <x v="0"/>
  </r>
  <r>
    <s v="9389eec9-a5c3-a9e1-7766-91bdcb5af10a"/>
    <d v="2020-08-02T04:11:56"/>
    <d v="2020-08-02T07:10:09"/>
    <s v="9389eec9-a5c3-a9e1-b675-93cd1f199532"/>
    <s v="5018c664-e283-30eb-932a-529d9a19b3b5"/>
    <s v="a7f200fe-ebb4-340f-87b6-cc924271580f"/>
    <s v="26aab0cd-6aba-3e1b-ac5b-05c8867e762c"/>
    <x v="1"/>
    <n v="185349003"/>
    <s v="Encounter for check up (procedure)"/>
    <n v="85.55"/>
    <n v="3105.35"/>
    <n v="0"/>
    <n v="103697008"/>
    <x v="3"/>
  </r>
  <r>
    <s v="9389eec9-a5c3-a9e1-dc36-a7a66317d6cc"/>
    <d v="2021-05-02T04:11:56"/>
    <d v="2021-05-02T04:26:56"/>
    <s v="9389eec9-a5c3-a9e1-b675-93cd1f199532"/>
    <s v="5018c664-e283-30eb-932a-529d9a19b3b5"/>
    <s v="a7f200fe-ebb4-340f-87b6-cc924271580f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9389eec9-a5c3-a9e1-8a64-8d23bb1749c9"/>
    <d v="2021-05-23T04:11:56"/>
    <d v="2021-05-23T04:26:56"/>
    <s v="9389eec9-a5c3-a9e1-b675-93cd1f199532"/>
    <s v="5018c664-e283-30eb-932a-529d9a19b3b5"/>
    <s v="a7f200fe-ebb4-340f-87b6-cc924271580f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9389eec9-a5c3-a9e1-d2df-0933372e036e"/>
    <d v="2021-06-27T04:11:56"/>
    <d v="2021-06-27T04:26:56"/>
    <s v="9389eec9-a5c3-a9e1-b675-93cd1f199532"/>
    <s v="5018c664-e283-30eb-932a-529d9a19b3b5"/>
    <s v="a7f200fe-ebb4-340f-87b6-cc924271580f"/>
    <s v="26aab0cd-6aba-3e1b-ac5b-05c8867e762c"/>
    <x v="1"/>
    <n v="424441002"/>
    <s v="Prenatal initial visit (regime/therapy)"/>
    <n v="142.58000000000001"/>
    <n v="7797.89"/>
    <n v="1189.48"/>
    <n v="72892002"/>
    <x v="4"/>
  </r>
  <r>
    <s v="9389eec9-a5c3-a9e1-9f6e-85e7a4fca6c6"/>
    <d v="2021-07-12T04:11:56"/>
    <d v="2021-07-12T04:26:56"/>
    <s v="9389eec9-a5c3-a9e1-b675-93cd1f199532"/>
    <s v="5018c664-e283-30eb-932a-529d9a19b3b5"/>
    <s v="a7f200fe-ebb4-340f-87b6-cc924271580f"/>
    <s v="26aab0cd-6aba-3e1b-ac5b-05c8867e762c"/>
    <x v="1"/>
    <n v="270427003"/>
    <s v="Patient-initiated encounter (procedure)"/>
    <n v="85.55"/>
    <n v="4444.9799999999996"/>
    <n v="2666.99"/>
    <n v="72892002"/>
    <x v="4"/>
  </r>
  <r>
    <s v="9389eec9-a5c3-a9e1-b453-8729aa04507d"/>
    <d v="2021-07-25T04:11:56"/>
    <d v="2021-07-25T05:03:40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840.2"/>
    <n v="840.2"/>
    <m/>
    <x v="0"/>
  </r>
  <r>
    <s v="9389eec9-a5c3-a9e1-c8d2-45eca7c8e2ce"/>
    <d v="2021-08-01T04:11:56"/>
    <d v="2021-08-01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799.76"/>
    <n v="1799.76"/>
    <n v="72892002"/>
    <x v="4"/>
  </r>
  <r>
    <s v="9389eec9-a5c3-a9e1-ff78-d12fdb4dcc7a"/>
    <d v="2022-04-03T04:11:56"/>
    <d v="2022-04-03T04:26:56"/>
    <s v="9389eec9-a5c3-a9e1-b675-93cd1f199532"/>
    <s v="5018c664-e283-30eb-932a-529d9a19b3b5"/>
    <s v="a7f200fe-ebb4-340f-87b6-cc924271580f"/>
    <s v="26aab0cd-6aba-3e1b-ac5b-05c8867e762c"/>
    <x v="1"/>
    <n v="424441002"/>
    <s v="Prenatal initial visit (regime/therapy)"/>
    <n v="142.58000000000001"/>
    <n v="41010.81"/>
    <n v="41010.81"/>
    <n v="72892002"/>
    <x v="4"/>
  </r>
  <r>
    <s v="9389eec9-a5c3-a9e1-2492-62dd51004cc1"/>
    <d v="2022-05-01T04:11:56"/>
    <d v="2022-05-01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2196.85"/>
    <n v="12196.85"/>
    <n v="72892002"/>
    <x v="4"/>
  </r>
  <r>
    <s v="9389eec9-a5c3-a9e1-13e8-b5956e8cc3f3"/>
    <d v="2022-05-29T04:11:56"/>
    <d v="2022-05-29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2971.3"/>
    <n v="4126.38"/>
    <n v="72892002"/>
    <x v="4"/>
  </r>
  <r>
    <s v="7132442e-b0b9-a886-bed2-7f538e542b05"/>
    <d v="2007-02-18T09:54:53"/>
    <d v="2007-02-18T10:32:01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704.2"/>
    <n v="0"/>
    <m/>
    <x v="0"/>
  </r>
  <r>
    <s v="7132442e-b0b9-a886-eb08-907164c08dcf"/>
    <d v="2011-02-27T09:54:53"/>
    <d v="2011-02-27T10:32:57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1186.78"/>
    <n v="0"/>
    <m/>
    <x v="0"/>
  </r>
  <r>
    <s v="9389eec9-a5c3-a9e1-b70a-8248bac7942a"/>
    <d v="2022-06-26T04:11:56"/>
    <d v="2022-06-26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5562.58"/>
    <n v="5562.58"/>
    <n v="72892002"/>
    <x v="4"/>
  </r>
  <r>
    <s v="9389eec9-a5c3-a9e1-d085-203734e9ad90"/>
    <d v="2022-07-24T04:11:56"/>
    <d v="2022-07-24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1451.02"/>
    <n v="11451.02"/>
    <n v="72892002"/>
    <x v="4"/>
  </r>
  <r>
    <s v="9389eec9-a5c3-a9e1-2aca-35f58d503b6f"/>
    <d v="2022-07-31T04:11:56"/>
    <d v="2022-07-31T05:01:10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1186.78"/>
    <n v="1186.78"/>
    <m/>
    <x v="0"/>
  </r>
  <r>
    <s v="9389eec9-a5c3-a9e1-3514-e54cc93212dc"/>
    <d v="2022-08-21T04:11:56"/>
    <d v="2022-08-21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12324.92"/>
    <n v="12324.92"/>
    <n v="72892002"/>
    <x v="4"/>
  </r>
  <r>
    <s v="9389eec9-a5c3-a9e1-b659-22980fe96038"/>
    <d v="2022-09-18T04:11:56"/>
    <d v="2022-09-18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4665.96"/>
    <n v="4665.96"/>
    <n v="72892002"/>
    <x v="4"/>
  </r>
  <r>
    <s v="9389eec9-a5c3-a9e1-b46d-d83859776de2"/>
    <d v="2022-10-16T04:11:56"/>
    <d v="2022-10-16T04:26:56"/>
    <s v="9389eec9-a5c3-a9e1-b675-93cd1f199532"/>
    <s v="5018c664-e283-30eb-932a-529d9a19b3b5"/>
    <s v="a7f200fe-ebb4-340f-87b6-cc924271580f"/>
    <s v="26aab0cd-6aba-3e1b-ac5b-05c8867e762c"/>
    <x v="1"/>
    <n v="424619006"/>
    <s v="Prenatal visit (regime/therapy)"/>
    <n v="142.58000000000001"/>
    <n v="6091.25"/>
    <n v="6091.25"/>
    <n v="72892002"/>
    <x v="4"/>
  </r>
  <r>
    <s v="9389eec9-a5c3-a9e1-aa6e-a4058045fc7d"/>
    <d v="2022-10-30T04:11:56"/>
    <d v="2022-10-30T05:11:56"/>
    <s v="9389eec9-a5c3-a9e1-b675-93cd1f199532"/>
    <s v="11ba6a26-59b4-3728-a268-6dc9929962b4"/>
    <s v="3378210d-d67d-3d1c-9540-1916b1e62509"/>
    <s v="26aab0cd-6aba-3e1b-ac5b-05c8867e762c"/>
    <x v="3"/>
    <n v="183460006"/>
    <s v="Obstetric emergency hospital admission (procedure)"/>
    <n v="146.18"/>
    <n v="8710"/>
    <n v="8710"/>
    <n v="72892002"/>
    <x v="4"/>
  </r>
  <r>
    <s v="9389eec9-a5c3-a9e1-1943-d5cf752d1ace"/>
    <d v="2022-11-03T12:11:56"/>
    <d v="2022-11-03T12:26:56"/>
    <s v="9389eec9-a5c3-a9e1-b675-93cd1f199532"/>
    <s v="5018c664-e283-30eb-932a-529d9a19b3b5"/>
    <s v="a7f200fe-ebb4-340f-87b6-cc924271580f"/>
    <s v="26aab0cd-6aba-3e1b-ac5b-05c8867e762c"/>
    <x v="1"/>
    <n v="185345009"/>
    <s v="Encounter for symptom (procedure)"/>
    <n v="85.55"/>
    <n v="85.55"/>
    <n v="85.55"/>
    <n v="36971009"/>
    <x v="22"/>
  </r>
  <r>
    <s v="9389eec9-a5c3-a9e1-0b8d-38a082614d13"/>
    <d v="2022-12-11T03:11:56"/>
    <d v="2022-12-11T03:26:56"/>
    <s v="9389eec9-a5c3-a9e1-b675-93cd1f199532"/>
    <s v="5018c664-e283-30eb-932a-529d9a19b3b5"/>
    <s v="a7f200fe-ebb4-340f-87b6-cc924271580f"/>
    <s v="26aab0cd-6aba-3e1b-ac5b-05c8867e762c"/>
    <x v="1"/>
    <n v="169762003"/>
    <s v="Postnatal visit (regime/therapy)"/>
    <n v="142.58000000000001"/>
    <n v="1005.38"/>
    <n v="1005.38"/>
    <m/>
    <x v="0"/>
  </r>
  <r>
    <s v="9389eec9-a5c3-a9e1-d91f-3f6833946a79"/>
    <d v="2022-12-18T03:11:56"/>
    <d v="2022-12-18T03:26:56"/>
    <s v="9389eec9-a5c3-a9e1-b675-93cd1f199532"/>
    <s v="5018c664-e283-30eb-932a-529d9a19b3b5"/>
    <s v="a7f200fe-ebb4-340f-87b6-cc924271580f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9389eec9-a5c3-a9e1-f0db-de49eab962b0"/>
    <d v="2022-12-14T11:11:56"/>
    <d v="2022-12-14T11:26:56"/>
    <s v="9389eec9-a5c3-a9e1-b675-93cd1f199532"/>
    <s v="5018c664-e283-30eb-932a-529d9a19b3b5"/>
    <s v="a7f200fe-ebb4-340f-87b6-cc924271580f"/>
    <s v="26aab0cd-6aba-3e1b-ac5b-05c8867e762c"/>
    <x v="1"/>
    <n v="185345009"/>
    <s v="Encounter for symptom (procedure)"/>
    <n v="85.55"/>
    <n v="92.93"/>
    <n v="92.93"/>
    <n v="36971009"/>
    <x v="22"/>
  </r>
  <r>
    <s v="9389eec9-a5c3-a9e1-1e69-a4c845cbc53b"/>
    <d v="2022-12-25T03:11:56"/>
    <d v="2022-12-25T04:03:15"/>
    <s v="9389eec9-a5c3-a9e1-b675-93cd1f199532"/>
    <s v="5018c664-e283-30eb-932a-529d9a19b3b5"/>
    <s v="a7f200fe-ebb4-340f-87b6-cc924271580f"/>
    <s v="26aab0cd-6aba-3e1b-ac5b-05c8867e762c"/>
    <x v="2"/>
    <n v="185349003"/>
    <s v="Encounter for check up (procedure)"/>
    <n v="85.55"/>
    <n v="788.95"/>
    <n v="788.95"/>
    <m/>
    <x v="0"/>
  </r>
  <r>
    <s v="9389eec9-a5c3-a9e1-f344-0ad5f0d8be30"/>
    <d v="2023-08-06T04:11:56"/>
    <d v="2023-08-06T05:03:55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568.20000000000005"/>
    <n v="0"/>
    <m/>
    <x v="0"/>
  </r>
  <r>
    <s v="7132442e-b0b9-a886-620c-21e21ab91983"/>
    <d v="2014-03-02T09:54:53"/>
    <d v="2014-03-02T10:29:46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1048.22"/>
    <n v="0"/>
    <m/>
    <x v="0"/>
  </r>
  <r>
    <s v="7132442e-b0b9-a886-9c04-e8d342e3eb0b"/>
    <d v="2017-03-05T09:54:53"/>
    <d v="2017-03-05T10:32:59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1641.58"/>
    <n v="0"/>
    <m/>
    <x v="0"/>
  </r>
  <r>
    <s v="9389eec9-a5c3-a9e1-0e1b-a08e2a7abfdc"/>
    <d v="2023-08-20T04:11:56"/>
    <d v="2023-08-20T09:55:37"/>
    <s v="9389eec9-a5c3-a9e1-b675-93cd1f199532"/>
    <s v="5018c664-e283-30eb-932a-529d9a19b3b5"/>
    <s v="a7f200fe-ebb4-340f-87b6-cc924271580f"/>
    <s v="26aab0cd-6aba-3e1b-ac5b-05c8867e762c"/>
    <x v="1"/>
    <n v="185349003"/>
    <s v="Encounter for check up (procedure)"/>
    <n v="85.55"/>
    <n v="4399.55"/>
    <n v="0"/>
    <n v="103697008"/>
    <x v="3"/>
  </r>
  <r>
    <s v="7132442e-b0b9-a886-91d2-dd922ea627bd"/>
    <d v="2017-12-10T09:54:53"/>
    <d v="2017-12-10T10:09:53"/>
    <s v="7132442e-b0b9-a886-e28d-f83700e5a3bd"/>
    <s v="ecd3b321-0a8a-3ce6-81f0-982dd77fce43"/>
    <s v="8c3246e0-e9e5-3040-95dd-fe78528bb113"/>
    <s v="b046940f-1664-3047-bca7-dfa76be352a4"/>
    <x v="1"/>
    <n v="424441002"/>
    <s v="Prenatal initial visit (regime/therapy)"/>
    <n v="142.58000000000001"/>
    <n v="18603.09"/>
    <n v="11021.27"/>
    <n v="72892002"/>
    <x v="4"/>
  </r>
  <r>
    <s v="9389eec9-a5c3-a9e1-d053-009e527fe5f9"/>
    <d v="2023-12-13T03:11:56"/>
    <d v="2023-12-13T03:26:56"/>
    <s v="9389eec9-a5c3-a9e1-b675-93cd1f199532"/>
    <s v="5018c664-e283-30eb-932a-529d9a19b3b5"/>
    <s v="a7f200fe-ebb4-340f-87b6-cc924271580f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389eec9-a5c3-a9e1-ef5a-f89e9440a005"/>
    <d v="2024-08-11T04:11:56"/>
    <d v="2024-08-11T04:47:06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1034.54"/>
    <n v="0"/>
    <m/>
    <x v="0"/>
  </r>
  <r>
    <s v="7132442e-b0b9-a886-31ee-4b12bcc81cda"/>
    <d v="2017-12-29T09:54:53"/>
    <d v="2017-12-29T10:09:53"/>
    <s v="7132442e-b0b9-a886-e28d-f83700e5a3bd"/>
    <s v="ecd3b321-0a8a-3ce6-81f0-982dd77fce43"/>
    <s v="8c3246e0-e9e5-3040-95dd-fe78528bb113"/>
    <s v="b046940f-1664-3047-bca7-dfa76be352a4"/>
    <x v="1"/>
    <n v="270427003"/>
    <s v="Patient-initiated encounter (procedure)"/>
    <n v="85.55"/>
    <n v="4444.9799999999996"/>
    <n v="4444.9799999999996"/>
    <n v="72892002"/>
    <x v="4"/>
  </r>
  <r>
    <s v="7132442e-b0b9-a886-a145-067b606a5674"/>
    <d v="2018-01-16T09:54:53"/>
    <d v="2018-01-16T10:09:53"/>
    <s v="7132442e-b0b9-a886-e28d-f83700e5a3bd"/>
    <s v="ecd3b321-0a8a-3ce6-81f0-982dd77fce43"/>
    <s v="8c3246e0-e9e5-3040-95dd-fe78528bb113"/>
    <s v="b046940f-1664-3047-bca7-dfa76be352a4"/>
    <x v="1"/>
    <n v="424619006"/>
    <s v="Prenatal visit (regime/therapy)"/>
    <n v="142.58000000000001"/>
    <n v="1868.18"/>
    <n v="0"/>
    <n v="72892002"/>
    <x v="4"/>
  </r>
  <r>
    <s v="7132442e-b0b9-a886-ef00-9f75fc589cbb"/>
    <d v="2018-12-02T09:54:53"/>
    <d v="2018-12-02T10:09:53"/>
    <s v="7132442e-b0b9-a886-e28d-f83700e5a3bd"/>
    <s v="ecd3b321-0a8a-3ce6-81f0-982dd77fce43"/>
    <s v="8c3246e0-e9e5-3040-95dd-fe78528bb113"/>
    <s v="b046940f-1664-3047-bca7-dfa76be352a4"/>
    <x v="1"/>
    <n v="424441002"/>
    <s v="Prenatal initial visit (regime/therapy)"/>
    <n v="142.58000000000001"/>
    <n v="42098.38"/>
    <n v="27626.6"/>
    <n v="72892002"/>
    <x v="4"/>
  </r>
  <r>
    <s v="9389eec9-a5c3-a9e1-258f-3f50bab548a1"/>
    <d v="2025-08-17T04:11:56"/>
    <d v="2025-08-17T05:09:26"/>
    <s v="9389eec9-a5c3-a9e1-b675-93cd1f199532"/>
    <s v="ad82d624-72eb-3c7d-a76d-79f2668d1390"/>
    <s v="876be811-c588-38a4-ae9d-d6d24ddacb8c"/>
    <s v="26aab0cd-6aba-3e1b-ac5b-05c8867e762c"/>
    <x v="0"/>
    <n v="162673000"/>
    <s v="General examination of patient (procedure)"/>
    <n v="136.80000000000001"/>
    <n v="919.9"/>
    <n v="0"/>
    <m/>
    <x v="0"/>
  </r>
  <r>
    <s v="9389eec9-a5c3-a9e1-97ed-8c4784b88c75"/>
    <d v="2025-08-31T04:11:56"/>
    <d v="2025-08-31T07:02:41"/>
    <s v="9389eec9-a5c3-a9e1-b675-93cd1f199532"/>
    <s v="5018c664-e283-30eb-932a-529d9a19b3b5"/>
    <s v="a7f200fe-ebb4-340f-87b6-cc924271580f"/>
    <s v="26aab0cd-6aba-3e1b-ac5b-05c8867e762c"/>
    <x v="1"/>
    <n v="185349003"/>
    <s v="Encounter for check up (procedure)"/>
    <n v="85.55"/>
    <n v="2673.95"/>
    <n v="0"/>
    <n v="66383009"/>
    <x v="17"/>
  </r>
  <r>
    <s v="9389eec9-a5c3-a9e1-99ef-263786ec63cd"/>
    <d v="2026-02-18T09:11:56"/>
    <d v="2026-02-18T09:26:56"/>
    <s v="9389eec9-a5c3-a9e1-b675-93cd1f199532"/>
    <s v="5018c664-e283-30eb-932a-529d9a19b3b5"/>
    <s v="a7f200fe-ebb4-340f-87b6-cc924271580f"/>
    <s v="26aab0cd-6aba-3e1b-ac5b-05c8867e762c"/>
    <x v="1"/>
    <n v="185345009"/>
    <s v="Encounter for symptom (procedure)"/>
    <n v="85.55"/>
    <n v="85.55"/>
    <n v="0"/>
    <n v="444814009"/>
    <x v="2"/>
  </r>
  <r>
    <s v="7132442e-b0b9-a886-ed59-d2701d86ac01"/>
    <d v="2018-12-30T09:54:53"/>
    <d v="2018-12-30T10:09:53"/>
    <s v="7132442e-b0b9-a886-e28d-f83700e5a3bd"/>
    <s v="ecd3b321-0a8a-3ce6-81f0-982dd77fce43"/>
    <s v="8c3246e0-e9e5-3040-95dd-fe78528bb113"/>
    <s v="b046940f-1664-3047-bca7-dfa76be352a4"/>
    <x v="1"/>
    <n v="424619006"/>
    <s v="Prenatal visit (regime/therapy)"/>
    <n v="142.58000000000001"/>
    <n v="13919.9"/>
    <n v="6593.93"/>
    <n v="72892002"/>
    <x v="4"/>
  </r>
  <r>
    <s v="7132442e-b0b9-a886-160f-9a02d6be76ae"/>
    <d v="2019-01-27T09:54:53"/>
    <d v="2019-01-27T10:09:53"/>
    <s v="7132442e-b0b9-a886-e28d-f83700e5a3bd"/>
    <s v="ecd3b321-0a8a-3ce6-81f0-982dd77fce43"/>
    <s v="8c3246e0-e9e5-3040-95dd-fe78528bb113"/>
    <s v="b046940f-1664-3047-bca7-dfa76be352a4"/>
    <x v="1"/>
    <n v="424619006"/>
    <s v="Prenatal visit (regime/therapy)"/>
    <n v="142.58000000000001"/>
    <n v="142.58000000000001"/>
    <n v="99.81"/>
    <n v="72892002"/>
    <x v="4"/>
  </r>
  <r>
    <s v="7132442e-b0b9-a886-a241-e6540dbf1920"/>
    <d v="2019-02-14T09:54:53"/>
    <d v="2019-02-14T10:09:53"/>
    <s v="7132442e-b0b9-a886-e28d-f83700e5a3bd"/>
    <s v="ecd3b321-0a8a-3ce6-81f0-982dd77fce43"/>
    <s v="8c3246e0-e9e5-3040-95dd-fe78528bb113"/>
    <s v="b046940f-1664-3047-bca7-dfa76be352a4"/>
    <x v="1"/>
    <n v="424619006"/>
    <s v="Prenatal visit (regime/therapy)"/>
    <n v="142.58000000000001"/>
    <n v="1005.38"/>
    <n v="703.77"/>
    <n v="267253006"/>
    <x v="34"/>
  </r>
  <r>
    <s v="7132442e-b0b9-a886-ad2e-8411a6c0d0a7"/>
    <d v="2020-03-08T10:54:53"/>
    <d v="2020-03-08T11:35:21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914.78"/>
    <n v="0"/>
    <m/>
    <x v="0"/>
  </r>
  <r>
    <s v="7132442e-b0b9-a886-7448-385cb5d501f5"/>
    <d v="2020-03-22T10:54:53"/>
    <d v="2020-03-22T14:16:56"/>
    <s v="7132442e-b0b9-a886-e28d-f83700e5a3bd"/>
    <s v="ecd3b321-0a8a-3ce6-81f0-982dd77fce43"/>
    <s v="8c3246e0-e9e5-3040-95dd-fe78528bb113"/>
    <s v="b046940f-1664-3047-bca7-dfa76be352a4"/>
    <x v="1"/>
    <n v="185349003"/>
    <s v="Encounter for check up (procedure)"/>
    <n v="85.55"/>
    <n v="3105.35"/>
    <n v="0"/>
    <n v="66383009"/>
    <x v="17"/>
  </r>
  <r>
    <s v="7132442e-b0b9-a886-4c03-c1c3c0bbacd6"/>
    <d v="2020-04-07T10:54:53"/>
    <d v="2020-04-07T11:09:53"/>
    <s v="7132442e-b0b9-a886-e28d-f83700e5a3bd"/>
    <s v="ecd3b321-0a8a-3ce6-81f0-982dd77fce43"/>
    <s v="8c3246e0-e9e5-3040-95dd-fe78528bb113"/>
    <s v="b046940f-1664-3047-bca7-dfa76be352a4"/>
    <x v="1"/>
    <n v="390906007"/>
    <s v="Follow-up encounter (procedure)"/>
    <n v="85.55"/>
    <n v="85.55"/>
    <n v="0"/>
    <n v="59621000"/>
    <x v="31"/>
  </r>
  <r>
    <s v="7132442e-b0b9-a886-e6b3-450b100b1494"/>
    <d v="2020-06-10T10:54:53"/>
    <d v="2020-06-10T11:09:53"/>
    <s v="7132442e-b0b9-a886-e28d-f83700e5a3bd"/>
    <s v="ecd3b321-0a8a-3ce6-81f0-982dd77fce43"/>
    <s v="8c3246e0-e9e5-3040-95dd-fe78528bb113"/>
    <s v="b046940f-1664-3047-bca7-dfa76be352a4"/>
    <x v="2"/>
    <n v="698314001"/>
    <s v="Consultation for treatment (procedure)"/>
    <n v="142.58000000000001"/>
    <n v="142.58000000000001"/>
    <n v="76.849999999999994"/>
    <n v="389095005"/>
    <x v="15"/>
  </r>
  <r>
    <s v="7132442e-b0b9-a886-da83-c201dc3154d6"/>
    <d v="2021-03-14T10:54:53"/>
    <d v="2021-03-14T11:46:47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919.9"/>
    <n v="0"/>
    <m/>
    <x v="0"/>
  </r>
  <r>
    <s v="7132442e-b0b9-a886-2bea-32785bbdeba2"/>
    <d v="2021-10-17T10:54:53"/>
    <d v="2021-10-17T11:09:53"/>
    <s v="7132442e-b0b9-a886-e28d-f83700e5a3bd"/>
    <s v="ecd3b321-0a8a-3ce6-81f0-982dd77fce43"/>
    <s v="8c3246e0-e9e5-3040-95dd-fe78528bb113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7132442e-b0b9-a886-fca3-948ca137d029"/>
    <d v="2022-03-20T10:54:53"/>
    <d v="2022-03-20T11:46:37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1119.1199999999999"/>
    <n v="0"/>
    <m/>
    <x v="0"/>
  </r>
  <r>
    <s v="7132442e-b0b9-a886-fe92-7f0d89912259"/>
    <d v="2022-07-10T10:54:53"/>
    <d v="2022-07-10T11:09:53"/>
    <s v="7132442e-b0b9-a886-e28d-f83700e5a3bd"/>
    <s v="ecd3b321-0a8a-3ce6-81f0-982dd77fce43"/>
    <s v="8c3246e0-e9e5-3040-95dd-fe78528bb113"/>
    <s v="b046940f-1664-3047-bca7-dfa76be352a4"/>
    <x v="1"/>
    <n v="424441002"/>
    <s v="Prenatal initial visit (regime/therapy)"/>
    <n v="142.58000000000001"/>
    <n v="12997.87"/>
    <n v="6733.01"/>
    <n v="72892002"/>
    <x v="4"/>
  </r>
  <r>
    <s v="7132442e-b0b9-a886-8d08-b3e8d05ad4e9"/>
    <d v="2022-07-21T10:54:53"/>
    <d v="2022-07-21T11:09:53"/>
    <s v="7132442e-b0b9-a886-e28d-f83700e5a3bd"/>
    <s v="ecd3b321-0a8a-3ce6-81f0-982dd77fce43"/>
    <s v="8c3246e0-e9e5-3040-95dd-fe78528bb113"/>
    <s v="b046940f-1664-3047-bca7-dfa76be352a4"/>
    <x v="1"/>
    <n v="270427003"/>
    <s v="Patient-initiated encounter (procedure)"/>
    <n v="85.55"/>
    <n v="16229.09"/>
    <n v="11360.36"/>
    <n v="72892002"/>
    <x v="4"/>
  </r>
  <r>
    <s v="7132442e-b0b9-a886-e7a2-a57021b22e87"/>
    <d v="2022-08-10T10:54:53"/>
    <d v="2022-08-10T11:09:53"/>
    <s v="7132442e-b0b9-a886-e28d-f83700e5a3bd"/>
    <s v="ecd3b321-0a8a-3ce6-81f0-982dd77fce43"/>
    <s v="8c3246e0-e9e5-3040-95dd-fe78528bb113"/>
    <s v="b046940f-1664-3047-bca7-dfa76be352a4"/>
    <x v="1"/>
    <n v="424619006"/>
    <s v="Prenatal visit (regime/therapy)"/>
    <n v="142.58000000000001"/>
    <n v="1443.68"/>
    <n v="1443.68"/>
    <n v="72892002"/>
    <x v="4"/>
  </r>
  <r>
    <s v="7132442e-b0b9-a886-05be-65df068c3d6a"/>
    <d v="2022-08-21T10:54:53"/>
    <d v="2022-08-21T11:09:53"/>
    <s v="7132442e-b0b9-a886-e28d-f83700e5a3bd"/>
    <s v="ecd3b321-0a8a-3ce6-81f0-982dd77fce43"/>
    <s v="8c3246e0-e9e5-3040-95dd-fe78528bb113"/>
    <s v="b046940f-1664-3047-bca7-dfa76be352a4"/>
    <x v="2"/>
    <n v="698314001"/>
    <s v="Consultation for treatment (procedure)"/>
    <n v="142.58000000000001"/>
    <n v="142.58000000000001"/>
    <n v="142.58000000000001"/>
    <n v="389095005"/>
    <x v="15"/>
  </r>
  <r>
    <s v="7132442e-b0b9-a886-1e63-322384eb2922"/>
    <d v="2022-08-30T09:54:53"/>
    <d v="2022-08-30T10:09:53"/>
    <s v="7132442e-b0b9-a886-e28d-f83700e5a3bd"/>
    <s v="ecd3b321-0a8a-3ce6-81f0-982dd77fce43"/>
    <s v="8c3246e0-e9e5-3040-95dd-fe78528bb113"/>
    <s v="b046940f-1664-3047-bca7-dfa76be352a4"/>
    <x v="1"/>
    <n v="185345009"/>
    <s v="Encounter for symptom (procedure)"/>
    <n v="85.55"/>
    <n v="85.55"/>
    <n v="85.55"/>
    <n v="36971009"/>
    <x v="22"/>
  </r>
  <r>
    <s v="7132442e-b0b9-a886-c9f4-333cf26d82c2"/>
    <d v="2022-10-22T09:54:53"/>
    <d v="2022-10-22T10:09:53"/>
    <s v="7132442e-b0b9-a886-e28d-f83700e5a3bd"/>
    <s v="ecd3b321-0a8a-3ce6-81f0-982dd77fce43"/>
    <s v="8c3246e0-e9e5-3040-95dd-fe78528bb113"/>
    <s v="b046940f-1664-3047-bca7-dfa76be352a4"/>
    <x v="1"/>
    <n v="185345009"/>
    <s v="Encounter for symptom (procedure)"/>
    <n v="85.55"/>
    <n v="92.93"/>
    <n v="92.93"/>
    <n v="36971009"/>
    <x v="22"/>
  </r>
  <r>
    <s v="7132442e-b0b9-a886-818a-250528165e26"/>
    <d v="2022-10-27T09:54:53"/>
    <d v="2022-10-27T10:13:27"/>
    <s v="7132442e-b0b9-a886-e28d-f83700e5a3bd"/>
    <s v="ecd3b321-0a8a-3ce6-81f0-982dd77fce43"/>
    <s v="8c3246e0-e9e5-3040-95dd-fe78528bb113"/>
    <s v="b046940f-1664-3047-bca7-dfa76be352a4"/>
    <x v="1"/>
    <n v="185345009"/>
    <s v="Encounter for symptom (procedure)"/>
    <n v="85.55"/>
    <n v="383.41"/>
    <n v="383.41"/>
    <n v="10509002"/>
    <x v="1"/>
  </r>
  <r>
    <s v="7132442e-b0b9-a886-0459-9340d4890046"/>
    <d v="2022-11-06T09:54:53"/>
    <d v="2022-11-06T10:54:53"/>
    <s v="7132442e-b0b9-a886-e28d-f83700e5a3bd"/>
    <s v="363631be-d437-3548-98c2-d10b909c1721"/>
    <s v="0e96f02e-0dbf-31f2-b7b9-1a7c49f5f7ef"/>
    <s v="b046940f-1664-3047-bca7-dfa76be352a4"/>
    <x v="3"/>
    <n v="50849002"/>
    <s v="Emergency room admission (procedure)"/>
    <n v="146.18"/>
    <n v="713.58"/>
    <n v="713.58"/>
    <m/>
    <x v="0"/>
  </r>
  <r>
    <s v="7132442e-b0b9-a886-4138-b570193f1642"/>
    <d v="2022-11-13T09:54:53"/>
    <d v="2022-11-13T10:09:53"/>
    <s v="7132442e-b0b9-a886-e28d-f83700e5a3bd"/>
    <s v="9ce6072b-d039-3cde-8eaf-950211b8ae88"/>
    <s v="517e705f-fc32-3ef1-8c0c-52263ed2b781"/>
    <s v="b046940f-1664-3047-bca7-dfa76be352a4"/>
    <x v="4"/>
    <n v="702927004"/>
    <s v="Urgent care clinic (environment)"/>
    <n v="142.58000000000001"/>
    <n v="142.58000000000001"/>
    <n v="142.58000000000001"/>
    <m/>
    <x v="0"/>
  </r>
  <r>
    <s v="7132442e-b0b9-a886-4363-331f905c18a8"/>
    <d v="2022-11-20T09:54:53"/>
    <d v="2022-11-20T10:26:40"/>
    <s v="7132442e-b0b9-a886-e28d-f83700e5a3bd"/>
    <s v="ecd3b321-0a8a-3ce6-81f0-982dd77fce43"/>
    <s v="8c3246e0-e9e5-3040-95dd-fe78528bb113"/>
    <s v="b046940f-1664-3047-bca7-dfa76be352a4"/>
    <x v="2"/>
    <n v="185349003"/>
    <s v="Encounter for check up (procedure)"/>
    <n v="85.55"/>
    <n v="516.95000000000005"/>
    <n v="516.95000000000005"/>
    <m/>
    <x v="0"/>
  </r>
  <r>
    <s v="7132442e-b0b9-a886-cbf8-f7bf1b29008b"/>
    <d v="2022-11-27T09:54:53"/>
    <d v="2022-11-27T13:38:08"/>
    <s v="7132442e-b0b9-a886-e28d-f83700e5a3bd"/>
    <s v="ecd3b321-0a8a-3ce6-81f0-982dd77fce43"/>
    <s v="8c3246e0-e9e5-3040-95dd-fe78528bb113"/>
    <s v="b046940f-1664-3047-bca7-dfa76be352a4"/>
    <x v="1"/>
    <n v="185349003"/>
    <s v="Encounter for check up (procedure)"/>
    <n v="85.55"/>
    <n v="3105.35"/>
    <n v="3105.35"/>
    <n v="103697008"/>
    <x v="3"/>
  </r>
  <r>
    <s v="7132442e-b0b9-a886-ea3f-a73adf5feff5"/>
    <d v="2022-12-04T09:54:53"/>
    <d v="2022-12-04T10:09:53"/>
    <s v="7132442e-b0b9-a886-e28d-f83700e5a3bd"/>
    <s v="ecd3b321-0a8a-3ce6-81f0-982dd77fce43"/>
    <s v="8c3246e0-e9e5-3040-95dd-fe78528bb113"/>
    <s v="b046940f-1664-3047-bca7-dfa76be352a4"/>
    <x v="1"/>
    <n v="185345009"/>
    <s v="Encounter for symptom (procedure)"/>
    <n v="85.55"/>
    <n v="85.55"/>
    <n v="85.55"/>
    <n v="36971009"/>
    <x v="22"/>
  </r>
  <r>
    <s v="7132442e-b0b9-a886-2b3f-b873e6926b9f"/>
    <d v="2023-03-26T10:54:53"/>
    <d v="2023-03-26T11:27:39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642.78"/>
    <n v="0"/>
    <m/>
    <x v="0"/>
  </r>
  <r>
    <s v="7132442e-b0b9-a886-2a9b-875ff84b1c48"/>
    <d v="2023-08-16T10:54:53"/>
    <d v="2023-08-16T11:09:53"/>
    <s v="7132442e-b0b9-a886-e28d-f83700e5a3bd"/>
    <s v="ecd3b321-0a8a-3ce6-81f0-982dd77fce43"/>
    <s v="8c3246e0-e9e5-3040-95dd-fe78528bb113"/>
    <s v="b046940f-1664-3047-bca7-dfa76be352a4"/>
    <x v="2"/>
    <n v="698314001"/>
    <s v="Consultation for treatment (procedure)"/>
    <n v="142.58000000000001"/>
    <n v="142.58000000000001"/>
    <n v="0"/>
    <n v="389095005"/>
    <x v="15"/>
  </r>
  <r>
    <s v="7132442e-b0b9-a886-ce01-741e991e3025"/>
    <d v="2024-03-31T10:54:53"/>
    <d v="2024-03-31T11:52:39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704.2"/>
    <n v="0"/>
    <m/>
    <x v="0"/>
  </r>
  <r>
    <s v="7132442e-b0b9-a886-9155-bb137b73c35e"/>
    <d v="2024-04-14T10:54:53"/>
    <d v="2024-04-14T14:27:39"/>
    <s v="7132442e-b0b9-a886-e28d-f83700e5a3bd"/>
    <s v="ecd3b321-0a8a-3ce6-81f0-982dd77fce43"/>
    <s v="8c3246e0-e9e5-3040-95dd-fe78528bb113"/>
    <s v="b046940f-1664-3047-bca7-dfa76be352a4"/>
    <x v="1"/>
    <n v="185349003"/>
    <s v="Encounter for check up (procedure)"/>
    <n v="85.55"/>
    <n v="3105.35"/>
    <n v="0"/>
    <n v="103697008"/>
    <x v="3"/>
  </r>
  <r>
    <s v="7132442e-b0b9-a886-beee-62912fa2c614"/>
    <d v="2024-08-10T10:54:53"/>
    <d v="2024-08-10T11:52:33"/>
    <s v="7132442e-b0b9-a886-e28d-f83700e5a3bd"/>
    <s v="ecd3b321-0a8a-3ce6-81f0-982dd77fce43"/>
    <s v="8c3246e0-e9e5-3040-95dd-fe78528bb113"/>
    <s v="b046940f-1664-3047-bca7-dfa76be352a4"/>
    <x v="2"/>
    <n v="698314001"/>
    <s v="Consultation for treatment (procedure)"/>
    <n v="142.58000000000001"/>
    <n v="573.98"/>
    <n v="10.51"/>
    <n v="183996000"/>
    <x v="35"/>
  </r>
  <r>
    <s v="7132442e-b0b9-a886-ffb8-bf1fe921f656"/>
    <d v="2024-08-19T11:52:33"/>
    <d v="2024-08-20T11:52:33"/>
    <s v="7132442e-b0b9-a886-e28d-f83700e5a3bd"/>
    <s v="18a96051-91f4-3cba-af96-056ea14dfee0"/>
    <s v="9a833596-f732-3464-b0fd-8482fbef120a"/>
    <s v="b046940f-1664-3047-bca7-dfa76be352a4"/>
    <x v="6"/>
    <n v="305408004"/>
    <s v="Admission to surgical department (procedure)"/>
    <n v="146.18"/>
    <n v="9102.2099999999991"/>
    <n v="6371.55"/>
    <n v="183996000"/>
    <x v="35"/>
  </r>
  <r>
    <s v="7132442e-b0b9-a886-99ba-a6a75f8e294a"/>
    <d v="2025-04-06T10:54:53"/>
    <d v="2025-04-06T11:34:37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704.2"/>
    <n v="0"/>
    <m/>
    <x v="0"/>
  </r>
  <r>
    <s v="7132442e-b0b9-a886-3665-34ac7e917376"/>
    <d v="2025-04-20T10:54:53"/>
    <d v="2025-04-20T14:03:11"/>
    <s v="7132442e-b0b9-a886-e28d-f83700e5a3bd"/>
    <s v="ecd3b321-0a8a-3ce6-81f0-982dd77fce43"/>
    <s v="8c3246e0-e9e5-3040-95dd-fe78528bb113"/>
    <s v="b046940f-1664-3047-bca7-dfa76be352a4"/>
    <x v="1"/>
    <n v="185349003"/>
    <s v="Encounter for check up (procedure)"/>
    <n v="85.55"/>
    <n v="3105.35"/>
    <n v="0"/>
    <n v="103697008"/>
    <x v="3"/>
  </r>
  <r>
    <s v="7132442e-b0b9-a886-dd3e-61db29e37a5f"/>
    <d v="2025-04-27T10:54:53"/>
    <d v="2025-04-27T11:54:53"/>
    <s v="7132442e-b0b9-a886-e28d-f83700e5a3bd"/>
    <s v="363631be-d437-3548-98c2-d10b909c1721"/>
    <s v="0e96f02e-0dbf-31f2-b7b9-1a7c49f5f7ef"/>
    <s v="b046940f-1664-3047-bca7-dfa76be352a4"/>
    <x v="3"/>
    <n v="50849002"/>
    <s v="Emergency room admission (procedure)"/>
    <n v="146.18"/>
    <n v="4245.82"/>
    <n v="2709.08"/>
    <n v="312608009"/>
    <x v="20"/>
  </r>
  <r>
    <s v="7132442e-b0b9-a886-6c29-693da418b191"/>
    <d v="2026-04-12T10:54:53"/>
    <d v="2026-04-12T11:41:12"/>
    <s v="7132442e-b0b9-a886-e28d-f83700e5a3bd"/>
    <s v="d6b03647-983f-3162-af9e-b12aea026f13"/>
    <s v="3784ea9b-e9f0-3c9e-9960-f2542424b9a3"/>
    <s v="b046940f-1664-3047-bca7-dfa76be352a4"/>
    <x v="0"/>
    <n v="162673000"/>
    <s v="General examination of patient (procedure)"/>
    <n v="136.80000000000001"/>
    <n v="1641.58"/>
    <n v="0"/>
    <m/>
    <x v="0"/>
  </r>
  <r>
    <s v="4e71643c-f046-a74f-b275-7ddd3f657e2d"/>
    <d v="2016-11-25T07:22:29"/>
    <d v="2016-11-25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909.06"/>
    <n v="0"/>
    <m/>
    <x v="0"/>
  </r>
  <r>
    <s v="4e71643c-f046-a74f-0727-36cee026e266"/>
    <d v="2017-12-01T07:22:29"/>
    <d v="2017-12-01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272.8"/>
    <n v="0"/>
    <m/>
    <x v="0"/>
  </r>
  <r>
    <s v="4e71643c-f046-a74f-c78a-5166953a003a"/>
    <d v="2018-12-07T07:22:29"/>
    <d v="2018-12-07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272.8"/>
    <n v="0"/>
    <m/>
    <x v="0"/>
  </r>
  <r>
    <s v="4e71643c-f046-a74f-4870-3c3bbe41636b"/>
    <d v="2019-11-24T09:22:29"/>
    <d v="2019-11-24T09:37:29"/>
    <s v="4e71643c-f046-a74f-c2e2-4049efe17cd4"/>
    <s v="9adfae03-673d-365d-9052-f705098fa3e4"/>
    <s v="28e98af0-d17a-345c-8fc6-6662b16c17c4"/>
    <s v="e03e23c9-4df1-3eb6-a62d-f70f02301496"/>
    <x v="1"/>
    <n v="185345009"/>
    <s v="Encounter for symptom (procedure)"/>
    <n v="85.55"/>
    <n v="85.55"/>
    <n v="0"/>
    <n v="444814009"/>
    <x v="2"/>
  </r>
  <r>
    <s v="4e71643c-f046-a74f-7921-518140dfc848"/>
    <d v="2019-12-13T07:22:29"/>
    <d v="2019-12-13T07:37:40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1186.78"/>
    <n v="0"/>
    <m/>
    <x v="0"/>
  </r>
  <r>
    <s v="4e71643c-f046-a74f-a2d8-6cfdb30edbfc"/>
    <d v="2019-12-20T07:22:29"/>
    <d v="2019-12-20T10:29:02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3105.35"/>
    <n v="0"/>
    <n v="103697008"/>
    <x v="3"/>
  </r>
  <r>
    <s v="4e71643c-f046-a74f-a208-3447dcb0634f"/>
    <d v="2020-07-19T18:22:29"/>
    <d v="2020-07-19T18:37:29"/>
    <s v="4e71643c-f046-a74f-c2e2-4049efe17cd4"/>
    <s v="9adfae03-673d-365d-9052-f705098fa3e4"/>
    <s v="28e98af0-d17a-345c-8fc6-6662b16c17c4"/>
    <s v="e03e23c9-4df1-3eb6-a62d-f70f02301496"/>
    <x v="1"/>
    <n v="185345009"/>
    <s v="Encounter for symptom (procedure)"/>
    <n v="85.55"/>
    <n v="85.55"/>
    <n v="0"/>
    <n v="195662009"/>
    <x v="9"/>
  </r>
  <r>
    <s v="4e71643c-f046-a74f-c8cf-fc4d2dc0b4e7"/>
    <d v="2020-12-18T07:22:29"/>
    <d v="2020-12-18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840.2"/>
    <n v="0"/>
    <m/>
    <x v="0"/>
  </r>
  <r>
    <s v="4e71643c-f046-a74f-590b-6c9edd44e9df"/>
    <d v="2021-09-24T08:22:29"/>
    <d v="2021-09-24T09:22:29"/>
    <s v="4e71643c-f046-a74f-c2e2-4049efe17cd4"/>
    <s v="be509ccb-bfb7-3b87-8945-8426b689ef9d"/>
    <s v="a4c2a727-44d2-3281-a1f9-92c68b434a8f"/>
    <s v="e03e23c9-4df1-3eb6-a62d-f70f02301496"/>
    <x v="3"/>
    <n v="50849002"/>
    <s v="Emergency room admission (procedure)"/>
    <n v="146.18"/>
    <n v="1008.98"/>
    <n v="0"/>
    <n v="125605004"/>
    <x v="36"/>
  </r>
  <r>
    <s v="4e71643c-f046-a74f-5556-ab0d9c7f5593"/>
    <d v="2021-11-05T08:22:29"/>
    <d v="2021-11-05T08:37:29"/>
    <s v="4e71643c-f046-a74f-c2e2-4049efe17cd4"/>
    <s v="9adfae03-673d-365d-9052-f705098fa3e4"/>
    <s v="28e98af0-d17a-345c-8fc6-6662b16c17c4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4e71643c-f046-a74f-1fa0-2ab8b22c7b2b"/>
    <d v="2021-11-11T07:56:17"/>
    <d v="2021-11-11T08:11:17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85.55"/>
    <n v="0"/>
    <n v="65966004"/>
    <x v="37"/>
  </r>
  <r>
    <s v="4e71643c-f046-a74f-7c3a-efb4614b6c12"/>
    <d v="2021-11-26T07:22:29"/>
    <d v="2021-11-26T07:37:29"/>
    <s v="4e71643c-f046-a74f-c2e2-4049efe17cd4"/>
    <s v="9adfae03-673d-365d-9052-f705098fa3e4"/>
    <s v="28e98af0-d17a-345c-8fc6-6662b16c17c4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4e71643c-f046-a74f-aa81-cac778552d1a"/>
    <d v="2021-12-24T07:22:29"/>
    <d v="2021-12-24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1055.9000000000001"/>
    <n v="0"/>
    <m/>
    <x v="0"/>
  </r>
  <r>
    <s v="4e71643c-f046-a74f-479c-f1ed08c583bb"/>
    <d v="2022-01-07T07:22:29"/>
    <d v="2022-01-07T10:24:04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2673.95"/>
    <n v="0"/>
    <n v="66383009"/>
    <x v="17"/>
  </r>
  <r>
    <s v="4e71643c-f046-a74f-e981-82a11d13a732"/>
    <d v="2022-12-30T07:22:29"/>
    <d v="2022-12-30T07:41:52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704.2"/>
    <n v="0"/>
    <m/>
    <x v="0"/>
  </r>
  <r>
    <s v="4e71643c-f046-a74f-bf9c-f3159139739c"/>
    <d v="2023-01-06T07:22:29"/>
    <d v="2023-01-06T10:29:01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2673.95"/>
    <n v="0"/>
    <n v="103697008"/>
    <x v="3"/>
  </r>
  <r>
    <s v="4e71643c-f046-a74f-2744-5d3cea98379a"/>
    <d v="2024-01-05T07:22:29"/>
    <d v="2024-01-05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704.2"/>
    <n v="0"/>
    <m/>
    <x v="0"/>
  </r>
  <r>
    <s v="4e71643c-f046-a74f-9479-c4012c55db6b"/>
    <d v="2024-01-19T07:22:29"/>
    <d v="2024-01-19T10:37:03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2673.95"/>
    <n v="0"/>
    <n v="66383009"/>
    <x v="17"/>
  </r>
  <r>
    <s v="4e71643c-f046-a74f-0df3-2931055f90c5"/>
    <d v="2025-01-10T07:22:29"/>
    <d v="2025-01-10T07:37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1130.48"/>
    <n v="0"/>
    <m/>
    <x v="0"/>
  </r>
  <r>
    <s v="4e71643c-f046-a74f-fd43-7e3648f98326"/>
    <d v="2025-01-17T07:22:29"/>
    <d v="2025-01-17T10:38:28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3536.75"/>
    <n v="0"/>
    <n v="103697008"/>
    <x v="3"/>
  </r>
  <r>
    <s v="4e71643c-f046-a74f-5065-ac4a7ca757d9"/>
    <d v="2026-01-16T07:22:29"/>
    <d v="2026-01-16T07:46:29"/>
    <s v="4e71643c-f046-a74f-c2e2-4049efe17cd4"/>
    <s v="9f2f60a6-87a4-3f45-b753-b63b5b7e9993"/>
    <s v="6b1f432d-ada3-36fd-bdec-1e516d5038eb"/>
    <s v="e03e23c9-4df1-3eb6-a62d-f70f02301496"/>
    <x v="0"/>
    <n v="410620009"/>
    <s v="Well child visit (procedure)"/>
    <n v="136.80000000000001"/>
    <n v="704.2"/>
    <n v="0"/>
    <m/>
    <x v="0"/>
  </r>
  <r>
    <s v="4e71643c-f046-a74f-5ba0-3f194b34f319"/>
    <d v="2026-01-30T07:22:29"/>
    <d v="2026-01-30T10:47:02"/>
    <s v="4e71643c-f046-a74f-c2e2-4049efe17cd4"/>
    <s v="9adfae03-673d-365d-9052-f705098fa3e4"/>
    <s v="28e98af0-d17a-345c-8fc6-6662b16c17c4"/>
    <s v="e03e23c9-4df1-3eb6-a62d-f70f02301496"/>
    <x v="1"/>
    <n v="185349003"/>
    <s v="Encounter for check up (procedure)"/>
    <n v="85.55"/>
    <n v="3536.75"/>
    <n v="0"/>
    <n v="66383009"/>
    <x v="17"/>
  </r>
  <r>
    <s v="4e71643c-f046-a74f-5a90-837b3b239a05"/>
    <d v="2026-06-18T08:22:29"/>
    <d v="2026-06-18T09:45:39"/>
    <s v="4e71643c-f046-a74f-c2e2-4049efe17cd4"/>
    <s v="9adfae03-673d-365d-9052-f705098fa3e4"/>
    <s v="28e98af0-d17a-345c-8fc6-6662b16c17c4"/>
    <s v="e03e23c9-4df1-3eb6-a62d-f70f02301496"/>
    <x v="1"/>
    <n v="185345009"/>
    <s v="Encounter for symptom (procedure)"/>
    <n v="85.55"/>
    <n v="3179.93"/>
    <n v="0"/>
    <n v="307426000"/>
    <x v="5"/>
  </r>
  <r>
    <s v="1be83f06-48ef-7bac-8755-ef7707745eec"/>
    <d v="1983-09-15T09:57:29"/>
    <d v="1983-09-15T10:12:29"/>
    <s v="1be83f06-48ef-7bac-7097-b9e0644aeaf8"/>
    <s v="e09d4c49-c2ef-3b0f-9a46-3719d9219306"/>
    <s v="7c077da9-ebd9-338b-b2e2-d1e425a182e0"/>
    <s v="e03e23c9-4df1-3eb6-a62d-f70f02301496"/>
    <x v="1"/>
    <n v="185345009"/>
    <s v="Encounter for symptom (procedure)"/>
    <n v="85.55"/>
    <n v="516.95000000000005"/>
    <n v="0"/>
    <n v="233678006"/>
    <x v="12"/>
  </r>
  <r>
    <s v="1be83f06-48ef-7bac-db5d-b5140afd8ae8"/>
    <d v="1996-12-24T08:57:29"/>
    <d v="1996-12-24T09:12:29"/>
    <s v="1be83f06-48ef-7bac-7097-b9e0644aeaf8"/>
    <s v="88e28a1c-aad9-36d0-832b-b579ecb95c3d"/>
    <s v="8d262055-c5dc-30df-be47-547efe9aaffb"/>
    <s v="e03e23c9-4df1-3eb6-a62d-f70f02301496"/>
    <x v="0"/>
    <n v="410620009"/>
    <s v="Well child visit (procedure)"/>
    <n v="136.80000000000001"/>
    <n v="704.2"/>
    <n v="0"/>
    <m/>
    <x v="0"/>
  </r>
  <r>
    <s v="1be83f06-48ef-7bac-8498-ddda6d0ec77c"/>
    <d v="1997-12-30T08:57:29"/>
    <d v="1997-12-30T09:36:39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704.2"/>
    <n v="0"/>
    <m/>
    <x v="0"/>
  </r>
  <r>
    <s v="1be83f06-48ef-7bac-18cb-89c388178e5f"/>
    <d v="2000-01-11T08:57:29"/>
    <d v="2000-01-11T09:45:51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840.2"/>
    <n v="0"/>
    <m/>
    <x v="0"/>
  </r>
  <r>
    <s v="1be83f06-48ef-7bac-9872-3232c74bd73d"/>
    <d v="2013-03-26T09:57:29"/>
    <d v="2013-03-26T10:37:43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994.48"/>
    <n v="0"/>
    <m/>
    <x v="0"/>
  </r>
  <r>
    <s v="1be83f06-48ef-7bac-7f7d-ca207c764faf"/>
    <d v="2013-08-20T09:57:29"/>
    <d v="2013-08-20T10:40:59"/>
    <s v="1be83f06-48ef-7bac-7097-b9e0644aeaf8"/>
    <s v="e09d4c49-c2ef-3b0f-9a46-3719d9219306"/>
    <s v="7c077da9-ebd9-338b-b2e2-d1e425a182e0"/>
    <s v="e03e23c9-4df1-3eb6-a62d-f70f02301496"/>
    <x v="2"/>
    <n v="185349003"/>
    <s v="Encounter for check up (procedure)"/>
    <n v="85.55"/>
    <n v="652.95000000000005"/>
    <n v="0"/>
    <m/>
    <x v="0"/>
  </r>
  <r>
    <s v="1be83f06-48ef-7bac-85c1-824445636520"/>
    <d v="2015-04-07T09:57:29"/>
    <d v="2015-04-07T10:57:20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704.2"/>
    <n v="0"/>
    <m/>
    <x v="0"/>
  </r>
  <r>
    <s v="1be83f06-48ef-7bac-8db2-3aee574565ff"/>
    <d v="2015-04-28T09:57:29"/>
    <d v="2015-04-28T11:13:42"/>
    <s v="1be83f06-48ef-7bac-7097-b9e0644aeaf8"/>
    <s v="e09d4c49-c2ef-3b0f-9a46-3719d9219306"/>
    <s v="7c077da9-ebd9-338b-b2e2-d1e425a182e0"/>
    <s v="e03e23c9-4df1-3eb6-a62d-f70f02301496"/>
    <x v="1"/>
    <n v="185347001"/>
    <s v="Encounter for problem (procedure)"/>
    <n v="85.55"/>
    <n v="1379.75"/>
    <n v="0"/>
    <n v="37320007"/>
    <x v="8"/>
  </r>
  <r>
    <s v="1be83f06-48ef-7bac-08a7-81af371e9c35"/>
    <d v="2016-04-12T09:57:29"/>
    <d v="2016-04-12T10:52:03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853.36"/>
    <n v="0"/>
    <m/>
    <x v="0"/>
  </r>
  <r>
    <s v="1be83f06-48ef-7bac-4dc4-3336b677389e"/>
    <d v="2016-11-02T09:57:29"/>
    <d v="2016-11-02T10:57:29"/>
    <s v="1be83f06-48ef-7bac-7097-b9e0644aeaf8"/>
    <s v="ce89d7ed-54eb-3eae-881a-15df8e631c47"/>
    <s v="fe081a31-aed0-3802-8233-035146385e79"/>
    <s v="e03e23c9-4df1-3eb6-a62d-f70f02301496"/>
    <x v="3"/>
    <n v="183478001"/>
    <s v="Emergency hospital admission for asthma (procedure)"/>
    <n v="146.18"/>
    <n v="146.18"/>
    <n v="0"/>
    <n v="195967001"/>
    <x v="38"/>
  </r>
  <r>
    <s v="1be83f06-48ef-7bac-c0a1-77d0bbf953ba"/>
    <d v="2016-11-05T02:57:29"/>
    <d v="2016-11-05T03:12:29"/>
    <s v="1be83f06-48ef-7bac-7097-b9e0644aeaf8"/>
    <s v="e09d4c49-c2ef-3b0f-9a46-3719d9219306"/>
    <s v="7c077da9-ebd9-338b-b2e2-d1e425a182e0"/>
    <s v="e03e23c9-4df1-3eb6-a62d-f70f02301496"/>
    <x v="1"/>
    <n v="394701000"/>
    <s v="Asthma follow-up (regime/therapy)"/>
    <n v="142.58000000000001"/>
    <n v="142.58000000000001"/>
    <n v="0"/>
    <n v="195967001"/>
    <x v="38"/>
  </r>
  <r>
    <s v="1be83f06-48ef-7bac-423e-24cd46dbee72"/>
    <d v="2016-12-09T08:57:29"/>
    <d v="2016-12-09T10:32:29"/>
    <s v="1be83f06-48ef-7bac-7097-b9e0644aeaf8"/>
    <s v="ce89d7ed-54eb-3eae-881a-15df8e631c47"/>
    <s v="fe081a31-aed0-3802-8233-035146385e79"/>
    <s v="e03e23c9-4df1-3eb6-a62d-f70f02301496"/>
    <x v="3"/>
    <n v="50849002"/>
    <s v="Emergency room admission (procedure)"/>
    <n v="146.18"/>
    <n v="1008.98"/>
    <n v="0"/>
    <n v="125605004"/>
    <x v="36"/>
  </r>
  <r>
    <s v="1be83f06-48ef-7bac-e439-b0ba60b65183"/>
    <d v="2017-01-10T10:32:29"/>
    <d v="2017-01-10T10:47:29"/>
    <s v="1be83f06-48ef-7bac-7097-b9e0644aeaf8"/>
    <s v="e09d4c49-c2ef-3b0f-9a46-3719d9219306"/>
    <s v="7c077da9-ebd9-338b-b2e2-d1e425a182e0"/>
    <s v="e03e23c9-4df1-3eb6-a62d-f70f02301496"/>
    <x v="1"/>
    <n v="185349003"/>
    <s v="Encounter for check up (procedure)"/>
    <n v="85.55"/>
    <n v="85.55"/>
    <n v="0"/>
    <n v="58150001"/>
    <x v="39"/>
  </r>
  <r>
    <s v="1be83f06-48ef-7bac-ec67-3cad4602add4"/>
    <d v="2017-04-18T09:57:29"/>
    <d v="2017-04-18T10:54:45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704.2"/>
    <n v="0"/>
    <m/>
    <x v="0"/>
  </r>
  <r>
    <s v="1be83f06-48ef-7bac-3b8c-8b98ce6ed0f9"/>
    <d v="2017-05-04T02:57:29"/>
    <d v="2017-05-04T03:12:29"/>
    <s v="1be83f06-48ef-7bac-7097-b9e0644aeaf8"/>
    <s v="e09d4c49-c2ef-3b0f-9a46-3719d9219306"/>
    <s v="7c077da9-ebd9-338b-b2e2-d1e425a182e0"/>
    <s v="e03e23c9-4df1-3eb6-a62d-f70f02301496"/>
    <x v="1"/>
    <n v="394701000"/>
    <s v="Asthma follow-up (regime/therapy)"/>
    <n v="142.58000000000001"/>
    <n v="142.58000000000001"/>
    <n v="0"/>
    <n v="195967001"/>
    <x v="38"/>
  </r>
  <r>
    <s v="1be83f06-48ef-7bac-6556-ddefd3c3c345"/>
    <d v="2017-06-24T11:57:29"/>
    <d v="2017-06-24T12:12:29"/>
    <s v="1be83f06-48ef-7bac-7097-b9e0644aeaf8"/>
    <s v="e09d4c49-c2ef-3b0f-9a46-3719d9219306"/>
    <s v="7c077da9-ebd9-338b-b2e2-d1e425a182e0"/>
    <s v="e03e23c9-4df1-3eb6-a62d-f70f02301496"/>
    <x v="1"/>
    <n v="185345009"/>
    <s v="Encounter for symptom (procedure)"/>
    <n v="85.55"/>
    <n v="85.55"/>
    <n v="0"/>
    <n v="444814009"/>
    <x v="2"/>
  </r>
  <r>
    <s v="1be83f06-48ef-7bac-2b3e-8863b3e4d42f"/>
    <d v="2017-10-31T02:57:29"/>
    <d v="2017-10-31T03:12:29"/>
    <s v="1be83f06-48ef-7bac-7097-b9e0644aeaf8"/>
    <s v="e09d4c49-c2ef-3b0f-9a46-3719d9219306"/>
    <s v="7c077da9-ebd9-338b-b2e2-d1e425a182e0"/>
    <s v="e03e23c9-4df1-3eb6-a62d-f70f02301496"/>
    <x v="1"/>
    <n v="394701000"/>
    <s v="Asthma follow-up (regime/therapy)"/>
    <n v="142.58000000000001"/>
    <n v="142.58000000000001"/>
    <n v="0"/>
    <n v="195967001"/>
    <x v="38"/>
  </r>
  <r>
    <s v="1be83f06-48ef-7bac-ec98-46e19490d597"/>
    <d v="2018-04-24T09:57:29"/>
    <d v="2018-04-24T10:46:34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919.9"/>
    <n v="0"/>
    <m/>
    <x v="0"/>
  </r>
  <r>
    <s v="1be83f06-48ef-7bac-1fc8-2d91f1b4d675"/>
    <d v="2018-05-08T09:57:29"/>
    <d v="2018-05-08T13:20:41"/>
    <s v="1be83f06-48ef-7bac-7097-b9e0644aeaf8"/>
    <s v="e09d4c49-c2ef-3b0f-9a46-3719d9219306"/>
    <s v="7c077da9-ebd9-338b-b2e2-d1e425a182e0"/>
    <s v="e03e23c9-4df1-3eb6-a62d-f70f02301496"/>
    <x v="1"/>
    <n v="185349003"/>
    <s v="Encounter for check up (procedure)"/>
    <n v="85.55"/>
    <n v="3536.75"/>
    <n v="0"/>
    <n v="66383009"/>
    <x v="17"/>
  </r>
  <r>
    <s v="1be83f06-48ef-7bac-8001-6423279b4adc"/>
    <d v="2019-04-30T09:57:29"/>
    <d v="2019-04-30T10:40:04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778.78"/>
    <n v="0"/>
    <m/>
    <x v="0"/>
  </r>
  <r>
    <s v="1be83f06-48ef-7bac-4daf-9852466d456c"/>
    <d v="2020-05-05T09:57:29"/>
    <d v="2020-05-05T10:30:28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840.2"/>
    <n v="0"/>
    <m/>
    <x v="0"/>
  </r>
  <r>
    <s v="1be83f06-48ef-7bac-8b1d-d7513998805a"/>
    <d v="2020-05-19T09:57:29"/>
    <d v="2020-05-19T16:04:50"/>
    <s v="1be83f06-48ef-7bac-7097-b9e0644aeaf8"/>
    <s v="e09d4c49-c2ef-3b0f-9a46-3719d9219306"/>
    <s v="7c077da9-ebd9-338b-b2e2-d1e425a182e0"/>
    <s v="e03e23c9-4df1-3eb6-a62d-f70f02301496"/>
    <x v="1"/>
    <n v="185349003"/>
    <s v="Encounter for check up (procedure)"/>
    <n v="85.55"/>
    <n v="5262.35"/>
    <n v="0"/>
    <n v="66383009"/>
    <x v="17"/>
  </r>
  <r>
    <s v="1be83f06-48ef-7bac-d981-0e55664aef4c"/>
    <d v="2021-04-13T09:57:29"/>
    <d v="2021-04-13T10:12:29"/>
    <s v="1be83f06-48ef-7bac-7097-b9e0644aeaf8"/>
    <s v="e09d4c49-c2ef-3b0f-9a46-3719d9219306"/>
    <s v="7c077da9-ebd9-338b-b2e2-d1e425a182e0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1be83f06-48ef-7bac-46ea-e3003b55094c"/>
    <d v="2021-05-04T09:57:29"/>
    <d v="2021-05-04T10:12:29"/>
    <s v="1be83f06-48ef-7bac-7097-b9e0644aeaf8"/>
    <s v="e09d4c49-c2ef-3b0f-9a46-3719d9219306"/>
    <s v="7c077da9-ebd9-338b-b2e2-d1e425a182e0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1be83f06-48ef-7bac-c2cc-37d84abf66d3"/>
    <d v="2021-05-11T09:57:29"/>
    <d v="2021-05-11T10:44:34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2065.4"/>
    <n v="0"/>
    <m/>
    <x v="0"/>
  </r>
  <r>
    <s v="1be83f06-48ef-7bac-57fc-3e3927b09ccd"/>
    <d v="2022-05-17T09:57:29"/>
    <d v="2022-05-17T10:35:51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860.16"/>
    <n v="0"/>
    <m/>
    <x v="0"/>
  </r>
  <r>
    <s v="1be83f06-48ef-7bac-c157-fd41dcd63a22"/>
    <d v="2022-10-05T02:57:29"/>
    <d v="2022-10-05T03:12:29"/>
    <s v="1be83f06-48ef-7bac-7097-b9e0644aeaf8"/>
    <s v="e09d4c49-c2ef-3b0f-9a46-3719d9219306"/>
    <s v="7c077da9-ebd9-338b-b2e2-d1e425a182e0"/>
    <s v="e03e23c9-4df1-3eb6-a62d-f70f02301496"/>
    <x v="1"/>
    <n v="394701000"/>
    <s v="Asthma follow-up (regime/therapy)"/>
    <n v="142.58000000000001"/>
    <n v="142.58000000000001"/>
    <n v="0"/>
    <n v="195967001"/>
    <x v="38"/>
  </r>
  <r>
    <s v="1be83f06-48ef-7bac-d7c2-918ba4dfac8c"/>
    <d v="2023-05-23T09:57:29"/>
    <d v="2023-05-23T10:29:03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778.78"/>
    <n v="0"/>
    <m/>
    <x v="0"/>
  </r>
  <r>
    <s v="1be83f06-48ef-7bac-c87d-c2e803079bfb"/>
    <d v="2023-05-30T09:57:29"/>
    <d v="2023-05-30T11:39:09"/>
    <s v="1be83f06-48ef-7bac-7097-b9e0644aeaf8"/>
    <s v="e09d4c49-c2ef-3b0f-9a46-3719d9219306"/>
    <s v="7c077da9-ebd9-338b-b2e2-d1e425a182e0"/>
    <s v="e03e23c9-4df1-3eb6-a62d-f70f02301496"/>
    <x v="1"/>
    <n v="185347001"/>
    <s v="Encounter for problem (procedure)"/>
    <n v="85.55"/>
    <n v="1379.75"/>
    <n v="0"/>
    <n v="37320007"/>
    <x v="8"/>
  </r>
  <r>
    <s v="1be83f06-48ef-7bac-cf5e-86efacc237ad"/>
    <d v="2023-06-06T09:57:29"/>
    <d v="2023-06-06T11:08:46"/>
    <s v="1be83f06-48ef-7bac-7097-b9e0644aeaf8"/>
    <s v="e09d4c49-c2ef-3b0f-9a46-3719d9219306"/>
    <s v="7c077da9-ebd9-338b-b2e2-d1e425a182e0"/>
    <s v="e03e23c9-4df1-3eb6-a62d-f70f02301496"/>
    <x v="1"/>
    <n v="185347001"/>
    <s v="Encounter for problem (procedure)"/>
    <n v="85.55"/>
    <n v="1059.1600000000001"/>
    <n v="0"/>
    <n v="271737000"/>
    <x v="32"/>
  </r>
  <r>
    <s v="1be83f06-48ef-7bac-d446-a4a57a4d98e2"/>
    <d v="2023-06-09T22:57:29"/>
    <d v="2023-06-09T23:12:29"/>
    <s v="1be83f06-48ef-7bac-7097-b9e0644aeaf8"/>
    <s v="e09d4c49-c2ef-3b0f-9a46-3719d9219306"/>
    <s v="7c077da9-ebd9-338b-b2e2-d1e425a182e0"/>
    <s v="e03e23c9-4df1-3eb6-a62d-f70f02301496"/>
    <x v="1"/>
    <n v="185345009"/>
    <s v="Encounter for symptom (procedure)"/>
    <n v="85.55"/>
    <n v="85.55"/>
    <n v="0"/>
    <n v="444814009"/>
    <x v="2"/>
  </r>
  <r>
    <s v="1be83f06-48ef-7bac-f22d-e92fce73ce1a"/>
    <d v="2023-06-20T09:57:29"/>
    <d v="2023-06-20T10:35:50"/>
    <s v="1be83f06-48ef-7bac-7097-b9e0644aeaf8"/>
    <s v="e09d4c49-c2ef-3b0f-9a46-3719d9219306"/>
    <s v="7c077da9-ebd9-338b-b2e2-d1e425a182e0"/>
    <s v="e03e23c9-4df1-3eb6-a62d-f70f02301496"/>
    <x v="2"/>
    <n v="185349003"/>
    <s v="Encounter for check up (procedure)"/>
    <n v="85.55"/>
    <n v="734.33"/>
    <n v="0"/>
    <m/>
    <x v="0"/>
  </r>
  <r>
    <s v="1be83f06-48ef-7bac-90aa-9162b8306c56"/>
    <d v="2023-06-27T09:57:29"/>
    <d v="2023-06-27T16:38:44"/>
    <s v="1be83f06-48ef-7bac-7097-b9e0644aeaf8"/>
    <s v="e09d4c49-c2ef-3b0f-9a46-3719d9219306"/>
    <s v="7c077da9-ebd9-338b-b2e2-d1e425a182e0"/>
    <s v="e03e23c9-4df1-3eb6-a62d-f70f02301496"/>
    <x v="1"/>
    <n v="185349003"/>
    <s v="Encounter for check up (procedure)"/>
    <n v="85.55"/>
    <n v="4830.95"/>
    <n v="0"/>
    <n v="103697008"/>
    <x v="3"/>
  </r>
  <r>
    <s v="1be83f06-48ef-7bac-7734-781f512d7591"/>
    <d v="2023-07-04T09:57:29"/>
    <d v="2023-07-04T10:52:22"/>
    <s v="1be83f06-48ef-7bac-7097-b9e0644aeaf8"/>
    <s v="e09d4c49-c2ef-3b0f-9a46-3719d9219306"/>
    <s v="7c077da9-ebd9-338b-b2e2-d1e425a182e0"/>
    <s v="e03e23c9-4df1-3eb6-a62d-f70f02301496"/>
    <x v="1"/>
    <n v="390906007"/>
    <s v="Follow-up encounter (procedure)"/>
    <n v="85.55"/>
    <n v="516.95000000000005"/>
    <n v="0"/>
    <n v="37320007"/>
    <x v="8"/>
  </r>
  <r>
    <s v="1be83f06-48ef-7bac-ace1-bf22327cab4e"/>
    <d v="2024-05-28T09:57:29"/>
    <d v="2024-05-28T10:55:49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1001.28"/>
    <n v="0"/>
    <m/>
    <x v="0"/>
  </r>
  <r>
    <s v="1be83f06-48ef-7bac-53b2-6c500b11b534"/>
    <d v="2025-06-03T09:57:29"/>
    <d v="2025-06-03T10:45:43"/>
    <s v="1be83f06-48ef-7bac-7097-b9e0644aeaf8"/>
    <s v="88e28a1c-aad9-36d0-832b-b579ecb95c3d"/>
    <s v="8d262055-c5dc-30df-be47-547efe9aaffb"/>
    <s v="e03e23c9-4df1-3eb6-a62d-f70f02301496"/>
    <x v="0"/>
    <n v="162673000"/>
    <s v="General examination of patient (procedure)"/>
    <n v="136.80000000000001"/>
    <n v="1075.8599999999999"/>
    <n v="0"/>
    <m/>
    <x v="0"/>
  </r>
  <r>
    <s v="1be83f06-48ef-7bac-0d66-91b9f6a9283f"/>
    <d v="2025-06-24T09:57:29"/>
    <d v="2025-06-24T10:46:29"/>
    <s v="1be83f06-48ef-7bac-7097-b9e0644aeaf8"/>
    <s v="e09d4c49-c2ef-3b0f-9a46-3719d9219306"/>
    <s v="7c077da9-ebd9-338b-b2e2-d1e425a182e0"/>
    <s v="e03e23c9-4df1-3eb6-a62d-f70f02301496"/>
    <x v="1"/>
    <n v="36228007"/>
    <s v="Ophthalmic examination and evaluation (procedure)"/>
    <n v="142.58000000000001"/>
    <n v="3162.38"/>
    <n v="0"/>
    <n v="44054006"/>
    <x v="40"/>
  </r>
  <r>
    <s v="1be83f06-48ef-7bac-9bb6-aefe6979aeaa"/>
    <d v="2026-05-12T09:57:29"/>
    <d v="2026-05-12T10:12:29"/>
    <s v="1be83f06-48ef-7bac-7097-b9e0644aeaf8"/>
    <s v="88e28a1c-aad9-36d0-832b-b579ecb95c3d"/>
    <s v="8d262055-c5dc-30df-be47-547efe9aaffb"/>
    <s v="e03e23c9-4df1-3eb6-a62d-f70f02301496"/>
    <x v="0"/>
    <n v="308646001"/>
    <s v="Death Certification"/>
    <n v="136.80000000000001"/>
    <n v="211.38"/>
    <n v="0"/>
    <n v="401303003"/>
    <x v="41"/>
  </r>
  <r>
    <s v="30ed72f3-240e-4973-e1a8-773cae1a59fb"/>
    <d v="2018-03-09T21:50:28"/>
    <d v="2018-03-09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347.38"/>
    <n v="0"/>
    <m/>
    <x v="0"/>
  </r>
  <r>
    <s v="30ed72f3-240e-4973-df59-d1a3beb1541e"/>
    <d v="2018-04-13T22:50:28"/>
    <d v="2018-04-13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488.5"/>
    <n v="0"/>
    <m/>
    <x v="0"/>
  </r>
  <r>
    <s v="30ed72f3-240e-4973-def7-19bae748e765"/>
    <d v="2018-05-11T16:50:28"/>
    <d v="2018-05-11T17:05:28"/>
    <s v="30ed72f3-240e-4973-a0b8-25369e1a9c1e"/>
    <s v="88975fd9-b47e-3af6-af78-c58e1ecf0d5e"/>
    <s v="1df1de29-47cf-3e4b-9877-06087ef9226c"/>
    <s v="e03e23c9-4df1-3eb6-a62d-f70f02301496"/>
    <x v="1"/>
    <n v="185345009"/>
    <s v="Encounter for symptom (procedure)"/>
    <n v="85.55"/>
    <n v="1723.63"/>
    <n v="0"/>
    <n v="195662009"/>
    <x v="9"/>
  </r>
  <r>
    <s v="30ed72f3-240e-4973-03df-2dcf57bb526e"/>
    <d v="2018-06-15T22:50:28"/>
    <d v="2018-06-15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1244.24"/>
    <n v="0"/>
    <m/>
    <x v="0"/>
  </r>
  <r>
    <s v="30ed72f3-240e-4973-8ffe-fd1a5def4e60"/>
    <d v="2018-08-17T22:50:28"/>
    <d v="2018-08-17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1206.1099999999999"/>
    <n v="0"/>
    <m/>
    <x v="0"/>
  </r>
  <r>
    <s v="30ed72f3-240e-4973-3f3e-14c81b3cfce6"/>
    <d v="2018-11-16T21:50:28"/>
    <d v="2018-11-16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816.8"/>
    <n v="0"/>
    <m/>
    <x v="0"/>
  </r>
  <r>
    <s v="30ed72f3-240e-4973-5c44-0d7b49cf550f"/>
    <d v="2019-02-15T21:50:28"/>
    <d v="2019-02-15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619.48"/>
    <n v="0"/>
    <m/>
    <x v="0"/>
  </r>
  <r>
    <s v="30ed72f3-240e-4973-0c7f-e4da5762dbb9"/>
    <d v="2019-05-17T22:50:28"/>
    <d v="2019-05-17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1032.5"/>
    <n v="0"/>
    <m/>
    <x v="0"/>
  </r>
  <r>
    <s v="30ed72f3-240e-4973-fecb-bfcbfe13ca34"/>
    <d v="2019-08-16T22:50:28"/>
    <d v="2019-08-16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272.8"/>
    <n v="0"/>
    <m/>
    <x v="0"/>
  </r>
  <r>
    <s v="30ed72f3-240e-4973-e02f-76cef560c123"/>
    <d v="2019-11-29T21:50:28"/>
    <d v="2019-11-29T22:05:28"/>
    <s v="30ed72f3-240e-4973-a0b8-25369e1a9c1e"/>
    <s v="88975fd9-b47e-3af6-af78-c58e1ecf0d5e"/>
    <s v="1df1de29-47cf-3e4b-9877-06087ef9226c"/>
    <s v="e03e23c9-4df1-3eb6-a62d-f70f02301496"/>
    <x v="2"/>
    <n v="185345009"/>
    <s v="Encounter for symptom (procedure)"/>
    <n v="85.55"/>
    <n v="85.55"/>
    <n v="0"/>
    <n v="65363002"/>
    <x v="25"/>
  </r>
  <r>
    <s v="30ed72f3-240e-4973-db9f-f470ff8fda8f"/>
    <d v="2020-02-14T21:50:28"/>
    <d v="2020-02-14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272.8"/>
    <n v="0"/>
    <m/>
    <x v="0"/>
  </r>
  <r>
    <s v="30ed72f3-240e-4973-5b0c-5a30915755f3"/>
    <d v="2020-08-14T22:50:28"/>
    <d v="2020-08-14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704.2"/>
    <n v="0"/>
    <m/>
    <x v="0"/>
  </r>
  <r>
    <s v="30ed72f3-240e-4973-a73f-bdf99d17b476"/>
    <d v="2020-08-21T22:50:28"/>
    <d v="2020-08-22T02:25:21"/>
    <s v="30ed72f3-240e-4973-a0b8-25369e1a9c1e"/>
    <s v="88975fd9-b47e-3af6-af78-c58e1ecf0d5e"/>
    <s v="1df1de29-47cf-3e4b-9877-06087ef9226c"/>
    <s v="e03e23c9-4df1-3eb6-a62d-f70f02301496"/>
    <x v="1"/>
    <n v="185349003"/>
    <s v="Encounter for check up (procedure)"/>
    <n v="85.55"/>
    <n v="3968.15"/>
    <n v="0"/>
    <n v="103697008"/>
    <x v="3"/>
  </r>
  <r>
    <s v="30ed72f3-240e-4973-f748-952ecabb3e60"/>
    <d v="2021-02-12T21:50:28"/>
    <d v="2021-02-12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272.8"/>
    <n v="0"/>
    <m/>
    <x v="0"/>
  </r>
  <r>
    <s v="30ed72f3-240e-4973-d6da-8e13c85177cb"/>
    <d v="2021-06-30T12:50:28"/>
    <d v="2021-06-30T13:05:28"/>
    <s v="30ed72f3-240e-4973-a0b8-25369e1a9c1e"/>
    <s v="88975fd9-b47e-3af6-af78-c58e1ecf0d5e"/>
    <s v="1df1de29-47cf-3e4b-9877-06087ef9226c"/>
    <s v="e03e23c9-4df1-3eb6-a62d-f70f02301496"/>
    <x v="1"/>
    <n v="185345009"/>
    <s v="Encounter for symptom (procedure)"/>
    <n v="85.55"/>
    <n v="85.55"/>
    <n v="0"/>
    <n v="444814009"/>
    <x v="2"/>
  </r>
  <r>
    <s v="30ed72f3-240e-4973-483f-3a6fc0dfc38f"/>
    <d v="2021-08-13T22:50:28"/>
    <d v="2021-08-13T23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352.5"/>
    <n v="0"/>
    <m/>
    <x v="0"/>
  </r>
  <r>
    <s v="30ed72f3-240e-4973-9149-44ec5077fd30"/>
    <d v="2021-11-03T22:50:28"/>
    <d v="2021-11-03T23:50:28"/>
    <s v="30ed72f3-240e-4973-a0b8-25369e1a9c1e"/>
    <s v="bebc1dac-6c42-3225-b0ba-23278cdf2a62"/>
    <s v="09dc86f8-1bef-3e2f-9a29-ed4bf233ef65"/>
    <s v="e03e23c9-4df1-3eb6-a62d-f70f02301496"/>
    <x v="3"/>
    <n v="50849002"/>
    <s v="Emergency room admission (procedure)"/>
    <n v="146.18"/>
    <n v="5416.84"/>
    <n v="0"/>
    <n v="312608009"/>
    <x v="20"/>
  </r>
  <r>
    <s v="30ed72f3-240e-4973-c91c-c79f6401f7c8"/>
    <d v="2022-01-21T09:50:28"/>
    <d v="2022-01-21T10:05:28"/>
    <s v="30ed72f3-240e-4973-a0b8-25369e1a9c1e"/>
    <s v="88975fd9-b47e-3af6-af78-c58e1ecf0d5e"/>
    <s v="1df1de29-47cf-3e4b-9877-06087ef9226c"/>
    <s v="e03e23c9-4df1-3eb6-a62d-f70f02301496"/>
    <x v="1"/>
    <n v="185345009"/>
    <s v="Encounter for symptom (procedure)"/>
    <n v="85.55"/>
    <n v="85.55"/>
    <n v="0"/>
    <n v="444814009"/>
    <x v="2"/>
  </r>
  <r>
    <s v="30ed72f3-240e-4973-50d8-63e6e942c7b4"/>
    <d v="2022-02-11T21:50:28"/>
    <d v="2022-02-11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704.2"/>
    <n v="0"/>
    <m/>
    <x v="0"/>
  </r>
  <r>
    <s v="30ed72f3-240e-4973-9a4a-2732b62ce2c3"/>
    <d v="2022-02-18T21:50:28"/>
    <d v="2022-02-19T01:42:04"/>
    <s v="30ed72f3-240e-4973-a0b8-25369e1a9c1e"/>
    <s v="88975fd9-b47e-3af6-af78-c58e1ecf0d5e"/>
    <s v="1df1de29-47cf-3e4b-9877-06087ef9226c"/>
    <s v="e03e23c9-4df1-3eb6-a62d-f70f02301496"/>
    <x v="1"/>
    <n v="185349003"/>
    <s v="Encounter for check up (procedure)"/>
    <n v="85.55"/>
    <n v="3536.75"/>
    <n v="0"/>
    <n v="103697008"/>
    <x v="3"/>
  </r>
  <r>
    <s v="30ed72f3-240e-4973-0feb-d9661e74785e"/>
    <d v="2023-02-17T21:50:28"/>
    <d v="2023-02-17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1679.6"/>
    <n v="0"/>
    <m/>
    <x v="0"/>
  </r>
  <r>
    <s v="30ed72f3-240e-4973-62bf-72d207a70794"/>
    <d v="2023-03-04T18:50:28"/>
    <d v="2023-03-04T19:05:28"/>
    <s v="30ed72f3-240e-4973-a0b8-25369e1a9c1e"/>
    <s v="88975fd9-b47e-3af6-af78-c58e1ecf0d5e"/>
    <s v="1df1de29-47cf-3e4b-9877-06087ef9226c"/>
    <s v="e03e23c9-4df1-3eb6-a62d-f70f02301496"/>
    <x v="1"/>
    <n v="185345009"/>
    <s v="Encounter for symptom (procedure)"/>
    <n v="85.55"/>
    <n v="85.55"/>
    <n v="0"/>
    <n v="195662009"/>
    <x v="9"/>
  </r>
  <r>
    <s v="30ed72f3-240e-4973-f404-7c6157fd1dfa"/>
    <d v="2024-02-23T21:50:28"/>
    <d v="2024-02-23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601.78"/>
    <n v="0"/>
    <m/>
    <x v="0"/>
  </r>
  <r>
    <s v="30ed72f3-240e-4973-824a-fdcaa8678099"/>
    <d v="2025-02-28T21:50:28"/>
    <d v="2025-02-28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635.88"/>
    <n v="0"/>
    <m/>
    <x v="0"/>
  </r>
  <r>
    <s v="30ed72f3-240e-4973-5709-e46cb5d848fa"/>
    <d v="2026-03-06T21:50:28"/>
    <d v="2026-03-06T22:05:28"/>
    <s v="30ed72f3-240e-4973-a0b8-25369e1a9c1e"/>
    <s v="c4e5b33c-17b8-3f51-a8ba-a327d54e642a"/>
    <s v="a0bee193-3c6c-31b3-8af2-42f296be0311"/>
    <s v="e03e23c9-4df1-3eb6-a62d-f70f02301496"/>
    <x v="0"/>
    <n v="410620009"/>
    <s v="Well child visit (procedure)"/>
    <n v="136.80000000000001"/>
    <n v="704.2"/>
    <n v="0"/>
    <m/>
    <x v="0"/>
  </r>
  <r>
    <s v="30ed72f3-240e-4973-6427-6b8fabf327cf"/>
    <d v="2026-03-13T22:50:28"/>
    <d v="2026-03-14T01:02:46"/>
    <s v="30ed72f3-240e-4973-a0b8-25369e1a9c1e"/>
    <s v="88975fd9-b47e-3af6-af78-c58e1ecf0d5e"/>
    <s v="1df1de29-47cf-3e4b-9877-06087ef9226c"/>
    <s v="e03e23c9-4df1-3eb6-a62d-f70f02301496"/>
    <x v="1"/>
    <n v="185349003"/>
    <s v="Encounter for check up (procedure)"/>
    <n v="85.55"/>
    <n v="3105.35"/>
    <n v="0"/>
    <n v="66383009"/>
    <x v="17"/>
  </r>
  <r>
    <s v="30ed72f3-240e-4973-5ff6-be057a919655"/>
    <d v="2026-08-03T16:50:28"/>
    <d v="2026-08-03T17:05:28"/>
    <s v="30ed72f3-240e-4973-a0b8-25369e1a9c1e"/>
    <s v="88975fd9-b47e-3af6-af78-c58e1ecf0d5e"/>
    <s v="1df1de29-47cf-3e4b-9877-06087ef9226c"/>
    <s v="e03e23c9-4df1-3eb6-a62d-f70f02301496"/>
    <x v="1"/>
    <n v="185345009"/>
    <s v="Encounter for symptom (procedure)"/>
    <n v="85.55"/>
    <n v="85.55"/>
    <n v="0"/>
    <n v="43878008"/>
    <x v="18"/>
  </r>
  <r>
    <s v="6095681c-dfc1-8f20-0814-7b85dc934ede"/>
    <d v="2015-10-24T22:29:57"/>
    <d v="2015-10-24T22:54:00"/>
    <s v="6095681c-dfc1-8f20-411c-42cef37189fa"/>
    <s v="9dbd44ba-59b2-3d1d-ac91-3880af8081d2"/>
    <s v="47b873a4-934e-35c8-bb49-71c79d64cc0a"/>
    <s v="d31fccc3-1767-390d-966a-22a5156f4219"/>
    <x v="0"/>
    <n v="410620009"/>
    <s v="Well child visit (procedure)"/>
    <n v="136.80000000000001"/>
    <n v="704.2"/>
    <n v="0"/>
    <m/>
    <x v="0"/>
  </r>
  <r>
    <s v="6095681c-dfc1-8f20-72cb-02f8a4eda6f0"/>
    <d v="2016-10-29T22:29:57"/>
    <d v="2016-10-29T22:57:44"/>
    <s v="6095681c-dfc1-8f20-411c-42cef37189fa"/>
    <s v="9dbd44ba-59b2-3d1d-ac91-3880af8081d2"/>
    <s v="47b873a4-934e-35c8-bb49-71c79d64cc0a"/>
    <s v="d31fccc3-1767-390d-966a-22a5156f4219"/>
    <x v="0"/>
    <n v="410620009"/>
    <s v="Well child visit (procedure)"/>
    <n v="136.80000000000001"/>
    <n v="914.78"/>
    <n v="0"/>
    <m/>
    <x v="0"/>
  </r>
  <r>
    <s v="6095681c-dfc1-8f20-73e3-eff033cd60c8"/>
    <d v="2016-11-22T16:29:57"/>
    <d v="2016-11-22T16:44:57"/>
    <s v="6095681c-dfc1-8f20-411c-42cef37189fa"/>
    <s v="06cc2462-430f-3322-9c87-7e971125f510"/>
    <s v="747fcccb-8c6a-3956-87a6-436687727f5c"/>
    <s v="d31fccc3-1767-390d-966a-22a5156f4219"/>
    <x v="1"/>
    <n v="185345009"/>
    <s v="Encounter for symptom (procedure)"/>
    <n v="85.55"/>
    <n v="85.55"/>
    <n v="0"/>
    <n v="195662009"/>
    <x v="9"/>
  </r>
  <r>
    <s v="6095681c-dfc1-8f20-c91b-9a56cc8db074"/>
    <d v="2016-12-03T03:29:57"/>
    <d v="2016-12-03T03:44:57"/>
    <s v="6095681c-dfc1-8f20-411c-42cef37189fa"/>
    <s v="06cc2462-430f-3322-9c87-7e971125f510"/>
    <s v="747fcccb-8c6a-3956-87a6-436687727f5c"/>
    <s v="d31fccc3-1767-390d-966a-22a5156f4219"/>
    <x v="1"/>
    <n v="185345009"/>
    <s v="Encounter for symptom (procedure)"/>
    <n v="85.55"/>
    <n v="120.06"/>
    <n v="0"/>
    <n v="10509002"/>
    <x v="1"/>
  </r>
  <r>
    <s v="6095681c-dfc1-8f20-50de-c6dd78c0ccfd"/>
    <d v="2017-11-04T22:29:57"/>
    <d v="2017-11-04T22:44:57"/>
    <s v="6095681c-dfc1-8f20-411c-42cef37189fa"/>
    <s v="9dbd44ba-59b2-3d1d-ac91-3880af8081d2"/>
    <s v="47b873a4-934e-35c8-bb49-71c79d64cc0a"/>
    <s v="d31fccc3-1767-390d-966a-22a5156f4219"/>
    <x v="0"/>
    <n v="410620009"/>
    <s v="Well child visit (procedure)"/>
    <n v="136.80000000000001"/>
    <n v="1567"/>
    <n v="87.2"/>
    <m/>
    <x v="0"/>
  </r>
  <r>
    <s v="6095681c-dfc1-8f20-e0a1-b2f2610e05e1"/>
    <d v="2017-11-18T21:29:57"/>
    <d v="2017-11-19T01:01:07"/>
    <s v="6095681c-dfc1-8f20-411c-42cef37189fa"/>
    <s v="06cc2462-430f-3322-9c87-7e971125f510"/>
    <s v="747fcccb-8c6a-3956-87a6-436687727f5c"/>
    <s v="d31fccc3-1767-390d-966a-22a5156f4219"/>
    <x v="1"/>
    <n v="185349003"/>
    <s v="Encounter for check up (procedure)"/>
    <n v="85.55"/>
    <n v="3105.35"/>
    <n v="2484.2800000000002"/>
    <n v="66383009"/>
    <x v="17"/>
  </r>
  <r>
    <s v="6095681c-dfc1-8f20-8f68-46114938e66c"/>
    <d v="2018-06-14T00:06:57"/>
    <d v="2018-06-14T01:06:57"/>
    <s v="6095681c-dfc1-8f20-411c-42cef37189fa"/>
    <s v="b3ada130-6443-3a8e-98c7-4ec127a2b0c4"/>
    <s v="97845c8f-ac04-3882-b5e3-710cb7f09385"/>
    <s v="d31fccc3-1767-390d-966a-22a5156f4219"/>
    <x v="3"/>
    <n v="50849002"/>
    <s v="Emergency room admission (procedure)"/>
    <n v="146.18"/>
    <n v="4140.8900000000003"/>
    <n v="3312.71"/>
    <n v="312608009"/>
    <x v="20"/>
  </r>
  <r>
    <s v="6095681c-dfc1-8f20-a48f-991f7259a03e"/>
    <d v="2018-11-10T21:29:57"/>
    <d v="2018-11-10T22:01:30"/>
    <s v="6095681c-dfc1-8f20-411c-42cef37189fa"/>
    <s v="9dbd44ba-59b2-3d1d-ac91-3880af8081d2"/>
    <s v="47b873a4-934e-35c8-bb49-71c79d64cc0a"/>
    <s v="d31fccc3-1767-390d-966a-22a5156f4219"/>
    <x v="0"/>
    <n v="162673000"/>
    <s v="General examination of patient (procedure)"/>
    <n v="136.80000000000001"/>
    <n v="704.2"/>
    <n v="0"/>
    <m/>
    <x v="0"/>
  </r>
  <r>
    <s v="6095681c-dfc1-8f20-3af5-988ca0c1cd41"/>
    <d v="2018-11-24T21:29:57"/>
    <d v="2018-11-25T01:12:44"/>
    <s v="6095681c-dfc1-8f20-411c-42cef37189fa"/>
    <s v="06cc2462-430f-3322-9c87-7e971125f510"/>
    <s v="747fcccb-8c6a-3956-87a6-436687727f5c"/>
    <s v="d31fccc3-1767-390d-966a-22a5156f4219"/>
    <x v="1"/>
    <n v="185349003"/>
    <s v="Encounter for check up (procedure)"/>
    <n v="85.55"/>
    <n v="3105.35"/>
    <n v="1985.19"/>
    <n v="66383009"/>
    <x v="17"/>
  </r>
  <r>
    <s v="6095681c-dfc1-8f20-e1d1-43f99f699c54"/>
    <d v="2019-11-16T21:29:57"/>
    <d v="2019-11-16T22:22:21"/>
    <s v="6095681c-dfc1-8f20-411c-42cef37189fa"/>
    <s v="9dbd44ba-59b2-3d1d-ac91-3880af8081d2"/>
    <s v="47b873a4-934e-35c8-bb49-71c79d64cc0a"/>
    <s v="d31fccc3-1767-390d-966a-22a5156f4219"/>
    <x v="0"/>
    <n v="162673000"/>
    <s v="General examination of patient (procedure)"/>
    <n v="136.80000000000001"/>
    <n v="704.2"/>
    <n v="0"/>
    <m/>
    <x v="0"/>
  </r>
  <r>
    <s v="6095681c-dfc1-8f20-e1ad-a730b1fee016"/>
    <d v="2019-11-30T21:29:57"/>
    <d v="2019-12-01T00:11:29"/>
    <s v="6095681c-dfc1-8f20-411c-42cef37189fa"/>
    <s v="06cc2462-430f-3322-9c87-7e971125f510"/>
    <s v="747fcccb-8c6a-3956-87a6-436687727f5c"/>
    <s v="d31fccc3-1767-390d-966a-22a5156f4219"/>
    <x v="1"/>
    <n v="185349003"/>
    <s v="Encounter for check up (procedure)"/>
    <n v="85.55"/>
    <n v="2673.95"/>
    <n v="1536.12"/>
    <n v="66383009"/>
    <x v="17"/>
  </r>
  <r>
    <s v="6095681c-dfc1-8f20-929e-34c3b2480375"/>
    <d v="2020-09-16T15:29:57"/>
    <d v="2020-09-16T15:44:57"/>
    <s v="6095681c-dfc1-8f20-411c-42cef37189fa"/>
    <s v="06cc2462-430f-3322-9c87-7e971125f510"/>
    <s v="747fcccb-8c6a-3956-87a6-436687727f5c"/>
    <s v="d31fccc3-1767-390d-966a-22a5156f4219"/>
    <x v="1"/>
    <n v="185345009"/>
    <s v="Encounter for symptom (procedure)"/>
    <n v="85.55"/>
    <n v="85.55"/>
    <n v="68.44"/>
    <n v="195662009"/>
    <x v="9"/>
  </r>
  <r>
    <s v="6095681c-dfc1-8f20-3523-966b3002b8f8"/>
    <d v="2021-04-10T22:29:57"/>
    <d v="2021-04-10T22:44:57"/>
    <s v="6095681c-dfc1-8f20-411c-42cef37189fa"/>
    <s v="5fcff9db-16e4-3e56-aa78-abbc16338097"/>
    <s v="ef159c90-21f2-34a3-ab95-4c0598b5fedf"/>
    <s v="d31fccc3-1767-390d-966a-22a5156f4219"/>
    <x v="2"/>
    <n v="33879002"/>
    <s v="Administration of vaccine to produce active immunity (procedure)"/>
    <n v="142.58000000000001"/>
    <n v="278.58"/>
    <n v="0"/>
    <m/>
    <x v="0"/>
  </r>
  <r>
    <s v="6095681c-dfc1-8f20-c0b7-0cc2eed2a3ba"/>
    <d v="2021-05-01T22:29:57"/>
    <d v="2021-05-01T22:44:57"/>
    <s v="6095681c-dfc1-8f20-411c-42cef37189fa"/>
    <s v="5fcff9db-16e4-3e56-aa78-abbc16338097"/>
    <s v="ef159c90-21f2-34a3-ab95-4c0598b5fedf"/>
    <s v="d31fccc3-1767-390d-966a-22a5156f4219"/>
    <x v="2"/>
    <n v="33879002"/>
    <s v="Administration of vaccine to produce active immunity (procedure)"/>
    <n v="142.58000000000001"/>
    <n v="278.58"/>
    <n v="0"/>
    <m/>
    <x v="0"/>
  </r>
  <r>
    <s v="6095681c-dfc1-8f20-dbf7-f6f6f0f630f0"/>
    <d v="2022-11-19T21:29:57"/>
    <d v="2022-11-19T22:29:24"/>
    <s v="6095681c-dfc1-8f20-411c-42cef37189fa"/>
    <s v="9dbd44ba-59b2-3d1d-ac91-3880af8081d2"/>
    <s v="47b873a4-934e-35c8-bb49-71c79d64cc0a"/>
    <s v="d31fccc3-1767-390d-966a-22a5156f4219"/>
    <x v="0"/>
    <n v="162673000"/>
    <s v="General examination of patient (procedure)"/>
    <n v="136.80000000000001"/>
    <n v="1186.78"/>
    <n v="0"/>
    <m/>
    <x v="0"/>
  </r>
  <r>
    <s v="6095681c-dfc1-8f20-6d4c-7a24596ee746"/>
    <d v="2022-12-03T21:29:57"/>
    <d v="2022-12-04T01:03:46"/>
    <s v="6095681c-dfc1-8f20-411c-42cef37189fa"/>
    <s v="06cc2462-430f-3322-9c87-7e971125f510"/>
    <s v="747fcccb-8c6a-3956-87a6-436687727f5c"/>
    <s v="d31fccc3-1767-390d-966a-22a5156f4219"/>
    <x v="1"/>
    <n v="185349003"/>
    <s v="Encounter for check up (procedure)"/>
    <n v="85.55"/>
    <n v="3536.75"/>
    <n v="2716.38"/>
    <n v="103697008"/>
    <x v="3"/>
  </r>
  <r>
    <s v="6095681c-dfc1-8f20-1af4-acd8852752c0"/>
    <d v="2023-07-15T22:29:57"/>
    <d v="2023-07-15T23:11:52"/>
    <s v="6095681c-dfc1-8f20-411c-42cef37189fa"/>
    <s v="5fcff9db-16e4-3e56-aa78-abbc16338097"/>
    <s v="ef159c90-21f2-34a3-ab95-4c0598b5fedf"/>
    <s v="d31fccc3-1767-390d-966a-22a5156f4219"/>
    <x v="2"/>
    <n v="185349003"/>
    <s v="Encounter for check up (procedure)"/>
    <n v="85.55"/>
    <n v="788.95"/>
    <n v="631.16"/>
    <m/>
    <x v="0"/>
  </r>
  <r>
    <s v="37549f60-b5a3-69cd-134f-352b28dfcfa1"/>
    <d v="1999-07-19T18:20:00"/>
    <d v="1999-07-19T19:00:52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919.9"/>
    <n v="0"/>
    <m/>
    <x v="0"/>
  </r>
  <r>
    <s v="6095681c-dfc1-8f20-7409-6f37c8d4beaa"/>
    <d v="2023-07-22T22:29:57"/>
    <d v="2023-07-22T22:44:57"/>
    <s v="6095681c-dfc1-8f20-411c-42cef37189fa"/>
    <s v="06cc2462-430f-3322-9c87-7e971125f510"/>
    <s v="747fcccb-8c6a-3956-87a6-436687727f5c"/>
    <s v="d31fccc3-1767-390d-966a-22a5156f4219"/>
    <x v="1"/>
    <n v="185345009"/>
    <s v="Encounter for symptom (procedure)"/>
    <n v="85.55"/>
    <n v="183.93"/>
    <n v="147.13999999999999"/>
    <n v="10509002"/>
    <x v="1"/>
  </r>
  <r>
    <s v="37549f60-b5a3-69cd-4e2f-95a457419b8d"/>
    <d v="2000-07-24T18:20:00"/>
    <d v="2000-07-24T19:06:22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704.2"/>
    <n v="0"/>
    <m/>
    <x v="0"/>
  </r>
  <r>
    <s v="37549f60-b5a3-69cd-1f2b-5b0e1daa6e75"/>
    <d v="2005-06-05T18:20:00"/>
    <d v="2005-06-05T18:35:00"/>
    <s v="37549f60-b5a3-69cd-dea6-5a71c4bc23cf"/>
    <s v="d0894f6b-78d7-338d-82ad-b63de4d40014"/>
    <s v="52d976a6-7d7e-3109-96e6-732b66f54669"/>
    <s v="e03e23c9-4df1-3eb6-a62d-f70f02301496"/>
    <x v="1"/>
    <n v="185347001"/>
    <s v="Encounter for problem (procedure)"/>
    <n v="85.55"/>
    <n v="85.55"/>
    <n v="0"/>
    <n v="40275004"/>
    <x v="42"/>
  </r>
  <r>
    <s v="37549f60-b5a3-69cd-bd30-c7a0b0133ccf"/>
    <d v="2005-06-18T09:20:00"/>
    <d v="2005-06-18T09:48:14"/>
    <s v="37549f60-b5a3-69cd-dea6-5a71c4bc23cf"/>
    <s v="d0894f6b-78d7-338d-82ad-b63de4d40014"/>
    <s v="52d976a6-7d7e-3109-96e6-732b66f54669"/>
    <s v="e03e23c9-4df1-3eb6-a62d-f70f02301496"/>
    <x v="1"/>
    <n v="185347001"/>
    <s v="Encounter for problem (procedure)"/>
    <n v="85.55"/>
    <n v="516.95000000000005"/>
    <n v="0"/>
    <n v="609328004"/>
    <x v="11"/>
  </r>
  <r>
    <s v="6095681c-dfc1-8f20-db8f-ef7286e1134f"/>
    <d v="2023-07-29T22:29:57"/>
    <d v="2023-07-30T01:49:38"/>
    <s v="6095681c-dfc1-8f20-411c-42cef37189fa"/>
    <s v="06cc2462-430f-3322-9c87-7e971125f510"/>
    <s v="747fcccb-8c6a-3956-87a6-436687727f5c"/>
    <s v="d31fccc3-1767-390d-966a-22a5156f4219"/>
    <x v="1"/>
    <n v="185349003"/>
    <s v="Encounter for check up (procedure)"/>
    <n v="85.55"/>
    <n v="2673.95"/>
    <n v="2139.16"/>
    <n v="66383009"/>
    <x v="17"/>
  </r>
  <r>
    <s v="37549f60-b5a3-69cd-3713-58026f28b858"/>
    <d v="2006-08-07T18:20:00"/>
    <d v="2006-08-07T19:17:19"/>
    <s v="37549f60-b5a3-69cd-dea6-5a71c4bc23cf"/>
    <s v="34f0b10a-5e29-31de-a75e-e0bb03c0c0d4"/>
    <s v="9c2b0eea-4f9c-3e28-8543-d9e554621e7a"/>
    <s v="df166300-5a78-3502-a46a-832842197811"/>
    <x v="0"/>
    <n v="162673000"/>
    <s v="General examination of patient (procedure)"/>
    <n v="136.80000000000001"/>
    <n v="568.20000000000005"/>
    <n v="568.20000000000005"/>
    <m/>
    <x v="0"/>
  </r>
  <r>
    <s v="37549f60-b5a3-69cd-3f70-3e071a481b7f"/>
    <d v="2012-08-13T18:20:00"/>
    <d v="2012-08-13T18:55:13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914.78"/>
    <n v="0"/>
    <m/>
    <x v="0"/>
  </r>
  <r>
    <s v="37549f60-b5a3-69cd-2d72-8965f27ddcc9"/>
    <d v="2013-02-26T10:20:00"/>
    <d v="2013-02-26T10:35:00"/>
    <s v="37549f60-b5a3-69cd-dea6-5a71c4bc23cf"/>
    <s v="d0894f6b-78d7-338d-82ad-b63de4d40014"/>
    <s v="52d976a6-7d7e-3109-96e6-732b66f54669"/>
    <s v="e03e23c9-4df1-3eb6-a62d-f70f02301496"/>
    <x v="1"/>
    <n v="424619006"/>
    <s v="Prenatal visit (regime/therapy)"/>
    <n v="142.58000000000001"/>
    <n v="1005.38"/>
    <n v="0"/>
    <n v="79586000"/>
    <x v="43"/>
  </r>
  <r>
    <s v="37549f60-b5a3-69cd-1bd9-1134287ee64f"/>
    <d v="2015-08-17T18:20:00"/>
    <d v="2015-08-17T18:55:15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998.38"/>
    <n v="0"/>
    <m/>
    <x v="0"/>
  </r>
  <r>
    <s v="37549f60-b5a3-69cd-472b-bbfa6ccfe9f8"/>
    <d v="2016-03-06T17:45:08"/>
    <d v="2016-03-06T18:00:08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2365.17"/>
    <n v="0"/>
    <n v="389095005"/>
    <x v="15"/>
  </r>
  <r>
    <s v="37549f60-b5a3-69cd-ad4a-2091412653c2"/>
    <d v="2016-12-05T17:20:00"/>
    <d v="2016-12-05T18:06:40"/>
    <s v="37549f60-b5a3-69cd-dea6-5a71c4bc23cf"/>
    <s v="a2cc09de-c1e2-3126-8c09-d49f95225281"/>
    <s v="3c7aa1c1-9d69-3425-b601-48988bab0163"/>
    <s v="e03e23c9-4df1-3eb6-a62d-f70f02301496"/>
    <x v="2"/>
    <n v="185349003"/>
    <s v="Encounter for check up (procedure)"/>
    <n v="85.55"/>
    <n v="1040.3699999999999"/>
    <n v="0"/>
    <m/>
    <x v="0"/>
  </r>
  <r>
    <s v="37549f60-b5a3-69cd-f0d0-8b874531a764"/>
    <d v="2016-12-12T17:20:00"/>
    <d v="2016-12-12T17:35:00"/>
    <s v="37549f60-b5a3-69cd-dea6-5a71c4bc23cf"/>
    <s v="d0894f6b-78d7-338d-82ad-b63de4d40014"/>
    <s v="52d976a6-7d7e-3109-96e6-732b66f54669"/>
    <s v="e03e23c9-4df1-3eb6-a62d-f70f02301496"/>
    <x v="1"/>
    <n v="185345009"/>
    <s v="Encounter for symptom (procedure)"/>
    <n v="85.55"/>
    <n v="85.55"/>
    <n v="0"/>
    <n v="444814009"/>
    <x v="2"/>
  </r>
  <r>
    <s v="37549f60-b5a3-69cd-6f05-913e40a20748"/>
    <d v="2016-12-19T17:20:00"/>
    <d v="2016-12-19T21:08:08"/>
    <s v="37549f60-b5a3-69cd-dea6-5a71c4bc23cf"/>
    <s v="d0894f6b-78d7-338d-82ad-b63de4d40014"/>
    <s v="52d976a6-7d7e-3109-96e6-732b66f54669"/>
    <s v="e03e23c9-4df1-3eb6-a62d-f70f02301496"/>
    <x v="1"/>
    <n v="185349003"/>
    <s v="Encounter for check up (procedure)"/>
    <n v="85.55"/>
    <n v="3105.35"/>
    <n v="0"/>
    <n v="66383009"/>
    <x v="17"/>
  </r>
  <r>
    <s v="37549f60-b5a3-69cd-4ea5-4f85bef1e645"/>
    <d v="2017-03-01T17:56:41"/>
    <d v="2017-03-01T18:11:41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4575.68"/>
    <n v="0"/>
    <n v="389095005"/>
    <x v="15"/>
  </r>
  <r>
    <s v="37549f60-b5a3-69cd-8b07-510c222fe7c5"/>
    <d v="2018-02-24T18:08:45"/>
    <d v="2018-02-24T18:23:45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37549f60-b5a3-69cd-3665-0a9c986774be"/>
    <d v="2018-03-26T18:20:00"/>
    <d v="2018-03-26T19:10:00"/>
    <s v="37549f60-b5a3-69cd-dea6-5a71c4bc23cf"/>
    <s v="a2cc09de-c1e2-3126-8c09-d49f95225281"/>
    <s v="3c7aa1c1-9d69-3425-b601-48988bab0163"/>
    <s v="e03e23c9-4df1-3eb6-a62d-f70f02301496"/>
    <x v="2"/>
    <n v="308335008"/>
    <s v="Patient encounter procedure (procedure)"/>
    <n v="142.58000000000001"/>
    <n v="12178.4"/>
    <n v="0"/>
    <n v="389095005"/>
    <x v="15"/>
  </r>
  <r>
    <s v="37549f60-b5a3-69cd-6c13-767fd9c9e5ad"/>
    <d v="2018-08-20T18:20:00"/>
    <d v="2018-08-20T19:15:35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853.36"/>
    <n v="0"/>
    <m/>
    <x v="0"/>
  </r>
  <r>
    <s v="37549f60-b5a3-69cd-cbc9-c5faab358567"/>
    <d v="2019-02-19T18:08:45"/>
    <d v="2019-02-19T18:23:45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37549f60-b5a3-69cd-a515-63877cb9e999"/>
    <d v="2019-04-22T02:20:00"/>
    <d v="2019-04-22T02:35:00"/>
    <s v="37549f60-b5a3-69cd-dea6-5a71c4bc23cf"/>
    <s v="d0894f6b-78d7-338d-82ad-b63de4d40014"/>
    <s v="52d976a6-7d7e-3109-96e6-732b66f54669"/>
    <s v="e03e23c9-4df1-3eb6-a62d-f70f02301496"/>
    <x v="1"/>
    <n v="185345009"/>
    <s v="Encounter for symptom (procedure)"/>
    <n v="85.55"/>
    <n v="85.55"/>
    <n v="0"/>
    <n v="195662009"/>
    <x v="9"/>
  </r>
  <r>
    <s v="37549f60-b5a3-69cd-a580-8fb7eeb38c45"/>
    <d v="2020-02-14T18:08:45"/>
    <d v="2020-02-14T18:26:53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2375.98"/>
    <n v="0"/>
    <n v="389095005"/>
    <x v="15"/>
  </r>
  <r>
    <s v="37549f60-b5a3-69cd-ea6a-57bed1c3fe64"/>
    <d v="2021-02-08T18:26:53"/>
    <d v="2021-02-08T18:41:53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37549f60-b5a3-69cd-c9a7-584d358bfd15"/>
    <d v="2021-02-12T11:26:53"/>
    <d v="2021-02-12T12:36:43"/>
    <s v="37549f60-b5a3-69cd-dea6-5a71c4bc23cf"/>
    <s v="a2cc09de-c1e2-3126-8c09-d49f95225281"/>
    <s v="3c7aa1c1-9d69-3425-b601-48988bab0163"/>
    <s v="e03e23c9-4df1-3eb6-a62d-f70f02301496"/>
    <x v="2"/>
    <n v="308335008"/>
    <s v="Patient encounter procedure (procedure)"/>
    <n v="142.58000000000001"/>
    <n v="4052.91"/>
    <n v="0"/>
    <n v="389095005"/>
    <x v="15"/>
  </r>
  <r>
    <s v="37549f60-b5a3-69cd-60b7-dfbf3fae57f3"/>
    <d v="2021-05-31T18:20:00"/>
    <d v="2021-05-31T19:01:23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1211.8599999999999"/>
    <n v="0"/>
    <m/>
    <x v="0"/>
  </r>
  <r>
    <s v="6095681c-dfc1-8f20-a893-758fcd6eca5a"/>
    <d v="2024-07-20T00:25:22"/>
    <d v="2024-07-20T01:25:22"/>
    <s v="6095681c-dfc1-8f20-411c-42cef37189fa"/>
    <s v="b3ada130-6443-3a8e-98c7-4ec127a2b0c4"/>
    <s v="97845c8f-ac04-3882-b5e3-710cb7f09385"/>
    <s v="d31fccc3-1767-390d-966a-22a5156f4219"/>
    <x v="3"/>
    <n v="50849002"/>
    <s v="Emergency room admission (procedure)"/>
    <n v="146.18"/>
    <n v="4140.8900000000003"/>
    <n v="2159.88"/>
    <n v="312608009"/>
    <x v="20"/>
  </r>
  <r>
    <s v="6095681c-dfc1-8f20-2844-2ff659ea9ce0"/>
    <d v="2025-07-06T23:29:57"/>
    <d v="2025-07-06T23:44:57"/>
    <s v="6095681c-dfc1-8f20-411c-42cef37189fa"/>
    <s v="06cc2462-430f-3322-9c87-7e971125f510"/>
    <s v="747fcccb-8c6a-3956-87a6-436687727f5c"/>
    <s v="d31fccc3-1767-390d-966a-22a5156f4219"/>
    <x v="1"/>
    <n v="185345009"/>
    <s v="Encounter for symptom (procedure)"/>
    <n v="85.55"/>
    <n v="85.55"/>
    <n v="0"/>
    <n v="43878008"/>
    <x v="18"/>
  </r>
  <r>
    <s v="37549f60-b5a3-69cd-4544-25d68a7bade2"/>
    <d v="2022-02-07T12:36:43"/>
    <d v="2022-02-07T12:51:43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6095681c-dfc1-8f20-4d96-923c1d00521b"/>
    <d v="2025-11-22T21:29:57"/>
    <d v="2025-11-22T22:03:41"/>
    <s v="6095681c-dfc1-8f20-411c-42cef37189fa"/>
    <s v="9dbd44ba-59b2-3d1d-ac91-3880af8081d2"/>
    <s v="47b873a4-934e-35c8-bb49-71c79d64cc0a"/>
    <s v="d31fccc3-1767-390d-966a-22a5156f4219"/>
    <x v="0"/>
    <n v="162673000"/>
    <s v="General examination of patient (procedure)"/>
    <n v="136.80000000000001"/>
    <n v="704.2"/>
    <n v="0"/>
    <m/>
    <x v="0"/>
  </r>
  <r>
    <s v="37549f60-b5a3-69cd-4d4e-7437d3cf41eb"/>
    <d v="2022-03-28T18:20:00"/>
    <d v="2022-03-28T19:22:07"/>
    <s v="37549f60-b5a3-69cd-dea6-5a71c4bc23cf"/>
    <s v="a2cc09de-c1e2-3126-8c09-d49f95225281"/>
    <s v="3c7aa1c1-9d69-3425-b601-48988bab0163"/>
    <s v="e03e23c9-4df1-3eb6-a62d-f70f02301496"/>
    <x v="2"/>
    <n v="308335008"/>
    <s v="Patient encounter procedure (procedure)"/>
    <n v="142.58000000000001"/>
    <n v="29338.82"/>
    <n v="0"/>
    <n v="389095005"/>
    <x v="15"/>
  </r>
  <r>
    <s v="37549f60-b5a3-69cd-746c-025c76449e91"/>
    <d v="2023-06-05T18:20:00"/>
    <d v="2023-06-05T19:12:14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1132.1600000000001"/>
    <n v="0"/>
    <m/>
    <x v="0"/>
  </r>
  <r>
    <s v="6095681c-dfc1-8f20-076e-50b9f94922d5"/>
    <d v="2025-12-06T21:29:57"/>
    <d v="2025-12-07T00:31:55"/>
    <s v="6095681c-dfc1-8f20-411c-42cef37189fa"/>
    <s v="06cc2462-430f-3322-9c87-7e971125f510"/>
    <s v="747fcccb-8c6a-3956-87a6-436687727f5c"/>
    <s v="d31fccc3-1767-390d-966a-22a5156f4219"/>
    <x v="1"/>
    <n v="185349003"/>
    <s v="Encounter for check up (procedure)"/>
    <n v="85.55"/>
    <n v="3105.35"/>
    <n v="1985.19"/>
    <n v="103697008"/>
    <x v="3"/>
  </r>
  <r>
    <s v="37549f60-b5a3-69cd-af28-26d4f3ff0312"/>
    <d v="2023-06-19T18:20:00"/>
    <d v="2023-06-19T21:27:39"/>
    <s v="37549f60-b5a3-69cd-dea6-5a71c4bc23cf"/>
    <s v="d0894f6b-78d7-338d-82ad-b63de4d40014"/>
    <s v="52d976a6-7d7e-3109-96e6-732b66f54669"/>
    <s v="e03e23c9-4df1-3eb6-a62d-f70f02301496"/>
    <x v="1"/>
    <n v="185349003"/>
    <s v="Encounter for check up (procedure)"/>
    <n v="85.55"/>
    <n v="3105.35"/>
    <n v="0"/>
    <n v="66383009"/>
    <x v="17"/>
  </r>
  <r>
    <s v="37549f60-b5a3-69cd-914b-f940a59de94c"/>
    <d v="2024-01-28T12:36:43"/>
    <d v="2024-01-28T12:51:43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37549f60-b5a3-69cd-ae79-c9a9fc0a286b"/>
    <d v="2025-06-09T18:20:00"/>
    <d v="2025-06-09T19:17:20"/>
    <s v="37549f60-b5a3-69cd-dea6-5a71c4bc23cf"/>
    <s v="34f0b10a-5e29-31de-a75e-e0bb03c0c0d4"/>
    <s v="9c2b0eea-4f9c-3e28-8543-d9e554621e7a"/>
    <s v="e03e23c9-4df1-3eb6-a62d-f70f02301496"/>
    <x v="0"/>
    <n v="162673000"/>
    <s v="General examination of patient (procedure)"/>
    <n v="136.80000000000001"/>
    <n v="778.78"/>
    <n v="0"/>
    <m/>
    <x v="0"/>
  </r>
  <r>
    <s v="37549f60-b5a3-69cd-5871-347b884fd7e4"/>
    <d v="2025-10-05T09:20:00"/>
    <d v="2025-10-05T09:35:00"/>
    <s v="37549f60-b5a3-69cd-dea6-5a71c4bc23cf"/>
    <s v="d0894f6b-78d7-338d-82ad-b63de4d40014"/>
    <s v="52d976a6-7d7e-3109-96e6-732b66f54669"/>
    <s v="e03e23c9-4df1-3eb6-a62d-f70f02301496"/>
    <x v="1"/>
    <n v="185345009"/>
    <s v="Encounter for symptom (procedure)"/>
    <n v="85.55"/>
    <n v="3130.25"/>
    <n v="0"/>
    <n v="195662009"/>
    <x v="9"/>
  </r>
  <r>
    <s v="37549f60-b5a3-69cd-cae0-419093807284"/>
    <d v="2026-01-17T12:36:43"/>
    <d v="2026-01-17T12:51:43"/>
    <s v="37549f60-b5a3-69cd-dea6-5a71c4bc23cf"/>
    <s v="a2cc09de-c1e2-3126-8c09-d49f95225281"/>
    <s v="3c7aa1c1-9d69-3425-b601-48988bab0163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37549f60-b5a3-69cd-3780-d92dcfc4ba38"/>
    <d v="2026-03-30T18:20:00"/>
    <d v="2026-03-30T19:20:36"/>
    <s v="37549f60-b5a3-69cd-dea6-5a71c4bc23cf"/>
    <s v="a2cc09de-c1e2-3126-8c09-d49f95225281"/>
    <s v="3c7aa1c1-9d69-3425-b601-48988bab0163"/>
    <s v="e03e23c9-4df1-3eb6-a62d-f70f02301496"/>
    <x v="2"/>
    <n v="308335008"/>
    <s v="Patient encounter procedure (procedure)"/>
    <n v="142.58000000000001"/>
    <n v="10928.57"/>
    <n v="0"/>
    <n v="389095005"/>
    <x v="15"/>
  </r>
  <r>
    <s v="06476266-59b1-ded7-0b28-5f2bea992e2c"/>
    <d v="1983-05-03T09:57:29"/>
    <d v="1983-05-03T10:12:29"/>
    <s v="06476266-59b1-ded7-4138-3c7543fd4981"/>
    <s v="e09d4c49-c2ef-3b0f-9a46-3719d9219306"/>
    <s v="7c077da9-ebd9-338b-b2e2-d1e425a182e0"/>
    <s v="e03e23c9-4df1-3eb6-a62d-f70f02301496"/>
    <x v="1"/>
    <n v="185345009"/>
    <s v="Encounter for symptom (procedure)"/>
    <n v="85.55"/>
    <n v="85.55"/>
    <n v="0"/>
    <n v="446096008"/>
    <x v="44"/>
  </r>
  <r>
    <s v="06476266-59b1-ded7-ff06-6b60ea5a5119"/>
    <d v="1983-05-07T09:57:29"/>
    <d v="1983-05-07T10:28:18"/>
    <s v="06476266-59b1-ded7-4138-3c7543fd4981"/>
    <s v="e09d4c49-c2ef-3b0f-9a46-3719d9219306"/>
    <s v="7c077da9-ebd9-338b-b2e2-d1e425a182e0"/>
    <s v="e03e23c9-4df1-3eb6-a62d-f70f02301496"/>
    <x v="1"/>
    <n v="185347001"/>
    <s v="Encounter for problem (procedure)"/>
    <n v="85.55"/>
    <n v="516.95000000000005"/>
    <n v="0"/>
    <n v="609328004"/>
    <x v="11"/>
  </r>
  <r>
    <s v="06476266-59b1-ded7-177d-3c1525fb618e"/>
    <d v="1997-12-30T08:57:29"/>
    <d v="1997-12-30T09:34:00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04.2"/>
    <n v="0"/>
    <m/>
    <x v="0"/>
  </r>
  <r>
    <s v="06476266-59b1-ded7-b379-bb6fbc4d2462"/>
    <d v="2002-01-08T08:57:29"/>
    <d v="2002-01-08T09:33:05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1050.78"/>
    <n v="0"/>
    <m/>
    <x v="0"/>
  </r>
  <r>
    <s v="06476266-59b1-ded7-7150-3cf74ea2c77b"/>
    <d v="2008-01-15T08:57:29"/>
    <d v="2008-01-15T09:35:17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1011.24"/>
    <n v="0"/>
    <m/>
    <x v="0"/>
  </r>
  <r>
    <s v="06476266-59b1-ded7-760a-e2c18c07743a"/>
    <d v="2011-01-18T08:57:29"/>
    <d v="2011-01-18T09:47:58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914.78"/>
    <n v="0"/>
    <m/>
    <x v="0"/>
  </r>
  <r>
    <s v="06476266-59b1-ded7-ad3d-b715a847a506"/>
    <d v="2014-01-21T08:57:29"/>
    <d v="2014-01-21T09:49:40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853.36"/>
    <n v="0"/>
    <m/>
    <x v="0"/>
  </r>
  <r>
    <s v="06476266-59b1-ded7-ffd2-055949b361b4"/>
    <d v="2014-02-06T08:57:29"/>
    <d v="2014-02-06T09:12:29"/>
    <s v="06476266-59b1-ded7-4138-3c7543fd4981"/>
    <s v="e09d4c49-c2ef-3b0f-9a46-3719d9219306"/>
    <s v="7c077da9-ebd9-338b-b2e2-d1e425a182e0"/>
    <s v="e03e23c9-4df1-3eb6-a62d-f70f02301496"/>
    <x v="2"/>
    <n v="185347001"/>
    <s v="Encounter for problem (procedure)"/>
    <n v="85.55"/>
    <n v="85.55"/>
    <n v="0"/>
    <n v="82423001"/>
    <x v="33"/>
  </r>
  <r>
    <s v="06476266-59b1-ded7-55ab-40446be409aa"/>
    <d v="2014-04-06T11:57:29"/>
    <d v="2014-04-06T12:12:29"/>
    <s v="06476266-59b1-ded7-4138-3c7543fd4981"/>
    <s v="e09d4c49-c2ef-3b0f-9a46-3719d9219306"/>
    <s v="7c077da9-ebd9-338b-b2e2-d1e425a182e0"/>
    <s v="e03e23c9-4df1-3eb6-a62d-f70f02301496"/>
    <x v="1"/>
    <n v="390906007"/>
    <s v="Follow-up encounter (procedure)"/>
    <n v="85.55"/>
    <n v="85.55"/>
    <n v="0"/>
    <n v="82423001"/>
    <x v="33"/>
  </r>
  <r>
    <s v="06476266-59b1-ded7-1b35-912d3dc9df5e"/>
    <d v="2016-02-02T08:57:29"/>
    <d v="2016-02-02T09:35:39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04.2"/>
    <n v="0"/>
    <m/>
    <x v="0"/>
  </r>
  <r>
    <s v="06476266-59b1-ded7-40c2-4ba9d2d9955b"/>
    <d v="2016-11-11T09:57:29"/>
    <d v="2016-11-11T10:12:29"/>
    <s v="06476266-59b1-ded7-4138-3c7543fd4981"/>
    <s v="e09d4c49-c2ef-3b0f-9a46-3719d9219306"/>
    <s v="7c077da9-ebd9-338b-b2e2-d1e425a182e0"/>
    <s v="e03e23c9-4df1-3eb6-a62d-f70f02301496"/>
    <x v="1"/>
    <n v="185345009"/>
    <s v="Encounter for symptom (procedure)"/>
    <n v="85.55"/>
    <n v="85.55"/>
    <n v="0"/>
    <n v="444814009"/>
    <x v="2"/>
  </r>
  <r>
    <s v="06476266-59b1-ded7-fe56-5f6a4b572a72"/>
    <d v="2017-02-07T08:57:29"/>
    <d v="2017-02-07T09:34:01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78.78"/>
    <n v="0"/>
    <m/>
    <x v="0"/>
  </r>
  <r>
    <s v="06476266-59b1-ded7-426e-cd3846e73d52"/>
    <d v="2018-02-13T08:57:29"/>
    <d v="2018-02-13T09:32:55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949.8"/>
    <n v="0"/>
    <m/>
    <x v="0"/>
  </r>
  <r>
    <s v="06476266-59b1-ded7-eb2b-bfd70bb75214"/>
    <d v="2018-02-27T08:57:29"/>
    <d v="2018-02-27T12:16:05"/>
    <s v="06476266-59b1-ded7-4138-3c7543fd4981"/>
    <s v="e09d4c49-c2ef-3b0f-9a46-3719d9219306"/>
    <s v="7c077da9-ebd9-338b-b2e2-d1e425a182e0"/>
    <s v="e03e23c9-4df1-3eb6-a62d-f70f02301496"/>
    <x v="1"/>
    <n v="185349003"/>
    <s v="Encounter for check up (procedure)"/>
    <n v="85.55"/>
    <n v="3105.35"/>
    <n v="0"/>
    <n v="66383009"/>
    <x v="17"/>
  </r>
  <r>
    <s v="06476266-59b1-ded7-2e7a-e9d1fd7e26a8"/>
    <d v="2018-06-23T06:57:29"/>
    <d v="2018-06-23T07:16:56"/>
    <s v="06476266-59b1-ded7-4138-3c7543fd4981"/>
    <s v="e09d4c49-c2ef-3b0f-9a46-3719d9219306"/>
    <s v="7c077da9-ebd9-338b-b2e2-d1e425a182e0"/>
    <s v="e03e23c9-4df1-3eb6-a62d-f70f02301496"/>
    <x v="1"/>
    <n v="185345009"/>
    <s v="Encounter for symptom (procedure)"/>
    <n v="85.55"/>
    <n v="167.45"/>
    <n v="0"/>
    <n v="10509002"/>
    <x v="1"/>
  </r>
  <r>
    <s v="06476266-59b1-ded7-1632-5a8222cbdbf9"/>
    <d v="2019-02-19T08:57:29"/>
    <d v="2019-02-19T09:44:02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78.78"/>
    <n v="0"/>
    <m/>
    <x v="0"/>
  </r>
  <r>
    <s v="06476266-59b1-ded7-800e-b2b5727da596"/>
    <d v="2020-02-25T08:57:29"/>
    <d v="2020-02-25T09:28:49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1130.48"/>
    <n v="0"/>
    <m/>
    <x v="0"/>
  </r>
  <r>
    <s v="06476266-59b1-ded7-130c-1ccc8f23fa73"/>
    <d v="2020-09-08T09:57:29"/>
    <d v="2020-09-08T10:57:29"/>
    <s v="06476266-59b1-ded7-4138-3c7543fd4981"/>
    <s v="6c7fe370-02c4-3537-8f5e-373b2168b933"/>
    <s v="972e6472-6f0f-38e2-8c9f-da3fe6d855f5"/>
    <s v="e03e23c9-4df1-3eb6-a62d-f70f02301496"/>
    <x v="3"/>
    <n v="50849002"/>
    <s v="Emergency room admission (procedure)"/>
    <n v="146.18"/>
    <n v="146.18"/>
    <n v="0"/>
    <n v="90460009"/>
    <x v="45"/>
  </r>
  <r>
    <s v="06476266-59b1-ded7-bd44-58709f74bf0d"/>
    <d v="2020-09-08T09:57:29"/>
    <d v="2020-09-15T10:12:29"/>
    <s v="06476266-59b1-ded7-4138-3c7543fd4981"/>
    <s v="a94f4f6e-88ad-39ff-a935-dc87f13327b1"/>
    <s v="40885415-69c7-3534-9bc2-7f440bb863a4"/>
    <s v="e03e23c9-4df1-3eb6-a62d-f70f02301496"/>
    <x v="7"/>
    <n v="32485007"/>
    <s v="Hospital admission (procedure)"/>
    <n v="110.92"/>
    <n v="7876.12"/>
    <n v="0"/>
    <n v="25675004"/>
    <x v="46"/>
  </r>
  <r>
    <s v="06476266-59b1-ded7-ea06-e413dce407dd"/>
    <d v="2021-03-02T08:57:29"/>
    <d v="2021-03-02T09:42:05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1191.9000000000001"/>
    <n v="0"/>
    <m/>
    <x v="0"/>
  </r>
  <r>
    <s v="06476266-59b1-ded7-35b8-1cc0eecd628a"/>
    <d v="2022-03-08T08:57:29"/>
    <d v="2022-03-08T09:56:07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04.2"/>
    <n v="0"/>
    <m/>
    <x v="0"/>
  </r>
  <r>
    <s v="06476266-59b1-ded7-b2a3-d75371861b8b"/>
    <d v="2023-03-14T09:57:29"/>
    <d v="2023-03-14T10:40:20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78.78"/>
    <n v="0"/>
    <m/>
    <x v="0"/>
  </r>
  <r>
    <s v="06476266-59b1-ded7-49a1-2b2d0d5840e4"/>
    <d v="2023-03-28T09:57:29"/>
    <d v="2023-03-28T16:21:58"/>
    <s v="06476266-59b1-ded7-4138-3c7543fd4981"/>
    <s v="e09d4c49-c2ef-3b0f-9a46-3719d9219306"/>
    <s v="7c077da9-ebd9-338b-b2e2-d1e425a182e0"/>
    <s v="e03e23c9-4df1-3eb6-a62d-f70f02301496"/>
    <x v="1"/>
    <n v="185349003"/>
    <s v="Encounter for check up (procedure)"/>
    <n v="85.55"/>
    <n v="4399.55"/>
    <n v="0"/>
    <n v="66383009"/>
    <x v="17"/>
  </r>
  <r>
    <s v="06476266-59b1-ded7-3117-200c77824bce"/>
    <d v="2024-03-19T09:57:29"/>
    <d v="2024-03-19T10:54:12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78.78"/>
    <n v="0"/>
    <m/>
    <x v="0"/>
  </r>
  <r>
    <s v="06476266-59b1-ded7-c098-9de4e4342322"/>
    <d v="2024-04-02T09:57:29"/>
    <d v="2024-04-02T13:57:18"/>
    <s v="06476266-59b1-ded7-4138-3c7543fd4981"/>
    <s v="e09d4c49-c2ef-3b0f-9a46-3719d9219306"/>
    <s v="7c077da9-ebd9-338b-b2e2-d1e425a182e0"/>
    <s v="e03e23c9-4df1-3eb6-a62d-f70f02301496"/>
    <x v="1"/>
    <n v="185349003"/>
    <s v="Encounter for check up (procedure)"/>
    <n v="85.55"/>
    <n v="3105.35"/>
    <n v="0"/>
    <n v="103697008"/>
    <x v="3"/>
  </r>
  <r>
    <s v="06476266-59b1-ded7-df7e-f5e2761c1fee"/>
    <d v="2025-03-25T09:57:29"/>
    <d v="2025-03-25T10:38:41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704.2"/>
    <n v="0"/>
    <m/>
    <x v="0"/>
  </r>
  <r>
    <s v="06476266-59b1-ded7-f21c-7b412112021f"/>
    <d v="2025-04-08T09:57:29"/>
    <d v="2025-04-08T13:07:23"/>
    <s v="06476266-59b1-ded7-4138-3c7543fd4981"/>
    <s v="e09d4c49-c2ef-3b0f-9a46-3719d9219306"/>
    <s v="7c077da9-ebd9-338b-b2e2-d1e425a182e0"/>
    <s v="e03e23c9-4df1-3eb6-a62d-f70f02301496"/>
    <x v="1"/>
    <n v="185349003"/>
    <s v="Encounter for check up (procedure)"/>
    <n v="85.55"/>
    <n v="3536.75"/>
    <n v="0"/>
    <n v="103697008"/>
    <x v="3"/>
  </r>
  <r>
    <s v="06476266-59b1-ded7-813c-a596b961126c"/>
    <d v="2026-03-31T09:57:29"/>
    <d v="2026-03-31T10:44:38"/>
    <s v="06476266-59b1-ded7-4138-3c7543fd4981"/>
    <s v="4bde4cbc-55f7-3501-90eb-2c88178c7be1"/>
    <s v="52ccd717-b271-39fa-8e38-57798a522e8a"/>
    <s v="e03e23c9-4df1-3eb6-a62d-f70f02301496"/>
    <x v="0"/>
    <n v="162673000"/>
    <s v="General examination of patient (procedure)"/>
    <n v="136.80000000000001"/>
    <n v="994.48"/>
    <n v="0"/>
    <m/>
    <x v="0"/>
  </r>
  <r>
    <s v="06476266-59b1-ded7-6bdb-6662552845dc"/>
    <d v="2026-04-14T09:57:29"/>
    <d v="2026-04-14T12:43:45"/>
    <s v="06476266-59b1-ded7-4138-3c7543fd4981"/>
    <s v="e09d4c49-c2ef-3b0f-9a46-3719d9219306"/>
    <s v="7c077da9-ebd9-338b-b2e2-d1e425a182e0"/>
    <s v="e03e23c9-4df1-3eb6-a62d-f70f02301496"/>
    <x v="1"/>
    <n v="185349003"/>
    <s v="Encounter for check up (procedure)"/>
    <n v="85.55"/>
    <n v="2673.95"/>
    <n v="0"/>
    <n v="66383009"/>
    <x v="17"/>
  </r>
  <r>
    <s v="09c573e2-a45d-aa5e-e125-e0a32e74bbe9"/>
    <d v="2016-02-08T20:16:14"/>
    <d v="2016-02-08T20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272.8"/>
    <n v="0"/>
    <m/>
    <x v="0"/>
  </r>
  <r>
    <s v="09c573e2-a45d-aa5e-0a3d-ee451ccfc600"/>
    <d v="2016-11-03T21:16:14"/>
    <d v="2016-11-03T22:16:14"/>
    <s v="09c573e2-a45d-aa5e-6a17-3c682155e6e3"/>
    <s v="11ba6a26-59b4-3728-a268-6dc9929962b4"/>
    <s v="3378210d-d67d-3d1c-9540-1916b1e62509"/>
    <s v="26aab0cd-6aba-3e1b-ac5b-05c8867e762c"/>
    <x v="3"/>
    <n v="50849002"/>
    <s v="Emergency room admission (procedure)"/>
    <n v="146.18"/>
    <n v="1008.98"/>
    <n v="0"/>
    <n v="125605004"/>
    <x v="36"/>
  </r>
  <r>
    <s v="09c573e2-a45d-aa5e-7db5-2aa5a2380b24"/>
    <d v="2017-01-23T13:16:14"/>
    <d v="2017-01-23T13:31:14"/>
    <s v="09c573e2-a45d-aa5e-6a17-3c682155e6e3"/>
    <s v="18061fd5-fda8-3e2d-87f0-0f3c87211bcc"/>
    <s v="430ccdd9-d3bd-3fbb-814e-543a1ce358a6"/>
    <s v="26aab0cd-6aba-3e1b-ac5b-05c8867e762c"/>
    <x v="1"/>
    <n v="185345009"/>
    <s v="Encounter for symptom (procedure)"/>
    <n v="85.55"/>
    <n v="85.55"/>
    <n v="0"/>
    <n v="444814009"/>
    <x v="2"/>
  </r>
  <r>
    <s v="09c573e2-a45d-aa5e-11a5-cafd916e447b"/>
    <d v="2017-02-13T20:16:14"/>
    <d v="2017-02-13T20:37:05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704.2"/>
    <n v="0"/>
    <m/>
    <x v="0"/>
  </r>
  <r>
    <s v="09c573e2-a45d-aa5e-d24f-e3924739b3f1"/>
    <d v="2017-02-17T20:45:16"/>
    <d v="2017-02-17T21:00:16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85.55"/>
    <n v="0"/>
    <n v="16114001"/>
    <x v="47"/>
  </r>
  <r>
    <s v="09c573e2-a45d-aa5e-0244-7b5532f6a220"/>
    <d v="2017-02-27T20:16:14"/>
    <d v="2017-02-27T23:02:21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3105.35"/>
    <n v="0"/>
    <n v="103697008"/>
    <x v="3"/>
  </r>
  <r>
    <s v="09c573e2-a45d-aa5e-9312-962a996c22e6"/>
    <d v="2018-02-19T20:16:14"/>
    <d v="2018-02-19T20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704.2"/>
    <n v="0"/>
    <m/>
    <x v="0"/>
  </r>
  <r>
    <s v="09c573e2-a45d-aa5e-e48d-b61e46b8218c"/>
    <d v="2018-02-26T20:16:14"/>
    <d v="2018-02-27T03:14:59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4830.95"/>
    <n v="0"/>
    <n v="66383009"/>
    <x v="17"/>
  </r>
  <r>
    <s v="09c573e2-a45d-aa5e-bf99-95e0f8c44b3e"/>
    <d v="2018-07-21T17:16:14"/>
    <d v="2018-07-21T17:33:37"/>
    <s v="09c573e2-a45d-aa5e-6a17-3c682155e6e3"/>
    <s v="18061fd5-fda8-3e2d-87f0-0f3c87211bcc"/>
    <s v="430ccdd9-d3bd-3fbb-814e-543a1ce358a6"/>
    <s v="26aab0cd-6aba-3e1b-ac5b-05c8867e762c"/>
    <x v="1"/>
    <n v="185345009"/>
    <s v="Encounter for symptom (procedure)"/>
    <n v="85.55"/>
    <n v="445.95"/>
    <n v="42.33"/>
    <n v="10509002"/>
    <x v="1"/>
  </r>
  <r>
    <s v="09c573e2-a45d-aa5e-fcb6-fc78a353bb52"/>
    <d v="2019-02-25T20:16:14"/>
    <d v="2019-02-25T20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2049.58"/>
    <n v="0"/>
    <m/>
    <x v="0"/>
  </r>
  <r>
    <s v="09c573e2-a45d-aa5e-180e-fa010db7e60a"/>
    <d v="2019-03-04T20:16:14"/>
    <d v="2019-03-04T23:45:39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3105.35"/>
    <n v="0"/>
    <n v="66383009"/>
    <x v="17"/>
  </r>
  <r>
    <s v="09c573e2-a45d-aa5e-d21b-f241ddc69a2b"/>
    <d v="2020-03-02T20:16:14"/>
    <d v="2020-03-02T20:37:12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840.2"/>
    <n v="0"/>
    <m/>
    <x v="0"/>
  </r>
  <r>
    <s v="09c573e2-a45d-aa5e-b5d2-3b6cef253fef"/>
    <d v="2021-03-08T20:16:14"/>
    <d v="2021-03-08T20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840.2"/>
    <n v="0"/>
    <m/>
    <x v="0"/>
  </r>
  <r>
    <s v="09c573e2-a45d-aa5e-09b8-7a5ab06799f9"/>
    <d v="2021-03-22T21:16:14"/>
    <d v="2021-03-23T01:14:47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3968.15"/>
    <n v="0"/>
    <n v="103697008"/>
    <x v="3"/>
  </r>
  <r>
    <s v="09c573e2-a45d-aa5e-60b5-0e0a7691f54e"/>
    <d v="2021-05-24T21:16:14"/>
    <d v="2021-05-24T21:31:14"/>
    <s v="09c573e2-a45d-aa5e-6a17-3c682155e6e3"/>
    <s v="bac9dc0c-cb0f-3fa6-aa12-819dd0fb922a"/>
    <s v="47684c3a-477d-374f-b29a-529866226a70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09c573e2-a45d-aa5e-e5e2-75fbba640f24"/>
    <d v="2021-06-21T21:16:14"/>
    <d v="2021-06-21T21:31:14"/>
    <s v="09c573e2-a45d-aa5e-6a17-3c682155e6e3"/>
    <s v="bac9dc0c-cb0f-3fa6-aa12-819dd0fb922a"/>
    <s v="47684c3a-477d-374f-b29a-529866226a70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09c573e2-a45d-aa5e-6953-e35083d0586c"/>
    <d v="2022-03-14T21:16:14"/>
    <d v="2022-03-14T21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704.2"/>
    <n v="0"/>
    <m/>
    <x v="0"/>
  </r>
  <r>
    <s v="09c573e2-a45d-aa5e-8954-5dbcda08aa3b"/>
    <d v="2022-03-28T21:16:14"/>
    <d v="2022-03-29T00:55:01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3536.75"/>
    <n v="0"/>
    <n v="103697008"/>
    <x v="3"/>
  </r>
  <r>
    <s v="09c573e2-a45d-aa5e-4605-823b2eac0ab1"/>
    <d v="2022-09-08T02:16:14"/>
    <d v="2022-09-08T02:31:14"/>
    <s v="09c573e2-a45d-aa5e-6a17-3c682155e6e3"/>
    <s v="18061fd5-fda8-3e2d-87f0-0f3c87211bcc"/>
    <s v="430ccdd9-d3bd-3fbb-814e-543a1ce358a6"/>
    <s v="26aab0cd-6aba-3e1b-ac5b-05c8867e762c"/>
    <x v="1"/>
    <n v="185345009"/>
    <s v="Encounter for symptom (procedure)"/>
    <n v="85.55"/>
    <n v="85.55"/>
    <n v="0"/>
    <n v="444814009"/>
    <x v="2"/>
  </r>
  <r>
    <s v="09c573e2-a45d-aa5e-ca12-83099555c3ed"/>
    <d v="2023-03-20T21:16:14"/>
    <d v="2023-03-20T21:45:27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704.2"/>
    <n v="0"/>
    <m/>
    <x v="0"/>
  </r>
  <r>
    <s v="09c573e2-a45d-aa5e-8ce6-441f026a03e3"/>
    <d v="2023-04-03T21:16:14"/>
    <d v="2023-04-04T01:06:01"/>
    <s v="09c573e2-a45d-aa5e-6a17-3c682155e6e3"/>
    <s v="18061fd5-fda8-3e2d-87f0-0f3c87211bcc"/>
    <s v="430ccdd9-d3bd-3fbb-814e-543a1ce358a6"/>
    <s v="26aab0cd-6aba-3e1b-ac5b-05c8867e762c"/>
    <x v="1"/>
    <n v="185349003"/>
    <s v="Encounter for check up (procedure)"/>
    <n v="85.55"/>
    <n v="3536.75"/>
    <n v="0"/>
    <n v="66383009"/>
    <x v="17"/>
  </r>
  <r>
    <s v="09c573e2-a45d-aa5e-457c-0e8ee0c55615"/>
    <d v="2024-03-25T21:16:14"/>
    <d v="2024-03-25T21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914.78"/>
    <n v="0"/>
    <m/>
    <x v="0"/>
  </r>
  <r>
    <s v="09c573e2-a45d-aa5e-ec90-d13d0736cb58"/>
    <d v="2025-03-17T17:16:14"/>
    <d v="2025-03-17T17:31:14"/>
    <s v="09c573e2-a45d-aa5e-6a17-3c682155e6e3"/>
    <s v="18061fd5-fda8-3e2d-87f0-0f3c87211bcc"/>
    <s v="430ccdd9-d3bd-3fbb-814e-543a1ce358a6"/>
    <s v="26aab0cd-6aba-3e1b-ac5b-05c8867e762c"/>
    <x v="1"/>
    <n v="185345009"/>
    <s v="Encounter for symptom (procedure)"/>
    <n v="85.55"/>
    <n v="85.55"/>
    <n v="0"/>
    <n v="195662009"/>
    <x v="9"/>
  </r>
  <r>
    <s v="09c573e2-a45d-aa5e-6ec4-9d10900a87f4"/>
    <d v="2025-03-31T21:16:14"/>
    <d v="2025-03-31T21:31:14"/>
    <s v="09c573e2-a45d-aa5e-6a17-3c682155e6e3"/>
    <s v="e2a8b444-9b8f-36ff-84c4-05ee98589482"/>
    <s v="5adecba6-20dc-3fb7-9753-6e69ce4d0165"/>
    <s v="26aab0cd-6aba-3e1b-ac5b-05c8867e762c"/>
    <x v="0"/>
    <n v="410620009"/>
    <s v="Well child visit (procedure)"/>
    <n v="136.80000000000001"/>
    <n v="1560.76"/>
    <n v="0"/>
    <m/>
    <x v="0"/>
  </r>
  <r>
    <s v="09c573e2-a45d-aa5e-2e7e-df51efa9403d"/>
    <d v="2026-04-06T21:16:14"/>
    <d v="2026-04-06T22:11:57"/>
    <s v="09c573e2-a45d-aa5e-6a17-3c682155e6e3"/>
    <s v="e2a8b444-9b8f-36ff-84c4-05ee98589482"/>
    <s v="5adecba6-20dc-3fb7-9753-6e69ce4d0165"/>
    <s v="26aab0cd-6aba-3e1b-ac5b-05c8867e762c"/>
    <x v="0"/>
    <n v="162673000"/>
    <s v="General examination of patient (procedure)"/>
    <n v="136.80000000000001"/>
    <n v="704.2"/>
    <n v="0"/>
    <m/>
    <x v="0"/>
  </r>
  <r>
    <s v="8c5b83b2-737e-46cf-5157-50f1dff0093b"/>
    <d v="1990-12-31T10:13:12"/>
    <d v="1990-12-31T10:28:12"/>
    <s v="8c5b83b2-737e-46cf-953b-414e07ed78e7"/>
    <s v="c6b019eb-28ec-36f6-abf3-bcc4d1d58966"/>
    <s v="899bb3ca-9a1c-3acf-b5c6-8bba64c55fca"/>
    <s v="e03e23c9-4df1-3eb6-a62d-f70f02301496"/>
    <x v="0"/>
    <n v="410620009"/>
    <s v="Well child visit (procedure)"/>
    <n v="136.80000000000001"/>
    <n v="704.2"/>
    <n v="0"/>
    <m/>
    <x v="0"/>
  </r>
  <r>
    <s v="8c5b83b2-737e-46cf-0f88-d6c60b6293c2"/>
    <d v="1992-01-06T10:13:12"/>
    <d v="1992-01-06T11:05:29"/>
    <s v="8c5b83b2-737e-46cf-953b-414e07ed78e7"/>
    <s v="c6b019eb-28ec-36f6-abf3-bcc4d1d58966"/>
    <s v="899bb3ca-9a1c-3acf-b5c6-8bba64c55fca"/>
    <s v="e03e23c9-4df1-3eb6-a62d-f70f02301496"/>
    <x v="0"/>
    <n v="162673000"/>
    <s v="General examination of patient (procedure)"/>
    <n v="136.80000000000001"/>
    <n v="919.9"/>
    <n v="0"/>
    <m/>
    <x v="0"/>
  </r>
  <r>
    <s v="8c5b83b2-737e-46cf-80d3-d09fe21dd361"/>
    <d v="1996-01-15T10:13:12"/>
    <d v="1996-01-15T10:52:18"/>
    <s v="8c5b83b2-737e-46cf-953b-414e07ed78e7"/>
    <s v="c6b019eb-28ec-36f6-abf3-bcc4d1d58966"/>
    <s v="899bb3ca-9a1c-3acf-b5c6-8bba64c55fca"/>
    <s v="e03e23c9-4df1-3eb6-a62d-f70f02301496"/>
    <x v="0"/>
    <n v="162673000"/>
    <s v="General examination of patient (procedure)"/>
    <n v="136.80000000000001"/>
    <n v="1195.8"/>
    <n v="0"/>
    <m/>
    <x v="0"/>
  </r>
  <r>
    <s v="8c5b83b2-737e-46cf-005e-a9a918c7d6d8"/>
    <d v="2008-01-28T10:13:12"/>
    <d v="2008-01-28T11:04:50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934.74"/>
    <n v="0"/>
    <m/>
    <x v="0"/>
  </r>
  <r>
    <s v="8c5b83b2-737e-46cf-592e-78088e41a6f6"/>
    <d v="2015-11-23T10:13:12"/>
    <d v="2015-11-23T10:54:27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1138.96"/>
    <n v="0"/>
    <m/>
    <x v="0"/>
  </r>
  <r>
    <s v="8c5b83b2-737e-46cf-1f4d-5ad73c81e895"/>
    <d v="2016-01-31T16:13:12"/>
    <d v="2016-01-31T16:28:12"/>
    <s v="8c5b83b2-737e-46cf-953b-414e07ed78e7"/>
    <s v="b6eeaaf7-1683-3bcb-b6ee-81ce304636ef"/>
    <s v="f62521f3-d947-35b4-b1e6-82347e878051"/>
    <s v="d31fccc3-1767-390d-966a-22a5156f4219"/>
    <x v="1"/>
    <n v="185345009"/>
    <s v="Encounter for symptom (procedure)"/>
    <n v="85.55"/>
    <n v="85.55"/>
    <n v="68.44"/>
    <n v="10509002"/>
    <x v="1"/>
  </r>
  <r>
    <s v="8c5b83b2-737e-46cf-b13f-925020672922"/>
    <d v="2016-02-08T10:13:12"/>
    <d v="2016-02-08T10:53:35"/>
    <s v="8c5b83b2-737e-46cf-953b-414e07ed78e7"/>
    <s v="b6eeaaf7-1683-3bcb-b6ee-81ce304636ef"/>
    <s v="f62521f3-d947-35b4-b1e6-82347e878051"/>
    <s v="d31fccc3-1767-390d-966a-22a5156f4219"/>
    <x v="2"/>
    <n v="185349003"/>
    <s v="Encounter for check up (procedure)"/>
    <n v="85.55"/>
    <n v="734.33"/>
    <n v="587.46"/>
    <m/>
    <x v="0"/>
  </r>
  <r>
    <s v="8c5b83b2-737e-46cf-a3e1-74edca75641e"/>
    <d v="2017-04-15T13:13:12"/>
    <d v="2017-04-15T13:28:12"/>
    <s v="8c5b83b2-737e-46cf-953b-414e07ed78e7"/>
    <s v="b6eeaaf7-1683-3bcb-b6ee-81ce304636ef"/>
    <s v="f62521f3-d947-35b4-b1e6-82347e878051"/>
    <s v="d31fccc3-1767-390d-966a-22a5156f4219"/>
    <x v="1"/>
    <n v="185345009"/>
    <s v="Encounter for symptom (procedure)"/>
    <n v="85.55"/>
    <n v="2043.77"/>
    <n v="468.62"/>
    <n v="195662009"/>
    <x v="9"/>
  </r>
  <r>
    <s v="8c5b83b2-737e-46cf-f9a0-bc65823d2da3"/>
    <d v="2017-11-27T10:13:12"/>
    <d v="2017-11-27T11:05:19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1648.38"/>
    <n v="152.30000000000001"/>
    <m/>
    <x v="0"/>
  </r>
  <r>
    <s v="8c5b83b2-737e-46cf-c89a-99baaa575f31"/>
    <d v="2019-09-06T21:13:12"/>
    <d v="2019-09-06T21:28:12"/>
    <s v="8c5b83b2-737e-46cf-953b-414e07ed78e7"/>
    <s v="b6eeaaf7-1683-3bcb-b6ee-81ce304636ef"/>
    <s v="f62521f3-d947-35b4-b1e6-82347e878051"/>
    <s v="d31fccc3-1767-390d-966a-22a5156f4219"/>
    <x v="1"/>
    <n v="185345009"/>
    <s v="Encounter for symptom (procedure)"/>
    <n v="85.55"/>
    <n v="85.55"/>
    <n v="0"/>
    <n v="444814009"/>
    <x v="2"/>
  </r>
  <r>
    <s v="8c5b83b2-737e-46cf-899e-f4f153072da6"/>
    <d v="2019-12-02T10:13:12"/>
    <d v="2019-12-02T10:46:13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1420.83"/>
    <n v="0"/>
    <m/>
    <x v="0"/>
  </r>
  <r>
    <s v="8c5b83b2-737e-46cf-42cf-b1f98b4e6ead"/>
    <d v="2019-12-16T10:13:12"/>
    <d v="2019-12-16T13:58:52"/>
    <s v="8c5b83b2-737e-46cf-953b-414e07ed78e7"/>
    <s v="b6eeaaf7-1683-3bcb-b6ee-81ce304636ef"/>
    <s v="f62521f3-d947-35b4-b1e6-82347e878051"/>
    <s v="d31fccc3-1767-390d-966a-22a5156f4219"/>
    <x v="1"/>
    <n v="185349003"/>
    <s v="Encounter for check up (procedure)"/>
    <n v="85.55"/>
    <n v="3536.75"/>
    <n v="2829.4"/>
    <n v="103697008"/>
    <x v="3"/>
  </r>
  <r>
    <s v="8c5b83b2-737e-46cf-c0d7-535c96d04e04"/>
    <d v="2021-04-26T11:13:12"/>
    <d v="2021-04-26T11:28:12"/>
    <s v="8c5b83b2-737e-46cf-953b-414e07ed78e7"/>
    <s v="b6eeaaf7-1683-3bcb-b6ee-81ce304636ef"/>
    <s v="f62521f3-d947-35b4-b1e6-82347e878051"/>
    <s v="d31fccc3-1767-390d-966a-22a5156f4219"/>
    <x v="2"/>
    <n v="33879002"/>
    <s v="Administration of vaccine to produce active immunity (procedure)"/>
    <n v="142.58000000000001"/>
    <n v="278.58"/>
    <n v="0"/>
    <m/>
    <x v="0"/>
  </r>
  <r>
    <s v="8c5b83b2-737e-46cf-c45f-f94f00c6a100"/>
    <d v="2021-05-24T11:13:12"/>
    <d v="2021-05-24T11:28:12"/>
    <s v="8c5b83b2-737e-46cf-953b-414e07ed78e7"/>
    <s v="b6eeaaf7-1683-3bcb-b6ee-81ce304636ef"/>
    <s v="f62521f3-d947-35b4-b1e6-82347e878051"/>
    <s v="d31fccc3-1767-390d-966a-22a5156f4219"/>
    <x v="2"/>
    <n v="33879002"/>
    <s v="Administration of vaccine to produce active immunity (procedure)"/>
    <n v="142.58000000000001"/>
    <n v="278.58"/>
    <n v="0"/>
    <m/>
    <x v="0"/>
  </r>
  <r>
    <s v="8c5b83b2-737e-46cf-ca77-5c9212eaf544"/>
    <d v="2021-12-06T10:13:12"/>
    <d v="2021-12-06T11:07:23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785.58"/>
    <n v="0"/>
    <m/>
    <x v="0"/>
  </r>
  <r>
    <s v="8c5b83b2-737e-46cf-3a37-aeeeee1437e8"/>
    <d v="2021-12-20T10:13:12"/>
    <d v="2021-12-20T14:05:35"/>
    <s v="8c5b83b2-737e-46cf-953b-414e07ed78e7"/>
    <s v="b6eeaaf7-1683-3bcb-b6ee-81ce304636ef"/>
    <s v="f62521f3-d947-35b4-b1e6-82347e878051"/>
    <s v="d31fccc3-1767-390d-966a-22a5156f4219"/>
    <x v="1"/>
    <n v="185349003"/>
    <s v="Encounter for check up (procedure)"/>
    <n v="85.55"/>
    <n v="3536.75"/>
    <n v="2395.42"/>
    <n v="103697008"/>
    <x v="3"/>
  </r>
  <r>
    <s v="8c5b83b2-737e-46cf-dd5d-e0a20c62d34d"/>
    <d v="2023-04-12T11:28:49"/>
    <d v="2023-04-12T11:43:49"/>
    <s v="8c5b83b2-737e-46cf-953b-414e07ed78e7"/>
    <s v="b6eeaaf7-1683-3bcb-b6ee-81ce304636ef"/>
    <s v="f62521f3-d947-35b4-b1e6-82347e878051"/>
    <s v="d31fccc3-1767-390d-966a-22a5156f4219"/>
    <x v="1"/>
    <n v="185347001"/>
    <s v="Encounter for problem (procedure)"/>
    <n v="85.55"/>
    <n v="85.55"/>
    <n v="0"/>
    <n v="307731004"/>
    <x v="48"/>
  </r>
  <r>
    <s v="8c5b83b2-737e-46cf-e8df-e6079d28f4e4"/>
    <d v="2023-06-18T11:28:49"/>
    <d v="2023-06-18T11:43:49"/>
    <s v="8c5b83b2-737e-46cf-953b-414e07ed78e7"/>
    <s v="b6eeaaf7-1683-3bcb-b6ee-81ce304636ef"/>
    <s v="f62521f3-d947-35b4-b1e6-82347e878051"/>
    <s v="d31fccc3-1767-390d-966a-22a5156f4219"/>
    <x v="1"/>
    <n v="185349003"/>
    <s v="Encounter for check up (procedure)"/>
    <n v="85.55"/>
    <n v="85.55"/>
    <n v="0"/>
    <n v="307731004"/>
    <x v="48"/>
  </r>
  <r>
    <s v="8c5b83b2-737e-46cf-f2cf-8fe3ef317c42"/>
    <d v="2023-11-13T10:13:12"/>
    <d v="2023-11-13T10:47:44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996.16"/>
    <n v="0"/>
    <m/>
    <x v="0"/>
  </r>
  <r>
    <s v="8c5b83b2-737e-46cf-a779-bae98fa2653a"/>
    <d v="2024-11-18T10:13:12"/>
    <d v="2024-11-18T11:05:15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1266.48"/>
    <n v="0"/>
    <m/>
    <x v="0"/>
  </r>
  <r>
    <s v="8c5b83b2-737e-46cf-2c6a-a7210e70def0"/>
    <d v="2024-12-02T10:13:12"/>
    <d v="2024-12-02T15:35:34"/>
    <s v="8c5b83b2-737e-46cf-953b-414e07ed78e7"/>
    <s v="b6eeaaf7-1683-3bcb-b6ee-81ce304636ef"/>
    <s v="f62521f3-d947-35b4-b1e6-82347e878051"/>
    <s v="d31fccc3-1767-390d-966a-22a5156f4219"/>
    <x v="1"/>
    <n v="185349003"/>
    <s v="Encounter for check up (procedure)"/>
    <n v="85.55"/>
    <n v="4399.55"/>
    <n v="3366.42"/>
    <n v="66383009"/>
    <x v="17"/>
  </r>
  <r>
    <s v="8c5b83b2-737e-46cf-0ca9-f192a67b0291"/>
    <d v="2024-12-07T15:35:34"/>
    <d v="2024-12-07T17:42:43"/>
    <s v="8c5b83b2-737e-46cf-953b-414e07ed78e7"/>
    <s v="b6eeaaf7-1683-3bcb-b6ee-81ce304636ef"/>
    <s v="f62521f3-d947-35b4-b1e6-82347e878051"/>
    <s v="d31fccc3-1767-390d-966a-22a5156f4219"/>
    <x v="1"/>
    <n v="439740005"/>
    <s v="Postoperative follow-up visit (procedure)"/>
    <n v="142.58000000000001"/>
    <n v="2299.58"/>
    <n v="1839.66"/>
    <n v="61804006"/>
    <x v="49"/>
  </r>
  <r>
    <s v="8c5b83b2-737e-46cf-1c57-11cdfe4c09fe"/>
    <d v="2025-11-24T10:13:12"/>
    <d v="2025-11-24T10:59:18"/>
    <s v="8c5b83b2-737e-46cf-953b-414e07ed78e7"/>
    <s v="c6b019eb-28ec-36f6-abf3-bcc4d1d58966"/>
    <s v="899bb3ca-9a1c-3acf-b5c6-8bba64c55fca"/>
    <s v="d31fccc3-1767-390d-966a-22a5156f4219"/>
    <x v="0"/>
    <n v="162673000"/>
    <s v="General examination of patient (procedure)"/>
    <n v="136.80000000000001"/>
    <n v="1285.9000000000001"/>
    <n v="0"/>
    <m/>
    <x v="0"/>
  </r>
  <r>
    <s v="b50c66af-4d1c-7987-8c16-48ce948ff199"/>
    <d v="1997-10-01T16:08:29"/>
    <d v="1997-10-01T17:29:51"/>
    <s v="b50c66af-4d1c-7987-03d7-e5b65fdf880f"/>
    <s v="eee00932-ca82-36bc-b7e8-e3fff6dbaeaa"/>
    <s v="25162b3c-536e-3fe6-af7b-eb5f22af6899"/>
    <s v="d31fccc3-1767-390d-966a-22a5156f4219"/>
    <x v="1"/>
    <n v="185347001"/>
    <s v="Encounter for problem (procedure)"/>
    <n v="85.55"/>
    <n v="1379.75"/>
    <n v="1103.8"/>
    <n v="37320007"/>
    <x v="8"/>
  </r>
  <r>
    <s v="b50c66af-4d1c-7987-0d77-d464d6dbbac9"/>
    <d v="1999-09-22T16:08:29"/>
    <d v="1999-09-22T16:41:36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919.9"/>
    <n v="0"/>
    <m/>
    <x v="0"/>
  </r>
  <r>
    <s v="b50c66af-4d1c-7987-e82c-029741a3a527"/>
    <d v="2007-01-26T07:08:29"/>
    <d v="2007-01-26T07:23:29"/>
    <s v="b50c66af-4d1c-7987-03d7-e5b65fdf880f"/>
    <s v="eee00932-ca82-36bc-b7e8-e3fff6dbaeaa"/>
    <s v="25162b3c-536e-3fe6-af7b-eb5f22af6899"/>
    <s v="d31fccc3-1767-390d-966a-22a5156f4219"/>
    <x v="1"/>
    <n v="185345009"/>
    <s v="Encounter for symptom (procedure)"/>
    <n v="85.55"/>
    <n v="92.93"/>
    <n v="74.34"/>
    <n v="36971009"/>
    <x v="22"/>
  </r>
  <r>
    <s v="b50c66af-4d1c-7987-7e4c-04cb2561897e"/>
    <d v="2014-01-31T15:08:29"/>
    <d v="2014-01-31T15:23:29"/>
    <s v="b50c66af-4d1c-7987-03d7-e5b65fdf880f"/>
    <s v="eee00932-ca82-36bc-b7e8-e3fff6dbaeaa"/>
    <s v="25162b3c-536e-3fe6-af7b-eb5f22af6899"/>
    <s v="d31fccc3-1767-390d-966a-22a5156f4219"/>
    <x v="2"/>
    <n v="185347001"/>
    <s v="Encounter for problem (procedure)"/>
    <n v="85.55"/>
    <n v="85.55"/>
    <n v="0"/>
    <n v="82423001"/>
    <x v="33"/>
  </r>
  <r>
    <s v="b50c66af-4d1c-7987-fd4a-134ce203ab4d"/>
    <d v="2014-02-12T15:08:29"/>
    <d v="2014-02-12T15:49:42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704.2"/>
    <n v="132.49"/>
    <m/>
    <x v="0"/>
  </r>
  <r>
    <s v="b50c66af-4d1c-7987-820c-d88748bd6785"/>
    <d v="2015-02-18T15:08:29"/>
    <d v="2015-02-18T15:59:24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704.2"/>
    <n v="563.36"/>
    <m/>
    <x v="0"/>
  </r>
  <r>
    <s v="b50c66af-4d1c-7987-7a41-dd005c12766a"/>
    <d v="2016-02-24T15:08:29"/>
    <d v="2016-02-24T15:47:23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778.78"/>
    <n v="0"/>
    <m/>
    <x v="0"/>
  </r>
  <r>
    <s v="b50c66af-4d1c-7987-07c0-c6580076b163"/>
    <d v="2017-03-01T15:08:29"/>
    <d v="2017-03-01T15:47:53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1188.6300000000001"/>
    <n v="0"/>
    <m/>
    <x v="0"/>
  </r>
  <r>
    <s v="b50c66af-4d1c-7987-5156-29b236804948"/>
    <d v="2018-03-07T15:08:29"/>
    <d v="2018-03-07T15:46:31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704.2"/>
    <n v="0"/>
    <m/>
    <x v="0"/>
  </r>
  <r>
    <s v="b50c66af-4d1c-7987-65fc-8eef19c20056"/>
    <d v="2018-03-21T16:08:29"/>
    <d v="2018-03-21T22:24:09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5262.35"/>
    <n v="3814.74"/>
    <n v="103697008"/>
    <x v="3"/>
  </r>
  <r>
    <s v="b50c66af-4d1c-7987-e72f-7e20c7c80842"/>
    <d v="2019-03-13T16:08:29"/>
    <d v="2019-03-13T16:39:43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1515.82"/>
    <n v="150.21"/>
    <m/>
    <x v="0"/>
  </r>
  <r>
    <s v="b50c66af-4d1c-7987-abfe-49a98999aacc"/>
    <d v="2020-03-18T16:08:29"/>
    <d v="2020-03-18T17:03:45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1578.45"/>
    <n v="200.31"/>
    <m/>
    <x v="0"/>
  </r>
  <r>
    <s v="b50c66af-4d1c-7987-6b0a-9ecd72fb90b1"/>
    <d v="2020-04-01T16:08:29"/>
    <d v="2020-04-01T21:48:13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4830.95"/>
    <n v="3864.76"/>
    <n v="103697008"/>
    <x v="3"/>
  </r>
  <r>
    <s v="b50c66af-4d1c-7987-46e9-3c2385992fa7"/>
    <d v="2021-03-24T16:08:29"/>
    <d v="2021-03-24T16:50:21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919.9"/>
    <n v="0"/>
    <m/>
    <x v="0"/>
  </r>
  <r>
    <s v="b50c66af-4d1c-7987-384a-605798c4db6a"/>
    <d v="2021-04-07T16:08:29"/>
    <d v="2021-04-07T16:23:29"/>
    <s v="b50c66af-4d1c-7987-03d7-e5b65fdf880f"/>
    <s v="eee00932-ca82-36bc-b7e8-e3fff6dbaeaa"/>
    <s v="25162b3c-536e-3fe6-af7b-eb5f22af6899"/>
    <s v="d31fccc3-1767-390d-966a-22a5156f4219"/>
    <x v="2"/>
    <n v="33879002"/>
    <s v="Administration of vaccine to produce active immunity (procedure)"/>
    <n v="142.58000000000001"/>
    <n v="278.58"/>
    <n v="0"/>
    <m/>
    <x v="0"/>
  </r>
  <r>
    <s v="b50c66af-4d1c-7987-1d2e-47571a9b8cf7"/>
    <d v="2021-04-07T16:08:29"/>
    <d v="2021-04-07T19:21:30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3105.35"/>
    <n v="2380.62"/>
    <n v="103697008"/>
    <x v="3"/>
  </r>
  <r>
    <s v="b50c66af-4d1c-7987-5d56-352bba05b99e"/>
    <d v="2021-04-28T16:08:29"/>
    <d v="2021-04-28T16:23:29"/>
    <s v="b50c66af-4d1c-7987-03d7-e5b65fdf880f"/>
    <s v="eee00932-ca82-36bc-b7e8-e3fff6dbaeaa"/>
    <s v="25162b3c-536e-3fe6-af7b-eb5f22af6899"/>
    <s v="d31fccc3-1767-390d-966a-22a5156f4219"/>
    <x v="2"/>
    <n v="33879002"/>
    <s v="Administration of vaccine to produce active immunity (procedure)"/>
    <n v="142.58000000000001"/>
    <n v="278.58"/>
    <n v="222.86"/>
    <m/>
    <x v="0"/>
  </r>
  <r>
    <s v="b50c66af-4d1c-7987-ff6f-0d8fdda85479"/>
    <d v="2021-11-16T23:23:19"/>
    <d v="2021-11-17T00:44:03"/>
    <s v="b50c66af-4d1c-7987-03d7-e5b65fdf880f"/>
    <s v="eee00932-ca82-36bc-b7e8-e3fff6dbaeaa"/>
    <s v="25162b3c-536e-3fe6-af7b-eb5f22af6899"/>
    <s v="d31fccc3-1767-390d-966a-22a5156f4219"/>
    <x v="1"/>
    <n v="185347001"/>
    <s v="Encounter for problem (procedure)"/>
    <n v="85.55"/>
    <n v="1379.75"/>
    <n v="0"/>
    <n v="37320007"/>
    <x v="8"/>
  </r>
  <r>
    <s v="b50c66af-4d1c-7987-0edb-d571fc63521a"/>
    <d v="2021-12-08T00:44:03"/>
    <d v="2021-12-08T01:03:13"/>
    <s v="b50c66af-4d1c-7987-03d7-e5b65fdf880f"/>
    <s v="eee00932-ca82-36bc-b7e8-e3fff6dbaeaa"/>
    <s v="25162b3c-536e-3fe6-af7b-eb5f22af6899"/>
    <s v="d31fccc3-1767-390d-966a-22a5156f4219"/>
    <x v="1"/>
    <n v="390906007"/>
    <s v="Follow-up encounter (procedure)"/>
    <n v="85.55"/>
    <n v="516.95000000000005"/>
    <n v="350.96"/>
    <n v="37320007"/>
    <x v="8"/>
  </r>
  <r>
    <s v="b50c66af-4d1c-7987-61ab-93a8bf106b6e"/>
    <d v="2022-03-30T16:08:29"/>
    <d v="2022-03-30T16:54:37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1130.48"/>
    <n v="904.38"/>
    <m/>
    <x v="0"/>
  </r>
  <r>
    <s v="b50c66af-4d1c-7987-21c5-4ec2a3741955"/>
    <d v="2022-04-13T16:08:29"/>
    <d v="2022-04-13T19:25:11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3536.75"/>
    <n v="2829.4"/>
    <n v="103697008"/>
    <x v="3"/>
  </r>
  <r>
    <s v="b50c66af-4d1c-7987-92e6-3bc465f7f116"/>
    <d v="2022-05-09T15:08:29"/>
    <d v="2022-05-09T15:23:29"/>
    <s v="b50c66af-4d1c-7987-03d7-e5b65fdf880f"/>
    <s v="eee00932-ca82-36bc-b7e8-e3fff6dbaeaa"/>
    <s v="25162b3c-536e-3fe6-af7b-eb5f22af6899"/>
    <s v="d31fccc3-1767-390d-966a-22a5156f4219"/>
    <x v="1"/>
    <n v="185345009"/>
    <s v="Encounter for symptom (procedure)"/>
    <n v="85.55"/>
    <n v="3536.75"/>
    <n v="2829.4"/>
    <n v="195662009"/>
    <x v="9"/>
  </r>
  <r>
    <s v="b50c66af-4d1c-7987-9ef6-441e49f32707"/>
    <d v="2023-04-05T16:08:29"/>
    <d v="2023-04-05T17:03:11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976.2"/>
    <n v="0"/>
    <m/>
    <x v="0"/>
  </r>
  <r>
    <s v="b50c66af-4d1c-7987-6ee0-17dcf81986b2"/>
    <d v="2023-04-19T16:08:29"/>
    <d v="2023-04-19T18:46:36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3105.35"/>
    <n v="2202.79"/>
    <n v="66383009"/>
    <x v="17"/>
  </r>
  <r>
    <s v="b50c66af-4d1c-7987-072f-c6995d0737b2"/>
    <d v="2024-04-10T16:08:29"/>
    <d v="2024-04-10T16:55:54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704.2"/>
    <n v="0"/>
    <m/>
    <x v="0"/>
  </r>
  <r>
    <s v="b50c66af-4d1c-7987-6c76-b970e5206e99"/>
    <d v="2024-04-24T16:08:29"/>
    <d v="2024-04-24T21:36:31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4399.55"/>
    <n v="3020.55"/>
    <n v="66383009"/>
    <x v="17"/>
  </r>
  <r>
    <s v="b50c66af-4d1c-7987-1599-2d9d27baa115"/>
    <d v="2025-04-16T16:08:29"/>
    <d v="2025-04-16T17:05:30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853.36"/>
    <n v="0"/>
    <m/>
    <x v="0"/>
  </r>
  <r>
    <s v="b50c66af-4d1c-7987-95b5-8a57dbdd447a"/>
    <d v="2025-04-30T16:08:29"/>
    <d v="2025-04-30T19:21:31"/>
    <s v="b50c66af-4d1c-7987-03d7-e5b65fdf880f"/>
    <s v="eee00932-ca82-36bc-b7e8-e3fff6dbaeaa"/>
    <s v="25162b3c-536e-3fe6-af7b-eb5f22af6899"/>
    <s v="d31fccc3-1767-390d-966a-22a5156f4219"/>
    <x v="1"/>
    <n v="185349003"/>
    <s v="Encounter for check up (procedure)"/>
    <n v="85.55"/>
    <n v="3536.75"/>
    <n v="2553.59"/>
    <n v="66383009"/>
    <x v="17"/>
  </r>
  <r>
    <s v="b50c66af-4d1c-7987-7763-29a83b5be88e"/>
    <d v="2026-04-22T16:08:29"/>
    <d v="2026-04-22T17:05:29"/>
    <s v="b50c66af-4d1c-7987-03d7-e5b65fdf880f"/>
    <s v="86880e58-8753-3c63-b057-33781df70528"/>
    <s v="703c4f39-834c-3f8d-87c8-1281a42e0915"/>
    <s v="d31fccc3-1767-390d-966a-22a5156f4219"/>
    <x v="0"/>
    <n v="162673000"/>
    <s v="General examination of patient (procedure)"/>
    <n v="136.80000000000001"/>
    <n v="919.9"/>
    <n v="0"/>
    <m/>
    <x v="0"/>
  </r>
  <r>
    <s v="cbd1dd48-89c3-3fdb-4c55-8339f6db668e"/>
    <d v="2007-08-28T15:09:30"/>
    <d v="2007-08-28T15:55:13"/>
    <s v="cbd1dd48-89c3-3fdb-434e-3f0802738abf"/>
    <s v="3d5fbf38-c781-3e04-8c7e-5a402611b7d4"/>
    <s v="6c4e41ee-3ecf-303b-89e3-c590131bf36e"/>
    <s v="8fa6c185-e44e-3e34-8bd8-39be8694f4ce"/>
    <x v="0"/>
    <n v="162673000"/>
    <s v="General examination of patient (procedure)"/>
    <n v="136.80000000000001"/>
    <n v="1030.67"/>
    <n v="0"/>
    <m/>
    <x v="0"/>
  </r>
  <r>
    <s v="cbd1dd48-89c3-3fdb-5897-db74470f0281"/>
    <d v="2008-09-02T15:09:30"/>
    <d v="2008-09-02T15:53:10"/>
    <s v="cbd1dd48-89c3-3fdb-434e-3f0802738abf"/>
    <s v="3d5fbf38-c781-3e04-8c7e-5a402611b7d4"/>
    <s v="6c4e41ee-3ecf-303b-89e3-c590131bf36e"/>
    <s v="8fa6c185-e44e-3e34-8bd8-39be8694f4ce"/>
    <x v="0"/>
    <n v="162673000"/>
    <s v="General examination of patient (procedure)"/>
    <n v="136.80000000000001"/>
    <n v="704.2"/>
    <n v="0"/>
    <m/>
    <x v="0"/>
  </r>
  <r>
    <s v="cbd1dd48-89c3-3fdb-f538-21ffa1cf7758"/>
    <d v="2011-06-08T15:09:30"/>
    <d v="2011-06-21T15:39:30"/>
    <s v="cbd1dd48-89c3-3fdb-434e-3f0802738abf"/>
    <s v="94ac48ba-e215-3ab9-ba88-a0b926d29cef"/>
    <s v="b30e58ed-699e-3382-a179-77e448498dab"/>
    <s v="8fa6c185-e44e-3e34-8bd8-39be8694f4ce"/>
    <x v="3"/>
    <n v="185347001"/>
    <s v="Encounter for problem (procedure)"/>
    <n v="87.71"/>
    <n v="72508.06"/>
    <n v="47787.56"/>
    <n v="91302008"/>
    <x v="50"/>
  </r>
  <r>
    <s v="cbd1dd48-89c3-3fdb-9632-4c35f07d0035"/>
    <d v="2013-06-04T15:09:30"/>
    <d v="2013-06-04T16:29:55"/>
    <s v="cbd1dd48-89c3-3fdb-434e-3f0802738abf"/>
    <s v="bac9dc0c-cb0f-3fa6-aa12-819dd0fb922a"/>
    <s v="47684c3a-477d-374f-b29a-529866226a70"/>
    <s v="df166300-5a78-3502-a46a-832842197811"/>
    <x v="1"/>
    <n v="185347001"/>
    <s v="Encounter for problem (procedure)"/>
    <n v="85.55"/>
    <n v="1008.08"/>
    <n v="958.08"/>
    <n v="271737000"/>
    <x v="32"/>
  </r>
  <r>
    <s v="cbd1dd48-89c3-3fdb-1806-3e52d3308490"/>
    <d v="2014-09-09T15:09:30"/>
    <d v="2014-09-09T15:51:30"/>
    <s v="cbd1dd48-89c3-3fdb-434e-3f0802738abf"/>
    <s v="3d5fbf38-c781-3e04-8c7e-5a402611b7d4"/>
    <s v="6c4e41ee-3ecf-303b-89e3-c590131bf36e"/>
    <s v="df166300-5a78-3502-a46a-832842197811"/>
    <x v="0"/>
    <n v="162673000"/>
    <s v="General examination of patient (procedure)"/>
    <n v="136.80000000000001"/>
    <n v="704.2"/>
    <n v="704.2"/>
    <m/>
    <x v="0"/>
  </r>
  <r>
    <s v="cbd1dd48-89c3-3fdb-9de9-a764c7d73cdd"/>
    <d v="2016-01-11T14:09:30"/>
    <d v="2016-01-11T14:24:30"/>
    <s v="cbd1dd48-89c3-3fdb-434e-3f0802738abf"/>
    <s v="bac9dc0c-cb0f-3fa6-aa12-819dd0fb922a"/>
    <s v="47684c3a-477d-374f-b29a-529866226a70"/>
    <s v="e03e23c9-4df1-3eb6-a62d-f70f02301496"/>
    <x v="1"/>
    <n v="424619006"/>
    <s v="Prenatal visit (regime/therapy)"/>
    <n v="142.58000000000001"/>
    <n v="3689.25"/>
    <n v="0"/>
    <n v="156073000"/>
    <x v="26"/>
  </r>
  <r>
    <s v="cbd1dd48-89c3-3fdb-f531-a5b933c34715"/>
    <d v="2016-02-15T14:09:30"/>
    <d v="2016-02-15T14:24:30"/>
    <s v="cbd1dd48-89c3-3fdb-434e-3f0802738abf"/>
    <s v="bac9dc0c-cb0f-3fa6-aa12-819dd0fb922a"/>
    <s v="47684c3a-477d-374f-b29a-529866226a70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bd1dd48-89c3-3fdb-2150-f61be81274e9"/>
    <d v="2017-02-09T14:09:30"/>
    <d v="2017-02-09T14:24:30"/>
    <s v="cbd1dd48-89c3-3fdb-434e-3f0802738abf"/>
    <s v="bac9dc0c-cb0f-3fa6-aa12-819dd0fb922a"/>
    <s v="47684c3a-477d-374f-b29a-529866226a70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cbd1dd48-89c3-3fdb-b0f6-3c724d34b8f8"/>
    <d v="2017-02-12T08:09:30"/>
    <d v="2017-02-12T09:19:22"/>
    <s v="cbd1dd48-89c3-3fdb-434e-3f0802738abf"/>
    <s v="bac9dc0c-cb0f-3fa6-aa12-819dd0fb922a"/>
    <s v="47684c3a-477d-374f-b29a-529866226a70"/>
    <s v="df166300-5a78-3502-a46a-832842197811"/>
    <x v="2"/>
    <n v="308335008"/>
    <s v="Patient encounter procedure (procedure)"/>
    <n v="142.58000000000001"/>
    <n v="12931.56"/>
    <n v="12881.56"/>
    <n v="389095005"/>
    <x v="15"/>
  </r>
  <r>
    <s v="cbd1dd48-89c3-3fdb-76d1-dde4591fbf51"/>
    <d v="2017-09-12T15:09:30"/>
    <d v="2017-09-12T15:57:23"/>
    <s v="cbd1dd48-89c3-3fdb-434e-3f0802738abf"/>
    <s v="3d5fbf38-c781-3e04-8c7e-5a402611b7d4"/>
    <s v="6c4e41ee-3ecf-303b-89e3-c590131bf36e"/>
    <s v="8fa6c185-e44e-3e34-8bd8-39be8694f4ce"/>
    <x v="0"/>
    <n v="162673000"/>
    <s v="General examination of patient (procedure)"/>
    <n v="136.80000000000001"/>
    <n v="1186.6500000000001"/>
    <n v="0"/>
    <m/>
    <x v="0"/>
  </r>
  <r>
    <s v="cbd1dd48-89c3-3fdb-c183-0f43f2ef6c72"/>
    <d v="2017-09-26T15:09:30"/>
    <d v="2017-09-26T20:57:10"/>
    <s v="cbd1dd48-89c3-3fdb-434e-3f0802738abf"/>
    <s v="bac9dc0c-cb0f-3fa6-aa12-819dd0fb922a"/>
    <s v="47684c3a-477d-374f-b29a-529866226a70"/>
    <s v="8fa6c185-e44e-3e34-8bd8-39be8694f4ce"/>
    <x v="1"/>
    <n v="185349003"/>
    <s v="Encounter for check up (procedure)"/>
    <n v="85.55"/>
    <n v="4830.95"/>
    <n v="1153.28"/>
    <n v="103697008"/>
    <x v="3"/>
  </r>
  <r>
    <s v="cbd1dd48-89c3-3fdb-39df-0a53520a2348"/>
    <d v="2019-03-18T15:09:30"/>
    <d v="2019-03-18T15:24:30"/>
    <s v="cbd1dd48-89c3-3fdb-434e-3f0802738abf"/>
    <s v="bac9dc0c-cb0f-3fa6-aa12-819dd0fb922a"/>
    <s v="47684c3a-477d-374f-b29a-529866226a70"/>
    <s v="8fa6c185-e44e-3e34-8bd8-39be8694f4ce"/>
    <x v="2"/>
    <n v="185345009"/>
    <s v="Encounter for symptom (procedure)"/>
    <n v="85.55"/>
    <n v="85.55"/>
    <n v="0"/>
    <n v="65363002"/>
    <x v="25"/>
  </r>
  <r>
    <s v="cbd1dd48-89c3-3fdb-b2fa-2c21683e9997"/>
    <d v="2019-03-26T15:09:30"/>
    <d v="2019-03-26T16:15:41"/>
    <s v="cbd1dd48-89c3-3fdb-434e-3f0802738abf"/>
    <s v="bac9dc0c-cb0f-3fa6-aa12-819dd0fb922a"/>
    <s v="47684c3a-477d-374f-b29a-529866226a70"/>
    <s v="8fa6c185-e44e-3e34-8bd8-39be8694f4ce"/>
    <x v="2"/>
    <n v="308335008"/>
    <s v="Patient encounter procedure (procedure)"/>
    <n v="142.58000000000001"/>
    <n v="573.98"/>
    <n v="0"/>
    <n v="389095005"/>
    <x v="15"/>
  </r>
  <r>
    <s v="cbd1dd48-89c3-3fdb-4013-fffce211ac37"/>
    <d v="2019-05-14T15:09:30"/>
    <d v="2019-05-14T15:24:30"/>
    <s v="cbd1dd48-89c3-3fdb-434e-3f0802738abf"/>
    <s v="bac9dc0c-cb0f-3fa6-aa12-819dd0fb922a"/>
    <s v="47684c3a-477d-374f-b29a-529866226a70"/>
    <s v="df166300-5a78-3502-a46a-832842197811"/>
    <x v="1"/>
    <n v="424441002"/>
    <s v="Prenatal initial visit (regime/therapy)"/>
    <n v="142.58000000000001"/>
    <n v="12171.69"/>
    <n v="12021.69"/>
    <n v="72892002"/>
    <x v="4"/>
  </r>
  <r>
    <s v="cbd1dd48-89c3-3fdb-d881-d7e318749846"/>
    <d v="2019-05-22T15:09:30"/>
    <d v="2019-05-22T15:24:30"/>
    <s v="cbd1dd48-89c3-3fdb-434e-3f0802738abf"/>
    <s v="bac9dc0c-cb0f-3fa6-aa12-819dd0fb922a"/>
    <s v="47684c3a-477d-374f-b29a-529866226a70"/>
    <s v="df166300-5a78-3502-a46a-832842197811"/>
    <x v="1"/>
    <n v="424619006"/>
    <s v="Prenatal visit (regime/therapy)"/>
    <n v="142.58000000000001"/>
    <n v="2361.4299999999998"/>
    <n v="2311.4299999999998"/>
    <n v="35999006"/>
    <x v="7"/>
  </r>
  <r>
    <s v="cbd1dd48-89c3-3fdb-2bbd-61fc96f7453a"/>
    <d v="2020-09-15T15:09:30"/>
    <d v="2020-09-15T16:04:39"/>
    <s v="cbd1dd48-89c3-3fdb-434e-3f0802738abf"/>
    <s v="3d5fbf38-c781-3e04-8c7e-5a402611b7d4"/>
    <s v="6c4e41ee-3ecf-303b-89e3-c590131bf36e"/>
    <s v="0133f751-9229-3cfd-815f-b6d4979bdd6a"/>
    <x v="0"/>
    <n v="162673000"/>
    <s v="General examination of patient (procedure)"/>
    <n v="136.80000000000001"/>
    <n v="4495.0200000000004"/>
    <n v="0"/>
    <m/>
    <x v="0"/>
  </r>
  <r>
    <s v="cbd1dd48-89c3-3fdb-21f7-3e79cdf2614b"/>
    <d v="2020-09-22T15:09:30"/>
    <d v="2020-09-22T15:24:30"/>
    <s v="cbd1dd48-89c3-3fdb-434e-3f0802738abf"/>
    <s v="bac9dc0c-cb0f-3fa6-aa12-819dd0fb922a"/>
    <s v="47684c3a-477d-374f-b29a-529866226a70"/>
    <s v="0133f751-9229-3cfd-815f-b6d4979bdd6a"/>
    <x v="1"/>
    <n v="424441002"/>
    <s v="Prenatal initial visit (regime/therapy)"/>
    <n v="142.58000000000001"/>
    <n v="54597.89"/>
    <n v="31799.35"/>
    <n v="72892002"/>
    <x v="4"/>
  </r>
  <r>
    <s v="cbd1dd48-89c3-3fdb-50a7-adf6adcd3384"/>
    <d v="2020-10-20T15:09:30"/>
    <d v="2020-10-20T15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12448.86"/>
    <n v="12448.86"/>
    <n v="72892002"/>
    <x v="4"/>
  </r>
  <r>
    <s v="cbd1dd48-89c3-3fdb-52f0-a3176d2de8cf"/>
    <d v="2020-11-17T14:09:30"/>
    <d v="2020-11-17T14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13773.39"/>
    <n v="13773.39"/>
    <n v="72892002"/>
    <x v="4"/>
  </r>
  <r>
    <s v="cbd1dd48-89c3-3fdb-18fb-0e9e34ce7b96"/>
    <d v="2020-12-15T14:09:30"/>
    <d v="2020-12-15T14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18236.080000000002"/>
    <n v="18236.080000000002"/>
    <n v="72892002"/>
    <x v="4"/>
  </r>
  <r>
    <s v="cbd1dd48-89c3-3fdb-5a5e-f4f4b921b875"/>
    <d v="2021-01-12T14:09:30"/>
    <d v="2021-01-12T14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10902.74"/>
    <n v="10902.74"/>
    <n v="72892002"/>
    <x v="4"/>
  </r>
  <r>
    <s v="cbd1dd48-89c3-3fdb-8e28-f45017e9a8d8"/>
    <d v="2021-02-09T14:09:30"/>
    <d v="2021-02-09T14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12238.87"/>
    <n v="12238.87"/>
    <n v="72892002"/>
    <x v="4"/>
  </r>
  <r>
    <s v="cbd1dd48-89c3-3fdb-60f6-25fa9b517b1b"/>
    <d v="2021-03-09T14:09:30"/>
    <d v="2021-03-09T14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4665.96"/>
    <n v="4665.96"/>
    <n v="72892002"/>
    <x v="4"/>
  </r>
  <r>
    <s v="cbd1dd48-89c3-3fdb-dc59-40c566fa1154"/>
    <d v="2021-04-06T15:09:30"/>
    <d v="2021-04-06T15:24:30"/>
    <s v="cbd1dd48-89c3-3fdb-434e-3f0802738abf"/>
    <s v="bac9dc0c-cb0f-3fa6-aa12-819dd0fb922a"/>
    <s v="47684c3a-477d-374f-b29a-529866226a70"/>
    <s v="0133f751-9229-3cfd-815f-b6d4979bdd6a"/>
    <x v="1"/>
    <n v="424619006"/>
    <s v="Prenatal visit (regime/therapy)"/>
    <n v="142.58000000000001"/>
    <n v="8506.85"/>
    <n v="8506.85"/>
    <n v="72892002"/>
    <x v="4"/>
  </r>
  <r>
    <s v="cbd1dd48-89c3-3fdb-b209-92743358aae9"/>
    <d v="2021-04-20T15:09:30"/>
    <d v="2021-04-20T15:24:30"/>
    <s v="cbd1dd48-89c3-3fdb-434e-3f0802738abf"/>
    <s v="bac9dc0c-cb0f-3fa6-aa12-819dd0fb922a"/>
    <s v="47684c3a-477d-374f-b29a-529866226a70"/>
    <s v="d18ef2e6-ef40-324c-be54-34a5ee865625"/>
    <x v="1"/>
    <n v="424619006"/>
    <s v="Prenatal visit (regime/therapy)"/>
    <n v="142.58000000000001"/>
    <n v="8841.34"/>
    <n v="8806.34"/>
    <n v="72892002"/>
    <x v="4"/>
  </r>
  <r>
    <s v="cbd1dd48-89c3-3fdb-5201-64b2090ddb2b"/>
    <d v="2021-04-27T15:09:30"/>
    <d v="2021-04-27T15:24:30"/>
    <s v="cbd1dd48-89c3-3fdb-434e-3f0802738abf"/>
    <s v="bac9dc0c-cb0f-3fa6-aa12-819dd0fb922a"/>
    <s v="47684c3a-477d-374f-b29a-529866226a70"/>
    <s v="d18ef2e6-ef40-324c-be54-34a5ee865625"/>
    <x v="1"/>
    <n v="424619006"/>
    <s v="Prenatal visit (regime/therapy)"/>
    <n v="142.58000000000001"/>
    <n v="11451.02"/>
    <n v="11416.02"/>
    <n v="72892002"/>
    <x v="4"/>
  </r>
  <r>
    <s v="cbd1dd48-89c3-3fdb-653c-1b696a51df47"/>
    <d v="2021-05-04T15:09:30"/>
    <d v="2021-05-04T16:09:30"/>
    <s v="cbd1dd48-89c3-3fdb-434e-3f0802738abf"/>
    <s v="94ac48ba-e215-3ab9-ba88-a0b926d29cef"/>
    <s v="b30e58ed-699e-3382-a179-77e448498dab"/>
    <s v="d18ef2e6-ef40-324c-be54-34a5ee865625"/>
    <x v="3"/>
    <n v="183460006"/>
    <s v="Obstetric emergency hospital admission (procedure)"/>
    <n v="146.18"/>
    <n v="13744.29"/>
    <n v="13709.29"/>
    <n v="72892002"/>
    <x v="4"/>
  </r>
  <r>
    <s v="cbd1dd48-89c3-3fdb-06e0-9067662da7f1"/>
    <d v="2021-06-15T15:09:30"/>
    <d v="2021-06-15T15:24:30"/>
    <s v="cbd1dd48-89c3-3fdb-434e-3f0802738abf"/>
    <s v="bac9dc0c-cb0f-3fa6-aa12-819dd0fb922a"/>
    <s v="47684c3a-477d-374f-b29a-529866226a70"/>
    <s v="d18ef2e6-ef40-324c-be54-34a5ee865625"/>
    <x v="1"/>
    <n v="169762003"/>
    <s v="Postnatal visit (regime/therapy)"/>
    <n v="142.58000000000001"/>
    <n v="5438.48"/>
    <n v="5403.48"/>
    <m/>
    <x v="0"/>
  </r>
  <r>
    <s v="cbd1dd48-89c3-3fdb-be6f-c355f8dd100f"/>
    <d v="2021-08-31T15:09:30"/>
    <d v="2021-08-31T15:24:30"/>
    <s v="cbd1dd48-89c3-3fdb-434e-3f0802738abf"/>
    <s v="bac9dc0c-cb0f-3fa6-aa12-819dd0fb922a"/>
    <s v="47684c3a-477d-374f-b29a-529866226a70"/>
    <s v="d18ef2e6-ef40-324c-be54-34a5ee865625"/>
    <x v="2"/>
    <n v="33879002"/>
    <s v="Administration of vaccine to produce active immunity (procedure)"/>
    <n v="142.58000000000001"/>
    <n v="278.58"/>
    <n v="243.58"/>
    <m/>
    <x v="0"/>
  </r>
  <r>
    <s v="cbd1dd48-89c3-3fdb-c575-4970dd2c7d5d"/>
    <d v="2021-09-21T15:09:30"/>
    <d v="2021-09-21T15:24:30"/>
    <s v="cbd1dd48-89c3-3fdb-434e-3f0802738abf"/>
    <s v="bac9dc0c-cb0f-3fa6-aa12-819dd0fb922a"/>
    <s v="47684c3a-477d-374f-b29a-529866226a70"/>
    <s v="d18ef2e6-ef40-324c-be54-34a5ee865625"/>
    <x v="2"/>
    <n v="33879002"/>
    <s v="Administration of vaccine to produce active immunity (procedure)"/>
    <n v="142.58000000000001"/>
    <n v="278.58"/>
    <n v="243.58"/>
    <m/>
    <x v="0"/>
  </r>
  <r>
    <s v="cbd1dd48-89c3-3fdb-8de1-66420123dadf"/>
    <d v="2021-11-12T18:09:30"/>
    <d v="2021-11-12T18:24:30"/>
    <s v="cbd1dd48-89c3-3fdb-434e-3f0802738abf"/>
    <s v="bac9dc0c-cb0f-3fa6-aa12-819dd0fb922a"/>
    <s v="47684c3a-477d-374f-b29a-529866226a70"/>
    <s v="d18ef2e6-ef40-324c-be54-34a5ee865625"/>
    <x v="1"/>
    <n v="185345009"/>
    <s v="Encounter for symptom (procedure)"/>
    <n v="85.55"/>
    <n v="2715.8"/>
    <n v="2680.8"/>
    <n v="10509002"/>
    <x v="1"/>
  </r>
  <r>
    <s v="cbd1dd48-89c3-3fdb-04b3-cff1fea3e0ce"/>
    <d v="2021-11-23T14:09:30"/>
    <d v="2021-11-23T15:09:30"/>
    <s v="cbd1dd48-89c3-3fdb-434e-3f0802738abf"/>
    <s v="94ac48ba-e215-3ab9-ba88-a0b926d29cef"/>
    <s v="b30e58ed-699e-3382-a179-77e448498dab"/>
    <s v="d18ef2e6-ef40-324c-be54-34a5ee865625"/>
    <x v="3"/>
    <n v="50849002"/>
    <s v="Emergency room admission (procedure)"/>
    <n v="146.18"/>
    <n v="11079.29"/>
    <n v="11044.29"/>
    <m/>
    <x v="0"/>
  </r>
  <r>
    <s v="cbd1dd48-89c3-3fdb-543e-a59ffbf27a2e"/>
    <d v="2021-11-30T14:09:30"/>
    <d v="2021-11-30T14:24:30"/>
    <s v="cbd1dd48-89c3-3fdb-434e-3f0802738abf"/>
    <s v="3d5fbf38-c781-3e04-8c7e-5a402611b7d4"/>
    <s v="6c4e41ee-3ecf-303b-89e3-c590131bf36e"/>
    <s v="d18ef2e6-ef40-324c-be54-34a5ee865625"/>
    <x v="0"/>
    <n v="162673000"/>
    <s v="General examination of patient (procedure)"/>
    <n v="136.80000000000001"/>
    <n v="3625.33"/>
    <n v="3625.33"/>
    <m/>
    <x v="0"/>
  </r>
  <r>
    <s v="cbd1dd48-89c3-3fdb-f08a-e0c6bb360a6c"/>
    <d v="2022-06-05T02:09:30"/>
    <d v="2022-06-05T02:24:30"/>
    <s v="cbd1dd48-89c3-3fdb-434e-3f0802738abf"/>
    <s v="bac9dc0c-cb0f-3fa6-aa12-819dd0fb922a"/>
    <s v="47684c3a-477d-374f-b29a-529866226a70"/>
    <s v="a735bf55-83e9-331a-899d-a82a60b9f60c"/>
    <x v="1"/>
    <n v="185345009"/>
    <s v="Encounter for symptom (procedure)"/>
    <n v="85.55"/>
    <n v="85.55"/>
    <n v="0"/>
    <n v="195662009"/>
    <x v="9"/>
  </r>
  <r>
    <s v="cbd1dd48-89c3-3fdb-c423-1ed0a66e4851"/>
    <d v="2022-06-17T15:09:30"/>
    <d v="2022-06-17T15:24:30"/>
    <s v="cbd1dd48-89c3-3fdb-434e-3f0802738abf"/>
    <s v="bac9dc0c-cb0f-3fa6-aa12-819dd0fb922a"/>
    <s v="47684c3a-477d-374f-b29a-529866226a70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cbd1dd48-89c3-3fdb-2b28-d3b8d99c9a9c"/>
    <d v="2022-12-06T14:09:30"/>
    <d v="2022-12-06T14:41:57"/>
    <s v="cbd1dd48-89c3-3fdb-434e-3f0802738abf"/>
    <s v="3d5fbf38-c781-3e04-8c7e-5a402611b7d4"/>
    <s v="6c4e41ee-3ecf-303b-89e3-c590131bf36e"/>
    <s v="a735bf55-83e9-331a-899d-a82a60b9f60c"/>
    <x v="0"/>
    <n v="162673000"/>
    <s v="General examination of patient (procedure)"/>
    <n v="136.80000000000001"/>
    <n v="4131.3100000000004"/>
    <n v="3305.04"/>
    <m/>
    <x v="0"/>
  </r>
  <r>
    <s v="cbd1dd48-89c3-3fdb-0d31-0e3a7d51eb4a"/>
    <d v="2022-12-20T14:09:30"/>
    <d v="2022-12-20T17:46:41"/>
    <s v="cbd1dd48-89c3-3fdb-434e-3f0802738abf"/>
    <s v="bac9dc0c-cb0f-3fa6-aa12-819dd0fb922a"/>
    <s v="47684c3a-477d-374f-b29a-529866226a70"/>
    <s v="a735bf55-83e9-331a-899d-a82a60b9f60c"/>
    <x v="1"/>
    <n v="185349003"/>
    <s v="Encounter for check up (procedure)"/>
    <n v="85.55"/>
    <n v="3105.35"/>
    <n v="2484.2800000000002"/>
    <n v="66383009"/>
    <x v="17"/>
  </r>
  <r>
    <s v="cbd1dd48-89c3-3fdb-7062-455c0372b165"/>
    <d v="2023-06-12T15:09:30"/>
    <d v="2023-06-12T15:24:30"/>
    <s v="cbd1dd48-89c3-3fdb-434e-3f0802738abf"/>
    <s v="bac9dc0c-cb0f-3fa6-aa12-819dd0fb922a"/>
    <s v="47684c3a-477d-374f-b29a-529866226a70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cbd1dd48-89c3-3fdb-a272-fdaa6bb6fb5e"/>
    <d v="2023-12-12T14:09:30"/>
    <d v="2023-12-12T14:56:52"/>
    <s v="cbd1dd48-89c3-3fdb-434e-3f0802738abf"/>
    <s v="3d5fbf38-c781-3e04-8c7e-5a402611b7d4"/>
    <s v="6c4e41ee-3ecf-303b-89e3-c590131bf36e"/>
    <s v="a735bf55-83e9-331a-899d-a82a60b9f60c"/>
    <x v="0"/>
    <n v="162673000"/>
    <s v="General examination of patient (procedure)"/>
    <n v="136.80000000000001"/>
    <n v="4811.6000000000004"/>
    <n v="3849.28"/>
    <m/>
    <x v="0"/>
  </r>
  <r>
    <s v="cbd1dd48-89c3-3fdb-0318-8affbf08baca"/>
    <d v="2024-06-06T15:09:30"/>
    <d v="2024-06-06T16:05:51"/>
    <s v="cbd1dd48-89c3-3fdb-434e-3f0802738abf"/>
    <s v="bac9dc0c-cb0f-3fa6-aa12-819dd0fb922a"/>
    <s v="47684c3a-477d-374f-b29a-529866226a70"/>
    <s v="a735bf55-83e9-331a-899d-a82a60b9f60c"/>
    <x v="2"/>
    <n v="698314001"/>
    <s v="Consultation for treatment (procedure)"/>
    <n v="142.58000000000001"/>
    <n v="573.98"/>
    <n v="272.77999999999997"/>
    <n v="183996000"/>
    <x v="35"/>
  </r>
  <r>
    <s v="cbd1dd48-89c3-3fdb-c1c7-d58fc96d1466"/>
    <d v="2024-06-24T16:05:51"/>
    <d v="2024-06-25T16:05:51"/>
    <s v="cbd1dd48-89c3-3fdb-434e-3f0802738abf"/>
    <s v="18061fd5-fda8-3e2d-87f0-0f3c87211bcc"/>
    <s v="430ccdd9-d3bd-3fbb-814e-543a1ce358a6"/>
    <s v="a735bf55-83e9-331a-899d-a82a60b9f60c"/>
    <x v="6"/>
    <n v="305408004"/>
    <s v="Admission to surgical department (procedure)"/>
    <n v="146.18"/>
    <n v="8470.73"/>
    <n v="6776.58"/>
    <n v="183996000"/>
    <x v="35"/>
  </r>
  <r>
    <s v="cbd1dd48-89c3-3fdb-0908-ce8ad9f849d2"/>
    <d v="2024-12-17T14:09:30"/>
    <d v="2024-12-17T14:50:34"/>
    <s v="cbd1dd48-89c3-3fdb-434e-3f0802738abf"/>
    <s v="3d5fbf38-c781-3e04-8c7e-5a402611b7d4"/>
    <s v="6c4e41ee-3ecf-303b-89e3-c590131bf36e"/>
    <s v="a735bf55-83e9-331a-899d-a82a60b9f60c"/>
    <x v="0"/>
    <n v="162673000"/>
    <s v="General examination of patient (procedure)"/>
    <n v="136.80000000000001"/>
    <n v="4272.43"/>
    <n v="3417.94"/>
    <m/>
    <x v="0"/>
  </r>
  <r>
    <s v="cbd1dd48-89c3-3fdb-7d63-0ad0a5274a64"/>
    <d v="2025-12-23T14:09:30"/>
    <d v="2025-12-23T14:54:19"/>
    <s v="cbd1dd48-89c3-3fdb-434e-3f0802738abf"/>
    <s v="3d5fbf38-c781-3e04-8c7e-5a402611b7d4"/>
    <s v="6c4e41ee-3ecf-303b-89e3-c590131bf36e"/>
    <s v="a735bf55-83e9-331a-899d-a82a60b9f60c"/>
    <x v="0"/>
    <n v="162673000"/>
    <s v="General examination of patient (procedure)"/>
    <n v="136.80000000000001"/>
    <n v="4497.21"/>
    <n v="3597.77"/>
    <m/>
    <x v="0"/>
  </r>
  <r>
    <s v="cbd1dd48-89c3-3fdb-aedd-8a39021e2688"/>
    <d v="2026-01-06T14:09:30"/>
    <d v="2026-01-06T18:11:14"/>
    <s v="cbd1dd48-89c3-3fdb-434e-3f0802738abf"/>
    <s v="bac9dc0c-cb0f-3fa6-aa12-819dd0fb922a"/>
    <s v="47684c3a-477d-374f-b29a-529866226a70"/>
    <s v="a735bf55-83e9-331a-899d-a82a60b9f60c"/>
    <x v="1"/>
    <n v="185349003"/>
    <s v="Encounter for check up (procedure)"/>
    <n v="85.55"/>
    <n v="3105.35"/>
    <n v="2484.2800000000002"/>
    <n v="66383009"/>
    <x v="17"/>
  </r>
  <r>
    <s v="3c0e60c4-176e-2c4c-056b-08216c7c29b6"/>
    <d v="1973-11-08T13:39:12"/>
    <d v="1973-11-08T13:54:12"/>
    <s v="3c0e60c4-176e-2c4c-3b85-b46be390cf5e"/>
    <s v="34f0b10a-5e29-31de-a75e-e0bb03c0c0d4"/>
    <s v="9c2b0eea-4f9c-3e28-8543-d9e554621e7a"/>
    <s v="26aab0cd-6aba-3e1b-ac5b-05c8867e762c"/>
    <x v="0"/>
    <n v="410620009"/>
    <s v="Well child visit (procedure)"/>
    <n v="136.80000000000001"/>
    <n v="704.2"/>
    <n v="0"/>
    <m/>
    <x v="0"/>
  </r>
  <r>
    <s v="3c0e60c4-176e-2c4c-89b0-2da3613a18cf"/>
    <d v="1981-01-08T13:39:12"/>
    <d v="1981-01-08T14:48:49"/>
    <s v="3c0e60c4-176e-2c4c-3b85-b46be390cf5e"/>
    <s v="1e11392b-1278-3e70-93cd-f396cbd0c265"/>
    <s v="19044a97-68c4-38fd-a298-37d7032843f6"/>
    <s v="26aab0cd-6aba-3e1b-ac5b-05c8867e762c"/>
    <x v="1"/>
    <n v="185347001"/>
    <s v="Encounter for problem (procedure)"/>
    <n v="85.55"/>
    <n v="1379.75"/>
    <n v="827.85"/>
    <n v="37320007"/>
    <x v="8"/>
  </r>
  <r>
    <s v="3c0e60c4-176e-2c4c-2894-d8ac1e090dd0"/>
    <d v="1982-12-30T13:39:12"/>
    <d v="1982-12-30T14:25:19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04.2"/>
    <n v="0"/>
    <m/>
    <x v="0"/>
  </r>
  <r>
    <s v="3c0e60c4-176e-2c4c-0c8f-7f0a51c7d0c3"/>
    <d v="1984-01-05T13:39:12"/>
    <d v="1984-01-05T14:33:15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04.2"/>
    <n v="0"/>
    <m/>
    <x v="0"/>
  </r>
  <r>
    <s v="3c0e60c4-176e-2c4c-1dcb-16fb8f38bd6a"/>
    <d v="1997-08-25T14:39:12"/>
    <d v="1997-08-25T15:39:12"/>
    <s v="3c0e60c4-176e-2c4c-3b85-b46be390cf5e"/>
    <s v="19439108-9835-38fe-8ee2-1226a355cfba"/>
    <s v="ed65f203-9903-3e38-8514-48dc9e619249"/>
    <s v="26aab0cd-6aba-3e1b-ac5b-05c8867e762c"/>
    <x v="3"/>
    <n v="183452005"/>
    <s v="Emergency hospital admission (procedure)"/>
    <n v="87.71"/>
    <n v="87.71"/>
    <n v="0"/>
    <n v="82423001"/>
    <x v="33"/>
  </r>
  <r>
    <s v="3c0e60c4-176e-2c4c-7cd0-9e0584fa68ab"/>
    <d v="2000-02-26T14:51:34"/>
    <d v="2000-02-26T15:06:34"/>
    <s v="3c0e60c4-176e-2c4c-3b85-b46be390cf5e"/>
    <s v="1e11392b-1278-3e70-93cd-f396cbd0c265"/>
    <s v="19044a97-68c4-38fd-a298-37d7032843f6"/>
    <s v="26aab0cd-6aba-3e1b-ac5b-05c8867e762c"/>
    <x v="1"/>
    <n v="424619006"/>
    <s v="Prenatal visit (regime/therapy)"/>
    <n v="142.58000000000001"/>
    <n v="1005.38"/>
    <n v="1005.38"/>
    <n v="37849005"/>
    <x v="6"/>
  </r>
  <r>
    <s v="3c0e60c4-176e-2c4c-40c5-850ce1f89762"/>
    <d v="2004-11-11T13:39:12"/>
    <d v="2004-11-11T14:32:59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914.78"/>
    <n v="0"/>
    <m/>
    <x v="0"/>
  </r>
  <r>
    <s v="3c0e60c4-176e-2c4c-822e-7a3fc11a526b"/>
    <d v="2007-10-26T14:39:12"/>
    <d v="2007-10-26T14:54:12"/>
    <s v="3c0e60c4-176e-2c4c-3b85-b46be390cf5e"/>
    <s v="1e11392b-1278-3e70-93cd-f396cbd0c265"/>
    <s v="19044a97-68c4-38fd-a298-37d7032843f6"/>
    <s v="26aab0cd-6aba-3e1b-ac5b-05c8867e762c"/>
    <x v="1"/>
    <n v="185347001"/>
    <s v="Encounter for problem (procedure)"/>
    <n v="85.55"/>
    <n v="85.55"/>
    <n v="0"/>
    <n v="239873007"/>
    <x v="51"/>
  </r>
  <r>
    <s v="3c0e60c4-176e-2c4c-349f-d1d329fb6404"/>
    <d v="2008-11-20T13:39:12"/>
    <d v="2008-11-20T14:13:31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853.36"/>
    <n v="0"/>
    <m/>
    <x v="0"/>
  </r>
  <r>
    <s v="3c0e60c4-176e-2c4c-9290-555edae2b6a7"/>
    <d v="2008-12-11T13:39:12"/>
    <d v="2008-12-11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85.55"/>
    <n v="0"/>
    <n v="55822004"/>
    <x v="52"/>
  </r>
  <r>
    <s v="3c0e60c4-176e-2c4c-23e2-149988895a02"/>
    <d v="2012-11-29T13:39:12"/>
    <d v="2012-11-29T14:20:52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936.95"/>
    <n v="0"/>
    <m/>
    <x v="0"/>
  </r>
  <r>
    <s v="3c0e60c4-176e-2c4c-e394-eeb9d703e40d"/>
    <d v="2015-12-10T13:39:12"/>
    <d v="2015-12-10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fb53-5a9856fe20d5"/>
    <d v="2016-08-18T09:39:12"/>
    <d v="2016-08-18T09:54:12"/>
    <s v="3c0e60c4-176e-2c4c-3b85-b46be390cf5e"/>
    <s v="1e11392b-1278-3e70-93cd-f396cbd0c265"/>
    <s v="19044a97-68c4-38fd-a298-37d7032843f6"/>
    <s v="26aab0cd-6aba-3e1b-ac5b-05c8867e762c"/>
    <x v="1"/>
    <n v="185345009"/>
    <s v="Encounter for symptom (procedure)"/>
    <n v="85.55"/>
    <n v="85.55"/>
    <n v="85.55"/>
    <n v="195662009"/>
    <x v="9"/>
  </r>
  <r>
    <s v="3c0e60c4-176e-2c4c-6448-35f83f99d1b0"/>
    <d v="2016-11-17T13:39:12"/>
    <d v="2016-11-17T14:32:17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04.2"/>
    <n v="0"/>
    <m/>
    <x v="0"/>
  </r>
  <r>
    <s v="3c0e60c4-176e-2c4c-49b1-d513537f62e7"/>
    <d v="2016-12-09T13:39:12"/>
    <d v="2016-12-09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bfbb-69aeee1d0547"/>
    <d v="2017-11-23T13:39:12"/>
    <d v="2017-11-23T14:23:03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78.78"/>
    <n v="0"/>
    <m/>
    <x v="0"/>
  </r>
  <r>
    <s v="3c0e60c4-176e-2c4c-333a-c75799536233"/>
    <d v="2017-12-09T13:39:12"/>
    <d v="2017-12-09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2947-dc66031f66d2"/>
    <d v="2018-11-29T13:39:12"/>
    <d v="2018-11-29T14:29:04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919.9"/>
    <n v="0"/>
    <m/>
    <x v="0"/>
  </r>
  <r>
    <s v="3c0e60c4-176e-2c4c-bcae-2a639da493e7"/>
    <d v="2018-12-09T13:39:12"/>
    <d v="2018-12-09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b67d-c85805ad1c23"/>
    <d v="2019-12-05T13:39:12"/>
    <d v="2019-12-05T14:12:25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04.2"/>
    <n v="0"/>
    <m/>
    <x v="0"/>
  </r>
  <r>
    <s v="3c0e60c4-176e-2c4c-b91f-cb8d6177d6a9"/>
    <d v="2019-12-09T13:39:12"/>
    <d v="2019-12-09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ea57-28f16fd723dc"/>
    <d v="2020-12-10T13:39:12"/>
    <d v="2020-12-10T14:29:03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1716.16"/>
    <n v="0"/>
    <m/>
    <x v="0"/>
  </r>
  <r>
    <s v="3c0e60c4-176e-2c4c-6aa1-03dd4a17d88e"/>
    <d v="2020-12-17T13:39:12"/>
    <d v="2020-12-17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1829-ed730e314e9b"/>
    <d v="2020-12-24T13:39:12"/>
    <d v="2020-12-24T19:42:42"/>
    <s v="3c0e60c4-176e-2c4c-3b85-b46be390cf5e"/>
    <s v="1e11392b-1278-3e70-93cd-f396cbd0c265"/>
    <s v="19044a97-68c4-38fd-a298-37d7032843f6"/>
    <s v="26aab0cd-6aba-3e1b-ac5b-05c8867e762c"/>
    <x v="1"/>
    <n v="185349003"/>
    <s v="Encounter for check up (procedure)"/>
    <n v="85.55"/>
    <n v="4830.95"/>
    <n v="413.96"/>
    <n v="66383009"/>
    <x v="17"/>
  </r>
  <r>
    <s v="3c0e60c4-176e-2c4c-4df8-d88514239bcc"/>
    <d v="2021-01-09T13:39:12"/>
    <d v="2021-01-09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85.55"/>
    <n v="51.33"/>
    <n v="59621000"/>
    <x v="31"/>
  </r>
  <r>
    <s v="3c0e60c4-176e-2c4c-20b3-6ebba68ec2c8"/>
    <d v="2021-03-10T13:39:12"/>
    <d v="2021-03-10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85.55"/>
    <n v="51.33"/>
    <n v="59621000"/>
    <x v="31"/>
  </r>
  <r>
    <s v="3c0e60c4-176e-2c4c-0a32-35af09b6bb78"/>
    <d v="2021-03-25T14:39:12"/>
    <d v="2021-03-25T14:54:12"/>
    <s v="3c0e60c4-176e-2c4c-3b85-b46be390cf5e"/>
    <s v="1e11392b-1278-3e70-93cd-f396cbd0c265"/>
    <s v="19044a97-68c4-38fd-a298-37d7032843f6"/>
    <s v="26aab0cd-6aba-3e1b-ac5b-05c8867e762c"/>
    <x v="2"/>
    <n v="33879002"/>
    <s v="Administration of vaccine to produce active immunity (procedure)"/>
    <n v="142.58000000000001"/>
    <n v="278.58"/>
    <n v="167.15"/>
    <m/>
    <x v="0"/>
  </r>
  <r>
    <s v="3c0e60c4-176e-2c4c-b586-cd94e00b52a6"/>
    <d v="2021-04-15T14:39:12"/>
    <d v="2021-04-15T14:54:12"/>
    <s v="3c0e60c4-176e-2c4c-3b85-b46be390cf5e"/>
    <s v="1e11392b-1278-3e70-93cd-f396cbd0c265"/>
    <s v="19044a97-68c4-38fd-a298-37d7032843f6"/>
    <s v="26aab0cd-6aba-3e1b-ac5b-05c8867e762c"/>
    <x v="2"/>
    <n v="33879002"/>
    <s v="Administration of vaccine to produce active immunity (procedure)"/>
    <n v="142.58000000000001"/>
    <n v="278.58"/>
    <n v="167.15"/>
    <m/>
    <x v="0"/>
  </r>
  <r>
    <s v="3c0e60c4-176e-2c4c-e22b-8b0dee3dec05"/>
    <d v="2021-04-18T15:43:44"/>
    <d v="2021-04-18T16:23:55"/>
    <s v="3c0e60c4-176e-2c4c-3b85-b46be390cf5e"/>
    <s v="1e11392b-1278-3e70-93cd-f396cbd0c265"/>
    <s v="19044a97-68c4-38fd-a298-37d7032843f6"/>
    <s v="26aab0cd-6aba-3e1b-ac5b-05c8867e762c"/>
    <x v="1"/>
    <n v="185349003"/>
    <s v="Encounter for check up (procedure)"/>
    <n v="85.55"/>
    <n v="5138.45"/>
    <n v="3083.07"/>
    <n v="275978004"/>
    <x v="29"/>
  </r>
  <r>
    <s v="3c0e60c4-176e-2c4c-17e6-60368f3cfcec"/>
    <d v="2021-05-09T14:39:12"/>
    <d v="2021-05-09T14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516.95000000000005"/>
    <n v="516.95000000000005"/>
    <n v="59621000"/>
    <x v="31"/>
  </r>
  <r>
    <s v="3c0e60c4-176e-2c4c-6d8a-bbe10fc064a7"/>
    <d v="2021-11-16T13:39:12"/>
    <d v="2021-11-16T14:39:12"/>
    <s v="3c0e60c4-176e-2c4c-3b85-b46be390cf5e"/>
    <s v="19439108-9835-38fe-8ee2-1226a355cfba"/>
    <s v="ed65f203-9903-3e38-8514-48dc9e619249"/>
    <s v="26aab0cd-6aba-3e1b-ac5b-05c8867e762c"/>
    <x v="3"/>
    <n v="50849002"/>
    <s v="Emergency room admission (procedure)"/>
    <n v="146.18"/>
    <n v="12003.47"/>
    <n v="3566.26"/>
    <n v="312608009"/>
    <x v="20"/>
  </r>
  <r>
    <s v="3c0e60c4-176e-2c4c-8cb3-d574b01c246e"/>
    <d v="2021-12-16T13:39:12"/>
    <d v="2021-12-16T14:37:37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04.2"/>
    <n v="422.52"/>
    <m/>
    <x v="0"/>
  </r>
  <r>
    <s v="3c0e60c4-176e-2c4c-36ec-501b2fc57a1e"/>
    <d v="2021-12-17T13:39:12"/>
    <d v="2021-12-17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234.71"/>
    <n v="55822004"/>
    <x v="52"/>
  </r>
  <r>
    <s v="3c0e60c4-176e-2c4c-0c32-44bc43b0ab46"/>
    <d v="2022-08-28T07:39:12"/>
    <d v="2022-08-28T07:54:12"/>
    <s v="3c0e60c4-176e-2c4c-3b85-b46be390cf5e"/>
    <s v="1e11392b-1278-3e70-93cd-f396cbd0c265"/>
    <s v="19044a97-68c4-38fd-a298-37d7032843f6"/>
    <s v="26aab0cd-6aba-3e1b-ac5b-05c8867e762c"/>
    <x v="1"/>
    <n v="185345009"/>
    <s v="Encounter for symptom (procedure)"/>
    <n v="85.55"/>
    <n v="85.55"/>
    <n v="85.55"/>
    <n v="444814009"/>
    <x v="2"/>
  </r>
  <r>
    <s v="3c0e60c4-176e-2c4c-3834-9c4ca57dc13b"/>
    <d v="2022-10-18T08:39:12"/>
    <d v="2022-10-18T08:54:12"/>
    <s v="3c0e60c4-176e-2c4c-3b85-b46be390cf5e"/>
    <s v="1e11392b-1278-3e70-93cd-f396cbd0c265"/>
    <s v="19044a97-68c4-38fd-a298-37d7032843f6"/>
    <s v="26aab0cd-6aba-3e1b-ac5b-05c8867e762c"/>
    <x v="1"/>
    <n v="185345009"/>
    <s v="Encounter for symptom (procedure)"/>
    <n v="85.55"/>
    <n v="85.55"/>
    <n v="85.55"/>
    <n v="444814009"/>
    <x v="2"/>
  </r>
  <r>
    <s v="3c0e60c4-176e-2c4c-2615-9d62c6bc29cf"/>
    <d v="2022-12-22T13:39:12"/>
    <d v="2022-12-22T14:34:37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1236.98"/>
    <n v="0"/>
    <m/>
    <x v="0"/>
  </r>
  <r>
    <s v="3c0e60c4-176e-2c4c-41c8-abfe8088439b"/>
    <d v="2022-12-29T13:39:12"/>
    <d v="2022-12-29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036f-f2713a09f04a"/>
    <d v="2023-03-30T23:35:02"/>
    <d v="2023-03-31T00:33:41"/>
    <s v="3c0e60c4-176e-2c4c-3b85-b46be390cf5e"/>
    <s v="1e11392b-1278-3e70-93cd-f396cbd0c265"/>
    <s v="19044a97-68c4-38fd-a298-37d7032843f6"/>
    <s v="26aab0cd-6aba-3e1b-ac5b-05c8867e762c"/>
    <x v="1"/>
    <n v="185347001"/>
    <s v="Encounter for problem (procedure)"/>
    <n v="85.55"/>
    <n v="1379.75"/>
    <n v="0"/>
    <n v="37320007"/>
    <x v="8"/>
  </r>
  <r>
    <s v="3c0e60c4-176e-2c4c-9acb-5ba82605ff70"/>
    <d v="2023-04-21T00:33:41"/>
    <d v="2023-04-21T01:27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516.95000000000005"/>
    <n v="0"/>
    <n v="37320007"/>
    <x v="8"/>
  </r>
  <r>
    <s v="3c0e60c4-176e-2c4c-cc5c-7df9d26e2c23"/>
    <d v="2023-12-28T13:39:12"/>
    <d v="2023-12-28T14:24:09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778.78"/>
    <n v="0"/>
    <m/>
    <x v="0"/>
  </r>
  <r>
    <s v="3c0e60c4-176e-2c4c-6b0b-7ed2f4cd7eed"/>
    <d v="2024-01-04T13:39:12"/>
    <d v="2024-01-04T14:12:48"/>
    <s v="3c0e60c4-176e-2c4c-3b85-b46be390cf5e"/>
    <s v="74ab949d-17ac-3309-83a0-13b4405c66aa"/>
    <s v="35fedf4a-4da7-315e-a103-dbcfea0540fa"/>
    <s v="26aab0cd-6aba-3e1b-ac5b-05c8867e762c"/>
    <x v="1"/>
    <n v="185347001"/>
    <s v="Encounter for problem (procedure)"/>
    <n v="85.55"/>
    <n v="516.95000000000005"/>
    <n v="0"/>
    <n v="414545008"/>
    <x v="19"/>
  </r>
  <r>
    <s v="3c0e60c4-176e-2c4c-a163-ad3586d59f5d"/>
    <d v="2024-01-05T19:25:48"/>
    <d v="2024-01-06T00:55:41"/>
    <s v="3c0e60c4-176e-2c4c-3b85-b46be390cf5e"/>
    <s v="74ab949d-17ac-3309-83a0-13b4405c66aa"/>
    <s v="35fedf4a-4da7-315e-a103-dbcfea0540fa"/>
    <s v="26aab0cd-6aba-3e1b-ac5b-05c8867e762c"/>
    <x v="1"/>
    <n v="185347001"/>
    <s v="Encounter for problem (procedure)"/>
    <n v="85.55"/>
    <n v="1444.46"/>
    <n v="0"/>
    <n v="414545008"/>
    <x v="19"/>
  </r>
  <r>
    <s v="3c0e60c4-176e-2c4c-7362-774178171ee6"/>
    <d v="2024-01-07T09:47:41"/>
    <d v="2024-01-08T09:47:41"/>
    <s v="3c0e60c4-176e-2c4c-3b85-b46be390cf5e"/>
    <s v="74ab949d-17ac-3309-83a0-13b4405c66aa"/>
    <s v="35fedf4a-4da7-315e-a103-dbcfea0540fa"/>
    <s v="26aab0cd-6aba-3e1b-ac5b-05c8867e762c"/>
    <x v="6"/>
    <n v="32485007"/>
    <s v="Hospital admission (procedure)"/>
    <n v="146.18"/>
    <n v="61382.57"/>
    <n v="35441.57"/>
    <n v="274531002"/>
    <x v="53"/>
  </r>
  <r>
    <s v="3c0e60c4-176e-2c4c-ecce-35e921cb2d2c"/>
    <d v="2024-01-07T18:11:47"/>
    <d v="2024-01-08T19:27:26"/>
    <s v="3c0e60c4-176e-2c4c-3b85-b46be390cf5e"/>
    <s v="74ab949d-17ac-3309-83a0-13b4405c66aa"/>
    <s v="35fedf4a-4da7-315e-a103-dbcfea0540fa"/>
    <s v="26aab0cd-6aba-3e1b-ac5b-05c8867e762c"/>
    <x v="6"/>
    <n v="397821002"/>
    <s v="Patient transfer to intensive care unit (procedure)"/>
    <n v="146.18"/>
    <n v="7703.16"/>
    <n v="7703.16"/>
    <n v="399261000"/>
    <x v="54"/>
  </r>
  <r>
    <s v="3c0e60c4-176e-2c4c-d4b7-576959c57f62"/>
    <d v="2024-01-08T19:12:26"/>
    <d v="2024-01-09T19:12:26"/>
    <s v="3c0e60c4-176e-2c4c-3b85-b46be390cf5e"/>
    <s v="74ab949d-17ac-3309-83a0-13b4405c66aa"/>
    <s v="35fedf4a-4da7-315e-a103-dbcfea0540fa"/>
    <s v="26aab0cd-6aba-3e1b-ac5b-05c8867e762c"/>
    <x v="6"/>
    <n v="305342007"/>
    <s v="Admission to ward (procedure)"/>
    <n v="146.18"/>
    <n v="1871.78"/>
    <n v="1871.78"/>
    <n v="399261000"/>
    <x v="54"/>
  </r>
  <r>
    <s v="3c0e60c4-176e-2c4c-4573-67ed3d149c72"/>
    <d v="2024-01-11T13:39:12"/>
    <d v="2024-01-11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234.71"/>
    <n v="55822004"/>
    <x v="52"/>
  </r>
  <r>
    <s v="3c0e60c4-176e-2c4c-9fbd-48221c12578b"/>
    <d v="2024-01-22T06:57:38"/>
    <d v="2024-01-23T06:57:38"/>
    <s v="3c0e60c4-176e-2c4c-3b85-b46be390cf5e"/>
    <s v="74ab949d-17ac-3309-83a0-13b4405c66aa"/>
    <s v="35fedf4a-4da7-315e-a103-dbcfea0540fa"/>
    <s v="26aab0cd-6aba-3e1b-ac5b-05c8867e762c"/>
    <x v="6"/>
    <n v="305342007"/>
    <s v="Admission to ward (procedure)"/>
    <n v="146.18"/>
    <n v="1871.78"/>
    <n v="1871.78"/>
    <n v="399261000"/>
    <x v="54"/>
  </r>
  <r>
    <s v="3c0e60c4-176e-2c4c-9480-ecfef183377b"/>
    <d v="2024-09-02T06:02:04"/>
    <d v="2024-09-02T06:24:15"/>
    <s v="3c0e60c4-176e-2c4c-3b85-b46be390cf5e"/>
    <s v="1e11392b-1278-3e70-93cd-f396cbd0c265"/>
    <s v="19044a97-68c4-38fd-a298-37d7032843f6"/>
    <s v="26aab0cd-6aba-3e1b-ac5b-05c8867e762c"/>
    <x v="1"/>
    <n v="185345009"/>
    <s v="Encounter for symptom (procedure)"/>
    <n v="85.55"/>
    <n v="199.12"/>
    <n v="199.12"/>
    <n v="10509002"/>
    <x v="1"/>
  </r>
  <r>
    <s v="3c0e60c4-176e-2c4c-a5d4-97996f2a6181"/>
    <d v="2024-09-12T14:39:12"/>
    <d v="2024-09-12T15:26:44"/>
    <s v="3c0e60c4-176e-2c4c-3b85-b46be390cf5e"/>
    <s v="1e11392b-1278-3e70-93cd-f396cbd0c265"/>
    <s v="19044a97-68c4-38fd-a298-37d7032843f6"/>
    <s v="26aab0cd-6aba-3e1b-ac5b-05c8867e762c"/>
    <x v="2"/>
    <n v="185349003"/>
    <s v="Encounter for check up (procedure)"/>
    <n v="85.55"/>
    <n v="652.95000000000005"/>
    <n v="652.95000000000005"/>
    <m/>
    <x v="0"/>
  </r>
  <r>
    <s v="3c0e60c4-176e-2c4c-5a79-4efee6e0af4a"/>
    <d v="2025-01-02T13:39:12"/>
    <d v="2025-01-02T14:10:15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807.47"/>
    <n v="0"/>
    <m/>
    <x v="0"/>
  </r>
  <r>
    <s v="3c0e60c4-176e-2c4c-43af-4d3a19c17f1b"/>
    <d v="2025-01-10T13:39:12"/>
    <d v="2025-01-10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86de-10f3d9c2cc0c"/>
    <d v="2026-01-08T13:39:12"/>
    <d v="2026-01-08T14:29:26"/>
    <s v="3c0e60c4-176e-2c4c-3b85-b46be390cf5e"/>
    <s v="34f0b10a-5e29-31de-a75e-e0bb03c0c0d4"/>
    <s v="9c2b0eea-4f9c-3e28-8543-d9e554621e7a"/>
    <s v="26aab0cd-6aba-3e1b-ac5b-05c8867e762c"/>
    <x v="0"/>
    <n v="162673000"/>
    <s v="General examination of patient (procedure)"/>
    <n v="136.80000000000001"/>
    <n v="914.78"/>
    <n v="0"/>
    <m/>
    <x v="0"/>
  </r>
  <r>
    <s v="3c0e60c4-176e-2c4c-0cd6-7dee0afd0de0"/>
    <d v="2026-01-10T13:39:12"/>
    <d v="2026-01-10T13:54:12"/>
    <s v="3c0e60c4-176e-2c4c-3b85-b46be390cf5e"/>
    <s v="1e11392b-1278-3e70-93cd-f396cbd0c265"/>
    <s v="19044a97-68c4-38fd-a298-37d7032843f6"/>
    <s v="26aab0cd-6aba-3e1b-ac5b-05c8867e762c"/>
    <x v="1"/>
    <n v="390906007"/>
    <s v="Follow-up encounter (procedure)"/>
    <n v="85.55"/>
    <n v="234.71"/>
    <n v="0"/>
    <n v="55822004"/>
    <x v="52"/>
  </r>
  <r>
    <s v="3c0e60c4-176e-2c4c-1c9f-5d5d4a94d9f1"/>
    <d v="2026-01-22T13:39:12"/>
    <d v="2026-01-22T17:38:13"/>
    <s v="3c0e60c4-176e-2c4c-3b85-b46be390cf5e"/>
    <s v="1e11392b-1278-3e70-93cd-f396cbd0c265"/>
    <s v="19044a97-68c4-38fd-a298-37d7032843f6"/>
    <s v="26aab0cd-6aba-3e1b-ac5b-05c8867e762c"/>
    <x v="1"/>
    <n v="185349003"/>
    <s v="Encounter for check up (procedure)"/>
    <n v="85.55"/>
    <n v="3536.75"/>
    <n v="0"/>
    <n v="103697008"/>
    <x v="3"/>
  </r>
  <r>
    <s v="3c0e60c4-176e-2c4c-d2da-eaaf4d8bea0b"/>
    <d v="2026-04-18T16:23:55"/>
    <d v="2026-04-18T17:18:46"/>
    <s v="3c0e60c4-176e-2c4c-3b85-b46be390cf5e"/>
    <s v="1e11392b-1278-3e70-93cd-f396cbd0c265"/>
    <s v="19044a97-68c4-38fd-a298-37d7032843f6"/>
    <s v="26aab0cd-6aba-3e1b-ac5b-05c8867e762c"/>
    <x v="1"/>
    <n v="185349003"/>
    <s v="Encounter for check up (procedure)"/>
    <n v="85.55"/>
    <n v="12213.93"/>
    <n v="6563.3"/>
    <n v="275978004"/>
    <x v="29"/>
  </r>
  <r>
    <s v="83093df7-a1e4-b827-be3e-2eea7c39e98b"/>
    <d v="2016-09-09T23:08:35"/>
    <d v="2016-09-09T23:23:35"/>
    <s v="83093df7-a1e4-b827-72e6-c6d604fd7748"/>
    <s v="53f086de-2fc7-3d35-92c2-aca4ed944e7f"/>
    <s v="5797d1e8-b8c3-3a27-8d36-d93242f3bd12"/>
    <s v="df166300-5a78-3502-a46a-832842197811"/>
    <x v="1"/>
    <n v="185345009"/>
    <s v="Encounter for symptom (procedure)"/>
    <n v="85.55"/>
    <n v="85.55"/>
    <n v="0"/>
    <n v="43878008"/>
    <x v="18"/>
  </r>
  <r>
    <s v="83093df7-a1e4-b827-a944-208533d7b47b"/>
    <d v="2016-12-05T16:08:35"/>
    <d v="2016-12-05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272.8"/>
    <n v="208.35"/>
    <m/>
    <x v="0"/>
  </r>
  <r>
    <s v="83093df7-a1e4-b827-e1b4-aece8e5a599f"/>
    <d v="2017-12-11T16:08:35"/>
    <d v="2017-12-11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704.2"/>
    <n v="604.20000000000005"/>
    <m/>
    <x v="0"/>
  </r>
  <r>
    <s v="83093df7-a1e4-b827-256c-f242238075e0"/>
    <d v="2017-12-18T16:08:35"/>
    <d v="2017-12-18T19:01:16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3536.75"/>
    <n v="3466.69"/>
    <n v="103697008"/>
    <x v="3"/>
  </r>
  <r>
    <s v="83093df7-a1e4-b827-0b1f-610e8188d262"/>
    <d v="2018-05-12T17:21:38"/>
    <d v="2018-05-12T17:41:25"/>
    <s v="83093df7-a1e4-b827-72e6-c6d604fd7748"/>
    <s v="53f086de-2fc7-3d35-92c2-aca4ed944e7f"/>
    <s v="5797d1e8-b8c3-3a27-8d36-d93242f3bd12"/>
    <s v="df166300-5a78-3502-a46a-832842197811"/>
    <x v="1"/>
    <n v="185345009"/>
    <s v="Encounter for symptom (procedure)"/>
    <n v="85.55"/>
    <n v="169.58"/>
    <n v="119.58"/>
    <n v="10509002"/>
    <x v="1"/>
  </r>
  <r>
    <s v="83093df7-a1e4-b827-1af2-c252a592fbd4"/>
    <d v="2018-05-21T17:08:35"/>
    <d v="2018-05-21T17:23:35"/>
    <s v="83093df7-a1e4-b827-72e6-c6d604fd7748"/>
    <s v="9ce6072b-d039-3cde-8eaf-950211b8ae88"/>
    <s v="517e705f-fc32-3ef1-8c0c-52263ed2b781"/>
    <s v="df166300-5a78-3502-a46a-832842197811"/>
    <x v="4"/>
    <n v="702927004"/>
    <s v="Urgent care clinic (environment)"/>
    <n v="142.58000000000001"/>
    <n v="142.58000000000001"/>
    <n v="92.58"/>
    <m/>
    <x v="0"/>
  </r>
  <r>
    <s v="83093df7-a1e4-b827-90f9-eaeee98f1f04"/>
    <d v="2018-12-17T16:08:35"/>
    <d v="2018-12-17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1567"/>
    <n v="1467"/>
    <m/>
    <x v="0"/>
  </r>
  <r>
    <s v="83093df7-a1e4-b827-cf91-1d81d018c654"/>
    <d v="2018-12-24T16:08:35"/>
    <d v="2018-12-24T19:29:40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3105.35"/>
    <n v="3055.35"/>
    <n v="103697008"/>
    <x v="3"/>
  </r>
  <r>
    <s v="83093df7-a1e4-b827-ec35-4f898790b3a4"/>
    <d v="2019-12-23T16:08:35"/>
    <d v="2019-12-23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1567"/>
    <n v="1467"/>
    <m/>
    <x v="0"/>
  </r>
  <r>
    <s v="83093df7-a1e4-b827-e83b-9caf2552b87e"/>
    <d v="2019-12-30T16:08:35"/>
    <d v="2019-12-30T19:20:51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3105.35"/>
    <n v="3055.35"/>
    <n v="66383009"/>
    <x v="17"/>
  </r>
  <r>
    <s v="83093df7-a1e4-b827-cc02-6335b974c638"/>
    <d v="2020-12-28T16:08:35"/>
    <d v="2020-12-28T16:23:37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1186.78"/>
    <n v="1086.78"/>
    <m/>
    <x v="0"/>
  </r>
  <r>
    <s v="83093df7-a1e4-b827-9820-7ef6be20644c"/>
    <d v="2021-01-04T16:08:35"/>
    <d v="2021-01-04T18:37:00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3105.35"/>
    <n v="3055.35"/>
    <n v="103697008"/>
    <x v="3"/>
  </r>
  <r>
    <s v="83093df7-a1e4-b827-1d5f-5697e3aba0a5"/>
    <d v="2021-12-27T16:08:35"/>
    <d v="2021-12-27T16:23:35"/>
    <s v="83093df7-a1e4-b827-72e6-c6d604fd7748"/>
    <s v="53f086de-2fc7-3d35-92c2-aca4ed944e7f"/>
    <s v="5797d1e8-b8c3-3a27-8d36-d93242f3bd12"/>
    <s v="df166300-5a78-3502-a46a-832842197811"/>
    <x v="2"/>
    <n v="33879002"/>
    <s v="Administration of vaccine to produce active immunity (procedure)"/>
    <n v="142.58000000000001"/>
    <n v="278.58"/>
    <n v="128.58000000000001"/>
    <m/>
    <x v="0"/>
  </r>
  <r>
    <s v="83093df7-a1e4-b827-a188-e6e3a33df48c"/>
    <d v="2022-01-03T16:08:35"/>
    <d v="2022-01-03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1055.9000000000001"/>
    <n v="1055.9000000000001"/>
    <m/>
    <x v="0"/>
  </r>
  <r>
    <s v="83093df7-a1e4-b827-40c5-1edf0955d97b"/>
    <d v="2022-01-17T16:08:35"/>
    <d v="2022-01-17T16:23:35"/>
    <s v="83093df7-a1e4-b827-72e6-c6d604fd7748"/>
    <s v="53f086de-2fc7-3d35-92c2-aca4ed944e7f"/>
    <s v="5797d1e8-b8c3-3a27-8d36-d93242f3bd12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3093df7-a1e4-b827-2ad7-6c084423a6a4"/>
    <d v="2022-01-17T16:08:35"/>
    <d v="2022-01-17T22:27:43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5262.35"/>
    <n v="5212.3500000000004"/>
    <n v="66383009"/>
    <x v="17"/>
  </r>
  <r>
    <s v="83093df7-a1e4-b827-3396-bdd8829af079"/>
    <d v="2022-04-02T07:08:35"/>
    <d v="2022-04-02T07:24:37"/>
    <s v="83093df7-a1e4-b827-72e6-c6d604fd7748"/>
    <s v="53f086de-2fc7-3d35-92c2-aca4ed944e7f"/>
    <s v="5797d1e8-b8c3-3a27-8d36-d93242f3bd12"/>
    <s v="df166300-5a78-3502-a46a-832842197811"/>
    <x v="1"/>
    <n v="185345009"/>
    <s v="Encounter for symptom (procedure)"/>
    <n v="85.55"/>
    <n v="775.79"/>
    <n v="725.79"/>
    <n v="10509002"/>
    <x v="1"/>
  </r>
  <r>
    <s v="83093df7-a1e4-b827-3e76-9fa984311901"/>
    <d v="2022-04-23T22:08:35"/>
    <d v="2022-04-23T22:23:35"/>
    <s v="83093df7-a1e4-b827-72e6-c6d604fd7748"/>
    <s v="53f086de-2fc7-3d35-92c2-aca4ed944e7f"/>
    <s v="5797d1e8-b8c3-3a27-8d36-d93242f3bd12"/>
    <s v="df166300-5a78-3502-a46a-832842197811"/>
    <x v="1"/>
    <n v="185345009"/>
    <s v="Encounter for symptom (procedure)"/>
    <n v="85.55"/>
    <n v="85.55"/>
    <n v="35.549999999999997"/>
    <n v="195662009"/>
    <x v="9"/>
  </r>
  <r>
    <s v="83093df7-a1e4-b827-87dd-578ba734551a"/>
    <d v="2022-05-02T17:08:35"/>
    <d v="2022-05-02T17:38:15"/>
    <s v="83093df7-a1e4-b827-72e6-c6d604fd7748"/>
    <s v="53f086de-2fc7-3d35-92c2-aca4ed944e7f"/>
    <s v="5797d1e8-b8c3-3a27-8d36-d93242f3bd12"/>
    <s v="df166300-5a78-3502-a46a-832842197811"/>
    <x v="2"/>
    <n v="185349003"/>
    <s v="Encounter for check up (procedure)"/>
    <n v="85.55"/>
    <n v="652.95000000000005"/>
    <n v="602.95000000000005"/>
    <m/>
    <x v="0"/>
  </r>
  <r>
    <s v="83093df7-a1e4-b827-1f10-39a59a8ca5ab"/>
    <d v="2023-01-09T16:08:35"/>
    <d v="2023-01-09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704.2"/>
    <n v="604.20000000000005"/>
    <m/>
    <x v="0"/>
  </r>
  <r>
    <s v="83093df7-a1e4-b827-cc95-06075c087429"/>
    <d v="2023-01-23T16:08:35"/>
    <d v="2023-01-23T22:25:40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5262.35"/>
    <n v="5212.3500000000004"/>
    <n v="66383009"/>
    <x v="17"/>
  </r>
  <r>
    <s v="83093df7-a1e4-b827-567e-9ea93ee14b40"/>
    <d v="2024-01-15T16:08:35"/>
    <d v="2024-01-15T16:33:00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704.2"/>
    <n v="604.20000000000005"/>
    <m/>
    <x v="0"/>
  </r>
  <r>
    <s v="83093df7-a1e4-b827-520f-8e09ffce32d9"/>
    <d v="2025-01-20T16:08:35"/>
    <d v="2025-01-20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1347.75"/>
    <n v="1247.75"/>
    <m/>
    <x v="0"/>
  </r>
  <r>
    <s v="83093df7-a1e4-b827-83c4-019220f36dde"/>
    <d v="2025-12-01T09:08:35"/>
    <d v="2025-12-01T09:23:35"/>
    <s v="83093df7-a1e4-b827-72e6-c6d604fd7748"/>
    <s v="53f086de-2fc7-3d35-92c2-aca4ed944e7f"/>
    <s v="5797d1e8-b8c3-3a27-8d36-d93242f3bd12"/>
    <s v="df166300-5a78-3502-a46a-832842197811"/>
    <x v="1"/>
    <n v="185345009"/>
    <s v="Encounter for symptom (procedure)"/>
    <n v="85.55"/>
    <n v="85.55"/>
    <n v="35.549999999999997"/>
    <n v="444814009"/>
    <x v="2"/>
  </r>
  <r>
    <s v="83093df7-a1e4-b827-d0f4-c2c1f8aee421"/>
    <d v="2026-01-26T16:08:35"/>
    <d v="2026-01-26T16:23:35"/>
    <s v="83093df7-a1e4-b827-72e6-c6d604fd7748"/>
    <s v="7a75decf-7d3f-3b0d-8c2b-3abf0a8c7f58"/>
    <s v="a1b97c2a-6222-30d6-ba2f-4bbab53dd774"/>
    <s v="df166300-5a78-3502-a46a-832842197811"/>
    <x v="0"/>
    <n v="410620009"/>
    <s v="Well child visit (procedure)"/>
    <n v="136.80000000000001"/>
    <n v="914.78"/>
    <n v="814.78"/>
    <m/>
    <x v="0"/>
  </r>
  <r>
    <s v="83093df7-a1e4-b827-9a47-f31c91185d52"/>
    <d v="2026-02-09T16:08:35"/>
    <d v="2026-02-09T19:08:22"/>
    <s v="83093df7-a1e4-b827-72e6-c6d604fd7748"/>
    <s v="53f086de-2fc7-3d35-92c2-aca4ed944e7f"/>
    <s v="5797d1e8-b8c3-3a27-8d36-d93242f3bd12"/>
    <s v="df166300-5a78-3502-a46a-832842197811"/>
    <x v="1"/>
    <n v="185349003"/>
    <s v="Encounter for check up (procedure)"/>
    <n v="85.55"/>
    <n v="3105.35"/>
    <n v="3055.35"/>
    <n v="66383009"/>
    <x v="17"/>
  </r>
  <r>
    <s v="3a9c6df2-621a-6239-099b-1136d1a78b9a"/>
    <d v="2023-04-26T06:55:09"/>
    <d v="2023-04-26T07:10:09"/>
    <s v="3a9c6df2-621a-6239-0760-e58544d252f6"/>
    <s v="39c15c0f-5c49-311e-99d2-1fb99d80e06e"/>
    <s v="13a607f1-5369-353c-8884-40572ca6c2a9"/>
    <s v="e03e23c9-4df1-3eb6-a62d-f70f02301496"/>
    <x v="0"/>
    <n v="410620009"/>
    <s v="Well child visit (procedure)"/>
    <n v="136.80000000000001"/>
    <n v="853.02"/>
    <n v="0"/>
    <m/>
    <x v="0"/>
  </r>
  <r>
    <s v="3a9c6df2-621a-6239-19a3-d871c2e06d6c"/>
    <d v="2023-05-31T06:55:09"/>
    <d v="2023-05-31T07:10:09"/>
    <s v="3a9c6df2-621a-6239-0760-e58544d252f6"/>
    <s v="39c15c0f-5c49-311e-99d2-1fb99d80e06e"/>
    <s v="13a607f1-5369-353c-8884-40572ca6c2a9"/>
    <s v="e03e23c9-4df1-3eb6-a62d-f70f02301496"/>
    <x v="0"/>
    <n v="410620009"/>
    <s v="Well child visit (procedure)"/>
    <n v="136.80000000000001"/>
    <n v="488.5"/>
    <n v="0"/>
    <m/>
    <x v="0"/>
  </r>
  <r>
    <s v="3a9c6df2-621a-6239-7ffa-d603308ac9a5"/>
    <d v="2023-08-02T06:55:09"/>
    <d v="2023-08-02T07:10:09"/>
    <s v="3a9c6df2-621a-6239-0760-e58544d252f6"/>
    <s v="39c15c0f-5c49-311e-99d2-1fb99d80e06e"/>
    <s v="13a607f1-5369-353c-8884-40572ca6c2a9"/>
    <s v="e03e23c9-4df1-3eb6-a62d-f70f02301496"/>
    <x v="0"/>
    <n v="410620009"/>
    <s v="Well child visit (procedure)"/>
    <n v="136.80000000000001"/>
    <n v="816.8"/>
    <n v="0"/>
    <m/>
    <x v="0"/>
  </r>
  <r>
    <s v="3a9c6df2-621a-6239-aaa8-09a99017d548"/>
    <d v="2023-10-04T06:55:09"/>
    <d v="2023-10-04T07:10:09"/>
    <s v="3a9c6df2-621a-6239-0760-e58544d252f6"/>
    <s v="39c15c0f-5c49-311e-99d2-1fb99d80e06e"/>
    <s v="13a607f1-5369-353c-8884-40572ca6c2a9"/>
    <s v="e03e23c9-4df1-3eb6-a62d-f70f02301496"/>
    <x v="0"/>
    <n v="410620009"/>
    <s v="Well child visit (procedure)"/>
    <n v="136.80000000000001"/>
    <n v="816.8"/>
    <n v="0"/>
    <m/>
    <x v="0"/>
  </r>
  <r>
    <s v="3a9c6df2-621a-6239-3cd5-e95476d7f1c4"/>
    <d v="2023-10-23T06:55:09"/>
    <d v="2023-10-23T10:07:09"/>
    <s v="3a9c6df2-621a-6239-0760-e58544d252f6"/>
    <s v="22249c0a-8ce9-3726-a3bb-b037c773ce5c"/>
    <s v="6e0e62ba-6eea-380a-b7d5-fa26dfe29e1e"/>
    <s v="e03e23c9-4df1-3eb6-a62d-f70f02301496"/>
    <x v="3"/>
    <n v="50849002"/>
    <s v="Emergency room admission (procedure)"/>
    <n v="146.18"/>
    <n v="2889.63"/>
    <n v="0"/>
    <n v="241929008"/>
    <x v="55"/>
  </r>
  <r>
    <s v="3a9c6df2-621a-6239-0d83-1ff307176ae4"/>
    <d v="2023-10-23T15:07:09"/>
    <d v="2023-10-23T15:22:09"/>
    <s v="3a9c6df2-621a-6239-0760-e58544d252f6"/>
    <s v="82c72223-f521-3a34-9b9b-4ff366365399"/>
    <s v="48161b80-5072-3523-81e7-3329b8e71887"/>
    <s v="e03e23c9-4df1-3eb6-a62d-f70f02301496"/>
    <x v="1"/>
    <n v="185347001"/>
    <s v="Encounter for problem (procedure)"/>
    <n v="85.55"/>
    <n v="85.55"/>
    <n v="0"/>
    <n v="3718001"/>
    <x v="56"/>
  </r>
  <r>
    <s v="3a9c6df2-621a-6239-1778-331bfa6f27fa"/>
    <d v="2023-11-03T02:55:09"/>
    <d v="2023-11-03T03:23:33"/>
    <s v="3a9c6df2-621a-6239-0760-e58544d252f6"/>
    <s v="82c72223-f521-3a34-9b9b-4ff366365399"/>
    <s v="48161b80-5072-3523-81e7-3329b8e71887"/>
    <s v="e03e23c9-4df1-3eb6-a62d-f70f02301496"/>
    <x v="1"/>
    <n v="185347001"/>
    <s v="Encounter for problem (procedure)"/>
    <n v="85.55"/>
    <n v="516.95000000000005"/>
    <n v="0"/>
    <n v="609328004"/>
    <x v="11"/>
  </r>
  <r>
    <s v="3a9c6df2-621a-6239-54b2-ebfb0a2bad3a"/>
    <d v="2023-12-27T05:55:09"/>
    <d v="2023-12-27T06:10:09"/>
    <s v="3a9c6df2-621a-6239-0760-e58544d252f6"/>
    <s v="82c72223-f521-3a34-9b9b-4ff366365399"/>
    <s v="48161b80-5072-3523-81e7-3329b8e71887"/>
    <s v="e03e23c9-4df1-3eb6-a62d-f70f02301496"/>
    <x v="1"/>
    <n v="185347001"/>
    <s v="Encounter for problem (procedure)"/>
    <n v="85.55"/>
    <n v="85.55"/>
    <n v="0"/>
    <n v="24079001"/>
    <x v="57"/>
  </r>
  <r>
    <s v="3a9c6df2-621a-6239-92df-8c85d84f5a1d"/>
    <d v="2024-01-03T05:55:09"/>
    <d v="2024-01-03T06:10:09"/>
    <s v="3a9c6df2-621a-6239-0760-e58544d252f6"/>
    <s v="39c15c0f-5c49-311e-99d2-1fb99d80e06e"/>
    <s v="13a607f1-5369-353c-8884-40572ca6c2a9"/>
    <s v="e03e23c9-4df1-3eb6-a62d-f70f02301496"/>
    <x v="0"/>
    <n v="410620009"/>
    <s v="Well child visit (procedure)"/>
    <n v="136.80000000000001"/>
    <n v="1399"/>
    <n v="0"/>
    <m/>
    <x v="0"/>
  </r>
  <r>
    <s v="3a9c6df2-621a-6239-6d4b-ecb806966738"/>
    <d v="2024-01-10T05:55:09"/>
    <d v="2024-01-10T06:10:09"/>
    <s v="3a9c6df2-621a-6239-0760-e58544d252f6"/>
    <s v="82c72223-f521-3a34-9b9b-4ff366365399"/>
    <s v="48161b80-5072-3523-81e7-3329b8e71887"/>
    <s v="e03e23c9-4df1-3eb6-a62d-f70f02301496"/>
    <x v="1"/>
    <n v="185347001"/>
    <s v="Encounter for problem (procedure)"/>
    <n v="85.55"/>
    <n v="85.55"/>
    <n v="0"/>
    <n v="24079001"/>
    <x v="57"/>
  </r>
  <r>
    <s v="3a9c6df2-621a-6239-c167-a9d22aaa93a7"/>
    <d v="2024-03-20T06:55:09"/>
    <d v="2024-03-20T07:55:09"/>
    <s v="3a9c6df2-621a-6239-0760-e58544d252f6"/>
    <s v="22249c0a-8ce9-3726-a3bb-b037c773ce5c"/>
    <s v="6e0e62ba-6eea-380a-b7d5-fa26dfe29e1e"/>
    <s v="e03e23c9-4df1-3eb6-a62d-f70f02301496"/>
    <x v="3"/>
    <n v="50849002"/>
    <s v="Emergency room admission (procedure)"/>
    <n v="146.18"/>
    <n v="4140.8900000000003"/>
    <n v="0"/>
    <n v="312608009"/>
    <x v="20"/>
  </r>
  <r>
    <s v="3a9c6df2-621a-6239-25f3-6c499e9440f9"/>
    <d v="2024-04-03T06:55:09"/>
    <d v="2024-04-03T07:10:09"/>
    <s v="3a9c6df2-621a-6239-0760-e58544d252f6"/>
    <s v="39c15c0f-5c49-311e-99d2-1fb99d80e06e"/>
    <s v="13a607f1-5369-353c-8884-40572ca6c2a9"/>
    <s v="e03e23c9-4df1-3eb6-a62d-f70f02301496"/>
    <x v="0"/>
    <n v="410620009"/>
    <s v="Well child visit (procedure)"/>
    <n v="136.80000000000001"/>
    <n v="136.80000000000001"/>
    <n v="0"/>
    <m/>
    <x v="0"/>
  </r>
  <r>
    <s v="3a9c6df2-621a-6239-8326-04d1f556d1bc"/>
    <d v="2024-04-10T06:55:09"/>
    <d v="2024-04-10T07:10:09"/>
    <s v="3a9c6df2-621a-6239-0760-e58544d252f6"/>
    <s v="82c72223-f521-3a34-9b9b-4ff366365399"/>
    <s v="48161b80-5072-3523-81e7-3329b8e71887"/>
    <s v="e03e23c9-4df1-3eb6-a62d-f70f02301496"/>
    <x v="2"/>
    <n v="185345009"/>
    <s v="Encounter for symptom (procedure)"/>
    <n v="85.55"/>
    <n v="85.55"/>
    <n v="0"/>
    <n v="65363002"/>
    <x v="25"/>
  </r>
  <r>
    <s v="3a9c6df2-621a-6239-41a6-44441a30292b"/>
    <d v="2024-07-03T06:55:09"/>
    <d v="2024-07-03T07:10:09"/>
    <s v="3a9c6df2-621a-6239-0760-e58544d252f6"/>
    <s v="39c15c0f-5c49-311e-99d2-1fb99d80e06e"/>
    <s v="13a607f1-5369-353c-8884-40572ca6c2a9"/>
    <s v="a735bf55-83e9-331a-899d-a82a60b9f60c"/>
    <x v="0"/>
    <n v="410620009"/>
    <s v="Well child visit (procedure)"/>
    <n v="136.80000000000001"/>
    <n v="1097.9100000000001"/>
    <n v="691.93"/>
    <m/>
    <x v="0"/>
  </r>
  <r>
    <s v="3a9c6df2-621a-6239-6c60-2959fb482949"/>
    <d v="2024-10-02T06:55:09"/>
    <d v="2024-10-02T07:10:09"/>
    <s v="3a9c6df2-621a-6239-0760-e58544d252f6"/>
    <s v="39c15c0f-5c49-311e-99d2-1fb99d80e06e"/>
    <s v="13a607f1-5369-353c-8884-40572ca6c2a9"/>
    <s v="a735bf55-83e9-331a-899d-a82a60b9f60c"/>
    <x v="0"/>
    <n v="410620009"/>
    <s v="Well child visit (procedure)"/>
    <n v="136.80000000000001"/>
    <n v="851.52"/>
    <n v="681.22"/>
    <m/>
    <x v="0"/>
  </r>
  <r>
    <s v="3a9c6df2-621a-6239-7ed2-84b2cfe99ac1"/>
    <d v="2025-04-02T06:55:09"/>
    <d v="2025-04-02T07:10:09"/>
    <s v="3a9c6df2-621a-6239-0760-e58544d252f6"/>
    <s v="39c15c0f-5c49-311e-99d2-1fb99d80e06e"/>
    <s v="13a607f1-5369-353c-8884-40572ca6c2a9"/>
    <s v="a735bf55-83e9-331a-899d-a82a60b9f60c"/>
    <x v="0"/>
    <n v="410620009"/>
    <s v="Well child visit (procedure)"/>
    <n v="136.80000000000001"/>
    <n v="1135.5999999999999"/>
    <n v="908.48"/>
    <m/>
    <x v="0"/>
  </r>
  <r>
    <s v="3a9c6df2-621a-6239-562f-deba64894c64"/>
    <d v="2025-10-01T06:55:09"/>
    <d v="2025-10-01T07:10:09"/>
    <s v="3a9c6df2-621a-6239-0760-e58544d252f6"/>
    <s v="39c15c0f-5c49-311e-99d2-1fb99d80e06e"/>
    <s v="13a607f1-5369-353c-8884-40572ca6c2a9"/>
    <s v="a735bf55-83e9-331a-899d-a82a60b9f60c"/>
    <x v="0"/>
    <n v="410620009"/>
    <s v="Well child visit (procedure)"/>
    <n v="136.80000000000001"/>
    <n v="272.8"/>
    <n v="31.84"/>
    <m/>
    <x v="0"/>
  </r>
  <r>
    <s v="3a9c6df2-621a-6239-88bd-77ded2664c9b"/>
    <d v="2026-04-01T06:55:09"/>
    <d v="2026-04-01T07:10:09"/>
    <s v="3a9c6df2-621a-6239-0760-e58544d252f6"/>
    <s v="39c15c0f-5c49-311e-99d2-1fb99d80e06e"/>
    <s v="13a607f1-5369-353c-8884-40572ca6c2a9"/>
    <s v="a735bf55-83e9-331a-899d-a82a60b9f60c"/>
    <x v="0"/>
    <n v="410620009"/>
    <s v="Well child visit (procedure)"/>
    <n v="136.80000000000001"/>
    <n v="972.53"/>
    <n v="778.02"/>
    <m/>
    <x v="0"/>
  </r>
  <r>
    <s v="3a9c6df2-621a-6239-7c8e-f30fcdb8d109"/>
    <d v="2026-04-08T06:55:09"/>
    <d v="2026-04-08T10:51:57"/>
    <s v="3a9c6df2-621a-6239-0760-e58544d252f6"/>
    <s v="82c72223-f521-3a34-9b9b-4ff366365399"/>
    <s v="48161b80-5072-3523-81e7-3329b8e71887"/>
    <s v="a735bf55-83e9-331a-899d-a82a60b9f60c"/>
    <x v="1"/>
    <n v="185349003"/>
    <s v="Encounter for check up (procedure)"/>
    <n v="85.55"/>
    <n v="3105.35"/>
    <n v="2484.2800000000002"/>
    <n v="103697008"/>
    <x v="3"/>
  </r>
  <r>
    <s v="45f3a7b6-d706-f174-3963-38c8f88c9402"/>
    <d v="2019-02-24T11:04:26"/>
    <d v="2019-02-24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347.38"/>
    <n v="0"/>
    <m/>
    <x v="0"/>
  </r>
  <r>
    <s v="45f3a7b6-d706-f174-a825-dd1db6145981"/>
    <d v="2019-03-31T12:04:26"/>
    <d v="2019-03-31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272.8"/>
    <n v="0"/>
    <m/>
    <x v="0"/>
  </r>
  <r>
    <s v="45f3a7b6-d706-f174-5275-16c7c370b545"/>
    <d v="2019-06-02T12:04:26"/>
    <d v="2019-06-02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816.8"/>
    <n v="0"/>
    <m/>
    <x v="0"/>
  </r>
  <r>
    <s v="45f3a7b6-d706-f174-c21b-2c952185a1ac"/>
    <d v="2019-08-04T12:04:26"/>
    <d v="2019-08-04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816.8"/>
    <n v="636.62"/>
    <m/>
    <x v="0"/>
  </r>
  <r>
    <s v="45f3a7b6-d706-f174-f7f3-2e09752dcf81"/>
    <d v="2019-11-03T11:04:26"/>
    <d v="2019-11-03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1214.3499999999999"/>
    <n v="971.48"/>
    <m/>
    <x v="0"/>
  </r>
  <r>
    <s v="45f3a7b6-d706-f174-72f7-f5282fdbe809"/>
    <d v="2020-01-21T17:04:26"/>
    <d v="2020-01-21T17:19:26"/>
    <s v="45f3a7b6-d706-f174-d043-16814aa127ed"/>
    <s v="2836d9ac-c6a6-39d1-8f13-fdf0fc8928f4"/>
    <s v="51936775-54b2-3316-b84c-195ddefe763c"/>
    <s v="d31fccc3-1767-390d-966a-22a5156f4219"/>
    <x v="1"/>
    <n v="185345009"/>
    <s v="Encounter for symptom (procedure)"/>
    <n v="85.55"/>
    <n v="7955.25"/>
    <n v="6364.2"/>
    <n v="10509002"/>
    <x v="1"/>
  </r>
  <r>
    <s v="45f3a7b6-d706-f174-952f-a802aad8857a"/>
    <d v="2020-02-02T11:04:26"/>
    <d v="2020-02-02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848.03"/>
    <n v="678.42"/>
    <m/>
    <x v="0"/>
  </r>
  <r>
    <s v="45f3a7b6-d706-f174-bb63-e149d4d696ce"/>
    <d v="2020-02-09T11:04:26"/>
    <d v="2020-02-09T11:19:26"/>
    <s v="45f3a7b6-d706-f174-d043-16814aa127ed"/>
    <s v="2836d9ac-c6a6-39d1-8f13-fdf0fc8928f4"/>
    <s v="51936775-54b2-3316-b84c-195ddefe763c"/>
    <s v="d31fccc3-1767-390d-966a-22a5156f4219"/>
    <x v="2"/>
    <n v="185349003"/>
    <s v="Encounter for check up (procedure)"/>
    <n v="85.55"/>
    <n v="301.25"/>
    <n v="241"/>
    <m/>
    <x v="0"/>
  </r>
  <r>
    <s v="45f3a7b6-d706-f174-763f-3c0fdd7cc489"/>
    <d v="2020-03-20T12:04:26"/>
    <d v="2020-03-20T12:19:26"/>
    <s v="45f3a7b6-d706-f174-d043-16814aa127ed"/>
    <s v="2836d9ac-c6a6-39d1-8f13-fdf0fc8928f4"/>
    <s v="51936775-54b2-3316-b84c-195ddefe763c"/>
    <s v="d31fccc3-1767-390d-966a-22a5156f4219"/>
    <x v="2"/>
    <n v="185345009"/>
    <s v="Encounter for symptom (procedure)"/>
    <n v="85.55"/>
    <n v="85.55"/>
    <n v="0"/>
    <n v="65363002"/>
    <x v="25"/>
  </r>
  <r>
    <s v="45f3a7b6-d706-f174-4147-32cd15559da3"/>
    <d v="2020-04-11T15:04:26"/>
    <d v="2020-04-11T15:19:26"/>
    <s v="45f3a7b6-d706-f174-d043-16814aa127ed"/>
    <s v="2836d9ac-c6a6-39d1-8f13-fdf0fc8928f4"/>
    <s v="51936775-54b2-3316-b84c-195ddefe763c"/>
    <s v="d31fccc3-1767-390d-966a-22a5156f4219"/>
    <x v="1"/>
    <n v="185347001"/>
    <s v="Encounter for problem (procedure)"/>
    <n v="85.55"/>
    <n v="85.55"/>
    <n v="0"/>
    <n v="735029006"/>
    <x v="58"/>
  </r>
  <r>
    <s v="45f3a7b6-d706-f174-13ee-73516a1139ab"/>
    <d v="2020-04-20T21:04:26"/>
    <d v="2020-04-20T21:35:56"/>
    <s v="45f3a7b6-d706-f174-d043-16814aa127ed"/>
    <s v="2836d9ac-c6a6-39d1-8f13-fdf0fc8928f4"/>
    <s v="51936775-54b2-3316-b84c-195ddefe763c"/>
    <s v="d31fccc3-1767-390d-966a-22a5156f4219"/>
    <x v="1"/>
    <n v="185347001"/>
    <s v="Encounter for problem (procedure)"/>
    <n v="85.55"/>
    <n v="516.95000000000005"/>
    <n v="0"/>
    <n v="609328004"/>
    <x v="11"/>
  </r>
  <r>
    <s v="45f3a7b6-d706-f174-e3d1-5d503bfc0598"/>
    <d v="2020-05-03T12:04:26"/>
    <d v="2020-05-03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816.8"/>
    <n v="311.54000000000002"/>
    <m/>
    <x v="0"/>
  </r>
  <r>
    <s v="45f3a7b6-d706-f174-ff5e-bcf585dd8530"/>
    <d v="2020-08-02T12:04:26"/>
    <d v="2020-08-02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272.8"/>
    <n v="218.24"/>
    <m/>
    <x v="0"/>
  </r>
  <r>
    <s v="45f3a7b6-d706-f174-9075-a9f2e04c7585"/>
    <d v="2021-01-31T11:04:26"/>
    <d v="2021-01-31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272.8"/>
    <n v="218.24"/>
    <m/>
    <x v="0"/>
  </r>
  <r>
    <s v="45f3a7b6-d706-f174-bec3-dc101c87299d"/>
    <d v="2021-08-01T12:04:26"/>
    <d v="2021-08-01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272.8"/>
    <n v="0"/>
    <m/>
    <x v="0"/>
  </r>
  <r>
    <s v="45f3a7b6-d706-f174-c417-702668de17b5"/>
    <d v="2022-01-30T11:04:26"/>
    <d v="2022-01-30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1135.5999999999999"/>
    <n v="0"/>
    <m/>
    <x v="0"/>
  </r>
  <r>
    <s v="45f3a7b6-d706-f174-1f82-615fd2d92e85"/>
    <d v="2022-07-31T12:04:26"/>
    <d v="2022-07-31T12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443.84"/>
    <n v="0"/>
    <m/>
    <x v="0"/>
  </r>
  <r>
    <s v="45f3a7b6-d706-f174-4b16-ae80d8010511"/>
    <d v="2023-01-29T11:04:26"/>
    <d v="2023-01-29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272.8"/>
    <n v="0"/>
    <m/>
    <x v="0"/>
  </r>
  <r>
    <s v="45f3a7b6-d706-f174-1ce3-a19c06a5d62e"/>
    <d v="2023-05-12T12:04:26"/>
    <d v="2023-05-12T12:19:26"/>
    <s v="45f3a7b6-d706-f174-d043-16814aa127ed"/>
    <s v="2836d9ac-c6a6-39d1-8f13-fdf0fc8928f4"/>
    <s v="51936775-54b2-3316-b84c-195ddefe763c"/>
    <s v="d31fccc3-1767-390d-966a-22a5156f4219"/>
    <x v="1"/>
    <n v="185345009"/>
    <s v="Encounter for symptom (procedure)"/>
    <n v="85.55"/>
    <n v="85.55"/>
    <n v="0"/>
    <n v="367498001"/>
    <x v="59"/>
  </r>
  <r>
    <s v="45f3a7b6-d706-f174-6f47-6e914e4787af"/>
    <d v="2023-07-17T12:04:26"/>
    <d v="2023-07-17T12:19:26"/>
    <s v="45f3a7b6-d706-f174-d043-16814aa127ed"/>
    <s v="2836d9ac-c6a6-39d1-8f13-fdf0fc8928f4"/>
    <s v="51936775-54b2-3316-b84c-195ddefe763c"/>
    <s v="d31fccc3-1767-390d-966a-22a5156f4219"/>
    <x v="2"/>
    <n v="185345009"/>
    <s v="Encounter for symptom (procedure)"/>
    <n v="85.55"/>
    <n v="85.55"/>
    <n v="0"/>
    <n v="65363002"/>
    <x v="25"/>
  </r>
  <r>
    <s v="45f3a7b6-d706-f174-5a5f-a6a7b7347502"/>
    <d v="2024-02-04T11:04:26"/>
    <d v="2024-02-04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1248.2"/>
    <n v="13.94"/>
    <m/>
    <x v="0"/>
  </r>
  <r>
    <s v="45f3a7b6-d706-f174-0603-792f0d9a8d8a"/>
    <d v="2024-02-11T11:04:26"/>
    <d v="2024-02-11T15:07:38"/>
    <s v="45f3a7b6-d706-f174-d043-16814aa127ed"/>
    <s v="2836d9ac-c6a6-39d1-8f13-fdf0fc8928f4"/>
    <s v="51936775-54b2-3316-b84c-195ddefe763c"/>
    <s v="d31fccc3-1767-390d-966a-22a5156f4219"/>
    <x v="1"/>
    <n v="185349003"/>
    <s v="Encounter for check up (procedure)"/>
    <n v="85.55"/>
    <n v="3536.75"/>
    <n v="2829.4"/>
    <n v="103697008"/>
    <x v="3"/>
  </r>
  <r>
    <s v="45f3a7b6-d706-f174-e63a-3a68946df226"/>
    <d v="2024-09-01T12:04:26"/>
    <d v="2024-09-01T12:19:26"/>
    <s v="45f3a7b6-d706-f174-d043-16814aa127ed"/>
    <s v="2836d9ac-c6a6-39d1-8f13-fdf0fc8928f4"/>
    <s v="51936775-54b2-3316-b84c-195ddefe763c"/>
    <s v="d31fccc3-1767-390d-966a-22a5156f4219"/>
    <x v="2"/>
    <n v="185345009"/>
    <s v="Encounter for symptom (procedure)"/>
    <n v="85.55"/>
    <n v="85.55"/>
    <n v="0"/>
    <n v="65363002"/>
    <x v="25"/>
  </r>
  <r>
    <s v="45f3a7b6-d706-f174-80d0-b769d7952397"/>
    <d v="2025-02-09T11:04:26"/>
    <d v="2025-02-09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563.08000000000004"/>
    <n v="0"/>
    <m/>
    <x v="0"/>
  </r>
  <r>
    <s v="45f3a7b6-d706-f174-f19c-75b342882124"/>
    <d v="2026-02-15T11:04:26"/>
    <d v="2026-02-15T11:19:26"/>
    <s v="45f3a7b6-d706-f174-d043-16814aa127ed"/>
    <s v="2e8b42f8-4300-30a9-a576-d513d1021a0a"/>
    <s v="56c4f30b-7d23-3d4e-92dd-b5b84fd0edf4"/>
    <s v="d31fccc3-1767-390d-966a-22a5156f4219"/>
    <x v="0"/>
    <n v="410620009"/>
    <s v="Well child visit (procedure)"/>
    <n v="136.80000000000001"/>
    <n v="272.8"/>
    <n v="0"/>
    <m/>
    <x v="0"/>
  </r>
  <r>
    <s v="45f3a7b6-d706-f174-3c92-7d580fae5fdd"/>
    <d v="2026-06-08T15:04:26"/>
    <d v="2026-06-08T15:19:26"/>
    <s v="45f3a7b6-d706-f174-d043-16814aa127ed"/>
    <s v="2836d9ac-c6a6-39d1-8f13-fdf0fc8928f4"/>
    <s v="51936775-54b2-3316-b84c-195ddefe763c"/>
    <s v="d31fccc3-1767-390d-966a-22a5156f4219"/>
    <x v="1"/>
    <n v="185347001"/>
    <s v="Encounter for problem (procedure)"/>
    <n v="85.55"/>
    <n v="85.55"/>
    <n v="0"/>
    <n v="735029006"/>
    <x v="58"/>
  </r>
  <r>
    <s v="a45aa142-d1e9-d944-c1f4-f6668098bff3"/>
    <d v="1981-11-18T09:32:41"/>
    <d v="1981-11-18T10:29:30"/>
    <s v="a45aa142-d1e9-d944-f2c7-05015c90762d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704.2"/>
    <n v="0"/>
    <m/>
    <x v="0"/>
  </r>
  <r>
    <s v="a45aa142-d1e9-d944-1e9f-167d15a41321"/>
    <d v="1982-11-24T09:32:41"/>
    <d v="1982-11-24T10:19:00"/>
    <s v="a45aa142-d1e9-d944-f2c7-05015c90762d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849.22"/>
    <n v="0"/>
    <m/>
    <x v="0"/>
  </r>
  <r>
    <s v="a45aa142-d1e9-d944-ee8b-fd10ca5036b8"/>
    <d v="1991-12-04T09:32:41"/>
    <d v="1991-12-04T10:05:05"/>
    <s v="a45aa142-d1e9-d944-f2c7-05015c90762d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860.16"/>
    <n v="0"/>
    <m/>
    <x v="0"/>
  </r>
  <r>
    <s v="a45aa142-d1e9-d944-8162-3eedfb0c66f1"/>
    <d v="2007-10-10T10:32:41"/>
    <d v="2007-10-10T11:24:56"/>
    <s v="a45aa142-d1e9-d944-f2c7-05015c90762d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785.58"/>
    <n v="0"/>
    <m/>
    <x v="0"/>
  </r>
  <r>
    <s v="a45aa142-d1e9-d944-0601-bb545ffb2640"/>
    <d v="2009-10-14T10:32:41"/>
    <d v="2009-10-14T11:22:01"/>
    <s v="a45aa142-d1e9-d944-f2c7-05015c90762d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934.74"/>
    <n v="0"/>
    <m/>
    <x v="0"/>
  </r>
  <r>
    <s v="a45aa142-d1e9-d944-f8e1-db94c15a84f6"/>
    <d v="2009-10-27T05:07:09"/>
    <d v="2009-10-27T10:14:32"/>
    <s v="a45aa142-d1e9-d944-f2c7-05015c90762d"/>
    <s v="74ab949d-17ac-3309-83a0-13b4405c66aa"/>
    <s v="35fedf4a-4da7-315e-a103-dbcfea0540fa"/>
    <s v="e03e23c9-4df1-3eb6-a62d-f70f02301496"/>
    <x v="1"/>
    <n v="185347001"/>
    <s v="Encounter for problem (procedure)"/>
    <n v="85.55"/>
    <n v="1875.86"/>
    <n v="0"/>
    <n v="414545008"/>
    <x v="19"/>
  </r>
  <r>
    <s v="a45aa142-d1e9-d944-e39f-b8f466633d48"/>
    <d v="2010-09-13T10:32:41"/>
    <d v="2010-09-13T11:21:53"/>
    <s v="a45aa142-d1e9-d944-f2c7-05015c90762d"/>
    <s v="352f2e3b-0708-3eb4-9f7e-e73a685bf379"/>
    <s v="4ba67eac-a99d-34c8-9055-4cf0013c75cc"/>
    <s v="e03e23c9-4df1-3eb6-a62d-f70f02301496"/>
    <x v="1"/>
    <n v="185345009"/>
    <s v="Encounter for symptom (procedure)"/>
    <n v="85.55"/>
    <n v="948.35"/>
    <n v="0"/>
    <n v="39898005"/>
    <x v="60"/>
  </r>
  <r>
    <s v="a45aa142-d1e9-d944-291c-8797ce950b0e"/>
    <d v="2010-10-03T12:13:01"/>
    <d v="2010-10-04T12:13:01"/>
    <s v="a45aa142-d1e9-d944-f2c7-05015c90762d"/>
    <s v="352f2e3b-0708-3eb4-9f7e-e73a685bf379"/>
    <s v="4ba67eac-a99d-34c8-9055-4cf0013c75cc"/>
    <s v="a735bf55-83e9-331a-899d-a82a60b9f60c"/>
    <x v="6"/>
    <n v="185347001"/>
    <s v="Encounter for problem (procedure)"/>
    <n v="87.71"/>
    <n v="997.39"/>
    <n v="611.51"/>
    <n v="39898005"/>
    <x v="60"/>
  </r>
  <r>
    <s v="a45aa142-d1e9-d944-91d9-2413ee3789f5"/>
    <d v="2011-10-19T10:32:41"/>
    <d v="2011-10-19T11:21:21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10.18"/>
    <n v="781.74"/>
    <m/>
    <x v="0"/>
  </r>
  <r>
    <s v="a45aa142-d1e9-d944-0d51-b6ad385c0257"/>
    <d v="2015-10-07T10:32:41"/>
    <d v="2015-10-07T11:31:57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84.76"/>
    <n v="841.4"/>
    <m/>
    <x v="0"/>
  </r>
  <r>
    <s v="a45aa142-d1e9-d944-1961-bd25a5604c86"/>
    <d v="2016-10-12T10:32:41"/>
    <d v="2016-10-12T11:22:22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84.76"/>
    <n v="841.4"/>
    <m/>
    <x v="0"/>
  </r>
  <r>
    <s v="a45aa142-d1e9-d944-b3be-f203a1133324"/>
    <d v="2017-10-18T10:32:41"/>
    <d v="2017-10-18T11:09:49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16.98"/>
    <n v="787.18"/>
    <m/>
    <x v="0"/>
  </r>
  <r>
    <s v="a45aa142-d1e9-d944-dbae-274bab32c2d4"/>
    <d v="2017-11-01T10:32:41"/>
    <d v="2017-11-01T14:22:23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2673.95"/>
    <n v="2139.16"/>
    <n v="66383009"/>
    <x v="17"/>
  </r>
  <r>
    <s v="a45aa142-d1e9-d944-ca8b-662adb59f254"/>
    <d v="2018-10-02T11:04:15"/>
    <d v="2018-10-02T11:39:31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10048.42"/>
    <n v="7852.34"/>
    <n v="275978004"/>
    <x v="29"/>
  </r>
  <r>
    <s v="a45aa142-d1e9-d944-7d94-b7a4727ee9e0"/>
    <d v="2018-10-24T10:32:41"/>
    <d v="2018-10-24T11:04:40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2079.7800000000002"/>
    <n v="1663.82"/>
    <m/>
    <x v="0"/>
  </r>
  <r>
    <s v="a45aa142-d1e9-d944-9b79-ed050c5c437e"/>
    <d v="2019-10-30T10:32:41"/>
    <d v="2019-10-30T11:17:09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84.76"/>
    <n v="841.4"/>
    <m/>
    <x v="0"/>
  </r>
  <r>
    <s v="a45aa142-d1e9-d944-ed7d-1e0377f962ec"/>
    <d v="2019-11-13T09:32:41"/>
    <d v="2019-11-13T13:24:38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3536.75"/>
    <n v="2829.4"/>
    <n v="66383009"/>
    <x v="17"/>
  </r>
  <r>
    <s v="a45aa142-d1e9-d944-468b-95737be878ee"/>
    <d v="2020-11-04T09:32:41"/>
    <d v="2020-11-04T10:11:39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84.76"/>
    <n v="841.4"/>
    <m/>
    <x v="0"/>
  </r>
  <r>
    <s v="a45aa142-d1e9-d944-e0ac-ae992466d750"/>
    <d v="2021-03-17T10:32:41"/>
    <d v="2021-03-17T10:47:41"/>
    <s v="a45aa142-d1e9-d944-f2c7-05015c90762d"/>
    <s v="352f2e3b-0708-3eb4-9f7e-e73a685bf379"/>
    <s v="4ba67eac-a99d-34c8-9055-4cf0013c75cc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a45aa142-d1e9-d944-4db6-82315b2aae4b"/>
    <d v="2021-04-07T10:32:41"/>
    <d v="2021-04-07T10:47:41"/>
    <s v="a45aa142-d1e9-d944-f2c7-05015c90762d"/>
    <s v="352f2e3b-0708-3eb4-9f7e-e73a685bf379"/>
    <s v="4ba67eac-a99d-34c8-9055-4cf0013c75cc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a45aa142-d1e9-d944-ded5-611103e0a346"/>
    <d v="2021-11-10T09:32:41"/>
    <d v="2021-11-10T10:09:18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927.94"/>
    <n v="555.94000000000005"/>
    <m/>
    <x v="0"/>
  </r>
  <r>
    <s v="a45aa142-d1e9-d944-4071-97dbb86a8d2d"/>
    <d v="2021-12-01T09:32:41"/>
    <d v="2021-12-01T09:47:41"/>
    <s v="a45aa142-d1e9-d944-f2c7-05015c90762d"/>
    <s v="352f2e3b-0708-3eb4-9f7e-e73a685bf379"/>
    <s v="4ba67eac-a99d-34c8-9055-4cf0013c75cc"/>
    <s v="a735bf55-83e9-331a-899d-a82a60b9f60c"/>
    <x v="8"/>
    <n v="390906007"/>
    <s v="Follow-up encounter (procedure)"/>
    <n v="75"/>
    <n v="75"/>
    <n v="60"/>
    <n v="55822004"/>
    <x v="52"/>
  </r>
  <r>
    <s v="a45aa142-d1e9-d944-aa98-b70ca2fc5f35"/>
    <d v="2022-01-08T18:32:41"/>
    <d v="2022-01-08T18:47:41"/>
    <s v="a45aa142-d1e9-d944-f2c7-05015c90762d"/>
    <s v="352f2e3b-0708-3eb4-9f7e-e73a685bf379"/>
    <s v="4ba67eac-a99d-34c8-9055-4cf0013c75cc"/>
    <s v="a735bf55-83e9-331a-899d-a82a60b9f60c"/>
    <x v="1"/>
    <n v="185345009"/>
    <s v="Encounter for symptom (procedure)"/>
    <n v="85.55"/>
    <n v="85.55"/>
    <n v="68.44"/>
    <n v="444814009"/>
    <x v="2"/>
  </r>
  <r>
    <s v="a45aa142-d1e9-d944-682a-12fe63f8c986"/>
    <d v="2022-06-15T10:32:41"/>
    <d v="2022-06-15T11:30:38"/>
    <s v="a45aa142-d1e9-d944-f2c7-05015c90762d"/>
    <s v="1de7e7d9-9a7a-3a3f-bf4c-b4de450711f2"/>
    <s v="673d2b7f-fd5d-31e4-b38d-5e8903c00ef2"/>
    <s v="a735bf55-83e9-331a-899d-a82a60b9f60c"/>
    <x v="4"/>
    <n v="702927004"/>
    <s v="Urgent care clinic (environment)"/>
    <n v="142.58000000000001"/>
    <n v="1222.76"/>
    <n v="978.2"/>
    <m/>
    <x v="0"/>
  </r>
  <r>
    <s v="a45aa142-d1e9-d944-02cd-ef5d957c7191"/>
    <d v="2022-06-22T10:32:41"/>
    <d v="2022-06-22T10:47:41"/>
    <s v="a45aa142-d1e9-d944-f2c7-05015c90762d"/>
    <s v="352f2e3b-0708-3eb4-9f7e-e73a685bf379"/>
    <s v="4ba67eac-a99d-34c8-9055-4cf0013c75cc"/>
    <s v="a735bf55-83e9-331a-899d-a82a60b9f60c"/>
    <x v="1"/>
    <n v="185345009"/>
    <s v="Encounter for symptom (procedure)"/>
    <n v="85.55"/>
    <n v="3536.75"/>
    <n v="2829.4"/>
    <n v="43878008"/>
    <x v="18"/>
  </r>
  <r>
    <s v="a45aa142-d1e9-d944-51d4-2e5d04159791"/>
    <d v="2022-11-16T09:32:41"/>
    <d v="2022-11-16T10:14:22"/>
    <s v="a45aa142-d1e9-d944-f2c7-05015c90762d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1397.54"/>
    <n v="0"/>
    <m/>
    <x v="0"/>
  </r>
  <r>
    <s v="a45aa142-d1e9-d944-d065-dde88e630ee1"/>
    <d v="2022-12-01T09:32:41"/>
    <d v="2022-12-01T09:47:41"/>
    <s v="a45aa142-d1e9-d944-f2c7-05015c90762d"/>
    <s v="352f2e3b-0708-3eb4-9f7e-e73a685bf379"/>
    <s v="4ba67eac-a99d-34c8-9055-4cf0013c75cc"/>
    <s v="e03e23c9-4df1-3eb6-a62d-f70f02301496"/>
    <x v="1"/>
    <n v="390906007"/>
    <s v="Follow-up encounter (procedure)"/>
    <n v="85.55"/>
    <n v="234.71"/>
    <n v="0"/>
    <n v="55822004"/>
    <x v="52"/>
  </r>
  <r>
    <s v="a45aa142-d1e9-d944-983c-90c905f05db1"/>
    <d v="2023-10-02T11:39:31"/>
    <d v="2023-10-02T12:29:00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22740.05"/>
    <n v="18005.650000000001"/>
    <n v="275978004"/>
    <x v="29"/>
  </r>
  <r>
    <s v="a45aa142-d1e9-d944-4a46-1c797c62a8c3"/>
    <d v="2023-11-22T09:32:41"/>
    <d v="2023-11-22T10:32:34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216.98"/>
    <n v="973.58"/>
    <m/>
    <x v="0"/>
  </r>
  <r>
    <s v="a45aa142-d1e9-d944-a228-0106691a1bb0"/>
    <d v="2023-12-01T09:32:41"/>
    <d v="2023-12-01T09:47:41"/>
    <s v="a45aa142-d1e9-d944-f2c7-05015c90762d"/>
    <s v="352f2e3b-0708-3eb4-9f7e-e73a685bf379"/>
    <s v="4ba67eac-a99d-34c8-9055-4cf0013c75cc"/>
    <s v="a735bf55-83e9-331a-899d-a82a60b9f60c"/>
    <x v="1"/>
    <n v="390906007"/>
    <s v="Follow-up encounter (procedure)"/>
    <n v="85.55"/>
    <n v="234.71"/>
    <n v="187.76"/>
    <n v="55822004"/>
    <x v="52"/>
  </r>
  <r>
    <s v="a45aa142-d1e9-d944-3ca4-47497accd8c4"/>
    <d v="2024-03-05T20:32:41"/>
    <d v="2024-03-05T20:47:41"/>
    <s v="a45aa142-d1e9-d944-f2c7-05015c90762d"/>
    <s v="352f2e3b-0708-3eb4-9f7e-e73a685bf379"/>
    <s v="4ba67eac-a99d-34c8-9055-4cf0013c75cc"/>
    <s v="a735bf55-83e9-331a-899d-a82a60b9f60c"/>
    <x v="1"/>
    <n v="185345009"/>
    <s v="Encounter for symptom (procedure)"/>
    <n v="85.55"/>
    <n v="5162.82"/>
    <n v="4130.26"/>
    <n v="10509002"/>
    <x v="1"/>
  </r>
  <r>
    <s v="a45aa142-d1e9-d944-4bfa-2ffea1ce169d"/>
    <d v="2024-11-27T09:32:41"/>
    <d v="2024-11-27T10:05:44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346.18"/>
    <n v="890.54"/>
    <m/>
    <x v="0"/>
  </r>
  <r>
    <s v="a45aa142-d1e9-d944-3234-e3eacf9f600b"/>
    <d v="2024-11-30T09:32:41"/>
    <d v="2024-11-30T09:47:41"/>
    <s v="a45aa142-d1e9-d944-f2c7-05015c90762d"/>
    <s v="352f2e3b-0708-3eb4-9f7e-e73a685bf379"/>
    <s v="4ba67eac-a99d-34c8-9055-4cf0013c75cc"/>
    <s v="a735bf55-83e9-331a-899d-a82a60b9f60c"/>
    <x v="1"/>
    <n v="390906007"/>
    <s v="Follow-up encounter (procedure)"/>
    <n v="85.55"/>
    <n v="234.71"/>
    <n v="187.76"/>
    <n v="55822004"/>
    <x v="52"/>
  </r>
  <r>
    <s v="a45aa142-d1e9-d944-c94a-c45e4a329489"/>
    <d v="2024-12-10T11:14:00"/>
    <d v="2024-12-10T11:39:03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5138.45"/>
    <n v="4110.76"/>
    <n v="68496003"/>
    <x v="61"/>
  </r>
  <r>
    <s v="a45aa142-d1e9-d944-e32e-ce20a780c782"/>
    <d v="2024-12-11T09:32:41"/>
    <d v="2024-12-11T12:23:07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3105.35"/>
    <n v="2484.2800000000002"/>
    <n v="103697008"/>
    <x v="3"/>
  </r>
  <r>
    <s v="a45aa142-d1e9-d944-2e10-b448a239a958"/>
    <d v="2025-12-03T09:32:41"/>
    <d v="2025-12-03T10:31:27"/>
    <s v="a45aa142-d1e9-d944-f2c7-05015c90762d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359.34"/>
    <n v="901.06"/>
    <m/>
    <x v="0"/>
  </r>
  <r>
    <s v="a45aa142-d1e9-d944-a7ea-d10d0512d7a7"/>
    <d v="2025-12-10T09:32:41"/>
    <d v="2025-12-10T09:47:41"/>
    <s v="a45aa142-d1e9-d944-f2c7-05015c90762d"/>
    <s v="352f2e3b-0708-3eb4-9f7e-e73a685bf379"/>
    <s v="4ba67eac-a99d-34c8-9055-4cf0013c75cc"/>
    <s v="a735bf55-83e9-331a-899d-a82a60b9f60c"/>
    <x v="1"/>
    <n v="390906007"/>
    <s v="Follow-up encounter (procedure)"/>
    <n v="85.55"/>
    <n v="234.71"/>
    <n v="187.76"/>
    <n v="55822004"/>
    <x v="52"/>
  </r>
  <r>
    <s v="a45aa142-d1e9-d944-6ccd-4a576d315ecb"/>
    <d v="2025-12-17T09:32:41"/>
    <d v="2025-12-17T12:21:48"/>
    <s v="a45aa142-d1e9-d944-f2c7-05015c90762d"/>
    <s v="352f2e3b-0708-3eb4-9f7e-e73a685bf379"/>
    <s v="4ba67eac-a99d-34c8-9055-4cf0013c75cc"/>
    <s v="a735bf55-83e9-331a-899d-a82a60b9f60c"/>
    <x v="1"/>
    <n v="185349003"/>
    <s v="Encounter for check up (procedure)"/>
    <n v="85.55"/>
    <n v="2673.95"/>
    <n v="2139.16"/>
    <n v="66383009"/>
    <x v="17"/>
  </r>
  <r>
    <s v="7af6b271-f16d-21e1-8e1c-236c2e6a930d"/>
    <d v="1979-01-02T17:51:41"/>
    <d v="1979-01-02T18:30:03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1156.5"/>
    <n v="1006.5"/>
    <m/>
    <x v="0"/>
  </r>
  <r>
    <s v="7af6b271-f16d-21e1-e6a8-a4b3adf967f8"/>
    <d v="1998-01-27T17:51:41"/>
    <d v="1998-01-27T18:37:51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778.78"/>
    <n v="628.78"/>
    <m/>
    <x v="0"/>
  </r>
  <r>
    <s v="7af6b271-f16d-21e1-fbf0-a1ae80800ac0"/>
    <d v="2000-11-14T17:51:41"/>
    <d v="2000-11-14T18:47:01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1127.58"/>
    <n v="977.58"/>
    <m/>
    <x v="0"/>
  </r>
  <r>
    <s v="7af6b271-f16d-21e1-e187-547120fdd937"/>
    <d v="2000-11-22T21:00:37"/>
    <d v="2000-11-22T21:15:37"/>
    <s v="7af6b271-f16d-21e1-882a-7bff71005a7b"/>
    <s v="9d989fcf-4ad9-3972-ada3-f275d967781e"/>
    <s v="e8103601-9fd7-328b-bc38-c6dabfa8f059"/>
    <s v="df166300-5a78-3502-a46a-832842197811"/>
    <x v="1"/>
    <n v="185347001"/>
    <s v="Encounter for problem (procedure)"/>
    <n v="85.55"/>
    <n v="160.13"/>
    <n v="110.13"/>
    <n v="271737000"/>
    <x v="32"/>
  </r>
  <r>
    <s v="7af6b271-f16d-21e1-916f-92be9ea3b513"/>
    <d v="2001-11-20T17:51:41"/>
    <d v="2001-11-20T18:33:58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1347.86"/>
    <n v="1197.8599999999999"/>
    <m/>
    <x v="0"/>
  </r>
  <r>
    <s v="7af6b271-f16d-21e1-ad6b-df71202db81e"/>
    <d v="2005-05-31T18:51:41"/>
    <d v="2005-05-31T19:45:57"/>
    <s v="7af6b271-f16d-21e1-882a-7bff71005a7b"/>
    <s v="9d989fcf-4ad9-3972-ada3-f275d967781e"/>
    <s v="e8103601-9fd7-328b-bc38-c6dabfa8f059"/>
    <s v="df166300-5a78-3502-a46a-832842197811"/>
    <x v="2"/>
    <n v="185349003"/>
    <s v="Encounter for check up (procedure)"/>
    <n v="85.55"/>
    <n v="808.91"/>
    <n v="758.91"/>
    <m/>
    <x v="0"/>
  </r>
  <r>
    <s v="7af6b271-f16d-21e1-3082-4d25791611cf"/>
    <d v="2007-08-28T20:38:33"/>
    <d v="2007-08-28T21:22:33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2730.98"/>
    <n v="2680.98"/>
    <m/>
    <x v="0"/>
  </r>
  <r>
    <s v="7af6b271-f16d-21e1-35b3-45395b3db0f0"/>
    <d v="2010-01-05T17:51:41"/>
    <d v="2010-01-05T18:34:14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860.16"/>
    <n v="760.16"/>
    <m/>
    <x v="0"/>
  </r>
  <r>
    <s v="7af6b271-f16d-21e1-ca1a-9877edfe3678"/>
    <d v="2012-01-17T17:51:41"/>
    <d v="2012-01-17T18:40:27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1132.1600000000001"/>
    <n v="1032.1600000000001"/>
    <m/>
    <x v="0"/>
  </r>
  <r>
    <s v="7af6b271-f16d-21e1-5267-d1e8b8efe1ca"/>
    <d v="2013-01-22T17:51:41"/>
    <d v="2013-01-22T18:33:29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853.36"/>
    <n v="753.36"/>
    <m/>
    <x v="0"/>
  </r>
  <r>
    <s v="7af6b271-f16d-21e1-5db7-9a6e8c3bf68a"/>
    <d v="2014-10-28T18:51:41"/>
    <d v="2014-10-28T19:27:51"/>
    <s v="7af6b271-f16d-21e1-882a-7bff71005a7b"/>
    <s v="9d989fcf-4ad9-3972-ada3-f275d967781e"/>
    <s v="e8103601-9fd7-328b-bc38-c6dabfa8f059"/>
    <s v="df166300-5a78-3502-a46a-832842197811"/>
    <x v="2"/>
    <n v="185349003"/>
    <s v="Encounter for check up (procedure)"/>
    <n v="85.55"/>
    <n v="802.11"/>
    <n v="752.11"/>
    <m/>
    <x v="0"/>
  </r>
  <r>
    <s v="7af6b271-f16d-21e1-cfe5-013b5d15f297"/>
    <d v="2015-02-03T17:51:41"/>
    <d v="2015-02-03T18:31:13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717.36"/>
    <n v="717.36"/>
    <m/>
    <x v="0"/>
  </r>
  <r>
    <s v="7af6b271-f16d-21e1-4848-929bf827ab9e"/>
    <d v="2016-02-09T17:51:41"/>
    <d v="2016-02-09T18:42:17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927.94"/>
    <n v="927.94"/>
    <m/>
    <x v="0"/>
  </r>
  <r>
    <s v="7af6b271-f16d-21e1-7541-54e2a158fa89"/>
    <d v="2016-12-08T22:28:07"/>
    <d v="2016-12-08T23:16:32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66.9"/>
    <m/>
    <x v="0"/>
  </r>
  <r>
    <s v="7af6b271-f16d-21e1-d638-82cff51a9fd1"/>
    <d v="2017-02-14T17:51:41"/>
    <d v="2017-02-14T18:29:54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1499.03"/>
    <n v="1499.03"/>
    <m/>
    <x v="0"/>
  </r>
  <r>
    <s v="7af6b271-f16d-21e1-c987-c6878ea047bf"/>
    <d v="2017-02-28T17:51:41"/>
    <d v="2017-02-28T21:43:02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3536.75"/>
    <n v="3486.75"/>
    <n v="103697008"/>
    <x v="3"/>
  </r>
  <r>
    <s v="7af6b271-f16d-21e1-a7d2-2b2575c0b41a"/>
    <d v="2017-06-13T18:51:41"/>
    <d v="2017-06-13T19:41:50"/>
    <s v="7af6b271-f16d-21e1-882a-7bff71005a7b"/>
    <s v="9d989fcf-4ad9-3972-ada3-f275d967781e"/>
    <s v="e8103601-9fd7-328b-bc38-c6dabfa8f059"/>
    <s v="df166300-5a78-3502-a46a-832842197811"/>
    <x v="2"/>
    <n v="185349003"/>
    <s v="Encounter for check up (procedure)"/>
    <n v="85.55"/>
    <n v="1073.17"/>
    <n v="1023.17"/>
    <m/>
    <x v="0"/>
  </r>
  <r>
    <s v="7af6b271-f16d-21e1-35a3-9e98675324a4"/>
    <d v="2017-06-20T18:51:41"/>
    <d v="2017-06-20T19:06:41"/>
    <s v="7af6b271-f16d-21e1-882a-7bff71005a7b"/>
    <s v="9d989fcf-4ad9-3972-ada3-f275d967781e"/>
    <s v="e8103601-9fd7-328b-bc38-c6dabfa8f059"/>
    <s v="df166300-5a78-3502-a46a-832842197811"/>
    <x v="1"/>
    <n v="185345009"/>
    <s v="Encounter for symptom (procedure)"/>
    <n v="85.55"/>
    <n v="85.55"/>
    <n v="35.549999999999997"/>
    <n v="444814009"/>
    <x v="2"/>
  </r>
  <r>
    <s v="7af6b271-f16d-21e1-36bd-b22bb44d20fc"/>
    <d v="2017-06-27T18:51:41"/>
    <d v="2017-06-27T21:33:45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3105.35"/>
    <n v="3055.35"/>
    <n v="103697008"/>
    <x v="3"/>
  </r>
  <r>
    <s v="7af6b271-f16d-21e1-c8df-a90991bea1c1"/>
    <d v="2017-11-03T23:46:32"/>
    <d v="2017-11-04T00:34:31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c4f2-009f322f5452"/>
    <d v="2018-02-20T17:51:41"/>
    <d v="2018-02-20T18:35:18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717.36"/>
    <n v="617.36"/>
    <m/>
    <x v="0"/>
  </r>
  <r>
    <s v="7af6b271-f16d-21e1-859f-2d6621517acd"/>
    <d v="2018-09-30T00:04:31"/>
    <d v="2018-09-30T00:52:06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5034-ff30d8866eed"/>
    <d v="2018-11-09T07:51:41"/>
    <d v="2018-11-09T08:06:41"/>
    <s v="7af6b271-f16d-21e1-882a-7bff71005a7b"/>
    <s v="9d989fcf-4ad9-3972-ada3-f275d967781e"/>
    <s v="e8103601-9fd7-328b-bc38-c6dabfa8f059"/>
    <s v="df166300-5a78-3502-a46a-832842197811"/>
    <x v="1"/>
    <n v="185345009"/>
    <s v="Encounter for symptom (procedure)"/>
    <n v="85.55"/>
    <n v="85.55"/>
    <n v="35.549999999999997"/>
    <n v="195662009"/>
    <x v="9"/>
  </r>
  <r>
    <s v="7af6b271-f16d-21e1-93c5-aec2d8d13e83"/>
    <d v="2018-11-20T17:51:41"/>
    <d v="2018-11-20T18:28:51"/>
    <s v="7af6b271-f16d-21e1-882a-7bff71005a7b"/>
    <s v="9d989fcf-4ad9-3972-ada3-f275d967781e"/>
    <s v="e8103601-9fd7-328b-bc38-c6dabfa8f059"/>
    <s v="df166300-5a78-3502-a46a-832842197811"/>
    <x v="2"/>
    <n v="185349003"/>
    <s v="Encounter for check up (procedure)"/>
    <n v="85.55"/>
    <n v="1017.81"/>
    <n v="867.81"/>
    <m/>
    <x v="0"/>
  </r>
  <r>
    <s v="7af6b271-f16d-21e1-47af-7515011510d7"/>
    <d v="2019-02-26T17:51:41"/>
    <d v="2019-02-26T18:25:00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933.06"/>
    <n v="933.06"/>
    <m/>
    <x v="0"/>
  </r>
  <r>
    <s v="7af6b271-f16d-21e1-f027-9e5fdaa3402e"/>
    <d v="2019-03-12T18:51:41"/>
    <d v="2019-03-12T22:16:54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3536.75"/>
    <n v="3486.75"/>
    <n v="103697008"/>
    <x v="3"/>
  </r>
  <r>
    <s v="7af6b271-f16d-21e1-018b-def5e5dac706"/>
    <d v="2019-09-25T00:22:06"/>
    <d v="2019-09-25T01:10:27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c80a-ca52f5c71f0f"/>
    <d v="2020-03-03T17:51:41"/>
    <d v="2020-03-03T18:27:09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853.36"/>
    <n v="753.36"/>
    <m/>
    <x v="0"/>
  </r>
  <r>
    <s v="7af6b271-f16d-21e1-447c-96aa9ef2411d"/>
    <d v="2020-03-17T18:51:41"/>
    <d v="2020-03-18T00:28:47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4399.55"/>
    <n v="4349.55"/>
    <n v="103697008"/>
    <x v="3"/>
  </r>
  <r>
    <s v="7af6b271-f16d-21e1-aa53-42afca5a1bc7"/>
    <d v="2020-09-19T00:40:27"/>
    <d v="2020-09-19T01:29:12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cc9a-aa7f337614ab"/>
    <d v="2020-11-08T19:03:34"/>
    <d v="2020-11-08T19:42:42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5138.45"/>
    <n v="5088.45"/>
    <n v="275978004"/>
    <x v="29"/>
  </r>
  <r>
    <s v="7af6b271-f16d-21e1-1662-f0914d4f70a1"/>
    <d v="2021-03-09T17:51:41"/>
    <d v="2021-03-09T18:42:04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927.94"/>
    <n v="827.94"/>
    <m/>
    <x v="0"/>
  </r>
  <r>
    <s v="7af6b271-f16d-21e1-722a-c585aafdfea4"/>
    <d v="2021-04-13T18:51:41"/>
    <d v="2021-04-13T19:06:41"/>
    <s v="7af6b271-f16d-21e1-882a-7bff71005a7b"/>
    <s v="9d989fcf-4ad9-3972-ada3-f275d967781e"/>
    <s v="e8103601-9fd7-328b-bc38-c6dabfa8f059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7af6b271-f16d-21e1-e9db-fed45d4dba21"/>
    <d v="2021-05-04T18:51:41"/>
    <d v="2021-05-04T19:06:41"/>
    <s v="7af6b271-f16d-21e1-882a-7bff71005a7b"/>
    <s v="9d989fcf-4ad9-3972-ada3-f275d967781e"/>
    <s v="e8103601-9fd7-328b-bc38-c6dabfa8f059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7af6b271-f16d-21e1-3e7b-f7376fcb1e05"/>
    <d v="2021-09-14T00:59:12"/>
    <d v="2021-09-14T01:48:11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25d1-6a5f11a10317"/>
    <d v="2022-01-11T17:51:41"/>
    <d v="2022-01-11T18:51:41"/>
    <s v="7af6b271-f16d-21e1-882a-7bff71005a7b"/>
    <s v="b69bccdc-5ad3-3ded-a018-3cd8f369c9d2"/>
    <s v="a82e3555-6eae-3547-a7f9-fe1891fa55f4"/>
    <s v="df166300-5a78-3502-a46a-832842197811"/>
    <x v="3"/>
    <n v="50849002"/>
    <s v="Emergency room admission (procedure)"/>
    <n v="146.18"/>
    <n v="1005.54"/>
    <n v="855.54"/>
    <m/>
    <x v="0"/>
  </r>
  <r>
    <s v="7af6b271-f16d-21e1-ff78-ca4e771c7285"/>
    <d v="2022-01-18T17:51:41"/>
    <d v="2022-01-18T18:06:41"/>
    <s v="7af6b271-f16d-21e1-882a-7bff71005a7b"/>
    <s v="0592d4e5-a0fb-3143-83cd-8e5a6b066a96"/>
    <s v="9069fd9f-e1aa-3b63-b8bb-ce37b676a504"/>
    <s v="df166300-5a78-3502-a46a-832842197811"/>
    <x v="4"/>
    <n v="702927004"/>
    <s v="Urgent care clinic (environment)"/>
    <n v="142.58000000000001"/>
    <n v="142.58000000000001"/>
    <n v="92.58"/>
    <m/>
    <x v="0"/>
  </r>
  <r>
    <s v="7af6b271-f16d-21e1-e86a-4d1d571af6e6"/>
    <d v="2022-01-25T17:51:41"/>
    <d v="2022-01-25T18:41:54"/>
    <s v="7af6b271-f16d-21e1-882a-7bff71005a7b"/>
    <s v="0592d4e5-a0fb-3143-83cd-8e5a6b066a96"/>
    <s v="9069fd9f-e1aa-3b63-b8bb-ce37b676a504"/>
    <s v="df166300-5a78-3502-a46a-832842197811"/>
    <x v="4"/>
    <n v="702927004"/>
    <s v="Urgent care clinic (environment)"/>
    <n v="142.58000000000001"/>
    <n v="1592.74"/>
    <n v="1542.74"/>
    <m/>
    <x v="0"/>
  </r>
  <r>
    <s v="7af6b271-f16d-21e1-0428-2e4035069ed3"/>
    <d v="2022-02-01T17:51:41"/>
    <d v="2022-02-01T18:06:41"/>
    <s v="7af6b271-f16d-21e1-882a-7bff71005a7b"/>
    <s v="9d989fcf-4ad9-3972-ada3-f275d967781e"/>
    <s v="e8103601-9fd7-328b-bc38-c6dabfa8f059"/>
    <s v="df166300-5a78-3502-a46a-832842197811"/>
    <x v="2"/>
    <n v="185349003"/>
    <s v="Encounter for check up (procedure)"/>
    <n v="85.55"/>
    <n v="92.35"/>
    <n v="42.35"/>
    <m/>
    <x v="0"/>
  </r>
  <r>
    <s v="7af6b271-f16d-21e1-ceab-040f73258c99"/>
    <d v="2022-02-08T17:51:41"/>
    <d v="2022-02-09T01:14:50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5262.35"/>
    <n v="5212.3500000000004"/>
    <n v="66383009"/>
    <x v="17"/>
  </r>
  <r>
    <s v="7af6b271-f16d-21e1-a81b-5ac8443b449b"/>
    <d v="2022-02-15T17:51:41"/>
    <d v="2022-02-15T18:06:41"/>
    <s v="7af6b271-f16d-21e1-882a-7bff71005a7b"/>
    <s v="9d989fcf-4ad9-3972-ada3-f275d967781e"/>
    <s v="e8103601-9fd7-328b-bc38-c6dabfa8f059"/>
    <s v="df166300-5a78-3502-a46a-832842197811"/>
    <x v="1"/>
    <n v="185345009"/>
    <s v="Encounter for symptom (procedure)"/>
    <n v="85.55"/>
    <n v="85.55"/>
    <n v="35.549999999999997"/>
    <n v="195662009"/>
    <x v="9"/>
  </r>
  <r>
    <s v="7af6b271-f16d-21e1-4328-278fe7ff7719"/>
    <d v="2022-02-22T17:51:41"/>
    <d v="2022-02-22T18:27:34"/>
    <s v="7af6b271-f16d-21e1-882a-7bff71005a7b"/>
    <s v="0592d4e5-a0fb-3143-83cd-8e5a6b066a96"/>
    <s v="9069fd9f-e1aa-3b63-b8bb-ce37b676a504"/>
    <s v="df166300-5a78-3502-a46a-832842197811"/>
    <x v="4"/>
    <n v="702927004"/>
    <s v="Urgent care clinic (environment)"/>
    <n v="142.58000000000001"/>
    <n v="723.14"/>
    <n v="673.14"/>
    <m/>
    <x v="0"/>
  </r>
  <r>
    <s v="7af6b271-f16d-21e1-d9e6-5433deba0339"/>
    <d v="2022-03-01T17:51:41"/>
    <d v="2022-03-01T18:06:41"/>
    <s v="7af6b271-f16d-21e1-882a-7bff71005a7b"/>
    <s v="9d989fcf-4ad9-3972-ada3-f275d967781e"/>
    <s v="e8103601-9fd7-328b-bc38-c6dabfa8f059"/>
    <s v="df166300-5a78-3502-a46a-832842197811"/>
    <x v="2"/>
    <n v="185349003"/>
    <s v="Encounter for check up (procedure)"/>
    <n v="85.55"/>
    <n v="304.27999999999997"/>
    <n v="254.28"/>
    <m/>
    <x v="0"/>
  </r>
  <r>
    <s v="7af6b271-f16d-21e1-aca4-0da2c89e39ab"/>
    <d v="2022-03-08T17:51:41"/>
    <d v="2022-03-08T23:41:51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4830.95"/>
    <n v="4780.95"/>
    <n v="103697008"/>
    <x v="3"/>
  </r>
  <r>
    <s v="7af6b271-f16d-21e1-ccb4-1ecdabefb36f"/>
    <d v="2022-03-22T18:51:41"/>
    <d v="2022-03-22T19:34:02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724.16"/>
    <n v="724.16"/>
    <m/>
    <x v="0"/>
  </r>
  <r>
    <s v="7af6b271-f16d-21e1-538a-ed5b5da35af3"/>
    <d v="2022-04-05T18:51:41"/>
    <d v="2022-04-05T22:22:54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3105.35"/>
    <n v="3055.35"/>
    <n v="66383009"/>
    <x v="17"/>
  </r>
  <r>
    <s v="7af6b271-f16d-21e1-5cbf-92f5a01cf17e"/>
    <d v="2022-06-11T01:18:11"/>
    <d v="2022-06-11T02:06:31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2765-f562f6fdc015"/>
    <d v="2022-12-08T00:36:31"/>
    <d v="2022-12-08T01:23:16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66.9"/>
    <m/>
    <x v="0"/>
  </r>
  <r>
    <s v="7af6b271-f16d-21e1-8a53-65fe43a98be3"/>
    <d v="2023-03-28T18:51:41"/>
    <d v="2023-03-28T19:48:20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853.36"/>
    <n v="853.36"/>
    <m/>
    <x v="0"/>
  </r>
  <r>
    <s v="7af6b271-f16d-21e1-c8ea-56cb51c4ca36"/>
    <d v="2023-04-04T18:51:41"/>
    <d v="2023-04-04T19:45:29"/>
    <s v="7af6b271-f16d-21e1-882a-7bff71005a7b"/>
    <s v="74ab949d-17ac-3309-83a0-13b4405c66aa"/>
    <s v="35fedf4a-4da7-315e-a103-dbcfea0540fa"/>
    <s v="df166300-5a78-3502-a46a-832842197811"/>
    <x v="1"/>
    <n v="185347001"/>
    <s v="Encounter for problem (procedure)"/>
    <n v="85.55"/>
    <n v="516.95000000000005"/>
    <n v="466.95"/>
    <n v="414545008"/>
    <x v="19"/>
  </r>
  <r>
    <s v="7af6b271-f16d-21e1-8591-898bdad53004"/>
    <d v="2023-04-09T11:45:29"/>
    <d v="2023-04-09T17:06:46"/>
    <s v="7af6b271-f16d-21e1-882a-7bff71005a7b"/>
    <s v="74ab949d-17ac-3309-83a0-13b4405c66aa"/>
    <s v="35fedf4a-4da7-315e-a103-dbcfea0540fa"/>
    <s v="df166300-5a78-3502-a46a-832842197811"/>
    <x v="1"/>
    <n v="185347001"/>
    <s v="Encounter for problem (procedure)"/>
    <n v="85.55"/>
    <n v="1444.46"/>
    <n v="1394.46"/>
    <n v="414545008"/>
    <x v="19"/>
  </r>
  <r>
    <s v="7af6b271-f16d-21e1-ba0c-7b1e1de8eef9"/>
    <d v="2023-05-13T17:06:46"/>
    <d v="2023-05-13T18:41:29"/>
    <s v="7af6b271-f16d-21e1-882a-7bff71005a7b"/>
    <s v="74ab949d-17ac-3309-83a0-13b4405c66aa"/>
    <s v="35fedf4a-4da7-315e-a103-dbcfea0540fa"/>
    <s v="df166300-5a78-3502-a46a-832842197811"/>
    <x v="1"/>
    <n v="390906007"/>
    <s v="Follow-up encounter (procedure)"/>
    <n v="85.55"/>
    <n v="12770.26"/>
    <n v="12720.26"/>
    <n v="274531002"/>
    <x v="53"/>
  </r>
  <r>
    <s v="7af6b271-f16d-21e1-136d-ed1eeab5ac4c"/>
    <d v="2023-06-06T00:11:29"/>
    <d v="2023-06-06T06:40:18"/>
    <s v="7af6b271-f16d-21e1-882a-7bff71005a7b"/>
    <s v="74ab949d-17ac-3309-83a0-13b4405c66aa"/>
    <s v="35fedf4a-4da7-315e-a103-dbcfea0540fa"/>
    <s v="df166300-5a78-3502-a46a-832842197811"/>
    <x v="1"/>
    <n v="32485007"/>
    <s v="Hospital admission (procedure)"/>
    <n v="142.58000000000001"/>
    <n v="63156.1"/>
    <n v="63106.1"/>
    <n v="274531002"/>
    <x v="53"/>
  </r>
  <r>
    <s v="7af6b271-f16d-21e1-77e8-d6fc78fd025a"/>
    <d v="2023-06-06T06:40:18"/>
    <d v="2023-06-12T11:53:06"/>
    <s v="7af6b271-f16d-21e1-882a-7bff71005a7b"/>
    <s v="74ab949d-17ac-3309-83a0-13b4405c66aa"/>
    <s v="35fedf4a-4da7-315e-a103-dbcfea0540fa"/>
    <s v="df166300-5a78-3502-a46a-832842197811"/>
    <x v="6"/>
    <n v="397821002"/>
    <s v="Patient transfer to intensive care unit (procedure)"/>
    <n v="146.18"/>
    <n v="37194.61"/>
    <n v="37144.61"/>
    <n v="399261000"/>
    <x v="54"/>
  </r>
  <r>
    <s v="7af6b271-f16d-21e1-4264-5a1a76bca96f"/>
    <d v="2023-06-12T11:38:06"/>
    <d v="2023-06-13T11:38:06"/>
    <s v="7af6b271-f16d-21e1-882a-7bff71005a7b"/>
    <s v="74ab949d-17ac-3309-83a0-13b4405c66aa"/>
    <s v="35fedf4a-4da7-315e-a103-dbcfea0540fa"/>
    <s v="df166300-5a78-3502-a46a-832842197811"/>
    <x v="6"/>
    <n v="305342007"/>
    <s v="Admission to ward (procedure)"/>
    <n v="146.18"/>
    <n v="1871.78"/>
    <n v="1821.78"/>
    <n v="399261000"/>
    <x v="54"/>
  </r>
  <r>
    <s v="7af6b271-f16d-21e1-a3fd-225504f884a1"/>
    <d v="2023-07-06T01:53:16"/>
    <d v="2023-07-06T02:40:24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7a2c-eb7bed181b58"/>
    <d v="2024-04-02T18:51:41"/>
    <d v="2024-04-02T19:30:57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1353.37"/>
    <n v="1253.3699999999999"/>
    <m/>
    <x v="0"/>
  </r>
  <r>
    <s v="7af6b271-f16d-21e1-04d4-169ca3011f23"/>
    <d v="2024-04-16T18:51:41"/>
    <d v="2024-04-16T21:37:19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2673.95"/>
    <n v="2623.95"/>
    <n v="66383009"/>
    <x v="17"/>
  </r>
  <r>
    <s v="7af6b271-f16d-21e1-6c70-9b946bce81e6"/>
    <d v="2024-05-31T02:10:24"/>
    <d v="2024-05-31T02:59:05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7d75-804b84127c7d"/>
    <d v="2024-12-27T01:29:05"/>
    <d v="2024-12-27T02:15:42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66.9"/>
    <m/>
    <x v="0"/>
  </r>
  <r>
    <s v="7af6b271-f16d-21e1-88a8-e60228cfb046"/>
    <d v="2025-04-08T18:51:41"/>
    <d v="2025-04-08T19:34:16"/>
    <s v="7af6b271-f16d-21e1-882a-7bff71005a7b"/>
    <s v="104079d4-560e-3eb8-9a48-d495835a3997"/>
    <s v="16805431-483b-32fc-a2e2-d759d8386a64"/>
    <s v="df166300-5a78-3502-a46a-832842197811"/>
    <x v="0"/>
    <n v="162673000"/>
    <s v="General examination of patient (procedure)"/>
    <n v="136.80000000000001"/>
    <n v="853.36"/>
    <n v="853.36"/>
    <m/>
    <x v="0"/>
  </r>
  <r>
    <s v="7af6b271-f16d-21e1-1bf8-ab6d17103be3"/>
    <d v="2025-10-23T02:45:42"/>
    <d v="2025-10-23T03:34:41"/>
    <s v="7af6b271-f16d-21e1-882a-7bff71005a7b"/>
    <s v="9d989fcf-4ad9-3972-ada3-f275d967781e"/>
    <s v="e8103601-9fd7-328b-bc38-c6dabfa8f059"/>
    <s v="df166300-5a78-3502-a46a-832842197811"/>
    <x v="1"/>
    <n v="36228007"/>
    <s v="Ophthalmic examination and evaluation (procedure)"/>
    <n v="142.58000000000001"/>
    <n v="3236.96"/>
    <n v="3186.96"/>
    <m/>
    <x v="0"/>
  </r>
  <r>
    <s v="7af6b271-f16d-21e1-ca59-79113f071264"/>
    <d v="2025-11-08T19:42:42"/>
    <d v="2025-11-08T20:09:41"/>
    <s v="7af6b271-f16d-21e1-882a-7bff71005a7b"/>
    <s v="9d989fcf-4ad9-3972-ada3-f275d967781e"/>
    <s v="e8103601-9fd7-328b-bc38-c6dabfa8f059"/>
    <s v="df166300-5a78-3502-a46a-832842197811"/>
    <x v="1"/>
    <n v="185349003"/>
    <s v="Encounter for check up (procedure)"/>
    <n v="85.55"/>
    <n v="5138.45"/>
    <n v="5088.45"/>
    <n v="275978004"/>
    <x v="29"/>
  </r>
  <r>
    <s v="7af6b271-f16d-21e1-4598-2eb81658674f"/>
    <d v="2025-11-11T17:51:41"/>
    <d v="2026-01-14T18:06:41"/>
    <s v="7af6b271-f16d-21e1-882a-7bff71005a7b"/>
    <s v="615416de-5217-3c11-9828-2d4bacd1d9cb"/>
    <s v="b0b8cac0-9fd0-3df8-abed-2609c7831edb"/>
    <s v="d18ef2e6-ef40-324c-be54-34a5ee865625"/>
    <x v="5"/>
    <n v="305336008"/>
    <s v="Admission to hospice (procedure)"/>
    <n v="137.53"/>
    <n v="29904.13"/>
    <n v="29869.13"/>
    <n v="26929004"/>
    <x v="21"/>
  </r>
  <r>
    <s v="7af6b271-f16d-21e1-ef7e-4920d39bbcd3"/>
    <d v="2026-04-14T18:51:41"/>
    <d v="2026-04-14T19:50:02"/>
    <s v="7af6b271-f16d-21e1-882a-7bff71005a7b"/>
    <s v="104079d4-560e-3eb8-9a48-d495835a3997"/>
    <s v="16805431-483b-32fc-a2e2-d759d8386a64"/>
    <s v="d18ef2e6-ef40-324c-be54-34a5ee865625"/>
    <x v="0"/>
    <n v="162673000"/>
    <s v="General examination of patient (procedure)"/>
    <n v="136.80000000000001"/>
    <n v="1293.24"/>
    <n v="1293.24"/>
    <m/>
    <x v="0"/>
  </r>
  <r>
    <s v="7af6b271-f16d-21e1-e8ed-3d12c46dd113"/>
    <d v="2026-04-28T18:51:41"/>
    <d v="2026-04-28T22:20:03"/>
    <s v="7af6b271-f16d-21e1-882a-7bff71005a7b"/>
    <s v="9d989fcf-4ad9-3972-ada3-f275d967781e"/>
    <s v="e8103601-9fd7-328b-bc38-c6dabfa8f059"/>
    <s v="d18ef2e6-ef40-324c-be54-34a5ee865625"/>
    <x v="1"/>
    <n v="185349003"/>
    <s v="Encounter for check up (procedure)"/>
    <n v="85.55"/>
    <n v="3105.35"/>
    <n v="3070.35"/>
    <n v="103697008"/>
    <x v="3"/>
  </r>
  <r>
    <s v="a406f356-c8b4-54ad-ca7c-9561dbdd9ed9"/>
    <d v="1993-04-22T07:07:01"/>
    <d v="1993-04-22T07:22:01"/>
    <s v="a406f356-c8b4-54ad-e79c-54a5e15ffc19"/>
    <s v="a2a41caf-758f-3962-8e5f-e6e603f93d17"/>
    <s v="254872a4-7ff2-3b70-997b-49b37a0046eb"/>
    <s v="26aab0cd-6aba-3e1b-ac5b-05c8867e762c"/>
    <x v="1"/>
    <n v="185347001"/>
    <s v="Encounter for problem (procedure)"/>
    <n v="85.55"/>
    <n v="85.55"/>
    <n v="0"/>
    <n v="102263004"/>
    <x v="62"/>
  </r>
  <r>
    <s v="a406f356-c8b4-54ad-560a-98ba116ad8d0"/>
    <d v="1993-05-03T00:04:01"/>
    <d v="1993-05-03T00:39:03"/>
    <s v="a406f356-c8b4-54ad-e79c-54a5e15ffc19"/>
    <s v="a2a41caf-758f-3962-8e5f-e6e603f93d17"/>
    <s v="254872a4-7ff2-3b70-997b-49b37a0046eb"/>
    <s v="26aab0cd-6aba-3e1b-ac5b-05c8867e762c"/>
    <x v="1"/>
    <n v="185347001"/>
    <s v="Encounter for problem (procedure)"/>
    <n v="85.55"/>
    <n v="516.95000000000005"/>
    <n v="0"/>
    <n v="609328004"/>
    <x v="11"/>
  </r>
  <r>
    <s v="a406f356-c8b4-54ad-93d7-e66098750b07"/>
    <d v="2010-01-29T08:04:01"/>
    <d v="2010-01-29T08:49:54"/>
    <s v="a406f356-c8b4-54ad-e79c-54a5e15ffc19"/>
    <s v="4ff8b164-4cf5-3ab4-b0f2-7ce8fda920e5"/>
    <s v="ae59c705-afc7-31b2-971f-7cf749210e73"/>
    <s v="26aab0cd-6aba-3e1b-ac5b-05c8867e762c"/>
    <x v="0"/>
    <n v="162673000"/>
    <s v="General examination of patient (procedure)"/>
    <n v="136.80000000000001"/>
    <n v="704.2"/>
    <n v="0"/>
    <m/>
    <x v="0"/>
  </r>
  <r>
    <s v="a406f356-c8b4-54ad-ad0d-784d83a4cb42"/>
    <d v="2011-02-04T08:04:01"/>
    <d v="2011-02-04T08:40:04"/>
    <s v="a406f356-c8b4-54ad-e79c-54a5e15ffc19"/>
    <s v="4ff8b164-4cf5-3ab4-b0f2-7ce8fda920e5"/>
    <s v="ae59c705-afc7-31b2-971f-7cf749210e73"/>
    <s v="26aab0cd-6aba-3e1b-ac5b-05c8867e762c"/>
    <x v="0"/>
    <n v="162673000"/>
    <s v="General examination of patient (procedure)"/>
    <n v="136.80000000000001"/>
    <n v="704.2"/>
    <n v="0"/>
    <m/>
    <x v="0"/>
  </r>
  <r>
    <s v="a406f356-c8b4-54ad-8afd-4759ace93fbb"/>
    <d v="2015-02-13T08:04:01"/>
    <d v="2015-02-13T08:34:10"/>
    <s v="a406f356-c8b4-54ad-e79c-54a5e15ffc19"/>
    <s v="4ff8b164-4cf5-3ab4-b0f2-7ce8fda920e5"/>
    <s v="ae59c705-afc7-31b2-971f-7cf749210e73"/>
    <s v="26aab0cd-6aba-3e1b-ac5b-05c8867e762c"/>
    <x v="0"/>
    <n v="162673000"/>
    <s v="General examination of patient (procedure)"/>
    <n v="136.80000000000001"/>
    <n v="1186.78"/>
    <n v="0"/>
    <m/>
    <x v="0"/>
  </r>
  <r>
    <s v="a406f356-c8b4-54ad-4a52-8dd4200b1c16"/>
    <d v="2017-04-04T09:04:01"/>
    <d v="2017-04-04T10:04:01"/>
    <s v="a406f356-c8b4-54ad-e79c-54a5e15ffc19"/>
    <s v="4d3ec6c2-f6aa-3d7b-adcc-e7107dac8530"/>
    <s v="7a188fe0-beda-347c-be40-120313730d08"/>
    <s v="26aab0cd-6aba-3e1b-ac5b-05c8867e762c"/>
    <x v="3"/>
    <n v="50849002"/>
    <s v="Emergency room admission (procedure)"/>
    <n v="146.18"/>
    <n v="4140.8900000000003"/>
    <n v="0"/>
    <n v="312608009"/>
    <x v="20"/>
  </r>
  <r>
    <s v="a406f356-c8b4-54ad-c184-46e725ceb8e4"/>
    <d v="2018-02-16T08:04:01"/>
    <d v="2018-02-16T08:35:58"/>
    <s v="a406f356-c8b4-54ad-e79c-54a5e15ffc19"/>
    <s v="4ff8b164-4cf5-3ab4-b0f2-7ce8fda920e5"/>
    <s v="ae59c705-afc7-31b2-971f-7cf749210e73"/>
    <s v="26aab0cd-6aba-3e1b-ac5b-05c8867e762c"/>
    <x v="0"/>
    <n v="162673000"/>
    <s v="General examination of patient (procedure)"/>
    <n v="136.80000000000001"/>
    <n v="1024.6600000000001"/>
    <n v="0"/>
    <m/>
    <x v="0"/>
  </r>
  <r>
    <s v="a406f356-c8b4-54ad-bce1-9c6131007a11"/>
    <d v="2021-02-19T08:04:01"/>
    <d v="2021-02-19T08:54:24"/>
    <s v="a406f356-c8b4-54ad-e79c-54a5e15ffc19"/>
    <s v="4ff8b164-4cf5-3ab4-b0f2-7ce8fda920e5"/>
    <s v="ae59c705-afc7-31b2-971f-7cf749210e73"/>
    <s v="26aab0cd-6aba-3e1b-ac5b-05c8867e762c"/>
    <x v="0"/>
    <n v="162673000"/>
    <s v="General examination of patient (procedure)"/>
    <n v="136.80000000000001"/>
    <n v="994.48"/>
    <n v="0"/>
    <m/>
    <x v="0"/>
  </r>
  <r>
    <s v="a406f356-c8b4-54ad-3807-d81ddc7d3c8a"/>
    <d v="2021-10-15T09:04:01"/>
    <d v="2021-10-15T09:19:01"/>
    <s v="a406f356-c8b4-54ad-e79c-54a5e15ffc19"/>
    <s v="a2a41caf-758f-3962-8e5f-e6e603f93d17"/>
    <s v="254872a4-7ff2-3b70-997b-49b37a0046eb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a406f356-c8b4-54ad-4af2-f24dac26f433"/>
    <d v="2021-11-05T09:04:01"/>
    <d v="2021-11-05T09:19:01"/>
    <s v="a406f356-c8b4-54ad-e79c-54a5e15ffc19"/>
    <s v="a2a41caf-758f-3962-8e5f-e6e603f93d17"/>
    <s v="254872a4-7ff2-3b70-997b-49b37a0046eb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a406f356-c8b4-54ad-0d28-75e38f0245b3"/>
    <d v="2024-02-23T08:04:01"/>
    <d v="2024-02-23T08:49:03"/>
    <s v="a406f356-c8b4-54ad-e79c-54a5e15ffc19"/>
    <s v="4ff8b164-4cf5-3ab4-b0f2-7ce8fda920e5"/>
    <s v="ae59c705-afc7-31b2-971f-7cf749210e73"/>
    <s v="26aab0cd-6aba-3e1b-ac5b-05c8867e762c"/>
    <x v="0"/>
    <n v="162673000"/>
    <s v="General examination of patient (procedure)"/>
    <n v="136.80000000000001"/>
    <n v="914.78"/>
    <n v="0"/>
    <m/>
    <x v="0"/>
  </r>
  <r>
    <s v="a406f356-c8b4-54ad-9d1b-6ee03f89f93e"/>
    <d v="2026-04-19T09:04:01"/>
    <d v="2026-04-19T09:19:01"/>
    <s v="a406f356-c8b4-54ad-e79c-54a5e15ffc19"/>
    <s v="a2a41caf-758f-3962-8e5f-e6e603f93d17"/>
    <s v="254872a4-7ff2-3b70-997b-49b37a0046eb"/>
    <s v="26aab0cd-6aba-3e1b-ac5b-05c8867e762c"/>
    <x v="1"/>
    <n v="185345009"/>
    <s v="Encounter for symptom (procedure)"/>
    <n v="85.55"/>
    <n v="85.55"/>
    <n v="0"/>
    <n v="75498004"/>
    <x v="14"/>
  </r>
  <r>
    <s v="a406f356-c8b4-54ad-7a07-bb8616684a01"/>
    <d v="2026-05-10T09:04:01"/>
    <d v="2026-05-10T09:19:01"/>
    <s v="a406f356-c8b4-54ad-e79c-54a5e15ffc19"/>
    <s v="a2a41caf-758f-3962-8e5f-e6e603f93d17"/>
    <s v="254872a4-7ff2-3b70-997b-49b37a0046eb"/>
    <s v="26aab0cd-6aba-3e1b-ac5b-05c8867e762c"/>
    <x v="1"/>
    <n v="185345009"/>
    <s v="Encounter for symptom (procedure)"/>
    <n v="85.55"/>
    <n v="92.93"/>
    <n v="0"/>
    <n v="75498004"/>
    <x v="14"/>
  </r>
  <r>
    <s v="a406f356-c8b4-54ad-486b-382043d0b8bb"/>
    <d v="2026-05-22T09:04:01"/>
    <d v="2026-05-22T10:04:01"/>
    <s v="a406f356-c8b4-54ad-e79c-54a5e15ffc19"/>
    <s v="4d3ec6c2-f6aa-3d7b-adcc-e7107dac8530"/>
    <s v="7a188fe0-beda-347c-be40-120313730d08"/>
    <s v="26aab0cd-6aba-3e1b-ac5b-05c8867e762c"/>
    <x v="3"/>
    <n v="50849002"/>
    <s v="Emergency room admission (procedure)"/>
    <n v="146.18"/>
    <n v="1003.86"/>
    <n v="0"/>
    <m/>
    <x v="0"/>
  </r>
  <r>
    <s v="a406f356-c8b4-54ad-ad37-f72a5994d5fc"/>
    <d v="2026-05-29T09:04:01"/>
    <d v="2026-05-29T09:19:01"/>
    <s v="a406f356-c8b4-54ad-e79c-54a5e15ffc19"/>
    <s v="a2a41caf-758f-3962-8e5f-e6e603f93d17"/>
    <s v="254872a4-7ff2-3b70-997b-49b37a0046eb"/>
    <s v="26aab0cd-6aba-3e1b-ac5b-05c8867e762c"/>
    <x v="1"/>
    <n v="185345009"/>
    <s v="Encounter for symptom (procedure)"/>
    <n v="85.55"/>
    <n v="3536.75"/>
    <n v="0"/>
    <n v="195662009"/>
    <x v="9"/>
  </r>
  <r>
    <s v="a406f356-c8b4-54ad-5d7b-f3ed98482704"/>
    <d v="2026-06-05T09:04:01"/>
    <d v="2026-06-05T11:47:41"/>
    <s v="a406f356-c8b4-54ad-e79c-54a5e15ffc19"/>
    <s v="a2a41caf-758f-3962-8e5f-e6e603f93d17"/>
    <s v="254872a4-7ff2-3b70-997b-49b37a0046eb"/>
    <s v="26aab0cd-6aba-3e1b-ac5b-05c8867e762c"/>
    <x v="1"/>
    <n v="185349003"/>
    <s v="Encounter for check up (procedure)"/>
    <n v="85.55"/>
    <n v="3105.35"/>
    <n v="1116.23"/>
    <n v="103697008"/>
    <x v="3"/>
  </r>
  <r>
    <s v="f30304ab-8e45-1cbd-e9f3-fca0678b9f51"/>
    <d v="2016-07-14T22:08:41"/>
    <d v="2016-07-14T22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272.8"/>
    <n v="190.96"/>
    <m/>
    <x v="0"/>
  </r>
  <r>
    <s v="f30304ab-8e45-1cbd-1b3b-7e0ffbe13f36"/>
    <d v="2017-01-12T21:08:41"/>
    <d v="2017-01-12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1135.5999999999999"/>
    <n v="794.92"/>
    <m/>
    <x v="0"/>
  </r>
  <r>
    <s v="f30304ab-8e45-1cbd-3e8a-2add4a50516f"/>
    <d v="2017-03-16T22:08:41"/>
    <d v="2017-03-16T22:23:41"/>
    <s v="f30304ab-8e45-1cbd-9833-cadf568373b4"/>
    <s v="63cb4d95-04a9-3a35-b5d9-f89e0377a48d"/>
    <s v="aac4346d-d422-3dbf-bc38-465c77525f42"/>
    <s v="b046940f-1664-3047-bca7-dfa76be352a4"/>
    <x v="2"/>
    <n v="185349003"/>
    <s v="Encounter for check up (procedure)"/>
    <n v="85.55"/>
    <n v="437.25"/>
    <n v="0"/>
    <m/>
    <x v="0"/>
  </r>
  <r>
    <s v="f30304ab-8e45-1cbd-265d-c570cd8ff12f"/>
    <d v="2017-03-23T22:08:41"/>
    <d v="2017-03-23T22:23:41"/>
    <s v="f30304ab-8e45-1cbd-9833-cadf568373b4"/>
    <s v="63cb4d95-04a9-3a35-b5d9-f89e0377a48d"/>
    <s v="aac4346d-d422-3dbf-bc38-465c77525f42"/>
    <s v="b046940f-1664-3047-bca7-dfa76be352a4"/>
    <x v="1"/>
    <n v="185345009"/>
    <s v="Encounter for symptom (procedure)"/>
    <n v="85.55"/>
    <n v="948.35"/>
    <n v="0"/>
    <n v="43878008"/>
    <x v="18"/>
  </r>
  <r>
    <s v="f30304ab-8e45-1cbd-e868-66199daf880e"/>
    <d v="2017-07-13T22:08:41"/>
    <d v="2017-07-13T22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489.11"/>
    <n v="0"/>
    <m/>
    <x v="0"/>
  </r>
  <r>
    <s v="f30304ab-8e45-1cbd-00d1-4b52f051a7d4"/>
    <d v="2017-09-22T22:08:41"/>
    <d v="2017-09-22T22:23:41"/>
    <s v="f30304ab-8e45-1cbd-9833-cadf568373b4"/>
    <s v="63cb4d95-04a9-3a35-b5d9-f89e0377a48d"/>
    <s v="aac4346d-d422-3dbf-bc38-465c77525f42"/>
    <s v="b046940f-1664-3047-bca7-dfa76be352a4"/>
    <x v="2"/>
    <n v="185345009"/>
    <s v="Encounter for symptom (procedure)"/>
    <n v="85.55"/>
    <n v="85.55"/>
    <n v="0"/>
    <n v="65363002"/>
    <x v="25"/>
  </r>
  <r>
    <s v="f30304ab-8e45-1cbd-1ac5-2f61265d7bef"/>
    <d v="2017-11-05T15:08:41"/>
    <d v="2017-11-05T15:23:41"/>
    <s v="f30304ab-8e45-1cbd-9833-cadf568373b4"/>
    <s v="63cb4d95-04a9-3a35-b5d9-f89e0377a48d"/>
    <s v="aac4346d-d422-3dbf-bc38-465c77525f42"/>
    <s v="b046940f-1664-3047-bca7-dfa76be352a4"/>
    <x v="1"/>
    <n v="185345009"/>
    <s v="Encounter for symptom (procedure)"/>
    <n v="85.55"/>
    <n v="85.55"/>
    <n v="0"/>
    <n v="43878008"/>
    <x v="18"/>
  </r>
  <r>
    <s v="f30304ab-8e45-1cbd-8f30-96b0269c984d"/>
    <d v="2018-01-11T21:08:41"/>
    <d v="2018-01-11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704.2"/>
    <n v="0"/>
    <m/>
    <x v="0"/>
  </r>
  <r>
    <s v="f30304ab-8e45-1cbd-0d13-378caf6b943b"/>
    <d v="2018-01-18T21:08:41"/>
    <d v="2018-01-19T00:30:14"/>
    <s v="f30304ab-8e45-1cbd-9833-cadf568373b4"/>
    <s v="63cb4d95-04a9-3a35-b5d9-f89e0377a48d"/>
    <s v="aac4346d-d422-3dbf-bc38-465c77525f42"/>
    <s v="b046940f-1664-3047-bca7-dfa76be352a4"/>
    <x v="1"/>
    <n v="185349003"/>
    <s v="Encounter for check up (procedure)"/>
    <n v="85.55"/>
    <n v="3105.35"/>
    <n v="1235.2"/>
    <n v="103697008"/>
    <x v="3"/>
  </r>
  <r>
    <s v="f30304ab-8e45-1cbd-7838-83a5c9c982f0"/>
    <d v="2018-07-12T22:08:41"/>
    <d v="2018-07-12T22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368.47"/>
    <n v="0"/>
    <m/>
    <x v="0"/>
  </r>
  <r>
    <s v="f30304ab-8e45-1cbd-d4b6-ec39d16a0d0a"/>
    <d v="2018-11-23T21:08:41"/>
    <d v="2018-11-23T21:23:41"/>
    <s v="f30304ab-8e45-1cbd-9833-cadf568373b4"/>
    <s v="63cb4d95-04a9-3a35-b5d9-f89e0377a48d"/>
    <s v="aac4346d-d422-3dbf-bc38-465c77525f42"/>
    <s v="b046940f-1664-3047-bca7-dfa76be352a4"/>
    <x v="1"/>
    <n v="185345009"/>
    <s v="Encounter for symptom (procedure)"/>
    <n v="85.55"/>
    <n v="85.55"/>
    <n v="0"/>
    <n v="444814009"/>
    <x v="2"/>
  </r>
  <r>
    <s v="f30304ab-8e45-1cbd-6272-76939edccec5"/>
    <d v="2019-01-10T21:08:41"/>
    <d v="2019-01-10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704.2"/>
    <n v="0"/>
    <m/>
    <x v="0"/>
  </r>
  <r>
    <s v="f30304ab-8e45-1cbd-911a-7b54fd7a3640"/>
    <d v="2019-01-17T21:08:41"/>
    <d v="2019-01-18T00:00:53"/>
    <s v="f30304ab-8e45-1cbd-9833-cadf568373b4"/>
    <s v="63cb4d95-04a9-3a35-b5d9-f89e0377a48d"/>
    <s v="aac4346d-d422-3dbf-bc38-465c77525f42"/>
    <s v="b046940f-1664-3047-bca7-dfa76be352a4"/>
    <x v="1"/>
    <n v="185349003"/>
    <s v="Encounter for check up (procedure)"/>
    <n v="85.55"/>
    <n v="2673.95"/>
    <n v="0"/>
    <n v="103697008"/>
    <x v="3"/>
  </r>
  <r>
    <s v="f30304ab-8e45-1cbd-9001-cd80a94eee5d"/>
    <d v="2020-01-16T21:08:41"/>
    <d v="2020-01-16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816.8"/>
    <n v="0"/>
    <m/>
    <x v="0"/>
  </r>
  <r>
    <s v="f30304ab-8e45-1cbd-7179-0e4e3460b397"/>
    <d v="2020-03-01T21:08:41"/>
    <d v="2020-03-01T21:23:41"/>
    <s v="f30304ab-8e45-1cbd-9833-cadf568373b4"/>
    <s v="63cb4d95-04a9-3a35-b5d9-f89e0377a48d"/>
    <s v="aac4346d-d422-3dbf-bc38-465c77525f42"/>
    <s v="b046940f-1664-3047-bca7-dfa76be352a4"/>
    <x v="2"/>
    <n v="185345009"/>
    <s v="Encounter for symptom (procedure)"/>
    <n v="85.55"/>
    <n v="85.55"/>
    <n v="0"/>
    <n v="65363002"/>
    <x v="25"/>
  </r>
  <r>
    <s v="f30304ab-8e45-1cbd-6977-7845bbe92ab4"/>
    <d v="2021-01-21T21:08:41"/>
    <d v="2021-01-21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563.08000000000004"/>
    <n v="0"/>
    <m/>
    <x v="0"/>
  </r>
  <r>
    <s v="f30304ab-8e45-1cbd-67b4-4248793fc303"/>
    <d v="2022-01-27T21:08:41"/>
    <d v="2022-01-27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488.5"/>
    <n v="0"/>
    <m/>
    <x v="0"/>
  </r>
  <r>
    <s v="f30304ab-8e45-1cbd-24e1-16cdf70f8e33"/>
    <d v="2022-10-30T22:08:41"/>
    <d v="2022-10-30T23:08:41"/>
    <s v="f30304ab-8e45-1cbd-9833-cadf568373b4"/>
    <s v="6b9c5830-a278-38ff-887f-ccefd74cf8e8"/>
    <s v="cc231454-8c12-32c7-bbd4-a1ae234ebf40"/>
    <s v="b046940f-1664-3047-bca7-dfa76be352a4"/>
    <x v="3"/>
    <n v="50849002"/>
    <s v="Emergency room admission (procedure)"/>
    <n v="146.18"/>
    <n v="146.18"/>
    <n v="0"/>
    <n v="384709000"/>
    <x v="13"/>
  </r>
  <r>
    <s v="f30304ab-8e45-1cbd-713f-41ac56ce943e"/>
    <d v="2023-02-02T21:08:41"/>
    <d v="2023-02-02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704.2"/>
    <n v="0"/>
    <m/>
    <x v="0"/>
  </r>
  <r>
    <s v="f30304ab-8e45-1cbd-b3df-26028bc9bb51"/>
    <d v="2023-02-09T21:08:41"/>
    <d v="2023-02-10T00:35:21"/>
    <s v="f30304ab-8e45-1cbd-9833-cadf568373b4"/>
    <s v="63cb4d95-04a9-3a35-b5d9-f89e0377a48d"/>
    <s v="aac4346d-d422-3dbf-bc38-465c77525f42"/>
    <s v="b046940f-1664-3047-bca7-dfa76be352a4"/>
    <x v="1"/>
    <n v="185349003"/>
    <s v="Encounter for check up (procedure)"/>
    <n v="85.55"/>
    <n v="3105.35"/>
    <n v="0"/>
    <n v="66383009"/>
    <x v="17"/>
  </r>
  <r>
    <s v="f30304ab-8e45-1cbd-c85e-8943b2aa3963"/>
    <d v="2023-03-25T07:08:41"/>
    <d v="2023-03-25T07:23:41"/>
    <s v="f30304ab-8e45-1cbd-9833-cadf568373b4"/>
    <s v="63cb4d95-04a9-3a35-b5d9-f89e0377a48d"/>
    <s v="aac4346d-d422-3dbf-bc38-465c77525f42"/>
    <s v="b046940f-1664-3047-bca7-dfa76be352a4"/>
    <x v="1"/>
    <n v="185345009"/>
    <s v="Encounter for symptom (procedure)"/>
    <n v="85.55"/>
    <n v="85.55"/>
    <n v="0"/>
    <n v="444814009"/>
    <x v="2"/>
  </r>
  <r>
    <s v="f30304ab-8e45-1cbd-bafe-9353b65fda12"/>
    <d v="2023-08-25T01:08:41"/>
    <d v="2023-08-25T01:23:41"/>
    <s v="f30304ab-8e45-1cbd-9833-cadf568373b4"/>
    <s v="63cb4d95-04a9-3a35-b5d9-f89e0377a48d"/>
    <s v="aac4346d-d422-3dbf-bc38-465c77525f42"/>
    <s v="b046940f-1664-3047-bca7-dfa76be352a4"/>
    <x v="1"/>
    <n v="185345009"/>
    <s v="Encounter for symptom (procedure)"/>
    <n v="85.55"/>
    <n v="85.55"/>
    <n v="0"/>
    <n v="43878008"/>
    <x v="18"/>
  </r>
  <r>
    <s v="f30304ab-8e45-1cbd-7040-1a04104db872"/>
    <d v="2024-01-05T22:08:41"/>
    <d v="2024-01-05T22:23:41"/>
    <s v="f30304ab-8e45-1cbd-9833-cadf568373b4"/>
    <s v="63cb4d95-04a9-3a35-b5d9-f89e0377a48d"/>
    <s v="aac4346d-d422-3dbf-bc38-465c77525f42"/>
    <s v="b046940f-1664-3047-bca7-dfa76be352a4"/>
    <x v="1"/>
    <n v="185345009"/>
    <s v="Encounter for symptom (procedure)"/>
    <n v="85.55"/>
    <n v="85.55"/>
    <n v="0"/>
    <n v="43878008"/>
    <x v="18"/>
  </r>
  <r>
    <s v="f30304ab-8e45-1cbd-1863-ec7ea31130d6"/>
    <d v="2024-02-08T21:08:41"/>
    <d v="2024-02-08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272.8"/>
    <n v="0"/>
    <m/>
    <x v="0"/>
  </r>
  <r>
    <s v="f30304ab-8e45-1cbd-ed6d-1fb3f9b169db"/>
    <d v="2025-02-01T21:08:41"/>
    <d v="2025-02-01T22:08:41"/>
    <s v="f30304ab-8e45-1cbd-9833-cadf568373b4"/>
    <s v="6b9c5830-a278-38ff-887f-ccefd74cf8e8"/>
    <s v="cc231454-8c12-32c7-bbd4-a1ae234ebf40"/>
    <s v="b046940f-1664-3047-bca7-dfa76be352a4"/>
    <x v="3"/>
    <n v="50849002"/>
    <s v="Emergency room admission (procedure)"/>
    <n v="146.18"/>
    <n v="146.18"/>
    <n v="0"/>
    <n v="384709000"/>
    <x v="13"/>
  </r>
  <r>
    <s v="f30304ab-8e45-1cbd-f85c-947cb02cd959"/>
    <d v="2025-02-13T21:08:41"/>
    <d v="2025-02-13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704.2"/>
    <n v="0"/>
    <m/>
    <x v="0"/>
  </r>
  <r>
    <s v="f30304ab-8e45-1cbd-c58a-7ed6222e947f"/>
    <d v="2025-02-20T21:08:41"/>
    <d v="2025-02-21T00:39:23"/>
    <s v="f30304ab-8e45-1cbd-9833-cadf568373b4"/>
    <s v="63cb4d95-04a9-3a35-b5d9-f89e0377a48d"/>
    <s v="aac4346d-d422-3dbf-bc38-465c77525f42"/>
    <s v="b046940f-1664-3047-bca7-dfa76be352a4"/>
    <x v="1"/>
    <n v="185349003"/>
    <s v="Encounter for check up (procedure)"/>
    <n v="85.55"/>
    <n v="3105.35"/>
    <n v="0"/>
    <n v="66383009"/>
    <x v="17"/>
  </r>
  <r>
    <s v="f30304ab-8e45-1cbd-6679-174a9b2f1234"/>
    <d v="2026-02-19T21:08:41"/>
    <d v="2026-02-19T21:23:41"/>
    <s v="f30304ab-8e45-1cbd-9833-cadf568373b4"/>
    <s v="2f735290-1603-31b5-b561-7c8e0d413170"/>
    <s v="7ae80cde-6177-3bb4-825f-8810d4c2a14a"/>
    <s v="b046940f-1664-3047-bca7-dfa76be352a4"/>
    <x v="0"/>
    <n v="410620009"/>
    <s v="Well child visit (procedure)"/>
    <n v="136.80000000000001"/>
    <n v="1560.71"/>
    <n v="0"/>
    <m/>
    <x v="0"/>
  </r>
  <r>
    <s v="fb56f051-a2cd-ac10-be27-94e4e35e4f63"/>
    <d v="1978-06-12T16:41:04"/>
    <d v="1978-06-12T16:56:04"/>
    <s v="fb56f051-a2cd-ac10-dcb0-e0738295fc1f"/>
    <s v="6cf8a214-8d57-3267-85e5-7719e15cd63e"/>
    <s v="5a65232f-4323-3b7d-a9a5-a001f6c323a8"/>
    <s v="df166300-5a78-3502-a46a-832842197811"/>
    <x v="1"/>
    <n v="185345009"/>
    <s v="Encounter for symptom (procedure)"/>
    <n v="85.55"/>
    <n v="92.93"/>
    <n v="42.93"/>
    <n v="75498004"/>
    <x v="14"/>
  </r>
  <r>
    <s v="fb56f051-a2cd-ac10-31cc-71df144f1881"/>
    <d v="1979-10-27T06:41:04"/>
    <d v="1979-10-27T06:58:53"/>
    <s v="fb56f051-a2cd-ac10-dcb0-e0738295fc1f"/>
    <s v="ace1ac31-036a-38fd-b451-b3b87157c717"/>
    <s v="df770d9c-95c9-3880-b9fd-8196295aa7db"/>
    <s v="df166300-5a78-3502-a46a-832842197811"/>
    <x v="0"/>
    <n v="410620009"/>
    <s v="Well child visit (procedure)"/>
    <n v="136.80000000000001"/>
    <n v="568.20000000000005"/>
    <n v="418.2"/>
    <m/>
    <x v="0"/>
  </r>
  <r>
    <s v="fb56f051-a2cd-ac10-c3ba-0b4830e55b1f"/>
    <d v="1981-11-07T05:41:04"/>
    <d v="1981-11-07T06:08:58"/>
    <s v="fb56f051-a2cd-ac10-dcb0-e0738295fc1f"/>
    <s v="ace1ac31-036a-38fd-b451-b3b87157c717"/>
    <s v="df770d9c-95c9-3880-b9fd-8196295aa7db"/>
    <s v="df166300-5a78-3502-a46a-832842197811"/>
    <x v="0"/>
    <n v="410620009"/>
    <s v="Well child visit (procedure)"/>
    <n v="136.80000000000001"/>
    <n v="919.9"/>
    <n v="769.9"/>
    <m/>
    <x v="0"/>
  </r>
  <r>
    <s v="fb56f051-a2cd-ac10-5376-da5a323ad251"/>
    <d v="1982-08-01T06:41:04"/>
    <d v="1982-08-01T07:41:04"/>
    <s v="fb56f051-a2cd-ac10-dcb0-e0738295fc1f"/>
    <s v="0a2252ba-33de-322f-8f0a-e5b0141f1780"/>
    <s v="f777c1ad-747e-3dbb-bd1c-f274a5baa638"/>
    <s v="df166300-5a78-3502-a46a-832842197811"/>
    <x v="3"/>
    <n v="50849002"/>
    <s v="Emergency room admission (procedure)"/>
    <n v="146.18"/>
    <n v="1008.98"/>
    <n v="958.98"/>
    <n v="125605004"/>
    <x v="36"/>
  </r>
  <r>
    <s v="fb56f051-a2cd-ac10-dcaa-334ec75ff962"/>
    <d v="1982-09-11T07:24:26"/>
    <d v="1982-09-11T07:39:26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85.55"/>
    <n v="35.549999999999997"/>
    <n v="263102004"/>
    <x v="63"/>
  </r>
  <r>
    <s v="fb56f051-a2cd-ac10-681a-f0ff64888461"/>
    <d v="1982-10-01T06:41:04"/>
    <d v="1982-10-01T06:56:04"/>
    <s v="fb56f051-a2cd-ac10-dcb0-e0738295fc1f"/>
    <s v="6cf8a214-8d57-3267-85e5-7719e15cd63e"/>
    <s v="5a65232f-4323-3b7d-a9a5-a001f6c323a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fb56f051-a2cd-ac10-89ad-f699b5cbd84a"/>
    <d v="1982-11-13T05:41:04"/>
    <d v="1982-11-13T05:56:04"/>
    <s v="fb56f051-a2cd-ac10-dcb0-e0738295fc1f"/>
    <s v="ace1ac31-036a-38fd-b451-b3b87157c717"/>
    <s v="df770d9c-95c9-3880-b9fd-8196295aa7db"/>
    <s v="df166300-5a78-3502-a46a-832842197811"/>
    <x v="0"/>
    <n v="410620009"/>
    <s v="Well child visit (procedure)"/>
    <n v="136.80000000000001"/>
    <n v="704.2"/>
    <n v="554.20000000000005"/>
    <m/>
    <x v="0"/>
  </r>
  <r>
    <s v="fb56f051-a2cd-ac10-5a62-d4c78503cf7e"/>
    <d v="1982-11-27T05:41:04"/>
    <d v="1982-11-27T08:51:54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fb56f051-a2cd-ac10-2670-ba3661c61b4a"/>
    <d v="1983-09-28T16:41:04"/>
    <d v="1983-09-28T16:56:04"/>
    <s v="fb56f051-a2cd-ac10-dcb0-e0738295fc1f"/>
    <s v="6cf8a214-8d57-3267-85e5-7719e15cd63e"/>
    <s v="5a65232f-4323-3b7d-a9a5-a001f6c323a8"/>
    <s v="df166300-5a78-3502-a46a-832842197811"/>
    <x v="1"/>
    <n v="185345009"/>
    <s v="Encounter for symptom (procedure)"/>
    <n v="85.55"/>
    <n v="948.35"/>
    <n v="898.35"/>
    <n v="195662009"/>
    <x v="9"/>
  </r>
  <r>
    <s v="fb56f051-a2cd-ac10-5ab4-cf33e6fe99d8"/>
    <d v="1983-11-19T05:41:04"/>
    <d v="1983-11-19T05:58:21"/>
    <s v="fb56f051-a2cd-ac10-dcb0-e0738295fc1f"/>
    <s v="ace1ac31-036a-38fd-b451-b3b87157c717"/>
    <s v="df770d9c-95c9-3880-b9fd-8196295aa7db"/>
    <s v="df166300-5a78-3502-a46a-832842197811"/>
    <x v="0"/>
    <n v="410620009"/>
    <s v="Well child visit (procedure)"/>
    <n v="136.80000000000001"/>
    <n v="1108.76"/>
    <n v="958.76"/>
    <m/>
    <x v="0"/>
  </r>
  <r>
    <s v="fb56f051-a2cd-ac10-85a5-fd270c4e176e"/>
    <d v="1983-12-03T05:41:04"/>
    <d v="1983-12-03T09:20:53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3968.15"/>
    <n v="3918.15"/>
    <n v="66383009"/>
    <x v="17"/>
  </r>
  <r>
    <s v="fb56f051-a2cd-ac10-0625-5a8b3f8ea601"/>
    <d v="1983-12-17T05:41:04"/>
    <d v="1983-12-17T05:56:04"/>
    <s v="fb56f051-a2cd-ac10-dcb0-e0738295fc1f"/>
    <s v="6cf8a214-8d57-3267-85e5-7719e15cd63e"/>
    <s v="5a65232f-4323-3b7d-a9a5-a001f6c323a8"/>
    <s v="df166300-5a78-3502-a46a-832842197811"/>
    <x v="1"/>
    <n v="424441002"/>
    <s v="Prenatal initial visit (regime/therapy)"/>
    <n v="142.58000000000001"/>
    <n v="36299.01"/>
    <n v="36249.01"/>
    <n v="72892002"/>
    <x v="4"/>
  </r>
  <r>
    <s v="fb56f051-a2cd-ac10-a7ac-00e9b5a21083"/>
    <d v="1984-01-14T05:41:04"/>
    <d v="1984-01-14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5528.76"/>
    <n v="5478.76"/>
    <n v="72892002"/>
    <x v="4"/>
  </r>
  <r>
    <s v="fb56f051-a2cd-ac10-b2b4-32a6c61a8352"/>
    <d v="1984-02-11T05:41:04"/>
    <d v="1984-02-11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7977.18"/>
    <n v="7927.18"/>
    <n v="72892002"/>
    <x v="4"/>
  </r>
  <r>
    <s v="fb56f051-a2cd-ac10-fc52-fd71954d15ac"/>
    <d v="1984-03-10T05:41:04"/>
    <d v="1984-03-10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8469.09"/>
    <n v="8419.09"/>
    <n v="72892002"/>
    <x v="4"/>
  </r>
  <r>
    <s v="fb56f051-a2cd-ac10-7d62-ae8bb1799e73"/>
    <d v="1984-04-07T06:41:04"/>
    <d v="1984-04-07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7431.32"/>
    <n v="7381.32"/>
    <n v="72892002"/>
    <x v="4"/>
  </r>
  <r>
    <s v="fb56f051-a2cd-ac10-0791-8aa092e2bebc"/>
    <d v="1984-05-05T06:41:04"/>
    <d v="1984-05-05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16884.439999999999"/>
    <n v="16834.439999999999"/>
    <n v="72892002"/>
    <x v="4"/>
  </r>
  <r>
    <s v="fb56f051-a2cd-ac10-5ed0-13b831d347b8"/>
    <d v="1984-06-02T06:41:04"/>
    <d v="1984-06-02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4665.96"/>
    <n v="4615.96"/>
    <n v="72892002"/>
    <x v="4"/>
  </r>
  <r>
    <s v="fb56f051-a2cd-ac10-8eae-7e021b9c338b"/>
    <d v="1984-06-30T06:41:04"/>
    <d v="1984-06-30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7640.91"/>
    <n v="7590.91"/>
    <n v="72892002"/>
    <x v="4"/>
  </r>
  <r>
    <s v="fb56f051-a2cd-ac10-efa9-6695a9ead846"/>
    <d v="1984-07-14T06:41:04"/>
    <d v="1984-07-14T07:41:04"/>
    <s v="fb56f051-a2cd-ac10-dcb0-e0738295fc1f"/>
    <s v="0a2252ba-33de-322f-8f0a-e5b0141f1780"/>
    <s v="f777c1ad-747e-3dbb-bd1c-f274a5baa638"/>
    <s v="df166300-5a78-3502-a46a-832842197811"/>
    <x v="3"/>
    <n v="183460006"/>
    <s v="Obstetric emergency hospital admission (procedure)"/>
    <n v="146.18"/>
    <n v="9969.67"/>
    <n v="9919.67"/>
    <n v="72892002"/>
    <x v="4"/>
  </r>
  <r>
    <s v="fb56f051-a2cd-ac10-7bd9-e9ddd3fdc574"/>
    <d v="1984-08-25T06:41:04"/>
    <d v="1984-08-25T06:56:04"/>
    <s v="fb56f051-a2cd-ac10-dcb0-e0738295fc1f"/>
    <s v="6cf8a214-8d57-3267-85e5-7719e15cd63e"/>
    <s v="5a65232f-4323-3b7d-a9a5-a001f6c323a8"/>
    <s v="df166300-5a78-3502-a46a-832842197811"/>
    <x v="1"/>
    <n v="169762003"/>
    <s v="Postnatal visit (regime/therapy)"/>
    <n v="142.58000000000001"/>
    <n v="1005.38"/>
    <n v="955.38"/>
    <m/>
    <x v="0"/>
  </r>
  <r>
    <s v="fb56f051-a2cd-ac10-a65f-4600ef8ee910"/>
    <d v="1984-09-20T06:41:04"/>
    <d v="1984-09-20T06:56:04"/>
    <s v="fb56f051-a2cd-ac10-dcb0-e0738295fc1f"/>
    <s v="6cf8a214-8d57-3267-85e5-7719e15cd63e"/>
    <s v="5a65232f-4323-3b7d-a9a5-a001f6c323a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fb56f051-a2cd-ac10-3f5c-8e7ea0563194"/>
    <d v="1984-11-24T05:41:04"/>
    <d v="1984-11-24T05:59:45"/>
    <s v="fb56f051-a2cd-ac10-dcb0-e0738295fc1f"/>
    <s v="ace1ac31-036a-38fd-b451-b3b87157c717"/>
    <s v="df770d9c-95c9-3880-b9fd-8196295aa7db"/>
    <s v="df166300-5a78-3502-a46a-832842197811"/>
    <x v="0"/>
    <n v="410620009"/>
    <s v="Well child visit (procedure)"/>
    <n v="136.80000000000001"/>
    <n v="1186.3"/>
    <n v="1036.3"/>
    <m/>
    <x v="0"/>
  </r>
  <r>
    <s v="fb56f051-a2cd-ac10-ead1-bfadd90ad8a7"/>
    <d v="1984-12-08T05:41:04"/>
    <d v="1984-12-08T09:16:45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fb56f051-a2cd-ac10-11c5-5487f7d67edf"/>
    <d v="1985-11-30T05:41:04"/>
    <d v="1985-11-30T06:11:47"/>
    <s v="fb56f051-a2cd-ac10-dcb0-e0738295fc1f"/>
    <s v="ace1ac31-036a-38fd-b451-b3b87157c717"/>
    <s v="df770d9c-95c9-3880-b9fd-8196295aa7db"/>
    <s v="df166300-5a78-3502-a46a-832842197811"/>
    <x v="0"/>
    <n v="162673000"/>
    <s v="General examination of patient (procedure)"/>
    <n v="136.80000000000001"/>
    <n v="1100.5899999999999"/>
    <n v="950.59"/>
    <m/>
    <x v="0"/>
  </r>
  <r>
    <s v="fb56f051-a2cd-ac10-00a6-d11ee35a0338"/>
    <d v="1985-12-14T05:41:04"/>
    <d v="1985-12-14T08:25:08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fb56f051-a2cd-ac10-8100-591a63cc7d65"/>
    <d v="1986-12-06T05:41:04"/>
    <d v="1986-12-06T06:36:48"/>
    <s v="fb56f051-a2cd-ac10-dcb0-e0738295fc1f"/>
    <s v="ace1ac31-036a-38fd-b451-b3b87157c717"/>
    <s v="df770d9c-95c9-3880-b9fd-8196295aa7db"/>
    <s v="df166300-5a78-3502-a46a-832842197811"/>
    <x v="0"/>
    <n v="162673000"/>
    <s v="General examination of patient (procedure)"/>
    <n v="136.80000000000001"/>
    <n v="919.9"/>
    <n v="769.9"/>
    <m/>
    <x v="0"/>
  </r>
  <r>
    <s v="fb56f051-a2cd-ac10-5693-3fdbe08a5d39"/>
    <d v="1988-01-23T05:41:04"/>
    <d v="1988-01-23T05:56:04"/>
    <s v="fb56f051-a2cd-ac10-dcb0-e0738295fc1f"/>
    <s v="6cf8a214-8d57-3267-85e5-7719e15cd63e"/>
    <s v="5a65232f-4323-3b7d-a9a5-a001f6c323a8"/>
    <s v="df166300-5a78-3502-a46a-832842197811"/>
    <x v="1"/>
    <n v="424441002"/>
    <s v="Prenatal initial visit (regime/therapy)"/>
    <n v="142.58000000000001"/>
    <n v="8285.2900000000009"/>
    <n v="8135.29"/>
    <n v="72892002"/>
    <x v="4"/>
  </r>
  <r>
    <s v="fb56f051-a2cd-ac10-519b-f02860d5423d"/>
    <d v="1988-02-04T05:41:04"/>
    <d v="1988-02-04T05:56:04"/>
    <s v="fb56f051-a2cd-ac10-dcb0-e0738295fc1f"/>
    <s v="6cf8a214-8d57-3267-85e5-7719e15cd63e"/>
    <s v="5a65232f-4323-3b7d-a9a5-a001f6c323a8"/>
    <s v="df166300-5a78-3502-a46a-832842197811"/>
    <x v="1"/>
    <n v="270427003"/>
    <s v="Patient-initiated encounter (procedure)"/>
    <n v="85.55"/>
    <n v="4444.9799999999996"/>
    <n v="4394.9799999999996"/>
    <n v="72892002"/>
    <x v="4"/>
  </r>
  <r>
    <s v="fb56f051-a2cd-ac10-2432-fe1aa264a824"/>
    <d v="1988-02-18T05:41:04"/>
    <d v="1988-02-18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1868.18"/>
    <n v="1818.18"/>
    <n v="72892002"/>
    <x v="4"/>
  </r>
  <r>
    <s v="fb56f051-a2cd-ac10-a41c-2e07242aa477"/>
    <d v="1988-10-01T06:41:04"/>
    <d v="1988-10-01T06:56:04"/>
    <s v="fb56f051-a2cd-ac10-dcb0-e0738295fc1f"/>
    <s v="6cf8a214-8d57-3267-85e5-7719e15cd63e"/>
    <s v="5a65232f-4323-3b7d-a9a5-a001f6c323a8"/>
    <s v="df166300-5a78-3502-a46a-832842197811"/>
    <x v="1"/>
    <n v="424441002"/>
    <s v="Prenatal initial visit (regime/therapy)"/>
    <n v="142.58000000000001"/>
    <n v="41778.74"/>
    <n v="41728.74"/>
    <n v="72892002"/>
    <x v="4"/>
  </r>
  <r>
    <s v="fb56f051-a2cd-ac10-3caf-567ac726ab76"/>
    <d v="1988-10-29T06:41:04"/>
    <d v="1988-10-29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8693.61"/>
    <n v="8543.61"/>
    <n v="72892002"/>
    <x v="4"/>
  </r>
  <r>
    <s v="fb56f051-a2cd-ac10-4b11-dfbf3fb5ea73"/>
    <d v="1988-11-26T05:41:04"/>
    <d v="1988-11-26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5960.16"/>
    <n v="5910.16"/>
    <n v="72892002"/>
    <x v="4"/>
  </r>
  <r>
    <s v="fb56f051-a2cd-ac10-9a80-77fa82c7c357"/>
    <d v="1988-12-24T05:41:04"/>
    <d v="1988-12-24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15429.32"/>
    <n v="15379.32"/>
    <n v="72892002"/>
    <x v="4"/>
  </r>
  <r>
    <s v="fb56f051-a2cd-ac10-d0ed-ee6431850780"/>
    <d v="1989-01-21T05:41:04"/>
    <d v="1989-01-21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4665.96"/>
    <n v="4615.96"/>
    <n v="72892002"/>
    <x v="4"/>
  </r>
  <r>
    <s v="fb56f051-a2cd-ac10-810e-b5af32935a86"/>
    <d v="1989-02-16T03:41:04"/>
    <d v="1989-02-16T04:03:32"/>
    <s v="fb56f051-a2cd-ac10-dcb0-e0738295fc1f"/>
    <s v="6cf8a214-8d57-3267-85e5-7719e15cd63e"/>
    <s v="5a65232f-4323-3b7d-a9a5-a001f6c323a8"/>
    <s v="df166300-5a78-3502-a46a-832842197811"/>
    <x v="1"/>
    <n v="185345009"/>
    <s v="Encounter for symptom (procedure)"/>
    <n v="85.55"/>
    <n v="142.57"/>
    <n v="92.57"/>
    <n v="10509002"/>
    <x v="1"/>
  </r>
  <r>
    <s v="fb56f051-a2cd-ac10-dc23-b570ade4fc9c"/>
    <d v="1989-02-18T05:41:04"/>
    <d v="1989-02-18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14970.14"/>
    <n v="14920.14"/>
    <n v="72892002"/>
    <x v="4"/>
  </r>
  <r>
    <s v="fb56f051-a2cd-ac10-9761-9b7dd1d885ff"/>
    <d v="1989-02-25T05:41:04"/>
    <d v="1989-02-25T06:24:39"/>
    <s v="fb56f051-a2cd-ac10-dcb0-e0738295fc1f"/>
    <s v="6cf8a214-8d57-3267-85e5-7719e15cd63e"/>
    <s v="5a65232f-4323-3b7d-a9a5-a001f6c323a8"/>
    <s v="df166300-5a78-3502-a46a-832842197811"/>
    <x v="2"/>
    <n v="185349003"/>
    <s v="Encounter for check up (procedure)"/>
    <n v="85.55"/>
    <n v="863.53"/>
    <n v="813.53"/>
    <m/>
    <x v="0"/>
  </r>
  <r>
    <s v="fb56f051-a2cd-ac10-e0d0-d3b310bdcf1d"/>
    <d v="1989-03-11T05:41:04"/>
    <d v="1989-03-11T08:08:02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fb56f051-a2cd-ac10-e94c-3d8d925b0e68"/>
    <d v="1989-03-18T05:41:04"/>
    <d v="1989-03-18T05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12981.15"/>
    <n v="12931.15"/>
    <n v="72892002"/>
    <x v="4"/>
  </r>
  <r>
    <s v="fb56f051-a2cd-ac10-da6e-27536db3fa38"/>
    <d v="1989-04-15T06:41:04"/>
    <d v="1989-04-15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6350.89"/>
    <n v="6300.89"/>
    <n v="72892002"/>
    <x v="4"/>
  </r>
  <r>
    <s v="fb56f051-a2cd-ac10-08fc-0c68cfc436ad"/>
    <d v="1989-04-29T06:41:04"/>
    <d v="1989-04-29T06:56:04"/>
    <s v="fb56f051-a2cd-ac10-dcb0-e0738295fc1f"/>
    <s v="6cf8a214-8d57-3267-85e5-7719e15cd63e"/>
    <s v="5a65232f-4323-3b7d-a9a5-a001f6c323a8"/>
    <s v="df166300-5a78-3502-a46a-832842197811"/>
    <x v="1"/>
    <n v="424619006"/>
    <s v="Prenatal visit (regime/therapy)"/>
    <n v="142.58000000000001"/>
    <n v="4665.96"/>
    <n v="4615.96"/>
    <n v="72892002"/>
    <x v="4"/>
  </r>
  <r>
    <s v="fb56f051-a2cd-ac10-2642-3cfc4d3ae208"/>
    <d v="1989-05-06T06:41:04"/>
    <d v="1989-05-06T07:41:04"/>
    <s v="fb56f051-a2cd-ac10-dcb0-e0738295fc1f"/>
    <s v="0a2252ba-33de-322f-8f0a-e5b0141f1780"/>
    <s v="f777c1ad-747e-3dbb-bd1c-f274a5baa638"/>
    <s v="df166300-5a78-3502-a46a-832842197811"/>
    <x v="3"/>
    <n v="183460006"/>
    <s v="Obstetric emergency hospital admission (procedure)"/>
    <n v="146.18"/>
    <n v="5176.6099999999997"/>
    <n v="5126.6099999999997"/>
    <n v="72892002"/>
    <x v="4"/>
  </r>
  <r>
    <s v="fb56f051-a2cd-ac10-7047-d2d70c7aa964"/>
    <d v="1989-06-17T06:41:04"/>
    <d v="1989-06-17T06:56:04"/>
    <s v="fb56f051-a2cd-ac10-dcb0-e0738295fc1f"/>
    <s v="6cf8a214-8d57-3267-85e5-7719e15cd63e"/>
    <s v="5a65232f-4323-3b7d-a9a5-a001f6c323a8"/>
    <s v="df166300-5a78-3502-a46a-832842197811"/>
    <x v="1"/>
    <n v="169762003"/>
    <s v="Postnatal visit (regime/therapy)"/>
    <n v="142.58000000000001"/>
    <n v="1005.38"/>
    <n v="955.38"/>
    <m/>
    <x v="0"/>
  </r>
  <r>
    <s v="fb56f051-a2cd-ac10-3049-48136cc82ea6"/>
    <d v="1989-07-14T06:41:04"/>
    <d v="1989-07-14T07:20:15"/>
    <s v="fb56f051-a2cd-ac10-dcb0-e0738295fc1f"/>
    <s v="74ab949d-17ac-3309-83a0-13b4405c66aa"/>
    <s v="35fedf4a-4da7-315e-a103-dbcfea0540fa"/>
    <s v="df166300-5a78-3502-a46a-832842197811"/>
    <x v="1"/>
    <n v="185347001"/>
    <s v="Encounter for problem (procedure)"/>
    <n v="85.55"/>
    <n v="14649.46"/>
    <n v="14599.46"/>
    <n v="88805009"/>
    <x v="64"/>
  </r>
  <r>
    <s v="fb56f051-a2cd-ac10-aca6-d050c68e3b0f"/>
    <d v="1989-08-01T07:10:29"/>
    <d v="1989-08-01T07:40:29"/>
    <s v="fb56f051-a2cd-ac10-dcb0-e0738295fc1f"/>
    <s v="74ab949d-17ac-3309-83a0-13b4405c66aa"/>
    <s v="35fedf4a-4da7-315e-a103-dbcfea0540fa"/>
    <s v="df166300-5a78-3502-a46a-832842197811"/>
    <x v="1"/>
    <n v="185347001"/>
    <s v="Encounter for problem (procedure)"/>
    <n v="85.55"/>
    <n v="795.53"/>
    <n v="745.53"/>
    <n v="88805009"/>
    <x v="64"/>
  </r>
  <r>
    <s v="fb56f051-a2cd-ac10-8596-9e5e2c2c47ed"/>
    <d v="1989-08-03T06:41:04"/>
    <d v="1989-08-03T08:05:50"/>
    <s v="fb56f051-a2cd-ac10-dcb0-e0738295fc1f"/>
    <s v="6cf8a214-8d57-3267-85e5-7719e15cd63e"/>
    <s v="5a65232f-4323-3b7d-a9a5-a001f6c323a8"/>
    <s v="df166300-5a78-3502-a46a-832842197811"/>
    <x v="1"/>
    <n v="185345009"/>
    <s v="Encounter for symptom (procedure)"/>
    <n v="85.55"/>
    <n v="3611.33"/>
    <n v="3561.33"/>
    <n v="307426000"/>
    <x v="5"/>
  </r>
  <r>
    <s v="fb56f051-a2cd-ac10-875d-a6962187ae82"/>
    <d v="1989-08-12T06:41:04"/>
    <d v="1989-08-12T07:39:33"/>
    <s v="fb56f051-a2cd-ac10-dcb0-e0738295fc1f"/>
    <s v="ace1ac31-036a-38fd-b451-b3b87157c717"/>
    <s v="df770d9c-95c9-3880-b9fd-8196295aa7db"/>
    <s v="df166300-5a78-3502-a46a-832842197811"/>
    <x v="0"/>
    <n v="162673000"/>
    <s v="General examination of patient (procedure)"/>
    <n v="136.80000000000001"/>
    <n v="1055.9000000000001"/>
    <n v="1005.9"/>
    <m/>
    <x v="0"/>
  </r>
  <r>
    <s v="fb56f051-a2cd-ac10-f734-857680bc7ede"/>
    <d v="1989-08-26T06:41:04"/>
    <d v="1989-08-26T10:25:36"/>
    <s v="fb56f051-a2cd-ac10-dcb0-e0738295fc1f"/>
    <s v="6cf8a214-8d57-3267-85e5-7719e15cd63e"/>
    <s v="5a65232f-4323-3b7d-a9a5-a001f6c323a8"/>
    <s v="df166300-5a78-3502-a46a-832842197811"/>
    <x v="1"/>
    <n v="185349003"/>
    <s v="Encounter for check up (procedure)"/>
    <n v="85.55"/>
    <n v="3536.75"/>
    <n v="3486.75"/>
    <n v="66383009"/>
    <x v="17"/>
  </r>
  <r>
    <s v="fb56f051-a2cd-ac10-b841-bbca5c9e6bc9"/>
    <d v="1990-01-28T06:10:29"/>
    <d v="1990-01-28T06:40:29"/>
    <s v="fb56f051-a2cd-ac10-dcb0-e0738295fc1f"/>
    <s v="74ab949d-17ac-3309-83a0-13b4405c66aa"/>
    <s v="35fedf4a-4da7-315e-a103-dbcfea0540fa"/>
    <s v="a735bf55-83e9-331a-899d-a82a60b9f60c"/>
    <x v="1"/>
    <n v="185347001"/>
    <s v="Encounter for problem (procedure)"/>
    <n v="85.55"/>
    <n v="1434.48"/>
    <n v="1065.1300000000001"/>
    <n v="88805009"/>
    <x v="64"/>
  </r>
  <r>
    <s v="fb56f051-a2cd-ac10-4bd6-4668285953c4"/>
    <d v="1990-06-19T06:41:04"/>
    <d v="1990-06-19T06:56:04"/>
    <s v="fb56f051-a2cd-ac10-dcb0-e0738295fc1f"/>
    <s v="6cf8a214-8d57-3267-85e5-7719e15cd63e"/>
    <s v="5a65232f-4323-3b7d-a9a5-a001f6c323a8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fb56f051-a2cd-ac10-9f71-ae441c6f7e45"/>
    <d v="1990-07-27T07:10:29"/>
    <d v="1990-07-27T08:10:29"/>
    <s v="fb56f051-a2cd-ac10-dcb0-e0738295fc1f"/>
    <s v="74ab949d-17ac-3309-83a0-13b4405c66aa"/>
    <s v="35fedf4a-4da7-315e-a103-dbcfea0540fa"/>
    <s v="a735bf55-83e9-331a-899d-a82a60b9f60c"/>
    <x v="3"/>
    <n v="185347001"/>
    <s v="Encounter for problem (procedure)"/>
    <n v="87.71"/>
    <n v="4681.1899999999996"/>
    <n v="3744.93"/>
    <n v="88805009"/>
    <x v="64"/>
  </r>
  <r>
    <s v="fb56f051-a2cd-ac10-76ef-13959deae12a"/>
    <d v="1990-07-27T07:10:29"/>
    <d v="1990-08-14T07:50:38"/>
    <s v="fb56f051-a2cd-ac10-dcb0-e0738295fc1f"/>
    <s v="74ab949d-17ac-3309-83a0-13b4405c66aa"/>
    <s v="35fedf4a-4da7-315e-a103-dbcfea0540fa"/>
    <s v="a735bf55-83e9-331a-899d-a82a60b9f60c"/>
    <x v="6"/>
    <n v="305351004"/>
    <s v="Admission to intensive care unit (procedure)"/>
    <n v="146.18"/>
    <n v="24809.72"/>
    <n v="19847.34"/>
    <n v="88805009"/>
    <x v="64"/>
  </r>
  <r>
    <s v="fb56f051-a2cd-ac10-ea1a-f70d2201eae0"/>
    <d v="1990-08-25T06:41:04"/>
    <d v="1990-08-25T07:16:15"/>
    <s v="fb56f051-a2cd-ac10-dcb0-e0738295fc1f"/>
    <s v="ace1ac31-036a-38fd-b451-b3b87157c717"/>
    <s v="df770d9c-95c9-3880-b9fd-8196295aa7db"/>
    <s v="a735bf55-83e9-331a-899d-a82a60b9f60c"/>
    <x v="0"/>
    <n v="162673000"/>
    <s v="General examination of patient (procedure)"/>
    <n v="136.80000000000001"/>
    <n v="1055.9000000000001"/>
    <n v="844.72"/>
    <m/>
    <x v="0"/>
  </r>
  <r>
    <s v="fb56f051-a2cd-ac10-6296-d84faf79da1a"/>
    <d v="1991-02-10T06:50:38"/>
    <d v="1991-02-10T07:20:38"/>
    <s v="fb56f051-a2cd-ac10-dcb0-e0738295fc1f"/>
    <s v="74ab949d-17ac-3309-83a0-13b4405c66aa"/>
    <s v="35fedf4a-4da7-315e-a103-dbcfea0540fa"/>
    <s v="d18ef2e6-ef40-324c-be54-34a5ee865625"/>
    <x v="1"/>
    <n v="185347001"/>
    <s v="Encounter for problem (procedure)"/>
    <n v="85.55"/>
    <n v="797.05"/>
    <n v="762.05"/>
    <n v="88805009"/>
    <x v="64"/>
  </r>
  <r>
    <s v="fb56f051-a2cd-ac10-343f-ae86b54ad0c8"/>
    <d v="1991-05-11T06:41:04"/>
    <d v="1991-06-06T13:50:38"/>
    <s v="fb56f051-a2cd-ac10-dcb0-e0738295fc1f"/>
    <s v="7445ae34-b648-3d3a-b8cf-0eb630061b6e"/>
    <s v="c1f73df7-df01-3d7e-948f-a86eae0b04df"/>
    <s v="d18ef2e6-ef40-324c-be54-34a5ee865625"/>
    <x v="5"/>
    <n v="305336008"/>
    <s v="Admission to hospice (procedure)"/>
    <n v="137.53"/>
    <n v="11353.93"/>
    <n v="11318.93"/>
    <n v="88805009"/>
    <x v="64"/>
  </r>
  <r>
    <s v="fb56f051-a2cd-ac10-2cb5-711b2d420441"/>
    <d v="1991-06-08T06:41:04"/>
    <d v="1991-06-08T06:56:04"/>
    <s v="fb56f051-a2cd-ac10-dcb0-e0738295fc1f"/>
    <s v="ace1ac31-036a-38fd-b451-b3b87157c717"/>
    <s v="df770d9c-95c9-3880-b9fd-8196295aa7db"/>
    <s v="d18ef2e6-ef40-324c-be54-34a5ee865625"/>
    <x v="0"/>
    <n v="308646001"/>
    <s v="Death Certification"/>
    <n v="136.80000000000001"/>
    <n v="211.38"/>
    <n v="176.38"/>
    <n v="88805009"/>
    <x v="64"/>
  </r>
  <r>
    <s v="d21f2794-014b-c66b-3e23-ae48e51848ef"/>
    <d v="1996-06-16T21:56:54"/>
    <d v="1996-06-17T00:25:43"/>
    <s v="d21f2794-014b-c66b-3688-888382ab7434"/>
    <s v="aa682136-a4df-3942-9f50-e6fcee6c0b73"/>
    <s v="e5b6626d-a260-3b94-a6de-91c007ffad61"/>
    <s v="df166300-5a78-3502-a46a-832842197811"/>
    <x v="3"/>
    <n v="185345009"/>
    <s v="Encounter for symptom (procedure)"/>
    <n v="87.71"/>
    <n v="4476.29"/>
    <n v="4426.29"/>
    <n v="307426000"/>
    <x v="5"/>
  </r>
  <r>
    <s v="d21f2794-014b-c66b-1d42-519e351a0009"/>
    <d v="1998-02-14T20:56:54"/>
    <d v="1998-02-14T21:56:08"/>
    <s v="d21f2794-014b-c66b-3688-888382ab7434"/>
    <s v="15e26ce3-9006-3ce2-9327-493180a15ec1"/>
    <s v="ff68dcf2-41e9-317c-84f8-1474ea7c4b62"/>
    <s v="df166300-5a78-3502-a46a-832842197811"/>
    <x v="0"/>
    <n v="162673000"/>
    <s v="General examination of patient (procedure)"/>
    <n v="136.80000000000001"/>
    <n v="992.82"/>
    <n v="842.82"/>
    <m/>
    <x v="0"/>
  </r>
  <r>
    <s v="d21f2794-014b-c66b-6cff-5dade4579749"/>
    <d v="2005-12-11T21:50:53"/>
    <d v="2005-12-12T21:50:53"/>
    <s v="d21f2794-014b-c66b-3688-888382ab7434"/>
    <s v="eee00932-ca82-36bc-b7e8-e3fff6dbaeaa"/>
    <s v="25162b3c-536e-3fe6-af7b-eb5f22af6899"/>
    <s v="734afbd6-4794-363b-9bc0-6a3981533ed5"/>
    <x v="6"/>
    <n v="305408004"/>
    <s v="Admission to surgical department (procedure)"/>
    <n v="146.18"/>
    <n v="13537.81"/>
    <n v="10830.24"/>
    <n v="183996000"/>
    <x v="35"/>
  </r>
  <r>
    <s v="d21f2794-014b-c66b-dec7-1ccfcdb78ddc"/>
    <d v="2014-02-03T20:56:54"/>
    <d v="2014-02-03T21:11:54"/>
    <s v="d21f2794-014b-c66b-3688-888382ab7434"/>
    <s v="eee00932-ca82-36bc-b7e8-e3fff6dbaeaa"/>
    <s v="25162b3c-536e-3fe6-af7b-eb5f22af6899"/>
    <s v="734afbd6-4794-363b-9bc0-6a3981533ed5"/>
    <x v="2"/>
    <n v="185347001"/>
    <s v="Encounter for problem (procedure)"/>
    <n v="85.55"/>
    <n v="85.55"/>
    <n v="0"/>
    <n v="82423001"/>
    <x v="33"/>
  </r>
  <r>
    <s v="d21f2794-014b-c66b-25d8-fcce93c4ef01"/>
    <d v="2014-02-15T20:56:54"/>
    <d v="2014-02-15T21:34:33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78.78"/>
    <n v="0"/>
    <m/>
    <x v="0"/>
  </r>
  <r>
    <s v="d21f2794-014b-c66b-1a15-711d7eaef6c5"/>
    <d v="2016-02-27T20:56:54"/>
    <d v="2016-02-27T21:32:46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04.2"/>
    <n v="0"/>
    <m/>
    <x v="0"/>
  </r>
  <r>
    <s v="d21f2794-014b-c66b-1730-cfcd88918006"/>
    <d v="2017-03-04T20:56:54"/>
    <d v="2017-03-04T21:41:27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919.9"/>
    <n v="0"/>
    <m/>
    <x v="0"/>
  </r>
  <r>
    <s v="d21f2794-014b-c66b-d08c-3ab0c869a697"/>
    <d v="2018-03-10T20:56:54"/>
    <d v="2018-03-10T21:38:45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78.78"/>
    <n v="0"/>
    <m/>
    <x v="0"/>
  </r>
  <r>
    <s v="d21f2794-014b-c66b-4581-99a6aa895d95"/>
    <d v="2019-03-16T21:56:54"/>
    <d v="2019-03-16T22:44:55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78.78"/>
    <n v="0"/>
    <m/>
    <x v="0"/>
  </r>
  <r>
    <s v="d21f2794-014b-c66b-51e8-ec41b54547f3"/>
    <d v="2019-03-30T21:56:54"/>
    <d v="2019-03-31T01:48:05"/>
    <s v="d21f2794-014b-c66b-3688-888382ab7434"/>
    <s v="eee00932-ca82-36bc-b7e8-e3fff6dbaeaa"/>
    <s v="25162b3c-536e-3fe6-af7b-eb5f22af6899"/>
    <s v="734afbd6-4794-363b-9bc0-6a3981533ed5"/>
    <x v="1"/>
    <n v="185349003"/>
    <s v="Encounter for check up (procedure)"/>
    <n v="85.55"/>
    <n v="3105.35"/>
    <n v="2148.81"/>
    <n v="103697008"/>
    <x v="3"/>
  </r>
  <r>
    <s v="d21f2794-014b-c66b-9b3d-a41c1ca3e818"/>
    <d v="2020-03-21T21:56:54"/>
    <d v="2020-03-21T22:38:11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1055.9000000000001"/>
    <n v="0"/>
    <m/>
    <x v="0"/>
  </r>
  <r>
    <s v="d21f2794-014b-c66b-1bb1-0145fac2835c"/>
    <d v="2020-04-04T21:56:54"/>
    <d v="2020-04-05T02:13:26"/>
    <s v="d21f2794-014b-c66b-3688-888382ab7434"/>
    <s v="eee00932-ca82-36bc-b7e8-e3fff6dbaeaa"/>
    <s v="25162b3c-536e-3fe6-af7b-eb5f22af6899"/>
    <s v="734afbd6-4794-363b-9bc0-6a3981533ed5"/>
    <x v="1"/>
    <n v="185349003"/>
    <s v="Encounter for check up (procedure)"/>
    <n v="85.55"/>
    <n v="3536.75"/>
    <n v="2715.62"/>
    <n v="66383009"/>
    <x v="17"/>
  </r>
  <r>
    <s v="d21f2794-014b-c66b-3d95-26bedb43f5a3"/>
    <d v="2021-03-27T21:56:54"/>
    <d v="2021-03-27T22:36:20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1050.78"/>
    <n v="0"/>
    <m/>
    <x v="0"/>
  </r>
  <r>
    <s v="d21f2794-014b-c66b-649a-536a37d30ce4"/>
    <d v="2021-04-10T21:56:54"/>
    <d v="2021-04-11T01:24:30"/>
    <s v="d21f2794-014b-c66b-3688-888382ab7434"/>
    <s v="eee00932-ca82-36bc-b7e8-e3fff6dbaeaa"/>
    <s v="25162b3c-536e-3fe6-af7b-eb5f22af6899"/>
    <s v="734afbd6-4794-363b-9bc0-6a3981533ed5"/>
    <x v="1"/>
    <n v="185349003"/>
    <s v="Encounter for check up (procedure)"/>
    <n v="85.55"/>
    <n v="3536.75"/>
    <n v="2607.58"/>
    <n v="103697008"/>
    <x v="3"/>
  </r>
  <r>
    <s v="d21f2794-014b-c66b-225b-8abb84fe093c"/>
    <d v="2021-09-11T21:56:54"/>
    <d v="2021-09-11T22:11:54"/>
    <s v="d21f2794-014b-c66b-3688-888382ab7434"/>
    <s v="eee00932-ca82-36bc-b7e8-e3fff6dbaeaa"/>
    <s v="25162b3c-536e-3fe6-af7b-eb5f22af6899"/>
    <s v="734afbd6-4794-363b-9bc0-6a3981533ed5"/>
    <x v="2"/>
    <n v="33879002"/>
    <s v="Administration of vaccine to produce active immunity (procedure)"/>
    <n v="142.58000000000001"/>
    <n v="278.58"/>
    <n v="222.86"/>
    <m/>
    <x v="0"/>
  </r>
  <r>
    <s v="d21f2794-014b-c66b-efd7-ff5a1689ae7c"/>
    <d v="2021-10-09T21:56:54"/>
    <d v="2021-10-09T22:11:54"/>
    <s v="d21f2794-014b-c66b-3688-888382ab7434"/>
    <s v="eee00932-ca82-36bc-b7e8-e3fff6dbaeaa"/>
    <s v="25162b3c-536e-3fe6-af7b-eb5f22af6899"/>
    <s v="734afbd6-4794-363b-9bc0-6a3981533ed5"/>
    <x v="2"/>
    <n v="33879002"/>
    <s v="Administration of vaccine to produce active immunity (procedure)"/>
    <n v="142.58000000000001"/>
    <n v="278.58"/>
    <n v="222.86"/>
    <m/>
    <x v="0"/>
  </r>
  <r>
    <s v="d21f2794-014b-c66b-56a8-88f9e762c0b2"/>
    <d v="2022-04-02T21:56:54"/>
    <d v="2022-04-02T22:43:01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04.2"/>
    <n v="0"/>
    <m/>
    <x v="0"/>
  </r>
  <r>
    <s v="d21f2794-014b-c66b-d851-941f6114d2c0"/>
    <d v="2022-04-16T21:56:54"/>
    <d v="2022-04-17T01:36:42"/>
    <s v="d21f2794-014b-c66b-3688-888382ab7434"/>
    <s v="eee00932-ca82-36bc-b7e8-e3fff6dbaeaa"/>
    <s v="25162b3c-536e-3fe6-af7b-eb5f22af6899"/>
    <s v="734afbd6-4794-363b-9bc0-6a3981533ed5"/>
    <x v="1"/>
    <n v="185349003"/>
    <s v="Encounter for check up (procedure)"/>
    <n v="85.55"/>
    <n v="3536.75"/>
    <n v="2434.2600000000002"/>
    <n v="66383009"/>
    <x v="17"/>
  </r>
  <r>
    <s v="d21f2794-014b-c66b-22d9-60a17475efe4"/>
    <d v="2022-06-09T14:56:54"/>
    <d v="2022-06-09T15:11:54"/>
    <s v="d21f2794-014b-c66b-3688-888382ab7434"/>
    <s v="eee00932-ca82-36bc-b7e8-e3fff6dbaeaa"/>
    <s v="25162b3c-536e-3fe6-af7b-eb5f22af6899"/>
    <s v="734afbd6-4794-363b-9bc0-6a3981533ed5"/>
    <x v="1"/>
    <n v="185345009"/>
    <s v="Encounter for symptom (procedure)"/>
    <n v="85.55"/>
    <n v="948.35"/>
    <n v="758.68"/>
    <n v="195662009"/>
    <x v="9"/>
  </r>
  <r>
    <s v="d21f2794-014b-c66b-f5e6-f297b9e9e24c"/>
    <d v="2022-06-25T21:56:54"/>
    <d v="2022-06-25T22:45:08"/>
    <s v="d21f2794-014b-c66b-3688-888382ab7434"/>
    <s v="2ca615f3-87f7-3283-a447-d919a883b676"/>
    <s v="a07ed308-d247-3b39-9e38-401332ca99f3"/>
    <s v="734afbd6-4794-363b-9bc0-6a3981533ed5"/>
    <x v="4"/>
    <n v="702927004"/>
    <s v="Urgent care clinic (environment)"/>
    <n v="142.58000000000001"/>
    <n v="1208.93"/>
    <n v="967.14"/>
    <m/>
    <x v="0"/>
  </r>
  <r>
    <s v="d21f2794-014b-c66b-b2c4-0e584691c40a"/>
    <d v="2022-07-02T21:56:54"/>
    <d v="2022-07-02T22:11:54"/>
    <s v="d21f2794-014b-c66b-3688-888382ab7434"/>
    <s v="eee00932-ca82-36bc-b7e8-e3fff6dbaeaa"/>
    <s v="25162b3c-536e-3fe6-af7b-eb5f22af6899"/>
    <s v="734afbd6-4794-363b-9bc0-6a3981533ed5"/>
    <x v="1"/>
    <n v="185345009"/>
    <s v="Encounter for symptom (procedure)"/>
    <n v="85.55"/>
    <n v="85.55"/>
    <n v="68.44"/>
    <n v="444814009"/>
    <x v="2"/>
  </r>
  <r>
    <s v="d21f2794-014b-c66b-45d0-2b401c12ee81"/>
    <d v="2022-07-09T21:56:54"/>
    <d v="2022-07-10T04:43:13"/>
    <s v="d21f2794-014b-c66b-3688-888382ab7434"/>
    <s v="eee00932-ca82-36bc-b7e8-e3fff6dbaeaa"/>
    <s v="25162b3c-536e-3fe6-af7b-eb5f22af6899"/>
    <s v="734afbd6-4794-363b-9bc0-6a3981533ed5"/>
    <x v="1"/>
    <n v="185349003"/>
    <s v="Encounter for check up (procedure)"/>
    <n v="85.55"/>
    <n v="5262.35"/>
    <n v="4209.88"/>
    <n v="66383009"/>
    <x v="17"/>
  </r>
  <r>
    <s v="d21f2794-014b-c66b-83a0-4840e08f984b"/>
    <d v="2023-04-08T21:56:54"/>
    <d v="2023-04-08T22:35:47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568.20000000000005"/>
    <n v="0"/>
    <m/>
    <x v="0"/>
  </r>
  <r>
    <s v="d21f2794-014b-c66b-69b3-29dd92edf4a2"/>
    <d v="2024-04-13T21:56:54"/>
    <d v="2024-04-13T22:53:07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853.36"/>
    <n v="0"/>
    <m/>
    <x v="0"/>
  </r>
  <r>
    <s v="d21f2794-014b-c66b-c9e2-d8da34d47c57"/>
    <d v="2025-04-19T21:56:54"/>
    <d v="2025-04-19T22:49:22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04.2"/>
    <n v="0"/>
    <m/>
    <x v="0"/>
  </r>
  <r>
    <s v="d21f2794-014b-c66b-8402-91872e4571b9"/>
    <d v="2025-09-19T08:56:54"/>
    <d v="2025-09-19T09:11:54"/>
    <s v="d21f2794-014b-c66b-3688-888382ab7434"/>
    <s v="eee00932-ca82-36bc-b7e8-e3fff6dbaeaa"/>
    <s v="25162b3c-536e-3fe6-af7b-eb5f22af6899"/>
    <s v="734afbd6-4794-363b-9bc0-6a3981533ed5"/>
    <x v="1"/>
    <n v="185345009"/>
    <s v="Encounter for symptom (procedure)"/>
    <n v="85.55"/>
    <n v="85.55"/>
    <n v="0"/>
    <n v="10509002"/>
    <x v="1"/>
  </r>
  <r>
    <s v="d21f2794-014b-c66b-d8a7-8a73045c89ad"/>
    <d v="2025-09-27T21:56:54"/>
    <d v="2025-09-27T22:54:38"/>
    <s v="d21f2794-014b-c66b-3688-888382ab7434"/>
    <s v="eee00932-ca82-36bc-b7e8-e3fff6dbaeaa"/>
    <s v="25162b3c-536e-3fe6-af7b-eb5f22af6899"/>
    <s v="734afbd6-4794-363b-9bc0-6a3981533ed5"/>
    <x v="2"/>
    <n v="185349003"/>
    <s v="Encounter for check up (procedure)"/>
    <n v="85.55"/>
    <n v="1515.75"/>
    <n v="922.59"/>
    <m/>
    <x v="0"/>
  </r>
  <r>
    <s v="d21f2794-014b-c66b-05fd-f6056aa67cbb"/>
    <d v="2025-10-11T21:56:54"/>
    <d v="2025-10-12T03:48:14"/>
    <s v="d21f2794-014b-c66b-3688-888382ab7434"/>
    <s v="eee00932-ca82-36bc-b7e8-e3fff6dbaeaa"/>
    <s v="25162b3c-536e-3fe6-af7b-eb5f22af6899"/>
    <s v="734afbd6-4794-363b-9bc0-6a3981533ed5"/>
    <x v="1"/>
    <n v="185349003"/>
    <s v="Encounter for check up (procedure)"/>
    <n v="85.55"/>
    <n v="4830.95"/>
    <n v="3864.76"/>
    <n v="103697008"/>
    <x v="3"/>
  </r>
  <r>
    <s v="d21f2794-014b-c66b-9bd4-972030964c67"/>
    <d v="2026-04-25T21:56:54"/>
    <d v="2026-04-25T22:54:46"/>
    <s v="d21f2794-014b-c66b-3688-888382ab7434"/>
    <s v="15e26ce3-9006-3ce2-9327-493180a15ec1"/>
    <s v="ff68dcf2-41e9-317c-84f8-1474ea7c4b62"/>
    <s v="734afbd6-4794-363b-9bc0-6a3981533ed5"/>
    <x v="0"/>
    <n v="162673000"/>
    <s v="General examination of patient (procedure)"/>
    <n v="136.80000000000001"/>
    <n v="783.9"/>
    <n v="0"/>
    <m/>
    <x v="0"/>
  </r>
  <r>
    <s v="3368f8e7-5e00-7794-b41d-a453106359c1"/>
    <d v="1985-11-30T05:41:04"/>
    <d v="1985-11-30T06:20:25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919.9"/>
    <n v="769.9"/>
    <m/>
    <x v="0"/>
  </r>
  <r>
    <s v="3368f8e7-5e00-7794-0427-b5d9e5b3e2c5"/>
    <d v="1993-08-11T07:28:29"/>
    <d v="1993-08-12T07:28:29"/>
    <s v="3368f8e7-5e00-7794-1e39-f65cb954d43d"/>
    <s v="6cf8a214-8d57-3267-85e5-7719e15cd63e"/>
    <s v="5a65232f-4323-3b7d-a9a5-a001f6c323a8"/>
    <s v="df166300-5a78-3502-a46a-832842197811"/>
    <x v="6"/>
    <n v="305408004"/>
    <s v="Admission to surgical department (procedure)"/>
    <n v="146.18"/>
    <n v="13537.81"/>
    <n v="13487.81"/>
    <n v="183996000"/>
    <x v="35"/>
  </r>
  <r>
    <s v="3368f8e7-5e00-7794-f2be-c8ab8fa2980d"/>
    <d v="1998-12-19T05:41:04"/>
    <d v="1998-12-19T06:15:49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1130.48"/>
    <n v="980.48"/>
    <m/>
    <x v="0"/>
  </r>
  <r>
    <s v="3368f8e7-5e00-7794-5ad1-34628969c39b"/>
    <d v="2012-03-03T05:41:04"/>
    <d v="2012-03-03T06:23:08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919.9"/>
    <n v="819.9"/>
    <m/>
    <x v="0"/>
  </r>
  <r>
    <s v="3368f8e7-5e00-7794-b279-ac75c00108e0"/>
    <d v="2013-03-09T05:41:04"/>
    <d v="2013-03-09T06:31:07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704.2"/>
    <n v="604.20000000000005"/>
    <m/>
    <x v="0"/>
  </r>
  <r>
    <s v="3368f8e7-5e00-7794-b12f-4b8141b4fdd9"/>
    <d v="2014-02-03T05:41:04"/>
    <d v="2014-02-03T05:56:04"/>
    <s v="3368f8e7-5e00-7794-1e39-f65cb954d43d"/>
    <s v="6cf8a214-8d57-3267-85e5-7719e15cd63e"/>
    <s v="5a65232f-4323-3b7d-a9a5-a001f6c323a8"/>
    <s v="df166300-5a78-3502-a46a-832842197811"/>
    <x v="2"/>
    <n v="185347001"/>
    <s v="Encounter for problem (procedure)"/>
    <n v="85.55"/>
    <n v="85.55"/>
    <n v="15.49"/>
    <n v="82423001"/>
    <x v="33"/>
  </r>
  <r>
    <s v="3368f8e7-5e00-7794-03ad-cc95be6f8530"/>
    <d v="2016-03-26T06:41:04"/>
    <d v="2016-03-26T07:24:17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1031.68"/>
    <n v="1011.62"/>
    <m/>
    <x v="0"/>
  </r>
  <r>
    <s v="3368f8e7-5e00-7794-63b8-69193eff3aed"/>
    <d v="2017-04-01T06:41:04"/>
    <d v="2017-04-01T07:37:57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1144.71"/>
    <n v="1124.6500000000001"/>
    <m/>
    <x v="0"/>
  </r>
  <r>
    <s v="3368f8e7-5e00-7794-db97-375680c34cc4"/>
    <d v="2017-04-15T06:41:04"/>
    <d v="2017-04-15T09:48:12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66383009"/>
    <x v="17"/>
  </r>
  <r>
    <s v="3368f8e7-5e00-7794-0f12-e9ba9c0bdeb2"/>
    <d v="2017-10-07T06:41:04"/>
    <d v="2017-10-07T07:07:52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5138.45"/>
    <n v="4988.45"/>
    <n v="275978004"/>
    <x v="29"/>
  </r>
  <r>
    <s v="3368f8e7-5e00-7794-9bf5-eeb0bbbbc8d8"/>
    <d v="2018-04-07T06:41:04"/>
    <d v="2018-04-07T07:27:03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840.2"/>
    <n v="840.2"/>
    <m/>
    <x v="0"/>
  </r>
  <r>
    <s v="3368f8e7-5e00-7794-052b-b9d8e6305935"/>
    <d v="2018-04-21T06:41:04"/>
    <d v="2018-04-21T10:35:29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3536.75"/>
    <n v="3486.75"/>
    <n v="66383009"/>
    <x v="17"/>
  </r>
  <r>
    <s v="3368f8e7-5e00-7794-000f-3fc51bd77168"/>
    <d v="2018-09-29T06:41:04"/>
    <d v="2018-09-29T07:17:16"/>
    <s v="3368f8e7-5e00-7794-1e39-f65cb954d43d"/>
    <s v="6cf8a214-8d57-3267-85e5-7719e15cd63e"/>
    <s v="5a65232f-4323-3b7d-a9a5-a001f6c323a8"/>
    <s v="df166300-5a78-3502-a46a-832842197811"/>
    <x v="2"/>
    <n v="185349003"/>
    <s v="Encounter for check up (procedure)"/>
    <n v="85.55"/>
    <n v="1004.65"/>
    <n v="954.65"/>
    <m/>
    <x v="0"/>
  </r>
  <r>
    <s v="3368f8e7-5e00-7794-19e8-346d54117757"/>
    <d v="2018-10-06T06:41:04"/>
    <d v="2018-10-06T06:56:04"/>
    <s v="3368f8e7-5e00-7794-1e39-f65cb954d43d"/>
    <s v="6cf8a214-8d57-3267-85e5-7719e15cd63e"/>
    <s v="5a65232f-4323-3b7d-a9a5-a001f6c323a8"/>
    <s v="df166300-5a78-3502-a46a-832842197811"/>
    <x v="1"/>
    <n v="185345009"/>
    <s v="Encounter for symptom (procedure)"/>
    <n v="85.55"/>
    <n v="85.55"/>
    <n v="35.549999999999997"/>
    <n v="444814009"/>
    <x v="2"/>
  </r>
  <r>
    <s v="3368f8e7-5e00-7794-2343-938677f10175"/>
    <d v="2018-10-13T06:41:04"/>
    <d v="2018-10-13T09:39:30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3536.75"/>
    <n v="3466.69"/>
    <n v="66383009"/>
    <x v="17"/>
  </r>
  <r>
    <s v="3368f8e7-5e00-7794-c8b0-f739e7ac2e5a"/>
    <d v="2019-04-13T06:41:04"/>
    <d v="2019-04-13T07:38:37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1126.93"/>
    <n v="1126.93"/>
    <m/>
    <x v="0"/>
  </r>
  <r>
    <s v="3368f8e7-5e00-7794-ec26-b134082330c4"/>
    <d v="2019-04-27T06:41:04"/>
    <d v="2019-04-27T10:19:37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3368f8e7-5e00-7794-5a4f-6df5f28b71cf"/>
    <d v="2020-04-18T06:41:04"/>
    <d v="2020-04-18T07:18:08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778.78"/>
    <n v="758.72"/>
    <m/>
    <x v="0"/>
  </r>
  <r>
    <s v="3368f8e7-5e00-7794-a3ea-8a9f9352c955"/>
    <d v="2021-02-20T05:41:04"/>
    <d v="2021-02-20T05:56:04"/>
    <s v="3368f8e7-5e00-7794-1e39-f65cb954d43d"/>
    <s v="6cf8a214-8d57-3267-85e5-7719e15cd63e"/>
    <s v="5a65232f-4323-3b7d-a9a5-a001f6c323a8"/>
    <s v="df166300-5a78-3502-a46a-832842197811"/>
    <x v="2"/>
    <n v="33879002"/>
    <s v="Administration of vaccine to produce active immunity (procedure)"/>
    <n v="142.58000000000001"/>
    <n v="278.58"/>
    <n v="128.58000000000001"/>
    <m/>
    <x v="0"/>
  </r>
  <r>
    <s v="3368f8e7-5e00-7794-2668-c9b7c6a2f7e9"/>
    <d v="2021-03-20T06:41:04"/>
    <d v="2021-03-20T06:56:04"/>
    <s v="3368f8e7-5e00-7794-1e39-f65cb954d43d"/>
    <s v="6cf8a214-8d57-3267-85e5-7719e15cd63e"/>
    <s v="5a65232f-4323-3b7d-a9a5-a001f6c323a8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3368f8e7-5e00-7794-2dee-76b9ac38f317"/>
    <d v="2021-04-24T06:41:04"/>
    <d v="2021-04-24T07:31:49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778.78"/>
    <n v="778.78"/>
    <m/>
    <x v="0"/>
  </r>
  <r>
    <s v="3368f8e7-5e00-7794-2bae-fa0c6f990929"/>
    <d v="2022-04-30T06:41:04"/>
    <d v="2022-04-30T07:25:20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704.2"/>
    <n v="684.14"/>
    <m/>
    <x v="0"/>
  </r>
  <r>
    <s v="3368f8e7-5e00-7794-91ef-81afa8440d1a"/>
    <d v="2022-05-14T06:41:04"/>
    <d v="2022-05-14T09:54:19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3368f8e7-5e00-7794-3ad7-efd9d0d055f8"/>
    <d v="2022-10-07T07:07:52"/>
    <d v="2022-10-07T07:33:22"/>
    <s v="3368f8e7-5e00-7794-1e39-f65cb954d43d"/>
    <s v="6cf8a214-8d57-3267-85e5-7719e15cd63e"/>
    <s v="5a65232f-4323-3b7d-a9a5-a001f6c323a8"/>
    <s v="df166300-5a78-3502-a46a-832842197811"/>
    <x v="1"/>
    <n v="185349003"/>
    <s v="Encounter for check up (procedure)"/>
    <n v="85.55"/>
    <n v="9603.02"/>
    <n v="9553.02"/>
    <n v="275978004"/>
    <x v="29"/>
  </r>
  <r>
    <s v="3368f8e7-5e00-7794-8906-a2f50681267e"/>
    <d v="2023-05-06T06:41:04"/>
    <d v="2023-05-06T07:20:00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778.78"/>
    <n v="758.72"/>
    <m/>
    <x v="0"/>
  </r>
  <r>
    <s v="3368f8e7-5e00-7794-ce5a-290fb6bc6530"/>
    <d v="2024-05-11T06:41:04"/>
    <d v="2024-05-11T07:26:16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919.9"/>
    <n v="899.84"/>
    <m/>
    <x v="0"/>
  </r>
  <r>
    <s v="3368f8e7-5e00-7794-2c3e-43deefca396c"/>
    <d v="2025-05-17T06:41:04"/>
    <d v="2025-05-17T07:25:22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704.2"/>
    <n v="684.14"/>
    <m/>
    <x v="0"/>
  </r>
  <r>
    <s v="3368f8e7-5e00-7794-8add-067822e8a71b"/>
    <d v="2026-05-23T06:41:04"/>
    <d v="2026-05-23T07:13:08"/>
    <s v="3368f8e7-5e00-7794-1e39-f65cb954d43d"/>
    <s v="587f07bd-7d69-3291-9aea-abef74f30045"/>
    <s v="c843dcc9-51ee-3232-882e-7d5bea223db0"/>
    <s v="df166300-5a78-3502-a46a-832842197811"/>
    <x v="0"/>
    <n v="162673000"/>
    <s v="General examination of patient (procedure)"/>
    <n v="136.80000000000001"/>
    <n v="853.36"/>
    <n v="833.3"/>
    <m/>
    <x v="0"/>
  </r>
  <r>
    <s v="029c95e2-d252-d8d3-302e-1019a4c51bea"/>
    <d v="1990-12-26T11:49:02"/>
    <d v="1990-12-26T12:20:48"/>
    <s v="029c95e2-d252-d8d3-3626-7f347182d6d7"/>
    <s v="10ffe7b1-2f94-3f12-9288-679da05a1ec9"/>
    <s v="791445d2-4cda-3c08-8d50-1adaaa89f8f8"/>
    <s v="e03e23c9-4df1-3eb6-a62d-f70f02301496"/>
    <x v="0"/>
    <n v="162673000"/>
    <s v="General examination of patient (procedure)"/>
    <n v="136.80000000000001"/>
    <n v="1567"/>
    <n v="0"/>
    <m/>
    <x v="0"/>
  </r>
  <r>
    <s v="029c95e2-d252-d8d3-365e-7cbeb2bc3a13"/>
    <d v="1992-10-25T12:49:02"/>
    <d v="1992-10-25T13:04:02"/>
    <s v="029c95e2-d252-d8d3-3626-7f347182d6d7"/>
    <s v="5fcff9db-16e4-3e56-aa78-abbc16338097"/>
    <s v="ef159c90-21f2-34a3-ab95-4c0598b5fedf"/>
    <s v="e03e23c9-4df1-3eb6-a62d-f70f02301496"/>
    <x v="1"/>
    <n v="424619006"/>
    <s v="Prenatal visit (regime/therapy)"/>
    <n v="142.58000000000001"/>
    <n v="1005.38"/>
    <n v="0"/>
    <n v="79586000"/>
    <x v="43"/>
  </r>
  <r>
    <s v="029c95e2-d252-d8d3-e8d7-3b8dd705a8c1"/>
    <d v="1995-01-04T11:49:02"/>
    <d v="1995-01-04T12:47:10"/>
    <s v="029c95e2-d252-d8d3-3626-7f347182d6d7"/>
    <s v="10ffe7b1-2f94-3f12-9288-679da05a1ec9"/>
    <s v="791445d2-4cda-3c08-8d50-1adaaa89f8f8"/>
    <s v="e03e23c9-4df1-3eb6-a62d-f70f02301496"/>
    <x v="0"/>
    <n v="162673000"/>
    <s v="General examination of patient (procedure)"/>
    <n v="136.80000000000001"/>
    <n v="1195.8"/>
    <n v="0"/>
    <m/>
    <x v="0"/>
  </r>
  <r>
    <s v="029c95e2-d252-d8d3-3a26-84a48aa0d6fb"/>
    <d v="1998-01-07T11:49:02"/>
    <d v="1998-01-07T12:44:08"/>
    <s v="029c95e2-d252-d8d3-3626-7f347182d6d7"/>
    <s v="10ffe7b1-2f94-3f12-9288-679da05a1ec9"/>
    <s v="791445d2-4cda-3c08-8d50-1adaaa89f8f8"/>
    <s v="e03e23c9-4df1-3eb6-a62d-f70f02301496"/>
    <x v="0"/>
    <n v="162673000"/>
    <s v="General examination of patient (procedure)"/>
    <n v="136.80000000000001"/>
    <n v="785.58"/>
    <n v="0"/>
    <m/>
    <x v="0"/>
  </r>
  <r>
    <s v="029c95e2-d252-d8d3-8e9f-b576e3c404b6"/>
    <d v="2001-01-10T11:49:02"/>
    <d v="2001-01-10T12:47:48"/>
    <s v="029c95e2-d252-d8d3-3626-7f347182d6d7"/>
    <s v="10ffe7b1-2f94-3f12-9288-679da05a1ec9"/>
    <s v="791445d2-4cda-3c08-8d50-1adaaa89f8f8"/>
    <s v="e03e23c9-4df1-3eb6-a62d-f70f02301496"/>
    <x v="0"/>
    <n v="162673000"/>
    <s v="General examination of patient (procedure)"/>
    <n v="136.80000000000001"/>
    <n v="853.36"/>
    <n v="0"/>
    <m/>
    <x v="0"/>
  </r>
  <r>
    <s v="029c95e2-d252-d8d3-4ff0-660f796f4167"/>
    <d v="2014-01-31T11:49:02"/>
    <d v="2014-01-31T12:04:02"/>
    <s v="029c95e2-d252-d8d3-3626-7f347182d6d7"/>
    <s v="5fcff9db-16e4-3e56-aa78-abbc16338097"/>
    <s v="ef159c90-21f2-34a3-ab95-4c0598b5fedf"/>
    <s v="734afbd6-4794-363b-9bc0-6a3981533ed5"/>
    <x v="2"/>
    <n v="185347001"/>
    <s v="Encounter for problem (procedure)"/>
    <n v="85.55"/>
    <n v="85.55"/>
    <n v="85.55"/>
    <n v="82423001"/>
    <x v="33"/>
  </r>
  <r>
    <s v="029c95e2-d252-d8d3-0ea1-d3cfe1877d57"/>
    <d v="2014-02-12T11:49:02"/>
    <d v="2014-02-12T12:41:26"/>
    <s v="029c95e2-d252-d8d3-3626-7f347182d6d7"/>
    <s v="10ffe7b1-2f94-3f12-9288-679da05a1ec9"/>
    <s v="791445d2-4cda-3c08-8d50-1adaaa89f8f8"/>
    <s v="734afbd6-4794-363b-9bc0-6a3981533ed5"/>
    <x v="0"/>
    <n v="162673000"/>
    <s v="General examination of patient (procedure)"/>
    <n v="136.80000000000001"/>
    <n v="1125.3599999999999"/>
    <n v="1125.3599999999999"/>
    <m/>
    <x v="0"/>
  </r>
  <r>
    <s v="029c95e2-d252-d8d3-d052-728547a16a2e"/>
    <d v="2015-09-05T12:49:02"/>
    <d v="2015-09-05T13:04:02"/>
    <s v="029c95e2-d252-d8d3-3626-7f347182d6d7"/>
    <s v="5fcff9db-16e4-3e56-aa78-abbc16338097"/>
    <s v="ef159c90-21f2-34a3-ab95-4c0598b5fedf"/>
    <s v="0133f751-9229-3cfd-815f-b6d4979bdd6a"/>
    <x v="2"/>
    <n v="698314001"/>
    <s v="Consultation for treatment (procedure)"/>
    <n v="142.58000000000001"/>
    <n v="142.58000000000001"/>
    <n v="0"/>
    <n v="389095005"/>
    <x v="15"/>
  </r>
  <r>
    <s v="029c95e2-d252-d8d3-29d0-7ab78aa260c5"/>
    <d v="2016-02-24T11:49:02"/>
    <d v="2016-02-24T12:47:40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785.58"/>
    <n v="0"/>
    <m/>
    <x v="0"/>
  </r>
  <r>
    <s v="029c95e2-d252-d8d3-a1a7-9788a0d941ba"/>
    <d v="2016-10-05T12:49:02"/>
    <d v="2016-10-05T13:28:29"/>
    <s v="029c95e2-d252-d8d3-3626-7f347182d6d7"/>
    <s v="5fcff9db-16e4-3e56-aa78-abbc16338097"/>
    <s v="ef159c90-21f2-34a3-ab95-4c0598b5fedf"/>
    <s v="0133f751-9229-3cfd-815f-b6d4979bdd6a"/>
    <x v="2"/>
    <n v="185349003"/>
    <s v="Encounter for check up (procedure)"/>
    <n v="85.55"/>
    <n v="727.53"/>
    <n v="0"/>
    <m/>
    <x v="0"/>
  </r>
  <r>
    <s v="029c95e2-d252-d8d3-950f-59c4ad245bfb"/>
    <d v="2016-10-06T04:49:02"/>
    <d v="2016-10-06T05:04:02"/>
    <s v="029c95e2-d252-d8d3-3626-7f347182d6d7"/>
    <s v="5fcff9db-16e4-3e56-aa78-abbc16338097"/>
    <s v="ef159c90-21f2-34a3-ab95-4c0598b5fedf"/>
    <s v="0133f751-9229-3cfd-815f-b6d4979bdd6a"/>
    <x v="1"/>
    <n v="185345009"/>
    <s v="Encounter for symptom (procedure)"/>
    <n v="85.55"/>
    <n v="85.55"/>
    <n v="0"/>
    <n v="444814009"/>
    <x v="2"/>
  </r>
  <r>
    <s v="029c95e2-d252-d8d3-9581-d543de5842e3"/>
    <d v="2017-03-01T11:49:02"/>
    <d v="2017-03-01T12:45:53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724.16"/>
    <n v="0"/>
    <m/>
    <x v="0"/>
  </r>
  <r>
    <s v="029c95e2-d252-d8d3-684e-ca613f35f30b"/>
    <d v="2017-08-25T12:49:02"/>
    <d v="2017-08-25T13:04:09"/>
    <s v="029c95e2-d252-d8d3-3626-7f347182d6d7"/>
    <s v="5fcff9db-16e4-3e56-aa78-abbc16338097"/>
    <s v="ef159c90-21f2-34a3-ab95-4c0598b5fedf"/>
    <s v="0133f751-9229-3cfd-815f-b6d4979bdd6a"/>
    <x v="2"/>
    <n v="698314001"/>
    <s v="Consultation for treatment (procedure)"/>
    <n v="142.58000000000001"/>
    <n v="4575.68"/>
    <n v="0"/>
    <n v="389095005"/>
    <x v="15"/>
  </r>
  <r>
    <s v="029c95e2-d252-d8d3-66b7-a32e92ba60c4"/>
    <d v="2017-12-06T11:49:02"/>
    <d v="2017-12-06T12:08:07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1322.84"/>
    <n v="0"/>
    <n v="389095005"/>
    <x v="15"/>
  </r>
  <r>
    <s v="029c95e2-d252-d8d3-dc44-e219c71e0fa9"/>
    <d v="2018-03-07T11:49:02"/>
    <d v="2018-03-07T12:46:07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860.16"/>
    <n v="0"/>
    <m/>
    <x v="0"/>
  </r>
  <r>
    <s v="029c95e2-d252-d8d3-936b-a14f1290e39f"/>
    <d v="2018-03-14T12:49:02"/>
    <d v="2018-03-14T13:04:02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1250.8499999999999"/>
    <n v="0"/>
    <n v="389095005"/>
    <x v="15"/>
  </r>
  <r>
    <s v="029c95e2-d252-d8d3-97ab-7bca6382dab1"/>
    <d v="2018-06-13T12:49:02"/>
    <d v="2018-06-13T13:04:02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4575.68"/>
    <n v="1227.28"/>
    <n v="389095005"/>
    <x v="15"/>
  </r>
  <r>
    <s v="029c95e2-d252-d8d3-e618-02c22c934526"/>
    <d v="2018-08-20T13:04:09"/>
    <d v="2018-08-20T13:19:09"/>
    <s v="029c95e2-d252-d8d3-3626-7f347182d6d7"/>
    <s v="5fcff9db-16e4-3e56-aa78-abbc16338097"/>
    <s v="ef159c90-21f2-34a3-ab95-4c0598b5fedf"/>
    <s v="0133f751-9229-3cfd-815f-b6d4979bdd6a"/>
    <x v="2"/>
    <n v="698314001"/>
    <s v="Consultation for treatment (procedure)"/>
    <n v="142.58000000000001"/>
    <n v="142.58000000000001"/>
    <n v="85.55"/>
    <n v="389095005"/>
    <x v="15"/>
  </r>
  <r>
    <s v="e34a6a5e-1d77-508d-3f65-4ab7eb2902ab"/>
    <d v="2012-10-26T11:58:38"/>
    <d v="2012-10-26T12:13:38"/>
    <s v="e34a6a5e-1d77-508d-8be3-8816e9df8046"/>
    <s v="bccd7d67-203c-3d93-b6b0-bff5a146cd1d"/>
    <s v="25a63771-aea1-310b-ad1e-004c7a015b49"/>
    <s v="b046940f-1664-3047-bca7-dfa76be352a4"/>
    <x v="4"/>
    <n v="702927004"/>
    <s v="Urgent care clinic (environment)"/>
    <n v="142.58000000000001"/>
    <n v="573.98"/>
    <n v="0"/>
    <m/>
    <x v="0"/>
  </r>
  <r>
    <s v="e34a6a5e-1d77-508d-b2d5-c8bd57af7d5a"/>
    <d v="2017-07-28T11:58:38"/>
    <d v="2017-07-28T12:19:26"/>
    <s v="e34a6a5e-1d77-508d-8be3-8816e9df8046"/>
    <s v="0e3a24c3-b772-3059-b3fd-8a4710068a82"/>
    <s v="858d6763-13c7-3066-9bba-b4e7fe805671"/>
    <s v="b046940f-1664-3047-bca7-dfa76be352a4"/>
    <x v="0"/>
    <n v="410620009"/>
    <s v="Well child visit (procedure)"/>
    <n v="136.80000000000001"/>
    <n v="1077.53"/>
    <n v="0"/>
    <m/>
    <x v="0"/>
  </r>
  <r>
    <s v="e34a6a5e-1d77-508d-c128-551e959572f0"/>
    <d v="2018-08-03T11:58:38"/>
    <d v="2018-08-03T12:20:22"/>
    <s v="e34a6a5e-1d77-508d-8be3-8816e9df8046"/>
    <s v="0e3a24c3-b772-3059-b3fd-8a4710068a82"/>
    <s v="858d6763-13c7-3066-9bba-b4e7fe805671"/>
    <s v="b046940f-1664-3047-bca7-dfa76be352a4"/>
    <x v="0"/>
    <n v="410620009"/>
    <s v="Well child visit (procedure)"/>
    <n v="136.80000000000001"/>
    <n v="704.2"/>
    <n v="0"/>
    <m/>
    <x v="0"/>
  </r>
  <r>
    <s v="e34a6a5e-1d77-508d-d5b0-c8501f3ec0e2"/>
    <d v="2018-08-17T11:58:38"/>
    <d v="2018-08-17T18:53:49"/>
    <s v="e34a6a5e-1d77-508d-8be3-8816e9df8046"/>
    <s v="afc661fd-71d9-3fc3-adf2-3fc3b5e8a140"/>
    <s v="4f69f42f-d99c-3263-986f-9ef6450d0be9"/>
    <s v="b046940f-1664-3047-bca7-dfa76be352a4"/>
    <x v="1"/>
    <n v="185349003"/>
    <s v="Encounter for check up (procedure)"/>
    <n v="85.55"/>
    <n v="5262.35"/>
    <n v="1117.54"/>
    <n v="66383009"/>
    <x v="17"/>
  </r>
  <r>
    <s v="e34a6a5e-1d77-508d-d254-c976e950054d"/>
    <d v="2019-08-09T11:58:38"/>
    <d v="2019-08-09T12:24:47"/>
    <s v="e34a6a5e-1d77-508d-8be3-8816e9df8046"/>
    <s v="0e3a24c3-b772-3059-b3fd-8a4710068a82"/>
    <s v="858d6763-13c7-3066-9bba-b4e7fe805671"/>
    <s v="b046940f-1664-3047-bca7-dfa76be352a4"/>
    <x v="0"/>
    <n v="410620009"/>
    <s v="Well child visit (procedure)"/>
    <n v="136.80000000000001"/>
    <n v="704.2"/>
    <n v="0"/>
    <m/>
    <x v="0"/>
  </r>
  <r>
    <s v="e34a6a5e-1d77-508d-5ccb-6650ff7a6211"/>
    <d v="2020-06-21T11:58:38"/>
    <d v="2020-06-21T12:13:38"/>
    <s v="e34a6a5e-1d77-508d-8be3-8816e9df8046"/>
    <s v="afc661fd-71d9-3fc3-adf2-3fc3b5e8a140"/>
    <s v="4f69f42f-d99c-3263-986f-9ef6450d0be9"/>
    <s v="b046940f-1664-3047-bca7-dfa76be352a4"/>
    <x v="2"/>
    <n v="698314001"/>
    <s v="Consultation for treatment (procedure)"/>
    <n v="142.58000000000001"/>
    <n v="142.58000000000001"/>
    <n v="0"/>
    <n v="389095005"/>
    <x v="15"/>
  </r>
  <r>
    <s v="e34a6a5e-1d77-508d-7a77-e15f104d697e"/>
    <d v="2020-08-14T11:58:38"/>
    <d v="2020-08-14T12:19:35"/>
    <s v="e34a6a5e-1d77-508d-8be3-8816e9df8046"/>
    <s v="0e3a24c3-b772-3059-b3fd-8a4710068a82"/>
    <s v="858d6763-13c7-3066-9bba-b4e7fe805671"/>
    <s v="b046940f-1664-3047-bca7-dfa76be352a4"/>
    <x v="0"/>
    <n v="410620009"/>
    <s v="Well child visit (procedure)"/>
    <n v="136.80000000000001"/>
    <n v="1237.1199999999999"/>
    <n v="0"/>
    <m/>
    <x v="0"/>
  </r>
  <r>
    <s v="e34a6a5e-1d77-508d-77a5-a9466c0dc37b"/>
    <d v="2021-04-09T11:58:38"/>
    <d v="2021-04-09T12:13:38"/>
    <s v="e34a6a5e-1d77-508d-8be3-8816e9df8046"/>
    <s v="afc661fd-71d9-3fc3-adf2-3fc3b5e8a140"/>
    <s v="4f69f42f-d99c-3263-986f-9ef6450d0be9"/>
    <s v="b046940f-1664-3047-bca7-dfa76be352a4"/>
    <x v="1"/>
    <n v="424441002"/>
    <s v="Prenatal initial visit (regime/therapy)"/>
    <n v="142.58000000000001"/>
    <n v="20838.96"/>
    <n v="12303.25"/>
    <n v="72892002"/>
    <x v="4"/>
  </r>
  <r>
    <s v="e34a6a5e-1d77-508d-a025-6feca335d77c"/>
    <d v="2021-04-24T11:58:38"/>
    <d v="2021-04-24T12:13:38"/>
    <s v="e34a6a5e-1d77-508d-8be3-8816e9df8046"/>
    <s v="afc661fd-71d9-3fc3-adf2-3fc3b5e8a140"/>
    <s v="4f69f42f-d99c-3263-986f-9ef6450d0be9"/>
    <s v="b046940f-1664-3047-bca7-dfa76be352a4"/>
    <x v="1"/>
    <n v="270427003"/>
    <s v="Patient-initiated encounter (procedure)"/>
    <n v="85.55"/>
    <n v="8084.36"/>
    <n v="8084.36"/>
    <n v="72892002"/>
    <x v="4"/>
  </r>
  <r>
    <s v="e34a6a5e-1d77-508d-5db0-8397e971a90d"/>
    <d v="2021-05-13T11:58:38"/>
    <d v="2021-05-13T12:13:38"/>
    <s v="e34a6a5e-1d77-508d-8be3-8816e9df8046"/>
    <s v="afc661fd-71d9-3fc3-adf2-3fc3b5e8a140"/>
    <s v="4f69f42f-d99c-3263-986f-9ef6450d0be9"/>
    <s v="b046940f-1664-3047-bca7-dfa76be352a4"/>
    <x v="1"/>
    <n v="424619006"/>
    <s v="Prenatal visit (regime/therapy)"/>
    <n v="142.58000000000001"/>
    <n v="1868.18"/>
    <n v="1868.18"/>
    <n v="72892002"/>
    <x v="4"/>
  </r>
  <r>
    <s v="029c95e2-d252-d8d3-4546-ce59f5ae0b76"/>
    <d v="2018-08-24T05:04:09"/>
    <d v="2018-08-24T05:47:45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4052.91"/>
    <n v="2431.75"/>
    <n v="389095005"/>
    <x v="15"/>
  </r>
  <r>
    <s v="029c95e2-d252-d8d3-64b5-d00460165018"/>
    <d v="2018-09-12T12:49:02"/>
    <d v="2018-09-12T13:04:02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1250.8499999999999"/>
    <n v="1250.8499999999999"/>
    <n v="389095005"/>
    <x v="15"/>
  </r>
  <r>
    <s v="e34a6a5e-1d77-508d-ef63-a951fa0fba76"/>
    <d v="2021-08-20T11:58:38"/>
    <d v="2021-08-20T12:23:51"/>
    <s v="e34a6a5e-1d77-508d-8be3-8816e9df8046"/>
    <s v="0e3a24c3-b772-3059-b3fd-8a4710068a82"/>
    <s v="858d6763-13c7-3066-9bba-b4e7fe805671"/>
    <s v="b046940f-1664-3047-bca7-dfa76be352a4"/>
    <x v="0"/>
    <n v="410620009"/>
    <s v="Well child visit (procedure)"/>
    <n v="136.80000000000001"/>
    <n v="1520.81"/>
    <n v="0"/>
    <m/>
    <x v="0"/>
  </r>
  <r>
    <s v="029c95e2-d252-d8d3-aebb-2c33a4698d04"/>
    <d v="2018-12-12T11:49:02"/>
    <d v="2018-12-12T12:08:11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1935.52"/>
    <n v="0"/>
    <n v="389095005"/>
    <x v="15"/>
  </r>
  <r>
    <s v="029c95e2-d252-d8d3-afe9-2e2b243fcaec"/>
    <d v="2019-03-13T12:49:02"/>
    <d v="2019-03-13T13:44:19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1001.28"/>
    <n v="0"/>
    <m/>
    <x v="0"/>
  </r>
  <r>
    <s v="e34a6a5e-1d77-508d-7f32-92674319982c"/>
    <d v="2021-08-27T11:58:38"/>
    <d v="2021-08-27T12:13:38"/>
    <s v="e34a6a5e-1d77-508d-8be3-8816e9df8046"/>
    <s v="afc661fd-71d9-3fc3-adf2-3fc3b5e8a140"/>
    <s v="4f69f42f-d99c-3263-986f-9ef6450d0be9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e34a6a5e-1d77-508d-9f39-137908c0c841"/>
    <d v="2021-09-03T11:58:38"/>
    <d v="2021-09-03T15:30:51"/>
    <s v="e34a6a5e-1d77-508d-8be3-8816e9df8046"/>
    <s v="afc661fd-71d9-3fc3-adf2-3fc3b5e8a140"/>
    <s v="4f69f42f-d99c-3263-986f-9ef6450d0be9"/>
    <s v="b046940f-1664-3047-bca7-dfa76be352a4"/>
    <x v="1"/>
    <n v="185349003"/>
    <s v="Encounter for check up (procedure)"/>
    <n v="85.55"/>
    <n v="3105.35"/>
    <n v="374.28"/>
    <n v="66383009"/>
    <x v="17"/>
  </r>
  <r>
    <s v="029c95e2-d252-d8d3-d6fa-2c9519f88b87"/>
    <d v="2019-03-20T12:49:02"/>
    <d v="2019-03-20T13:07:33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1250.8499999999999"/>
    <n v="0"/>
    <n v="389095005"/>
    <x v="15"/>
  </r>
  <r>
    <s v="029c95e2-d252-d8d3-1867-23ba6f57c827"/>
    <d v="2019-03-27T12:49:02"/>
    <d v="2019-03-27T15:49:54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2673.95"/>
    <n v="538.52"/>
    <n v="66383009"/>
    <x v="17"/>
  </r>
  <r>
    <s v="e34a6a5e-1d77-508d-53b6-6a361c4bbd65"/>
    <d v="2021-09-17T11:58:38"/>
    <d v="2021-09-17T12:13:38"/>
    <s v="e34a6a5e-1d77-508d-8be3-8816e9df8046"/>
    <s v="afc661fd-71d9-3fc3-adf2-3fc3b5e8a140"/>
    <s v="4f69f42f-d99c-3263-986f-9ef6450d0be9"/>
    <s v="b046940f-1664-3047-bca7-dfa76be352a4"/>
    <x v="2"/>
    <n v="33879002"/>
    <s v="Administration of vaccine to produce active immunity (procedure)"/>
    <n v="142.58000000000001"/>
    <n v="278.58"/>
    <n v="195.01"/>
    <m/>
    <x v="0"/>
  </r>
  <r>
    <s v="e34a6a5e-1d77-508d-711c-d8e0271c650b"/>
    <d v="2021-09-17T11:58:38"/>
    <d v="2021-09-17T13:27:27"/>
    <s v="e34a6a5e-1d77-508d-8be3-8816e9df8046"/>
    <s v="afc661fd-71d9-3fc3-adf2-3fc3b5e8a140"/>
    <s v="4f69f42f-d99c-3263-986f-9ef6450d0be9"/>
    <s v="b046940f-1664-3047-bca7-dfa76be352a4"/>
    <x v="1"/>
    <n v="185345009"/>
    <s v="Encounter for symptom (procedure)"/>
    <n v="85.55"/>
    <n v="239.25"/>
    <n v="167.48"/>
    <n v="840544004"/>
    <x v="30"/>
  </r>
  <r>
    <s v="029c95e2-d252-d8d3-58cd-a7d4e890e0e2"/>
    <d v="2019-06-19T12:49:02"/>
    <d v="2019-06-19T13:08:27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2174.3000000000002"/>
    <n v="1304.58"/>
    <n v="389095005"/>
    <x v="15"/>
  </r>
  <r>
    <s v="029c95e2-d252-d8d3-4147-314878604345"/>
    <d v="2019-09-18T12:49:02"/>
    <d v="2019-09-18T13:04:02"/>
    <s v="029c95e2-d252-d8d3-3626-7f347182d6d7"/>
    <s v="5fcff9db-16e4-3e56-aa78-abbc16338097"/>
    <s v="ef159c90-21f2-34a3-ab95-4c0598b5fedf"/>
    <s v="0133f751-9229-3cfd-815f-b6d4979bdd6a"/>
    <x v="2"/>
    <n v="308335008"/>
    <s v="Patient encounter procedure (procedure)"/>
    <n v="142.58000000000001"/>
    <n v="1250.8499999999999"/>
    <n v="750.51"/>
    <n v="389095005"/>
    <x v="15"/>
  </r>
  <r>
    <s v="e34a6a5e-1d77-508d-20c5-f49607a46f9a"/>
    <d v="2021-09-22T11:58:38"/>
    <d v="2021-09-22T13:46:05"/>
    <s v="e34a6a5e-1d77-508d-8be3-8816e9df8046"/>
    <s v="afc661fd-71d9-3fc3-adf2-3fc3b5e8a140"/>
    <s v="4f69f42f-d99c-3263-986f-9ef6450d0be9"/>
    <s v="b046940f-1664-3047-bca7-dfa76be352a4"/>
    <x v="8"/>
    <n v="453131000124105"/>
    <s v="Videotelephony encounter (procedure)"/>
    <n v="125"/>
    <n v="1918.76"/>
    <n v="1343.13"/>
    <m/>
    <x v="0"/>
  </r>
  <r>
    <s v="029c95e2-d252-d8d3-9d7c-5e6910dbe500"/>
    <d v="2019-11-27T11:49:02"/>
    <d v="2019-11-27T12:04:02"/>
    <s v="029c95e2-d252-d8d3-3626-7f347182d6d7"/>
    <s v="5fcff9db-16e4-3e56-aa78-abbc16338097"/>
    <s v="ef159c90-21f2-34a3-ab95-4c0598b5fedf"/>
    <s v="0133f751-9229-3cfd-815f-b6d4979bdd6a"/>
    <x v="1"/>
    <n v="424441002"/>
    <s v="Prenatal initial visit (regime/therapy)"/>
    <n v="142.58000000000001"/>
    <n v="9939.56"/>
    <n v="2307.34"/>
    <n v="72892002"/>
    <x v="4"/>
  </r>
  <r>
    <s v="029c95e2-d252-d8d3-3f58-eddec46c2c11"/>
    <d v="2019-12-09T11:49:02"/>
    <d v="2019-12-09T12:04:02"/>
    <s v="029c95e2-d252-d8d3-3626-7f347182d6d7"/>
    <s v="5fcff9db-16e4-3e56-aa78-abbc16338097"/>
    <s v="ef159c90-21f2-34a3-ab95-4c0598b5fedf"/>
    <s v="0133f751-9229-3cfd-815f-b6d4979bdd6a"/>
    <x v="1"/>
    <n v="424619006"/>
    <s v="Prenatal visit (regime/therapy)"/>
    <n v="142.58000000000001"/>
    <n v="1005.38"/>
    <n v="603.23"/>
    <n v="156073000"/>
    <x v="26"/>
  </r>
  <r>
    <s v="e34a6a5e-1d77-508d-0c1c-ac0a39473576"/>
    <d v="2022-08-26T11:58:38"/>
    <d v="2022-08-26T12:57:24"/>
    <s v="e34a6a5e-1d77-508d-8be3-8816e9df8046"/>
    <s v="0e3a24c3-b772-3059-b3fd-8a4710068a82"/>
    <s v="858d6763-13c7-3066-9bba-b4e7fe805671"/>
    <s v="b046940f-1664-3047-bca7-dfa76be352a4"/>
    <x v="0"/>
    <n v="162673000"/>
    <s v="General examination of patient (procedure)"/>
    <n v="136.80000000000001"/>
    <n v="704.2"/>
    <n v="0"/>
    <m/>
    <x v="0"/>
  </r>
  <r>
    <s v="029c95e2-d252-d8d3-fa2d-3964f9bf06de"/>
    <d v="2020-03-18T12:49:02"/>
    <d v="2020-03-18T13:40:41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860.16"/>
    <n v="516.1"/>
    <m/>
    <x v="0"/>
  </r>
  <r>
    <s v="e34a6a5e-1d77-508d-044d-372a89f08d28"/>
    <d v="2022-09-09T11:58:38"/>
    <d v="2022-09-09T17:50:10"/>
    <s v="e34a6a5e-1d77-508d-8be3-8816e9df8046"/>
    <s v="afc661fd-71d9-3fc3-adf2-3fc3b5e8a140"/>
    <s v="4f69f42f-d99c-3263-986f-9ef6450d0be9"/>
    <s v="b046940f-1664-3047-bca7-dfa76be352a4"/>
    <x v="1"/>
    <n v="185349003"/>
    <s v="Encounter for check up (procedure)"/>
    <n v="85.55"/>
    <n v="4399.55"/>
    <n v="422.62"/>
    <n v="66383009"/>
    <x v="17"/>
  </r>
  <r>
    <s v="e34a6a5e-1d77-508d-8a2c-76b0b324d33a"/>
    <d v="2023-06-06T11:58:38"/>
    <d v="2023-06-06T12:13:38"/>
    <s v="e34a6a5e-1d77-508d-8be3-8816e9df8046"/>
    <s v="afc661fd-71d9-3fc3-adf2-3fc3b5e8a140"/>
    <s v="4f69f42f-d99c-3263-986f-9ef6450d0be9"/>
    <s v="b046940f-1664-3047-bca7-dfa76be352a4"/>
    <x v="2"/>
    <n v="698314001"/>
    <s v="Consultation for treatment (procedure)"/>
    <n v="142.58000000000001"/>
    <n v="142.58000000000001"/>
    <n v="99.81"/>
    <n v="389095005"/>
    <x v="15"/>
  </r>
  <r>
    <s v="e34a6a5e-1d77-508d-d81c-7a987e9a3fab"/>
    <d v="2023-09-01T11:58:38"/>
    <d v="2023-09-01T12:42:19"/>
    <s v="e34a6a5e-1d77-508d-8be3-8816e9df8046"/>
    <s v="0e3a24c3-b772-3059-b3fd-8a4710068a82"/>
    <s v="858d6763-13c7-3066-9bba-b4e7fe805671"/>
    <s v="b046940f-1664-3047-bca7-dfa76be352a4"/>
    <x v="0"/>
    <n v="162673000"/>
    <s v="General examination of patient (procedure)"/>
    <n v="136.80000000000001"/>
    <n v="704.2"/>
    <n v="0"/>
    <m/>
    <x v="0"/>
  </r>
  <r>
    <s v="e34a6a5e-1d77-508d-e4e8-00aacb1f2de9"/>
    <d v="2023-09-15T11:58:38"/>
    <d v="2023-09-15T15:34:32"/>
    <s v="e34a6a5e-1d77-508d-8be3-8816e9df8046"/>
    <s v="afc661fd-71d9-3fc3-adf2-3fc3b5e8a140"/>
    <s v="4f69f42f-d99c-3263-986f-9ef6450d0be9"/>
    <s v="b046940f-1664-3047-bca7-dfa76be352a4"/>
    <x v="1"/>
    <n v="185349003"/>
    <s v="Encounter for check up (procedure)"/>
    <n v="85.55"/>
    <n v="3105.35"/>
    <n v="0"/>
    <n v="103697008"/>
    <x v="3"/>
  </r>
  <r>
    <s v="e34a6a5e-1d77-508d-cf98-164902e6462c"/>
    <d v="2024-02-29T23:58:38"/>
    <d v="2024-03-01T00:13:38"/>
    <s v="e34a6a5e-1d77-508d-8be3-8816e9df8046"/>
    <s v="afc661fd-71d9-3fc3-adf2-3fc3b5e8a140"/>
    <s v="4f69f42f-d99c-3263-986f-9ef6450d0be9"/>
    <s v="b046940f-1664-3047-bca7-dfa76be352a4"/>
    <x v="1"/>
    <n v="185345009"/>
    <s v="Encounter for symptom (procedure)"/>
    <n v="85.55"/>
    <n v="85.55"/>
    <n v="59.88"/>
    <n v="444814009"/>
    <x v="2"/>
  </r>
  <r>
    <s v="029c95e2-d252-d8d3-9472-1fd467ae4731"/>
    <d v="2020-08-13T05:47:45"/>
    <d v="2020-08-13T06:02:45"/>
    <s v="029c95e2-d252-d8d3-3626-7f347182d6d7"/>
    <s v="5fcff9db-16e4-3e56-aa78-abbc16338097"/>
    <s v="ef159c90-21f2-34a3-ab95-4c0598b5fedf"/>
    <s v="0133f751-9229-3cfd-815f-b6d4979bdd6a"/>
    <x v="2"/>
    <n v="698314001"/>
    <s v="Consultation for treatment (procedure)"/>
    <n v="142.58000000000001"/>
    <n v="142.58000000000001"/>
    <n v="85.55"/>
    <n v="389095005"/>
    <x v="15"/>
  </r>
  <r>
    <s v="e34a6a5e-1d77-508d-9ae5-50132dd0d519"/>
    <d v="2024-05-31T11:58:38"/>
    <d v="2024-05-31T12:13:38"/>
    <s v="e34a6a5e-1d77-508d-8be3-8816e9df8046"/>
    <s v="afc661fd-71d9-3fc3-adf2-3fc3b5e8a140"/>
    <s v="4f69f42f-d99c-3263-986f-9ef6450d0be9"/>
    <s v="b046940f-1664-3047-bca7-dfa76be352a4"/>
    <x v="2"/>
    <n v="698314001"/>
    <s v="Consultation for treatment (procedure)"/>
    <n v="142.58000000000001"/>
    <n v="142.58000000000001"/>
    <n v="99.81"/>
    <n v="389095005"/>
    <x v="15"/>
  </r>
  <r>
    <s v="029c95e2-d252-d8d3-0375-0f4e0e0454d7"/>
    <d v="2021-03-24T12:49:02"/>
    <d v="2021-03-24T13:35:58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785.58"/>
    <n v="0"/>
    <m/>
    <x v="0"/>
  </r>
  <r>
    <s v="e34a6a5e-1d77-508d-ba7b-1b257533ebca"/>
    <d v="2025-05-26T11:58:38"/>
    <d v="2025-05-26T12:13:38"/>
    <s v="e34a6a5e-1d77-508d-8be3-8816e9df8046"/>
    <s v="afc661fd-71d9-3fc3-adf2-3fc3b5e8a140"/>
    <s v="4f69f42f-d99c-3263-986f-9ef6450d0be9"/>
    <s v="b046940f-1664-3047-bca7-dfa76be352a4"/>
    <x v="2"/>
    <n v="698314001"/>
    <s v="Consultation for treatment (procedure)"/>
    <n v="142.58000000000001"/>
    <n v="142.58000000000001"/>
    <n v="0"/>
    <n v="389095005"/>
    <x v="15"/>
  </r>
  <r>
    <s v="e34a6a5e-1d77-508d-8ac4-58226ac25605"/>
    <d v="2025-12-04T06:58:38"/>
    <d v="2025-12-04T07:13:38"/>
    <s v="e34a6a5e-1d77-508d-8be3-8816e9df8046"/>
    <s v="afc661fd-71d9-3fc3-adf2-3fc3b5e8a140"/>
    <s v="4f69f42f-d99c-3263-986f-9ef6450d0be9"/>
    <s v="b046940f-1664-3047-bca7-dfa76be352a4"/>
    <x v="1"/>
    <n v="185345009"/>
    <s v="Encounter for symptom (procedure)"/>
    <n v="85.55"/>
    <n v="85.55"/>
    <n v="0"/>
    <n v="444814009"/>
    <x v="2"/>
  </r>
  <r>
    <s v="e34a6a5e-1d77-508d-ecf7-dd010ec08d2b"/>
    <d v="2026-08-14T11:58:38"/>
    <d v="2026-08-14T12:13:38"/>
    <s v="e34a6a5e-1d77-508d-8be3-8816e9df8046"/>
    <s v="afc661fd-71d9-3fc3-adf2-3fc3b5e8a140"/>
    <s v="4f69f42f-d99c-3263-986f-9ef6450d0be9"/>
    <s v="b046940f-1664-3047-bca7-dfa76be352a4"/>
    <x v="1"/>
    <n v="424441002"/>
    <s v="Prenatal initial visit (regime/therapy)"/>
    <n v="142.58000000000001"/>
    <n v="36756.870000000003"/>
    <n v="22579.81"/>
    <n v="72892002"/>
    <x v="4"/>
  </r>
  <r>
    <s v="029c95e2-d252-d8d3-d01d-62930ff25a36"/>
    <d v="2021-06-16T12:49:02"/>
    <d v="2021-06-16T13:04:02"/>
    <s v="029c95e2-d252-d8d3-3626-7f347182d6d7"/>
    <s v="5fcff9db-16e4-3e56-aa78-abbc16338097"/>
    <s v="ef159c90-21f2-34a3-ab95-4c0598b5fedf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029c95e2-d252-d8d3-e7ea-7ab928ece3a0"/>
    <d v="2021-07-14T12:49:02"/>
    <d v="2021-07-14T13:04:02"/>
    <s v="029c95e2-d252-d8d3-3626-7f347182d6d7"/>
    <s v="5fcff9db-16e4-3e56-aa78-abbc16338097"/>
    <s v="ef159c90-21f2-34a3-ab95-4c0598b5fedf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029c95e2-d252-d8d3-0c9e-f3e260c23109"/>
    <d v="2022-03-30T12:49:02"/>
    <d v="2022-03-30T13:33:56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994.48"/>
    <n v="0"/>
    <m/>
    <x v="0"/>
  </r>
  <r>
    <s v="029c95e2-d252-d8d3-50ef-fea983a4446c"/>
    <d v="2022-11-02T12:49:02"/>
    <d v="2022-11-02T13:19:06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10894.8"/>
    <n v="2880.48"/>
    <n v="275978004"/>
    <x v="29"/>
  </r>
  <r>
    <s v="029c95e2-d252-d8d3-4244-928d0b83f368"/>
    <d v="2023-04-05T12:49:02"/>
    <d v="2023-04-05T13:32:22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1070.74"/>
    <n v="642.45000000000005"/>
    <m/>
    <x v="0"/>
  </r>
  <r>
    <s v="029c95e2-d252-d8d3-144c-7701bcef10d7"/>
    <d v="2024-04-10T12:49:02"/>
    <d v="2024-04-10T13:29:13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1374.57"/>
    <n v="0"/>
    <m/>
    <x v="0"/>
  </r>
  <r>
    <s v="029c95e2-d252-d8d3-346b-5730a1651d44"/>
    <d v="2024-04-24T12:49:02"/>
    <d v="2024-04-24T18:52:12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4830.95"/>
    <n v="222.84"/>
    <n v="103697008"/>
    <x v="3"/>
  </r>
  <r>
    <s v="029c95e2-d252-d8d3-22a0-9ffcfaa62a10"/>
    <d v="2024-06-17T12:49:02"/>
    <d v="2024-06-17T13:49:02"/>
    <s v="029c95e2-d252-d8d3-3626-7f347182d6d7"/>
    <s v="b3ada130-6443-3a8e-98c7-4ec127a2b0c4"/>
    <s v="97845c8f-ac04-3882-b5e3-710cb7f09385"/>
    <s v="0133f751-9229-3cfd-815f-b6d4979bdd6a"/>
    <x v="3"/>
    <n v="50849002"/>
    <s v="Emergency room admission (procedure)"/>
    <n v="146.18"/>
    <n v="146.18"/>
    <n v="87.71"/>
    <n v="48333001"/>
    <x v="65"/>
  </r>
  <r>
    <s v="029c95e2-d252-d8d3-f49b-88d537384629"/>
    <d v="2024-06-17T12:49:02"/>
    <d v="2024-07-19T13:04:02"/>
    <s v="029c95e2-d252-d8d3-3626-7f347182d6d7"/>
    <s v="8a87ef73-eaa2-340a-bec5-c3cef01ef836"/>
    <s v="0806af5c-078a-36cc-8336-c51f9186a2eb"/>
    <s v="0133f751-9229-3cfd-815f-b6d4979bdd6a"/>
    <x v="7"/>
    <n v="32485007"/>
    <s v="Hospital admission (procedure)"/>
    <n v="110.92"/>
    <n v="24331.9"/>
    <n v="14599.14"/>
    <n v="25675004"/>
    <x v="46"/>
  </r>
  <r>
    <s v="029c95e2-d252-d8d3-1b68-517f3db0add4"/>
    <d v="2024-08-17T12:49:02"/>
    <d v="2024-08-17T13:04:02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85.55"/>
    <n v="85.55"/>
    <n v="403190006"/>
    <x v="66"/>
  </r>
  <r>
    <s v="029c95e2-d252-d8d3-6751-1baf80492b3a"/>
    <d v="2025-04-16T12:49:02"/>
    <d v="2025-04-16T13:37:01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1648.38"/>
    <n v="0"/>
    <m/>
    <x v="0"/>
  </r>
  <r>
    <s v="029c95e2-d252-d8d3-3103-667fd3d7aa50"/>
    <d v="2025-04-30T12:49:02"/>
    <d v="2025-04-30T15:55:01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3105.35"/>
    <n v="0"/>
    <n v="103697008"/>
    <x v="3"/>
  </r>
  <r>
    <s v="029c95e2-d252-d8d3-a200-5c4a0ef8b2df"/>
    <d v="2025-10-05T12:49:02"/>
    <d v="2025-10-05T13:49:02"/>
    <s v="029c95e2-d252-d8d3-3626-7f347182d6d7"/>
    <s v="b3ada130-6443-3a8e-98c7-4ec127a2b0c4"/>
    <s v="97845c8f-ac04-3882-b5e3-710cb7f09385"/>
    <s v="0133f751-9229-3cfd-815f-b6d4979bdd6a"/>
    <x v="3"/>
    <n v="50849002"/>
    <s v="Emergency room admission (procedure)"/>
    <n v="146.18"/>
    <n v="146.18"/>
    <n v="0"/>
    <n v="48333001"/>
    <x v="65"/>
  </r>
  <r>
    <s v="029c95e2-d252-d8d3-90b3-d47037aa2a78"/>
    <d v="2025-10-05T12:49:02"/>
    <d v="2025-10-18T13:04:02"/>
    <s v="029c95e2-d252-d8d3-3626-7f347182d6d7"/>
    <s v="8a87ef73-eaa2-340a-bec5-c3cef01ef836"/>
    <s v="0806af5c-078a-36cc-8336-c51f9186a2eb"/>
    <s v="0133f751-9229-3cfd-815f-b6d4979bdd6a"/>
    <x v="7"/>
    <n v="32485007"/>
    <s v="Hospital admission (procedure)"/>
    <n v="110.92"/>
    <n v="9937.1200000000008"/>
    <n v="5627.38"/>
    <n v="25675004"/>
    <x v="46"/>
  </r>
  <r>
    <s v="029c95e2-d252-d8d3-1d9c-3d2d09747dd5"/>
    <d v="2025-11-25T11:49:02"/>
    <d v="2025-11-25T12:04:02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85.55"/>
    <n v="0"/>
    <n v="403190006"/>
    <x v="66"/>
  </r>
  <r>
    <s v="029c95e2-d252-d8d3-2abf-0c7210e8023a"/>
    <d v="2026-01-08T11:49:02"/>
    <d v="2026-01-08T12:04:02"/>
    <s v="029c95e2-d252-d8d3-3626-7f347182d6d7"/>
    <s v="5fcff9db-16e4-3e56-aa78-abbc16338097"/>
    <s v="ef159c90-21f2-34a3-ab95-4c0598b5fedf"/>
    <s v="0133f751-9229-3cfd-815f-b6d4979bdd6a"/>
    <x v="1"/>
    <n v="185347001"/>
    <s v="Encounter for problem (procedure)"/>
    <n v="85.55"/>
    <n v="85.55"/>
    <n v="0"/>
    <n v="239872002"/>
    <x v="67"/>
  </r>
  <r>
    <s v="029c95e2-d252-d8d3-94ad-3388053bf3b4"/>
    <d v="2026-04-22T12:49:02"/>
    <d v="2026-04-22T13:43:09"/>
    <s v="029c95e2-d252-d8d3-3626-7f347182d6d7"/>
    <s v="10ffe7b1-2f94-3f12-9288-679da05a1ec9"/>
    <s v="791445d2-4cda-3c08-8d50-1adaaa89f8f8"/>
    <s v="0133f751-9229-3cfd-815f-b6d4979bdd6a"/>
    <x v="0"/>
    <n v="162673000"/>
    <s v="General examination of patient (procedure)"/>
    <n v="136.80000000000001"/>
    <n v="860.16"/>
    <n v="0"/>
    <m/>
    <x v="0"/>
  </r>
  <r>
    <s v="029c95e2-d252-d8d3-c94d-14ea38271057"/>
    <d v="2026-05-06T12:49:02"/>
    <d v="2026-05-06T16:11:01"/>
    <s v="029c95e2-d252-d8d3-3626-7f347182d6d7"/>
    <s v="5fcff9db-16e4-3e56-aa78-abbc16338097"/>
    <s v="ef159c90-21f2-34a3-ab95-4c0598b5fedf"/>
    <s v="0133f751-9229-3cfd-815f-b6d4979bdd6a"/>
    <x v="1"/>
    <n v="185349003"/>
    <s v="Encounter for check up (procedure)"/>
    <n v="85.55"/>
    <n v="3105.35"/>
    <n v="0"/>
    <n v="103697008"/>
    <x v="3"/>
  </r>
  <r>
    <s v="029c95e2-d252-d8d3-61c8-59c88a5eee15"/>
    <d v="2026-07-10T15:49:02"/>
    <d v="2026-07-10T16:04:02"/>
    <s v="029c95e2-d252-d8d3-3626-7f347182d6d7"/>
    <s v="5fcff9db-16e4-3e56-aa78-abbc16338097"/>
    <s v="ef159c90-21f2-34a3-ab95-4c0598b5fedf"/>
    <s v="0133f751-9229-3cfd-815f-b6d4979bdd6a"/>
    <x v="1"/>
    <n v="185345009"/>
    <s v="Encounter for symptom (procedure)"/>
    <n v="85.55"/>
    <n v="85.55"/>
    <n v="0"/>
    <n v="444814009"/>
    <x v="2"/>
  </r>
  <r>
    <s v="a6d0791e-4c15-58e6-51de-179cfa5c5a26"/>
    <d v="2024-01-02T16:23:14"/>
    <d v="2024-01-02T16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347.38"/>
    <n v="0"/>
    <m/>
    <x v="0"/>
  </r>
  <r>
    <s v="a6d0791e-4c15-58e6-f2a6-e9dc32bfbf00"/>
    <d v="2024-02-06T16:23:14"/>
    <d v="2024-02-06T16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272.8"/>
    <n v="0"/>
    <m/>
    <x v="0"/>
  </r>
  <r>
    <s v="a6d0791e-4c15-58e6-696c-b0036ac9ab47"/>
    <d v="2024-04-09T17:23:14"/>
    <d v="2024-04-09T17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816.8"/>
    <n v="0"/>
    <m/>
    <x v="0"/>
  </r>
  <r>
    <s v="a6d0791e-4c15-58e6-d7b2-0e8d5819803f"/>
    <d v="2024-06-11T17:23:14"/>
    <d v="2024-06-11T17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816.8"/>
    <n v="0"/>
    <m/>
    <x v="0"/>
  </r>
  <r>
    <s v="a6d0791e-4c15-58e6-b9c3-0dbe2ebe74f2"/>
    <d v="2024-09-10T17:23:14"/>
    <d v="2024-09-10T17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816.8"/>
    <n v="0"/>
    <m/>
    <x v="0"/>
  </r>
  <r>
    <s v="a6d0791e-4c15-58e6-f61f-97e163d45019"/>
    <d v="2024-12-10T16:23:14"/>
    <d v="2024-12-10T16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136.80000000000001"/>
    <n v="0"/>
    <m/>
    <x v="0"/>
  </r>
  <r>
    <s v="a6d0791e-4c15-58e6-3e6b-8cfdb519c16a"/>
    <d v="2025-03-11T17:23:14"/>
    <d v="2025-03-11T17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1154.3699999999999"/>
    <n v="0"/>
    <m/>
    <x v="0"/>
  </r>
  <r>
    <s v="a6d0791e-4c15-58e6-7584-3e3225ef28af"/>
    <d v="2025-06-10T17:23:14"/>
    <d v="2025-06-10T17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855.54"/>
    <n v="0"/>
    <m/>
    <x v="0"/>
  </r>
  <r>
    <s v="a6d0791e-4c15-58e6-e8c1-ca705a676c46"/>
    <d v="2025-09-30T17:23:14"/>
    <d v="2025-09-30T17:38:14"/>
    <s v="a6d0791e-4c15-58e6-c30a-ec25e285ace9"/>
    <s v="70e3ad4f-b9ff-3f3e-9990-2cd7e23a9d1c"/>
    <s v="7b0db8ab-786e-338c-beba-9e5d67182e44"/>
    <s v="e03e23c9-4df1-3eb6-a62d-f70f02301496"/>
    <x v="4"/>
    <n v="702927004"/>
    <s v="Urgent care clinic (environment)"/>
    <n v="142.58000000000001"/>
    <n v="501.36"/>
    <n v="0"/>
    <m/>
    <x v="0"/>
  </r>
  <r>
    <s v="a6d0791e-4c15-58e6-8daa-7e005454026f"/>
    <d v="2025-10-07T17:23:14"/>
    <d v="2025-10-07T17:38:14"/>
    <s v="a6d0791e-4c15-58e6-c30a-ec25e285ace9"/>
    <s v="88975fd9-b47e-3af6-af78-c58e1ecf0d5e"/>
    <s v="1df1de29-47cf-3e4b-9877-06087ef9226c"/>
    <s v="e03e23c9-4df1-3eb6-a62d-f70f02301496"/>
    <x v="2"/>
    <n v="185349003"/>
    <s v="Encounter for check up (procedure)"/>
    <n v="85.55"/>
    <n v="948.35"/>
    <n v="0"/>
    <m/>
    <x v="0"/>
  </r>
  <r>
    <s v="a6d0791e-4c15-58e6-cd41-d7daa21fed63"/>
    <d v="2025-10-14T17:23:14"/>
    <d v="2025-10-14T17:38:14"/>
    <s v="a6d0791e-4c15-58e6-c30a-ec25e285ace9"/>
    <s v="88975fd9-b47e-3af6-af78-c58e1ecf0d5e"/>
    <s v="1df1de29-47cf-3e4b-9877-06087ef9226c"/>
    <s v="e03e23c9-4df1-3eb6-a62d-f70f02301496"/>
    <x v="1"/>
    <n v="185345009"/>
    <s v="Encounter for symptom (procedure)"/>
    <n v="85.55"/>
    <n v="6719.94"/>
    <n v="0"/>
    <n v="10509002"/>
    <x v="1"/>
  </r>
  <r>
    <s v="a6d0791e-4c15-58e6-033a-6d001559d4d9"/>
    <d v="2025-12-09T16:23:14"/>
    <d v="2025-12-09T16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429.8"/>
    <n v="0"/>
    <m/>
    <x v="0"/>
  </r>
  <r>
    <s v="a6d0791e-4c15-58e6-ef95-2d1009928364"/>
    <d v="2026-06-09T17:23:14"/>
    <d v="2026-06-09T17:38:14"/>
    <s v="a6d0791e-4c15-58e6-c30a-ec25e285ace9"/>
    <s v="c4e5b33c-17b8-3f51-a8ba-a327d54e642a"/>
    <s v="a0bee193-3c6c-31b3-8af2-42f296be0311"/>
    <s v="e03e23c9-4df1-3eb6-a62d-f70f02301496"/>
    <x v="0"/>
    <n v="410620009"/>
    <s v="Well child visit (procedure)"/>
    <n v="136.80000000000001"/>
    <n v="505.91"/>
    <n v="0"/>
    <m/>
    <x v="0"/>
  </r>
  <r>
    <s v="4af53267-820e-7687-43ce-99973ce0cb46"/>
    <d v="2016-03-14T03:49:20"/>
    <d v="2016-03-14T04:04:20"/>
    <s v="4af53267-820e-7687-87a4-f6716ef64a2e"/>
    <s v="fb4a08b8-57ee-382b-b3cb-43d94f1bb4c0"/>
    <s v="8dee57b0-a969-3a0a-99b3-099240429e00"/>
    <s v="734afbd6-4794-363b-9bc0-6a3981533ed5"/>
    <x v="0"/>
    <n v="410620009"/>
    <s v="Well child visit (procedure)"/>
    <n v="136.80000000000001"/>
    <n v="816.8"/>
    <n v="0"/>
    <m/>
    <x v="0"/>
  </r>
  <r>
    <s v="4af53267-820e-7687-7507-da868cbd854f"/>
    <d v="2016-11-05T03:49:20"/>
    <d v="2016-11-05T05:12:20"/>
    <s v="4af53267-820e-7687-87a4-f6716ef64a2e"/>
    <s v="76281d34-caff-30e0-8545-bcdf33182109"/>
    <s v="046efffa-5f3f-3d01-8a0e-43057e2be60a"/>
    <s v="734afbd6-4794-363b-9bc0-6a3981533ed5"/>
    <x v="3"/>
    <n v="50849002"/>
    <s v="Emergency room admission (procedure)"/>
    <n v="146.18"/>
    <n v="1008.98"/>
    <n v="594.47"/>
    <n v="125605004"/>
    <x v="36"/>
  </r>
  <r>
    <s v="4af53267-820e-7687-8328-b7a629f87dd1"/>
    <d v="2016-12-12T02:49:20"/>
    <d v="2016-12-12T03:07:49"/>
    <s v="4af53267-820e-7687-87a4-f6716ef64a2e"/>
    <s v="fb4a08b8-57ee-382b-b3cb-43d94f1bb4c0"/>
    <s v="8dee57b0-a969-3a0a-99b3-099240429e00"/>
    <s v="734afbd6-4794-363b-9bc0-6a3981533ed5"/>
    <x v="0"/>
    <n v="410620009"/>
    <s v="Well child visit (procedure)"/>
    <n v="136.80000000000001"/>
    <n v="704.2"/>
    <n v="563.36"/>
    <m/>
    <x v="0"/>
  </r>
  <r>
    <s v="4af53267-820e-7687-efdd-05535f115b82"/>
    <d v="2017-02-20T04:12:20"/>
    <d v="2017-02-20T04:27:20"/>
    <s v="4af53267-820e-7687-87a4-f6716ef64a2e"/>
    <s v="bf556284-7513-3620-a10e-5393183a9a87"/>
    <s v="b3783ae2-16cf-3ca1-bb70-ab62b99dc43e"/>
    <s v="734afbd6-4794-363b-9bc0-6a3981533ed5"/>
    <x v="1"/>
    <n v="185349003"/>
    <s v="Encounter for check up (procedure)"/>
    <n v="85.55"/>
    <n v="85.55"/>
    <n v="0"/>
    <n v="58150001"/>
    <x v="39"/>
  </r>
  <r>
    <s v="4af53267-820e-7687-27ff-f7150cdb9a6e"/>
    <d v="2017-06-12T03:49:20"/>
    <d v="2017-06-12T04:04:20"/>
    <s v="4af53267-820e-7687-87a4-f6716ef64a2e"/>
    <s v="fb4a08b8-57ee-382b-b3cb-43d94f1bb4c0"/>
    <s v="8dee57b0-a969-3a0a-99b3-099240429e00"/>
    <s v="734afbd6-4794-363b-9bc0-6a3981533ed5"/>
    <x v="0"/>
    <n v="410620009"/>
    <s v="Well child visit (procedure)"/>
    <n v="136.80000000000001"/>
    <n v="488.5"/>
    <n v="0"/>
    <m/>
    <x v="0"/>
  </r>
  <r>
    <s v="4af53267-820e-7687-bfa7-b423df323a1e"/>
    <d v="2017-08-22T03:49:20"/>
    <d v="2017-08-22T04:04:20"/>
    <s v="4af53267-820e-7687-87a4-f6716ef64a2e"/>
    <s v="bf556284-7513-3620-a10e-5393183a9a87"/>
    <s v="b3783ae2-16cf-3ca1-bb70-ab62b99dc43e"/>
    <s v="734afbd6-4794-363b-9bc0-6a3981533ed5"/>
    <x v="2"/>
    <n v="185345009"/>
    <s v="Encounter for symptom (procedure)"/>
    <n v="85.55"/>
    <n v="85.55"/>
    <n v="0"/>
    <n v="65363002"/>
    <x v="25"/>
  </r>
  <r>
    <s v="4af53267-820e-7687-70e0-485d32bcfa63"/>
    <d v="2017-12-11T02:49:20"/>
    <d v="2017-12-11T03:04:20"/>
    <s v="4af53267-820e-7687-87a4-f6716ef64a2e"/>
    <s v="fb4a08b8-57ee-382b-b3cb-43d94f1bb4c0"/>
    <s v="8dee57b0-a969-3a0a-99b3-099240429e00"/>
    <s v="734afbd6-4794-363b-9bc0-6a3981533ed5"/>
    <x v="0"/>
    <n v="410620009"/>
    <s v="Well child visit (procedure)"/>
    <n v="136.80000000000001"/>
    <n v="1007.01"/>
    <n v="312.24"/>
    <m/>
    <x v="0"/>
  </r>
  <r>
    <s v="4af53267-820e-7687-aeff-58b01699b5d7"/>
    <d v="2018-04-14T05:12:20"/>
    <d v="2018-04-14T06:12:20"/>
    <s v="4af53267-820e-7687-87a4-f6716ef64a2e"/>
    <s v="76281d34-caff-30e0-8545-bcdf33182109"/>
    <s v="046efffa-5f3f-3d01-8a0e-43057e2be60a"/>
    <s v="0133f751-9229-3cfd-815f-b6d4979bdd6a"/>
    <x v="3"/>
    <n v="50849002"/>
    <s v="Emergency room admission (procedure)"/>
    <n v="146.18"/>
    <n v="4140.8900000000003"/>
    <n v="0"/>
    <n v="312608009"/>
    <x v="20"/>
  </r>
  <r>
    <s v="4af53267-820e-7687-5576-f86fa3b47853"/>
    <d v="2018-06-11T03:49:20"/>
    <d v="2018-06-11T04:04:5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568.20000000000005"/>
    <n v="0"/>
    <m/>
    <x v="0"/>
  </r>
  <r>
    <s v="4af53267-820e-7687-1060-801077239e8c"/>
    <d v="2018-06-18T03:49:20"/>
    <d v="2018-06-18T05:39:46"/>
    <s v="4af53267-820e-7687-87a4-f6716ef64a2e"/>
    <s v="bf556284-7513-3620-a10e-5393183a9a87"/>
    <s v="b3783ae2-16cf-3ca1-bb70-ab62b99dc43e"/>
    <s v="0133f751-9229-3cfd-815f-b6d4979bdd6a"/>
    <x v="1"/>
    <n v="185349003"/>
    <s v="Encounter for check up (procedure)"/>
    <n v="85.55"/>
    <n v="3105.35"/>
    <n v="1068.1500000000001"/>
    <n v="103697008"/>
    <x v="3"/>
  </r>
  <r>
    <s v="4af53267-820e-7687-0d4a-4cb55cc3f6b9"/>
    <d v="2018-09-17T21:49:20"/>
    <d v="2018-09-17T22:04:20"/>
    <s v="4af53267-820e-7687-87a4-f6716ef64a2e"/>
    <s v="bf556284-7513-3620-a10e-5393183a9a87"/>
    <s v="b3783ae2-16cf-3ca1-bb70-ab62b99dc43e"/>
    <s v="0133f751-9229-3cfd-815f-b6d4979bdd6a"/>
    <x v="1"/>
    <n v="185345009"/>
    <s v="Encounter for symptom (procedure)"/>
    <n v="85.55"/>
    <n v="2715.8"/>
    <n v="1629.48"/>
    <n v="10509002"/>
    <x v="1"/>
  </r>
  <r>
    <s v="4af53267-820e-7687-ff5b-371ce5bd2764"/>
    <d v="2018-12-10T02:49:20"/>
    <d v="2018-12-10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272.8"/>
    <n v="163.68"/>
    <m/>
    <x v="0"/>
  </r>
  <r>
    <s v="4af53267-820e-7687-e15f-036fa6695755"/>
    <d v="2019-12-16T02:49:20"/>
    <d v="2019-12-16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816.8"/>
    <n v="0"/>
    <m/>
    <x v="0"/>
  </r>
  <r>
    <s v="4af53267-820e-7687-74e3-6db56d43ab3c"/>
    <d v="2019-12-23T02:49:20"/>
    <d v="2019-12-23T03:04:20"/>
    <s v="4af53267-820e-7687-87a4-f6716ef64a2e"/>
    <s v="bf556284-7513-3620-a10e-5393183a9a87"/>
    <s v="b3783ae2-16cf-3ca1-bb70-ab62b99dc43e"/>
    <s v="0133f751-9229-3cfd-815f-b6d4979bdd6a"/>
    <x v="2"/>
    <n v="185349003"/>
    <s v="Encounter for check up (procedure)"/>
    <n v="85.55"/>
    <n v="368.97"/>
    <n v="0"/>
    <m/>
    <x v="0"/>
  </r>
  <r>
    <s v="4af53267-820e-7687-b6e8-1f8e36f03db8"/>
    <d v="2019-12-30T02:49:20"/>
    <d v="2019-12-30T03:04:20"/>
    <s v="4af53267-820e-7687-87a4-f6716ef64a2e"/>
    <s v="bf556284-7513-3620-a10e-5393183a9a87"/>
    <s v="b3783ae2-16cf-3ca1-bb70-ab62b99dc43e"/>
    <s v="0133f751-9229-3cfd-815f-b6d4979bdd6a"/>
    <x v="1"/>
    <n v="185345009"/>
    <s v="Encounter for symptom (procedure)"/>
    <n v="85.55"/>
    <n v="1055.94"/>
    <n v="0"/>
    <n v="195662009"/>
    <x v="9"/>
  </r>
  <r>
    <s v="4af53267-820e-7687-ade8-826a45e00942"/>
    <d v="2020-03-30T03:49:20"/>
    <d v="2020-03-30T04:04:20"/>
    <s v="4af53267-820e-7687-87a4-f6716ef64a2e"/>
    <s v="bf556284-7513-3620-a10e-5393183a9a87"/>
    <s v="b3783ae2-16cf-3ca1-bb70-ab62b99dc43e"/>
    <s v="0133f751-9229-3cfd-815f-b6d4979bdd6a"/>
    <x v="2"/>
    <n v="185345009"/>
    <s v="Encounter for symptom (procedure)"/>
    <n v="85.55"/>
    <n v="85.55"/>
    <n v="0"/>
    <n v="65363002"/>
    <x v="25"/>
  </r>
  <r>
    <s v="4af53267-820e-7687-8b04-81f74e0a75a1"/>
    <d v="2020-05-13T11:49:20"/>
    <d v="2020-05-13T12:04:20"/>
    <s v="4af53267-820e-7687-87a4-f6716ef64a2e"/>
    <s v="bf556284-7513-3620-a10e-5393183a9a87"/>
    <s v="b3783ae2-16cf-3ca1-bb70-ab62b99dc43e"/>
    <s v="0133f751-9229-3cfd-815f-b6d4979bdd6a"/>
    <x v="1"/>
    <n v="185345009"/>
    <s v="Encounter for symptom (procedure)"/>
    <n v="85.55"/>
    <n v="948.35"/>
    <n v="0"/>
    <n v="195662009"/>
    <x v="9"/>
  </r>
  <r>
    <s v="4af53267-820e-7687-2f5d-9d4612f17306"/>
    <d v="2020-06-25T10:49:20"/>
    <d v="2020-06-25T11:04:20"/>
    <s v="4af53267-820e-7687-87a4-f6716ef64a2e"/>
    <s v="bf556284-7513-3620-a10e-5393183a9a87"/>
    <s v="b3783ae2-16cf-3ca1-bb70-ab62b99dc43e"/>
    <s v="0133f751-9229-3cfd-815f-b6d4979bdd6a"/>
    <x v="1"/>
    <n v="185345009"/>
    <s v="Encounter for symptom (procedure)"/>
    <n v="85.55"/>
    <n v="3536.75"/>
    <n v="0"/>
    <n v="195662009"/>
    <x v="9"/>
  </r>
  <r>
    <s v="4af53267-820e-7687-d1fb-b0ec9fcce8a7"/>
    <d v="2020-12-21T02:49:20"/>
    <d v="2020-12-21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347.38"/>
    <n v="0"/>
    <m/>
    <x v="0"/>
  </r>
  <r>
    <s v="4af53267-820e-7687-ed4b-8b40a6f4315a"/>
    <d v="2021-12-27T02:49:20"/>
    <d v="2021-12-27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272.8"/>
    <n v="0"/>
    <m/>
    <x v="0"/>
  </r>
  <r>
    <s v="4af53267-820e-7687-3056-c7d42e51d185"/>
    <d v="2023-01-02T02:49:20"/>
    <d v="2023-01-02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777.53"/>
    <n v="0"/>
    <m/>
    <x v="0"/>
  </r>
  <r>
    <s v="4af53267-820e-7687-1e76-d80eef1d4e14"/>
    <d v="2024-01-08T02:49:20"/>
    <d v="2024-01-08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1340.27"/>
    <n v="0"/>
    <m/>
    <x v="0"/>
  </r>
  <r>
    <s v="4af53267-820e-7687-d35f-41940515cb96"/>
    <d v="2024-01-15T02:49:20"/>
    <d v="2024-01-15T06:21:34"/>
    <s v="4af53267-820e-7687-87a4-f6716ef64a2e"/>
    <s v="bf556284-7513-3620-a10e-5393183a9a87"/>
    <s v="b3783ae2-16cf-3ca1-bb70-ab62b99dc43e"/>
    <s v="0133f751-9229-3cfd-815f-b6d4979bdd6a"/>
    <x v="1"/>
    <n v="185349003"/>
    <s v="Encounter for check up (procedure)"/>
    <n v="85.55"/>
    <n v="3536.75"/>
    <n v="0"/>
    <n v="103697008"/>
    <x v="3"/>
  </r>
  <r>
    <s v="4af53267-820e-7687-2914-aced94af920e"/>
    <d v="2025-01-13T02:49:20"/>
    <d v="2025-01-13T03:04:20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272.8"/>
    <n v="0"/>
    <m/>
    <x v="0"/>
  </r>
  <r>
    <s v="4af53267-820e-7687-a686-a5876353f831"/>
    <d v="2025-06-11T14:49:20"/>
    <d v="2025-06-11T15:04:20"/>
    <s v="4af53267-820e-7687-87a4-f6716ef64a2e"/>
    <s v="bf556284-7513-3620-a10e-5393183a9a87"/>
    <s v="b3783ae2-16cf-3ca1-bb70-ab62b99dc43e"/>
    <s v="0133f751-9229-3cfd-815f-b6d4979bdd6a"/>
    <x v="1"/>
    <n v="185345009"/>
    <s v="Encounter for symptom (procedure)"/>
    <n v="85.55"/>
    <n v="2149.73"/>
    <n v="0"/>
    <n v="195662009"/>
    <x v="9"/>
  </r>
  <r>
    <s v="4af53267-820e-7687-45e5-c77aee25e072"/>
    <d v="2026-01-19T02:49:20"/>
    <d v="2026-01-19T03:05:42"/>
    <s v="4af53267-820e-7687-87a4-f6716ef64a2e"/>
    <s v="fb4a08b8-57ee-382b-b3cb-43d94f1bb4c0"/>
    <s v="8dee57b0-a969-3a0a-99b3-099240429e00"/>
    <s v="0133f751-9229-3cfd-815f-b6d4979bdd6a"/>
    <x v="0"/>
    <n v="410620009"/>
    <s v="Well child visit (procedure)"/>
    <n v="136.80000000000001"/>
    <n v="1914.59"/>
    <n v="0"/>
    <m/>
    <x v="0"/>
  </r>
  <r>
    <s v="4af53267-820e-7687-b510-47d4dc6b8c9c"/>
    <d v="2026-01-26T02:49:20"/>
    <d v="2026-01-26T06:20:15"/>
    <s v="4af53267-820e-7687-87a4-f6716ef64a2e"/>
    <s v="bf556284-7513-3620-a10e-5393183a9a87"/>
    <s v="b3783ae2-16cf-3ca1-bb70-ab62b99dc43e"/>
    <s v="0133f751-9229-3cfd-815f-b6d4979bdd6a"/>
    <x v="1"/>
    <n v="185349003"/>
    <s v="Encounter for check up (procedure)"/>
    <n v="85.55"/>
    <n v="3536.75"/>
    <n v="0"/>
    <n v="66383009"/>
    <x v="17"/>
  </r>
  <r>
    <s v="1d63466e-0cfd-eb12-6f25-6253030e6685"/>
    <d v="1972-11-28T06:58:03"/>
    <d v="1972-11-28T07:34:02"/>
    <s v="1d63466e-0cfd-eb12-77aa-d153393355e5"/>
    <s v="5f7663da-4b19-3629-b8f2-fb07d75421d9"/>
    <s v="081ca9b3-c6f0-3d99-b5d4-8e55fed12b63"/>
    <s v="e03e23c9-4df1-3eb6-a62d-f70f02301496"/>
    <x v="0"/>
    <n v="162673000"/>
    <s v="General examination of patient (procedure)"/>
    <n v="136.80000000000001"/>
    <n v="704.2"/>
    <n v="0"/>
    <m/>
    <x v="0"/>
  </r>
  <r>
    <s v="1d63466e-0cfd-eb12-078b-7c1e59f012fb"/>
    <d v="1988-12-20T06:58:03"/>
    <d v="1988-12-20T07:35:21"/>
    <s v="1d63466e-0cfd-eb12-77aa-d153393355e5"/>
    <s v="5f7663da-4b19-3629-b8f2-fb07d75421d9"/>
    <s v="081ca9b3-c6f0-3d99-b5d4-8e55fed12b63"/>
    <s v="e03e23c9-4df1-3eb6-a62d-f70f02301496"/>
    <x v="0"/>
    <n v="162673000"/>
    <s v="General examination of patient (procedure)"/>
    <n v="136.80000000000001"/>
    <n v="853.36"/>
    <n v="0"/>
    <m/>
    <x v="0"/>
  </r>
  <r>
    <s v="1d63466e-0cfd-eb12-faff-f211e8dab0f4"/>
    <d v="1996-10-15T07:58:03"/>
    <d v="1996-10-15T08:31:28"/>
    <s v="1d63466e-0cfd-eb12-77aa-d153393355e5"/>
    <s v="5f7663da-4b19-3629-b8f2-fb07d75421d9"/>
    <s v="081ca9b3-c6f0-3d99-b5d4-8e55fed12b63"/>
    <s v="e03e23c9-4df1-3eb6-a62d-f70f02301496"/>
    <x v="0"/>
    <n v="162673000"/>
    <s v="General examination of patient (procedure)"/>
    <n v="136.80000000000001"/>
    <n v="1988.16"/>
    <n v="0"/>
    <m/>
    <x v="0"/>
  </r>
  <r>
    <s v="1d63466e-0cfd-eb12-239d-df9bcbcda3e7"/>
    <d v="1996-11-05T06:58:03"/>
    <d v="1996-11-05T07:13:03"/>
    <s v="1d63466e-0cfd-eb12-77aa-d153393355e5"/>
    <s v="440fa4b8-c731-3cf5-81d9-aa3f30a37b95"/>
    <s v="bd0d9d9d-ef57-383d-85c7-4eb4c49f6473"/>
    <s v="e03e23c9-4df1-3eb6-a62d-f70f02301496"/>
    <x v="1"/>
    <n v="390906007"/>
    <s v="Follow-up encounter (procedure)"/>
    <n v="85.55"/>
    <n v="85.55"/>
    <n v="0"/>
    <n v="55822004"/>
    <x v="52"/>
  </r>
  <r>
    <s v="1d63466e-0cfd-eb12-6d75-3379042518f2"/>
    <d v="2004-10-12T07:58:03"/>
    <d v="2004-10-12T08:47:37"/>
    <s v="1d63466e-0cfd-eb12-77aa-d153393355e5"/>
    <s v="440fa4b8-c731-3cf5-81d9-aa3f30a37b95"/>
    <s v="bd0d9d9d-ef57-383d-85c7-4eb4c49f6473"/>
    <s v="e03e23c9-4df1-3eb6-a62d-f70f02301496"/>
    <x v="1"/>
    <n v="185349003"/>
    <s v="Encounter for check up (procedure)"/>
    <n v="85.55"/>
    <n v="41050.36"/>
    <n v="0"/>
    <n v="275978004"/>
    <x v="29"/>
  </r>
  <r>
    <s v="1d63466e-0cfd-eb12-6acc-480e20359753"/>
    <d v="2005-11-24T07:32:37"/>
    <d v="2005-11-24T08:21:48"/>
    <s v="1d63466e-0cfd-eb12-77aa-d153393355e5"/>
    <s v="440fa4b8-c731-3cf5-81d9-aa3f30a37b95"/>
    <s v="bd0d9d9d-ef57-383d-85c7-4eb4c49f6473"/>
    <s v="e03e23c9-4df1-3eb6-a62d-f70f02301496"/>
    <x v="1"/>
    <n v="185349003"/>
    <s v="Encounter for check up (procedure)"/>
    <n v="85.55"/>
    <n v="33554.82"/>
    <n v="0"/>
    <n v="68496003"/>
    <x v="61"/>
  </r>
  <r>
    <s v="1d63466e-0cfd-eb12-a0b2-dec3b555f261"/>
    <d v="2006-10-17T07:58:03"/>
    <d v="2006-10-17T08:44:34"/>
    <s v="1d63466e-0cfd-eb12-77aa-d153393355e5"/>
    <s v="5f7663da-4b19-3629-b8f2-fb07d75421d9"/>
    <s v="081ca9b3-c6f0-3d99-b5d4-8e55fed12b63"/>
    <s v="d18ef2e6-ef40-324c-be54-34a5ee865625"/>
    <x v="0"/>
    <n v="162673000"/>
    <s v="General examination of patient (procedure)"/>
    <n v="136.80000000000001"/>
    <n v="989.36"/>
    <n v="989.36"/>
    <m/>
    <x v="0"/>
  </r>
  <r>
    <s v="1d63466e-0cfd-eb12-82ce-a042fd331cd1"/>
    <d v="2007-07-04T07:58:03"/>
    <d v="2007-07-04T08:13:03"/>
    <s v="1d63466e-0cfd-eb12-77aa-d153393355e5"/>
    <s v="440fa4b8-c731-3cf5-81d9-aa3f30a37b95"/>
    <s v="bd0d9d9d-ef57-383d-85c7-4eb4c49f6473"/>
    <s v="d18ef2e6-ef40-324c-be54-34a5ee865625"/>
    <x v="1"/>
    <n v="185347001"/>
    <s v="Encounter for problem (procedure)"/>
    <n v="85.55"/>
    <n v="85.55"/>
    <n v="50.55"/>
    <n v="239873007"/>
    <x v="51"/>
  </r>
  <r>
    <s v="1d63466e-0cfd-eb12-28cf-4d4ea8699a7f"/>
    <d v="2007-10-23T07:58:03"/>
    <d v="2007-10-23T08:51:51"/>
    <s v="1d63466e-0cfd-eb12-77aa-d153393355e5"/>
    <s v="5f7663da-4b19-3629-b8f2-fb07d75421d9"/>
    <s v="081ca9b3-c6f0-3d99-b5d4-8e55fed12b63"/>
    <s v="26aab0cd-6aba-3e1b-ac5b-05c8867e762c"/>
    <x v="0"/>
    <n v="162673000"/>
    <s v="General examination of patient (procedure)"/>
    <n v="136.80000000000001"/>
    <n v="1324.11"/>
    <n v="0"/>
    <m/>
    <x v="0"/>
  </r>
  <r>
    <s v="1d63466e-0cfd-eb12-64d2-02c4c75478cf"/>
    <d v="2010-11-09T06:58:03"/>
    <d v="2010-11-09T07:40:04"/>
    <s v="1d63466e-0cfd-eb12-77aa-d153393355e5"/>
    <s v="5f7663da-4b19-3629-b8f2-fb07d75421d9"/>
    <s v="081ca9b3-c6f0-3d99-b5d4-8e55fed12b63"/>
    <s v="26aab0cd-6aba-3e1b-ac5b-05c8867e762c"/>
    <x v="0"/>
    <n v="162673000"/>
    <s v="General examination of patient (procedure)"/>
    <n v="136.80000000000001"/>
    <n v="704.2"/>
    <n v="0"/>
    <m/>
    <x v="0"/>
  </r>
  <r>
    <s v="1d63466e-0cfd-eb12-eb4c-0142ed96d40b"/>
    <d v="2010-11-22T13:47:24"/>
    <d v="2010-11-22T18:30:49"/>
    <s v="1d63466e-0cfd-eb12-77aa-d153393355e5"/>
    <s v="74ab949d-17ac-3309-83a0-13b4405c66aa"/>
    <s v="35fedf4a-4da7-315e-a103-dbcfea0540fa"/>
    <s v="26aab0cd-6aba-3e1b-ac5b-05c8867e762c"/>
    <x v="1"/>
    <n v="185347001"/>
    <s v="Encounter for problem (procedure)"/>
    <n v="85.55"/>
    <n v="1444.46"/>
    <n v="0"/>
    <n v="414545008"/>
    <x v="19"/>
  </r>
  <r>
    <s v="1d63466e-0cfd-eb12-0993-a57f39fb1dee"/>
    <d v="2014-12-02T06:58:03"/>
    <d v="2014-12-02T07:56:23"/>
    <s v="1d63466e-0cfd-eb12-77aa-d153393355e5"/>
    <s v="5f7663da-4b19-3629-b8f2-fb07d75421d9"/>
    <s v="081ca9b3-c6f0-3d99-b5d4-8e55fed12b63"/>
    <s v="26aab0cd-6aba-3e1b-ac5b-05c8867e762c"/>
    <x v="0"/>
    <n v="162673000"/>
    <s v="General examination of patient (procedure)"/>
    <n v="136.80000000000001"/>
    <n v="704.2"/>
    <n v="0"/>
    <m/>
    <x v="0"/>
  </r>
  <r>
    <s v="1d63466e-0cfd-eb12-dde9-462fb9852ba8"/>
    <d v="2015-12-15T06:58:03"/>
    <d v="2015-12-15T07:13:03"/>
    <s v="1d63466e-0cfd-eb12-77aa-d153393355e5"/>
    <s v="440fa4b8-c731-3cf5-81d9-aa3f30a37b95"/>
    <s v="bd0d9d9d-ef57-383d-85c7-4eb4c49f6473"/>
    <s v="26aab0cd-6aba-3e1b-ac5b-05c8867e762c"/>
    <x v="1"/>
    <n v="390906007"/>
    <s v="Follow-up encounter (procedure)"/>
    <n v="85.55"/>
    <n v="234.71"/>
    <n v="0"/>
    <n v="55822004"/>
    <x v="52"/>
  </r>
  <r>
    <s v="1d63466e-0cfd-eb12-9912-dfe95e92dff1"/>
    <d v="2016-12-13T06:58:03"/>
    <d v="2016-12-13T07:35:53"/>
    <s v="1d63466e-0cfd-eb12-77aa-d153393355e5"/>
    <s v="5f7663da-4b19-3629-b8f2-fb07d75421d9"/>
    <s v="081ca9b3-c6f0-3d99-b5d4-8e55fed12b63"/>
    <s v="26aab0cd-6aba-3e1b-ac5b-05c8867e762c"/>
    <x v="0"/>
    <n v="162673000"/>
    <s v="General examination of patient (procedure)"/>
    <n v="136.80000000000001"/>
    <n v="1265"/>
    <n v="0"/>
    <m/>
    <x v="0"/>
  </r>
  <r>
    <s v="1d63466e-0cfd-eb12-e47f-5de60e437176"/>
    <d v="2016-12-14T06:58:03"/>
    <d v="2016-12-14T07:13:03"/>
    <s v="1d63466e-0cfd-eb12-77aa-d153393355e5"/>
    <s v="440fa4b8-c731-3cf5-81d9-aa3f30a37b95"/>
    <s v="bd0d9d9d-ef57-383d-85c7-4eb4c49f6473"/>
    <s v="26aab0cd-6aba-3e1b-ac5b-05c8867e762c"/>
    <x v="1"/>
    <n v="390906007"/>
    <s v="Follow-up encounter (procedure)"/>
    <n v="85.55"/>
    <n v="234.71"/>
    <n v="0"/>
    <n v="55822004"/>
    <x v="52"/>
  </r>
  <r>
    <s v="1d63466e-0cfd-eb12-06fe-510b14c095fc"/>
    <d v="2016-12-27T06:58:03"/>
    <d v="2016-12-27T10:55:19"/>
    <s v="1d63466e-0cfd-eb12-77aa-d153393355e5"/>
    <s v="440fa4b8-c731-3cf5-81d9-aa3f30a37b95"/>
    <s v="bd0d9d9d-ef57-383d-85c7-4eb4c49f6473"/>
    <s v="26aab0cd-6aba-3e1b-ac5b-05c8867e762c"/>
    <x v="1"/>
    <n v="185349003"/>
    <s v="Encounter for check up (procedure)"/>
    <n v="85.55"/>
    <n v="3536.75"/>
    <n v="0"/>
    <n v="103697008"/>
    <x v="3"/>
  </r>
  <r>
    <s v="1d63466e-0cfd-eb12-40e9-8feed080b478"/>
    <d v="2017-12-19T06:58:03"/>
    <d v="2017-12-19T07:29:42"/>
    <s v="1d63466e-0cfd-eb12-77aa-d153393355e5"/>
    <s v="5f7663da-4b19-3629-b8f2-fb07d75421d9"/>
    <s v="081ca9b3-c6f0-3d99-b5d4-8e55fed12b63"/>
    <s v="26aab0cd-6aba-3e1b-ac5b-05c8867e762c"/>
    <x v="0"/>
    <n v="162673000"/>
    <s v="General examination of patient (procedure)"/>
    <n v="136.80000000000001"/>
    <n v="919.9"/>
    <n v="0"/>
    <m/>
    <x v="0"/>
  </r>
  <r>
    <s v="1d63466e-0cfd-eb12-f951-153397413067"/>
    <d v="2017-12-26T06:58:03"/>
    <d v="2017-12-26T07:13:03"/>
    <s v="1d63466e-0cfd-eb12-77aa-d153393355e5"/>
    <s v="440fa4b8-c731-3cf5-81d9-aa3f30a37b95"/>
    <s v="bd0d9d9d-ef57-383d-85c7-4eb4c49f6473"/>
    <s v="26aab0cd-6aba-3e1b-ac5b-05c8867e762c"/>
    <x v="1"/>
    <n v="390906007"/>
    <s v="Follow-up encounter (procedure)"/>
    <n v="85.55"/>
    <n v="234.71"/>
    <n v="0"/>
    <n v="55822004"/>
    <x v="52"/>
  </r>
  <r>
    <s v="1d63466e-0cfd-eb12-94ff-aa4e08a03837"/>
    <d v="2018-12-25T06:58:03"/>
    <d v="2018-12-25T07:28:49"/>
    <s v="1d63466e-0cfd-eb12-77aa-d153393355e5"/>
    <s v="5f7663da-4b19-3629-b8f2-fb07d75421d9"/>
    <s v="081ca9b3-c6f0-3d99-b5d4-8e55fed12b63"/>
    <s v="26aab0cd-6aba-3e1b-ac5b-05c8867e762c"/>
    <x v="0"/>
    <n v="162673000"/>
    <s v="General examination of patient (procedure)"/>
    <n v="136.80000000000001"/>
    <n v="778.78"/>
    <n v="0"/>
    <m/>
    <x v="0"/>
  </r>
  <r>
    <s v="1d63466e-0cfd-eb12-7735-22bb20e36bb6"/>
    <d v="2018-12-26T06:58:03"/>
    <d v="2018-12-26T07:13:03"/>
    <s v="1d63466e-0cfd-eb12-77aa-d153393355e5"/>
    <s v="440fa4b8-c731-3cf5-81d9-aa3f30a37b95"/>
    <s v="bd0d9d9d-ef57-383d-85c7-4eb4c49f6473"/>
    <s v="26aab0cd-6aba-3e1b-ac5b-05c8867e762c"/>
    <x v="1"/>
    <n v="390906007"/>
    <s v="Follow-up encounter (procedure)"/>
    <n v="85.55"/>
    <n v="234.71"/>
    <n v="0"/>
    <n v="55822004"/>
    <x v="52"/>
  </r>
  <r>
    <s v="1d63466e-0cfd-eb12-da1a-a163e2447d97"/>
    <d v="2019-01-08T06:58:03"/>
    <d v="2019-01-08T10:05:33"/>
    <s v="1d63466e-0cfd-eb12-77aa-d153393355e5"/>
    <s v="440fa4b8-c731-3cf5-81d9-aa3f30a37b95"/>
    <s v="bd0d9d9d-ef57-383d-85c7-4eb4c49f6473"/>
    <s v="26aab0cd-6aba-3e1b-ac5b-05c8867e762c"/>
    <x v="1"/>
    <n v="185349003"/>
    <s v="Encounter for check up (procedure)"/>
    <n v="85.55"/>
    <n v="3105.35"/>
    <n v="0"/>
    <n v="103697008"/>
    <x v="3"/>
  </r>
  <r>
    <s v="1d63466e-0cfd-eb12-b07a-cf6b2db83995"/>
    <d v="2019-10-08T07:58:03"/>
    <d v="2019-10-14T08:13:03"/>
    <s v="1d63466e-0cfd-eb12-77aa-d153393355e5"/>
    <s v="945104f1-4b95-3eed-bd02-5efa0afbf34d"/>
    <s v="3542df0e-a8b8-38db-a81e-b7dc3242efcd"/>
    <s v="a735bf55-83e9-331a-899d-a82a60b9f60c"/>
    <x v="5"/>
    <n v="305336008"/>
    <s v="Admission to hospice (procedure)"/>
    <n v="137.53"/>
    <n v="4882.93"/>
    <n v="3719.94"/>
    <n v="363406005"/>
    <x v="68"/>
  </r>
  <r>
    <s v="1d63466e-0cfd-eb12-4e8a-1d4ec3b55480"/>
    <d v="2019-12-31T06:58:03"/>
    <d v="2019-12-31T07:41:51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840.2"/>
    <n v="672.16"/>
    <m/>
    <x v="0"/>
  </r>
  <r>
    <s v="1d63466e-0cfd-eb12-fc3e-dbdac058d902"/>
    <d v="2020-01-07T06:58:03"/>
    <d v="2020-01-07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1d63466e-0cfd-eb12-f137-68c3326a1936"/>
    <d v="2020-01-14T06:58:03"/>
    <d v="2020-01-14T10:22:52"/>
    <s v="1d63466e-0cfd-eb12-77aa-d153393355e5"/>
    <s v="440fa4b8-c731-3cf5-81d9-aa3f30a37b95"/>
    <s v="bd0d9d9d-ef57-383d-85c7-4eb4c49f6473"/>
    <s v="a735bf55-83e9-331a-899d-a82a60b9f60c"/>
    <x v="1"/>
    <n v="185349003"/>
    <s v="Encounter for check up (procedure)"/>
    <n v="85.55"/>
    <n v="3536.75"/>
    <n v="2829.4"/>
    <n v="103697008"/>
    <x v="3"/>
  </r>
  <r>
    <s v="1d63466e-0cfd-eb12-7abd-6ddfab5af360"/>
    <d v="2020-06-04T08:09:11"/>
    <d v="2020-06-04T09:09:11"/>
    <s v="1d63466e-0cfd-eb12-77aa-d153393355e5"/>
    <s v="ee7fab6f-6438-394f-b1f2-3e452f8f055a"/>
    <s v="4e505a6b-e43c-3325-bc14-bc7f7744e1dd"/>
    <s v="a735bf55-83e9-331a-899d-a82a60b9f60c"/>
    <x v="3"/>
    <n v="50849002"/>
    <s v="Emergency room admission (procedure)"/>
    <n v="146.18"/>
    <n v="146.18"/>
    <n v="116.94"/>
    <n v="110030002"/>
    <x v="69"/>
  </r>
  <r>
    <s v="1d63466e-0cfd-eb12-a751-98a34a540860"/>
    <d v="2020-07-15T08:09:11"/>
    <d v="2020-07-15T08:24:11"/>
    <s v="1d63466e-0cfd-eb12-77aa-d153393355e5"/>
    <s v="440fa4b8-c731-3cf5-81d9-aa3f30a37b95"/>
    <s v="bd0d9d9d-ef57-383d-85c7-4eb4c49f6473"/>
    <s v="a735bf55-83e9-331a-899d-a82a60b9f60c"/>
    <x v="1"/>
    <n v="185349003"/>
    <s v="Encounter for check up (procedure)"/>
    <n v="85.55"/>
    <n v="85.55"/>
    <n v="68.44"/>
    <n v="62564004"/>
    <x v="70"/>
  </r>
  <r>
    <s v="1d63466e-0cfd-eb12-254a-47ac3916ff6a"/>
    <d v="2021-01-05T06:58:03"/>
    <d v="2021-01-05T07:44:13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840.2"/>
    <n v="485.76"/>
    <m/>
    <x v="0"/>
  </r>
  <r>
    <s v="1d63466e-0cfd-eb12-bd78-0fe004653b22"/>
    <d v="2021-01-06T06:58:03"/>
    <d v="2021-01-06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1d63466e-0cfd-eb12-c084-51c38334f687"/>
    <d v="2021-01-19T06:58:03"/>
    <d v="2021-01-19T07:13:03"/>
    <s v="1d63466e-0cfd-eb12-77aa-d153393355e5"/>
    <s v="440fa4b8-c731-3cf5-81d9-aa3f30a37b95"/>
    <s v="bd0d9d9d-ef57-383d-85c7-4eb4c49f6473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1d63466e-0cfd-eb12-4188-1dc9d9f16205"/>
    <d v="2021-02-16T06:58:03"/>
    <d v="2021-02-16T07:13:03"/>
    <s v="1d63466e-0cfd-eb12-77aa-d153393355e5"/>
    <s v="440fa4b8-c731-3cf5-81d9-aa3f30a37b95"/>
    <s v="bd0d9d9d-ef57-383d-85c7-4eb4c49f6473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1d63466e-0cfd-eb12-6899-7b247a84c02e"/>
    <d v="2022-01-11T06:58:03"/>
    <d v="2022-01-11T07:49:43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1069.06"/>
    <n v="668.84"/>
    <m/>
    <x v="0"/>
  </r>
  <r>
    <s v="1d63466e-0cfd-eb12-90a4-e5619c1e38f6"/>
    <d v="2022-01-18T06:58:03"/>
    <d v="2022-01-18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1d63466e-0cfd-eb12-e13e-71b180faecd1"/>
    <d v="2022-01-25T06:58:03"/>
    <d v="2022-01-25T10:36:59"/>
    <s v="1d63466e-0cfd-eb12-77aa-d153393355e5"/>
    <s v="440fa4b8-c731-3cf5-81d9-aa3f30a37b95"/>
    <s v="bd0d9d9d-ef57-383d-85c7-4eb4c49f6473"/>
    <s v="a735bf55-83e9-331a-899d-a82a60b9f60c"/>
    <x v="1"/>
    <n v="185349003"/>
    <s v="Encounter for check up (procedure)"/>
    <n v="85.55"/>
    <n v="3536.75"/>
    <n v="2829.4"/>
    <n v="103697008"/>
    <x v="3"/>
  </r>
  <r>
    <s v="1d63466e-0cfd-eb12-e194-7e6dba60304d"/>
    <d v="2022-07-11T19:58:03"/>
    <d v="2022-07-11T20:13:03"/>
    <s v="1d63466e-0cfd-eb12-77aa-d153393355e5"/>
    <s v="440fa4b8-c731-3cf5-81d9-aa3f30a37b95"/>
    <s v="bd0d9d9d-ef57-383d-85c7-4eb4c49f6473"/>
    <s v="a735bf55-83e9-331a-899d-a82a60b9f60c"/>
    <x v="1"/>
    <n v="185345009"/>
    <s v="Encounter for symptom (procedure)"/>
    <n v="85.55"/>
    <n v="85.55"/>
    <n v="68.44"/>
    <n v="75498004"/>
    <x v="14"/>
  </r>
  <r>
    <s v="1d63466e-0cfd-eb12-371d-ad41a33812ce"/>
    <d v="2022-07-28T19:58:03"/>
    <d v="2022-07-28T20:13:03"/>
    <s v="1d63466e-0cfd-eb12-77aa-d153393355e5"/>
    <s v="440fa4b8-c731-3cf5-81d9-aa3f30a37b95"/>
    <s v="bd0d9d9d-ef57-383d-85c7-4eb4c49f6473"/>
    <s v="a735bf55-83e9-331a-899d-a82a60b9f60c"/>
    <x v="1"/>
    <n v="185345009"/>
    <s v="Encounter for symptom (procedure)"/>
    <n v="85.55"/>
    <n v="92.93"/>
    <n v="74.34"/>
    <n v="75498004"/>
    <x v="14"/>
  </r>
  <r>
    <s v="1d63466e-0cfd-eb12-2a40-1f81357e5a18"/>
    <d v="2022-10-06T19:58:03"/>
    <d v="2022-10-06T20:13:03"/>
    <s v="1d63466e-0cfd-eb12-77aa-d153393355e5"/>
    <s v="440fa4b8-c731-3cf5-81d9-aa3f30a37b95"/>
    <s v="bd0d9d9d-ef57-383d-85c7-4eb4c49f6473"/>
    <s v="a735bf55-83e9-331a-899d-a82a60b9f60c"/>
    <x v="1"/>
    <n v="185345009"/>
    <s v="Encounter for symptom (procedure)"/>
    <n v="85.55"/>
    <n v="85.55"/>
    <n v="68.44"/>
    <n v="75498004"/>
    <x v="14"/>
  </r>
  <r>
    <s v="1d63466e-0cfd-eb12-f64b-1d810742f729"/>
    <d v="2022-11-17T18:58:03"/>
    <d v="2022-11-17T19:13:03"/>
    <s v="1d63466e-0cfd-eb12-77aa-d153393355e5"/>
    <s v="440fa4b8-c731-3cf5-81d9-aa3f30a37b95"/>
    <s v="bd0d9d9d-ef57-383d-85c7-4eb4c49f6473"/>
    <s v="a735bf55-83e9-331a-899d-a82a60b9f60c"/>
    <x v="1"/>
    <n v="185345009"/>
    <s v="Encounter for symptom (procedure)"/>
    <n v="85.55"/>
    <n v="85.55"/>
    <n v="0"/>
    <n v="75498004"/>
    <x v="14"/>
  </r>
  <r>
    <s v="1d63466e-0cfd-eb12-4eb5-0ad9b26c312a"/>
    <d v="2022-12-08T18:58:03"/>
    <d v="2022-12-08T19:13:03"/>
    <s v="1d63466e-0cfd-eb12-77aa-d153393355e5"/>
    <s v="440fa4b8-c731-3cf5-81d9-aa3f30a37b95"/>
    <s v="bd0d9d9d-ef57-383d-85c7-4eb4c49f6473"/>
    <s v="a735bf55-83e9-331a-899d-a82a60b9f60c"/>
    <x v="1"/>
    <n v="185345009"/>
    <s v="Encounter for symptom (procedure)"/>
    <n v="85.55"/>
    <n v="85.55"/>
    <n v="0"/>
    <n v="75498004"/>
    <x v="14"/>
  </r>
  <r>
    <s v="1d63466e-0cfd-eb12-c617-600b75f132fd"/>
    <d v="2022-12-20T06:58:03"/>
    <d v="2022-12-20T07:50:26"/>
    <s v="1d63466e-0cfd-eb12-77aa-d153393355e5"/>
    <s v="440fa4b8-c731-3cf5-81d9-aa3f30a37b95"/>
    <s v="bd0d9d9d-ef57-383d-85c7-4eb4c49f6473"/>
    <s v="a735bf55-83e9-331a-899d-a82a60b9f60c"/>
    <x v="2"/>
    <n v="185349003"/>
    <s v="Encounter for check up (procedure)"/>
    <n v="85.55"/>
    <n v="652.95000000000005"/>
    <n v="472.84"/>
    <m/>
    <x v="0"/>
  </r>
  <r>
    <s v="1d63466e-0cfd-eb12-64e5-4847d162bcb5"/>
    <d v="2023-01-03T06:58:03"/>
    <d v="2023-01-03T10:59:18"/>
    <s v="1d63466e-0cfd-eb12-77aa-d153393355e5"/>
    <s v="440fa4b8-c731-3cf5-81d9-aa3f30a37b95"/>
    <s v="bd0d9d9d-ef57-383d-85c7-4eb4c49f6473"/>
    <s v="a735bf55-83e9-331a-899d-a82a60b9f60c"/>
    <x v="1"/>
    <n v="185349003"/>
    <s v="Encounter for check up (procedure)"/>
    <n v="85.55"/>
    <n v="3536.75"/>
    <n v="2829.4"/>
    <n v="103697008"/>
    <x v="3"/>
  </r>
  <r>
    <s v="1d63466e-0cfd-eb12-0fe6-f4644c8db0bb"/>
    <d v="2023-01-17T06:58:03"/>
    <d v="2023-01-17T07:30:27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893.96"/>
    <n v="715.17"/>
    <m/>
    <x v="0"/>
  </r>
  <r>
    <s v="1d63466e-0cfd-eb12-304b-48a2dfd5accf"/>
    <d v="2023-01-18T06:58:03"/>
    <d v="2023-01-18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1d63466e-0cfd-eb12-a6bf-3fc00f5b700c"/>
    <d v="2023-11-02T07:58:03"/>
    <d v="2023-11-02T08:58:03"/>
    <s v="1d63466e-0cfd-eb12-77aa-d153393355e5"/>
    <s v="74ab949d-17ac-3309-83a0-13b4405c66aa"/>
    <s v="35fedf4a-4da7-315e-a103-dbcfea0540fa"/>
    <s v="a735bf55-83e9-331a-899d-a82a60b9f60c"/>
    <x v="3"/>
    <n v="50849002"/>
    <s v="Emergency room admission (procedure)"/>
    <n v="146.18"/>
    <n v="6241.52"/>
    <n v="4993.2"/>
    <n v="22298006"/>
    <x v="71"/>
  </r>
  <r>
    <s v="1d63466e-0cfd-eb12-0618-368296563a90"/>
    <d v="2023-11-02T08:54:54"/>
    <d v="2023-11-03T08:54:54"/>
    <s v="1d63466e-0cfd-eb12-77aa-d153393355e5"/>
    <s v="74ab949d-17ac-3309-83a0-13b4405c66aa"/>
    <s v="35fedf4a-4da7-315e-a103-dbcfea0540fa"/>
    <s v="a735bf55-83e9-331a-899d-a82a60b9f60c"/>
    <x v="6"/>
    <n v="32485007"/>
    <s v="Hospital admission (procedure)"/>
    <n v="146.18"/>
    <n v="577.58000000000004"/>
    <n v="462.06"/>
    <n v="401314000"/>
    <x v="72"/>
  </r>
  <r>
    <s v="1d63466e-0cfd-eb12-0ced-e0bb01f8059c"/>
    <d v="2023-11-02T09:24:54"/>
    <d v="2023-11-02T10:15:53"/>
    <s v="1d63466e-0cfd-eb12-77aa-d153393355e5"/>
    <s v="74ab949d-17ac-3309-83a0-13b4405c66aa"/>
    <s v="35fedf4a-4da7-315e-a103-dbcfea0540fa"/>
    <s v="a735bf55-83e9-331a-899d-a82a60b9f60c"/>
    <x v="1"/>
    <n v="185347001"/>
    <s v="Encounter for problem (procedure)"/>
    <n v="85.55"/>
    <n v="516.95000000000005"/>
    <n v="413.56"/>
    <n v="401314000"/>
    <x v="72"/>
  </r>
  <r>
    <s v="1d63466e-0cfd-eb12-e4d0-24567692b436"/>
    <d v="2023-11-06T13:15:53"/>
    <d v="2023-11-06T18:02:02"/>
    <s v="1d63466e-0cfd-eb12-77aa-d153393355e5"/>
    <s v="74ab949d-17ac-3309-83a0-13b4405c66aa"/>
    <s v="35fedf4a-4da7-315e-a103-dbcfea0540fa"/>
    <s v="a735bf55-83e9-331a-899d-a82a60b9f60c"/>
    <x v="1"/>
    <n v="185347001"/>
    <s v="Encounter for problem (procedure)"/>
    <n v="85.55"/>
    <n v="1444.46"/>
    <n v="1155.57"/>
    <n v="401314000"/>
    <x v="72"/>
  </r>
  <r>
    <s v="1d63466e-0cfd-eb12-45eb-bf95ad35f4cc"/>
    <d v="2023-11-08T19:02:02"/>
    <d v="2023-11-08T19:54:41"/>
    <s v="1d63466e-0cfd-eb12-77aa-d153393355e5"/>
    <s v="74ab949d-17ac-3309-83a0-13b4405c66aa"/>
    <s v="35fedf4a-4da7-315e-a103-dbcfea0540fa"/>
    <s v="a735bf55-83e9-331a-899d-a82a60b9f60c"/>
    <x v="1"/>
    <n v="185347001"/>
    <s v="Encounter for problem (procedure)"/>
    <n v="85.55"/>
    <n v="10393.379999999999"/>
    <n v="8314.7000000000007"/>
    <n v="401314000"/>
    <x v="72"/>
  </r>
  <r>
    <s v="1d63466e-0cfd-eb12-8e7b-f41157f1f5cf"/>
    <d v="2024-01-23T06:58:03"/>
    <d v="2024-01-23T07:34:37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704.2"/>
    <n v="563.36"/>
    <m/>
    <x v="0"/>
  </r>
  <r>
    <s v="1d63466e-0cfd-eb12-06e5-414cc6c0a273"/>
    <d v="2024-01-30T06:58:03"/>
    <d v="2024-01-30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1d63466e-0cfd-eb12-c5df-11c27acd8861"/>
    <d v="2024-07-05T08:09:11"/>
    <d v="2024-07-05T09:09:11"/>
    <s v="1d63466e-0cfd-eb12-77aa-d153393355e5"/>
    <s v="ee7fab6f-6438-394f-b1f2-3e452f8f055a"/>
    <s v="4e505a6b-e43c-3325-bc14-bc7f7744e1dd"/>
    <s v="a735bf55-83e9-331a-899d-a82a60b9f60c"/>
    <x v="3"/>
    <n v="50849002"/>
    <s v="Emergency room admission (procedure)"/>
    <n v="146.18"/>
    <n v="4140.8900000000003"/>
    <n v="3312.71"/>
    <n v="312608009"/>
    <x v="20"/>
  </r>
  <r>
    <s v="1d63466e-0cfd-eb12-1023-a90eb5f765a8"/>
    <d v="2025-01-28T06:58:03"/>
    <d v="2025-01-28T07:34:45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778.78"/>
    <n v="436.62"/>
    <m/>
    <x v="0"/>
  </r>
  <r>
    <s v="1d63466e-0cfd-eb12-3f42-76b478c00540"/>
    <d v="2025-01-29T06:58:03"/>
    <d v="2025-01-29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1d63466e-0cfd-eb12-6ba7-65e9bf978a83"/>
    <d v="2026-02-03T06:58:03"/>
    <d v="2026-02-03T07:57:06"/>
    <s v="1d63466e-0cfd-eb12-77aa-d153393355e5"/>
    <s v="5f7663da-4b19-3629-b8f2-fb07d75421d9"/>
    <s v="081ca9b3-c6f0-3d99-b5d4-8e55fed12b63"/>
    <s v="a735bf55-83e9-331a-899d-a82a60b9f60c"/>
    <x v="0"/>
    <n v="162673000"/>
    <s v="General examination of patient (procedure)"/>
    <n v="136.80000000000001"/>
    <n v="840.2"/>
    <n v="485.76"/>
    <m/>
    <x v="0"/>
  </r>
  <r>
    <s v="1d63466e-0cfd-eb12-3158-566e4dcd39cd"/>
    <d v="2026-02-06T05:58:03"/>
    <d v="2026-02-06T06:13:03"/>
    <s v="1d63466e-0cfd-eb12-77aa-d153393355e5"/>
    <s v="440fa4b8-c731-3cf5-81d9-aa3f30a37b95"/>
    <s v="bd0d9d9d-ef57-383d-85c7-4eb4c49f6473"/>
    <s v="a735bf55-83e9-331a-899d-a82a60b9f60c"/>
    <x v="1"/>
    <n v="185345009"/>
    <s v="Encounter for symptom (procedure)"/>
    <n v="85.55"/>
    <n v="85.55"/>
    <n v="68.44"/>
    <n v="195662009"/>
    <x v="9"/>
  </r>
  <r>
    <s v="1d63466e-0cfd-eb12-299b-67e25538a06e"/>
    <d v="2026-02-10T06:58:03"/>
    <d v="2026-02-10T07:13:03"/>
    <s v="1d63466e-0cfd-eb12-77aa-d153393355e5"/>
    <s v="440fa4b8-c731-3cf5-81d9-aa3f30a37b95"/>
    <s v="bd0d9d9d-ef57-383d-85c7-4eb4c49f6473"/>
    <s v="a735bf55-83e9-331a-899d-a82a60b9f60c"/>
    <x v="1"/>
    <n v="390906007"/>
    <s v="Follow-up encounter (procedure)"/>
    <n v="85.55"/>
    <n v="234.71"/>
    <n v="187.76"/>
    <n v="55822004"/>
    <x v="52"/>
  </r>
  <r>
    <s v="355a4d50-2628-aa65-04ca-fe19db5e9d00"/>
    <d v="1956-11-29T15:04:51"/>
    <d v="1956-11-29T17:34:51"/>
    <s v="355a4d50-2628-aa65-c336-deacf4d606fb"/>
    <s v="e2eab39c-5195-34aa-b35f-e89e37cfed01"/>
    <s v="bd19ee55-7b5f-3edb-9d74-a279232ace7a"/>
    <s v="e03e23c9-4df1-3eb6-a62d-f70f02301496"/>
    <x v="1"/>
    <n v="108219001"/>
    <s v="Physician visit with evaluation AND/OR management service (procedure)"/>
    <n v="142.58000000000001"/>
    <n v="2299.58"/>
    <n v="0"/>
    <n v="128188000"/>
    <x v="73"/>
  </r>
  <r>
    <s v="355a4d50-2628-aa65-39c8-b2e3a91b8380"/>
    <d v="1972-11-30T15:04:51"/>
    <d v="1972-11-30T15:30:26"/>
    <s v="355a4d50-2628-aa65-c336-deacf4d606fb"/>
    <s v="e1892a2c-6dca-3c4c-93b7-0e00a9eb8b61"/>
    <s v="ad591f6e-61a6-3c70-a19b-5e2e7e6b6d08"/>
    <s v="a735bf55-83e9-331a-899d-a82a60b9f60c"/>
    <x v="0"/>
    <n v="410620009"/>
    <s v="Well child visit (procedure)"/>
    <n v="136.80000000000001"/>
    <n v="778.78"/>
    <n v="436.62"/>
    <m/>
    <x v="0"/>
  </r>
  <r>
    <s v="355a4d50-2628-aa65-082b-a5aeedbc2ebb"/>
    <d v="1974-12-12T15:04:51"/>
    <d v="1974-12-12T15:38:39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568.20000000000005"/>
    <n v="454.56"/>
    <m/>
    <x v="0"/>
  </r>
  <r>
    <s v="355a4d50-2628-aa65-1ca2-7b29b7698d98"/>
    <d v="2002-04-04T15:04:51"/>
    <d v="2002-04-04T15:19:51"/>
    <s v="355a4d50-2628-aa65-c336-deacf4d606fb"/>
    <s v="e2eab39c-5195-34aa-b35f-e89e37cfed01"/>
    <s v="bd19ee55-7b5f-3edb-9d74-a279232ace7a"/>
    <s v="a735bf55-83e9-331a-899d-a82a60b9f60c"/>
    <x v="1"/>
    <n v="185347001"/>
    <s v="Encounter for problem (procedure)"/>
    <n v="85.55"/>
    <n v="85.55"/>
    <n v="68.44"/>
    <n v="201834006"/>
    <x v="23"/>
  </r>
  <r>
    <s v="355a4d50-2628-aa65-c29e-b23dbc1ce593"/>
    <d v="2004-12-05T15:04:51"/>
    <d v="2004-12-05T16:04:51"/>
    <s v="355a4d50-2628-aa65-c336-deacf4d606fb"/>
    <s v="74ab949d-17ac-3309-83a0-13b4405c66aa"/>
    <s v="35fedf4a-4da7-315e-a103-dbcfea0540fa"/>
    <s v="a735bf55-83e9-331a-899d-a82a60b9f60c"/>
    <x v="3"/>
    <n v="50849002"/>
    <s v="Emergency room admission (procedure)"/>
    <n v="146.18"/>
    <n v="7758.5"/>
    <n v="6206.78"/>
    <n v="22298006"/>
    <x v="71"/>
  </r>
  <r>
    <s v="355a4d50-2628-aa65-2a32-3893104517aa"/>
    <d v="2004-12-05T15:31:34"/>
    <d v="2004-12-06T15:31:34"/>
    <s v="355a4d50-2628-aa65-c336-deacf4d606fb"/>
    <s v="74ab949d-17ac-3309-83a0-13b4405c66aa"/>
    <s v="35fedf4a-4da7-315e-a103-dbcfea0540fa"/>
    <s v="a735bf55-83e9-331a-899d-a82a60b9f60c"/>
    <x v="6"/>
    <n v="32485007"/>
    <s v="Hospital admission (procedure)"/>
    <n v="146.18"/>
    <n v="14325.91"/>
    <n v="11460.73"/>
    <n v="401303003"/>
    <x v="41"/>
  </r>
  <r>
    <s v="355a4d50-2628-aa65-f854-03969552e0ad"/>
    <d v="2006-10-19T16:04:51"/>
    <d v="2006-10-19T16:57:19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275.5"/>
    <n v="833.99"/>
    <m/>
    <x v="0"/>
  </r>
  <r>
    <s v="355a4d50-2628-aa65-c7b4-bfba7a5c752a"/>
    <d v="2009-11-05T15:04:51"/>
    <d v="2009-11-05T15:52:04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069.06"/>
    <n v="668.84"/>
    <m/>
    <x v="0"/>
  </r>
  <r>
    <s v="355a4d50-2628-aa65-a85e-042665c2ed87"/>
    <d v="2010-11-11T15:04:51"/>
    <d v="2010-11-11T15:58:49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215.56"/>
    <n v="972.44"/>
    <m/>
    <x v="0"/>
  </r>
  <r>
    <s v="355a4d50-2628-aa65-3026-ec21edfa374a"/>
    <d v="2015-12-10T15:04:51"/>
    <d v="2015-12-10T16:02:03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860.16"/>
    <n v="501.72"/>
    <m/>
    <x v="0"/>
  </r>
  <r>
    <s v="355a4d50-2628-aa65-53e4-77c678414690"/>
    <d v="2016-10-25T17:12:29"/>
    <d v="2016-10-25T17:50:07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6209.07"/>
    <n v="4780.8599999999997"/>
    <n v="275978004"/>
    <x v="29"/>
  </r>
  <r>
    <s v="355a4d50-2628-aa65-daed-0a8095c40967"/>
    <d v="2016-11-18T07:04:51"/>
    <d v="2016-11-18T07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b89f-83b67c34eba8"/>
    <d v="2016-12-15T15:04:51"/>
    <d v="2016-12-15T15:35:58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860.16"/>
    <n v="688.12"/>
    <m/>
    <x v="0"/>
  </r>
  <r>
    <s v="355a4d50-2628-aa65-e677-355cd76c4c67"/>
    <d v="2016-12-22T15:04:51"/>
    <d v="2016-12-22T15:44:31"/>
    <s v="355a4d50-2628-aa65-c336-deacf4d606fb"/>
    <s v="74ab949d-17ac-3309-83a0-13b4405c66aa"/>
    <s v="35fedf4a-4da7-315e-a103-dbcfea0540fa"/>
    <s v="a735bf55-83e9-331a-899d-a82a60b9f60c"/>
    <x v="1"/>
    <n v="185347001"/>
    <s v="Encounter for problem (procedure)"/>
    <n v="85.55"/>
    <n v="516.95000000000005"/>
    <n v="413.56"/>
    <n v="414545008"/>
    <x v="19"/>
  </r>
  <r>
    <s v="355a4d50-2628-aa65-9015-8f41a325dc43"/>
    <d v="2016-12-24T11:32:31"/>
    <d v="2016-12-24T16:57:39"/>
    <s v="355a4d50-2628-aa65-c336-deacf4d606fb"/>
    <s v="74ab949d-17ac-3309-83a0-13b4405c66aa"/>
    <s v="35fedf4a-4da7-315e-a103-dbcfea0540fa"/>
    <s v="a735bf55-83e9-331a-899d-a82a60b9f60c"/>
    <x v="1"/>
    <n v="185347001"/>
    <s v="Encounter for problem (procedure)"/>
    <n v="85.55"/>
    <n v="1875.86"/>
    <n v="1500.69"/>
    <n v="414545008"/>
    <x v="19"/>
  </r>
  <r>
    <s v="355a4d50-2628-aa65-526c-69e4fddc8acf"/>
    <d v="2016-12-25T02:55:39"/>
    <d v="2016-12-26T02:55:39"/>
    <s v="355a4d50-2628-aa65-c336-deacf4d606fb"/>
    <s v="74ab949d-17ac-3309-83a0-13b4405c66aa"/>
    <s v="35fedf4a-4da7-315e-a103-dbcfea0540fa"/>
    <s v="a735bf55-83e9-331a-899d-a82a60b9f60c"/>
    <x v="6"/>
    <n v="32485007"/>
    <s v="Hospital admission (procedure)"/>
    <n v="146.18"/>
    <n v="6543.86"/>
    <n v="5235.0600000000004"/>
    <n v="274531002"/>
    <x v="53"/>
  </r>
  <r>
    <s v="355a4d50-2628-aa65-d093-994cb4394b77"/>
    <d v="2016-12-25T08:03:09"/>
    <d v="2016-12-26T09:40:59"/>
    <s v="355a4d50-2628-aa65-c336-deacf4d606fb"/>
    <s v="74ab949d-17ac-3309-83a0-13b4405c66aa"/>
    <s v="35fedf4a-4da7-315e-a103-dbcfea0540fa"/>
    <s v="a735bf55-83e9-331a-899d-a82a60b9f60c"/>
    <x v="6"/>
    <n v="397821002"/>
    <s v="Patient transfer to intensive care unit (procedure)"/>
    <n v="146.18"/>
    <n v="6436.21"/>
    <n v="5148.93"/>
    <n v="399261000"/>
    <x v="54"/>
  </r>
  <r>
    <s v="355a4d50-2628-aa65-8b77-e50003f414d3"/>
    <d v="2016-12-26T09:25:59"/>
    <d v="2016-12-27T09:25:59"/>
    <s v="355a4d50-2628-aa65-c336-deacf4d606fb"/>
    <s v="74ab949d-17ac-3309-83a0-13b4405c66aa"/>
    <s v="35fedf4a-4da7-315e-a103-dbcfea0540fa"/>
    <s v="a735bf55-83e9-331a-899d-a82a60b9f60c"/>
    <x v="6"/>
    <n v="305342007"/>
    <s v="Admission to ward (procedure)"/>
    <n v="146.18"/>
    <n v="1871.78"/>
    <n v="1497.42"/>
    <n v="399261000"/>
    <x v="54"/>
  </r>
  <r>
    <s v="355a4d50-2628-aa65-27ec-1c902f8701d7"/>
    <d v="2017-01-05T15:04:51"/>
    <d v="2017-01-05T18:45:33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536.75"/>
    <n v="2829.4"/>
    <n v="103697008"/>
    <x v="3"/>
  </r>
  <r>
    <s v="355a4d50-2628-aa65-309f-b6bc1d0a88a3"/>
    <d v="2017-06-28T18:07:55"/>
    <d v="2017-06-28T18:51:55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355a4d50-2628-aa65-c175-5c13dc14e6c0"/>
    <d v="2017-07-12T08:34:51"/>
    <d v="2017-07-12T09:0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d5b3-b6e364604e7b"/>
    <d v="2017-12-21T15:04:51"/>
    <d v="2017-12-21T15:41:38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760.87"/>
    <n v="1222.29"/>
    <m/>
    <x v="0"/>
  </r>
  <r>
    <s v="355a4d50-2628-aa65-e9b3-1d71e5f1d781"/>
    <d v="2017-12-26T08:04:51"/>
    <d v="2017-12-26T08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da98-102b7260c9d5"/>
    <d v="2018-05-24T18:25:20"/>
    <d v="2018-05-24T19:09:20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355a4d50-2628-aa65-9e89-b81d1890847e"/>
    <d v="2018-10-11T09:34:51"/>
    <d v="2018-10-11T10:0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f72a-84ff440da1c1"/>
    <d v="2018-12-27T15:04:51"/>
    <d v="2018-12-27T15:41:29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934.74"/>
    <n v="561.38"/>
    <m/>
    <x v="0"/>
  </r>
  <r>
    <s v="355a4d50-2628-aa65-33c9-b1eee23d69cd"/>
    <d v="2019-04-10T19:04:51"/>
    <d v="2019-04-10T19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4576-b081183edf6a"/>
    <d v="2019-04-19T18:43:53"/>
    <d v="2019-04-19T19:30:44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5c8b-934eaba8c339"/>
    <d v="2019-11-24T18:34:51"/>
    <d v="2019-11-24T19:0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227.16"/>
    <n v="128188000"/>
    <x v="73"/>
  </r>
  <r>
    <s v="355a4d50-2628-aa65-5c0a-c559d00196d1"/>
    <d v="2020-01-02T15:04:51"/>
    <d v="2020-01-02T15:39:48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069.06"/>
    <n v="855.24"/>
    <m/>
    <x v="0"/>
  </r>
  <r>
    <s v="355a4d50-2628-aa65-45a9-5cd7dd66f0cb"/>
    <d v="2020-01-16T15:04:51"/>
    <d v="2020-01-16T18:27:20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2673.95"/>
    <n v="2139.16"/>
    <n v="66383009"/>
    <x v="17"/>
  </r>
  <r>
    <s v="355a4d50-2628-aa65-f173-3fae5b3fbea9"/>
    <d v="2020-03-06T19:04:51"/>
    <d v="2020-03-06T19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5670-d65f6355f190"/>
    <d v="2020-04-13T19:00:44"/>
    <d v="2020-04-13T19:48:19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8060-eb8f9fd09d8e"/>
    <d v="2020-09-03T20:28:02"/>
    <d v="2020-09-03T22:15:02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1008.98"/>
    <n v="807.18"/>
    <n v="125605004"/>
    <x v="36"/>
  </r>
  <r>
    <s v="355a4d50-2628-aa65-9cbd-3efbf72b19c6"/>
    <d v="2020-10-18T22:15:02"/>
    <d v="2020-10-18T22:30:02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85.55"/>
    <n v="68.44"/>
    <n v="58150001"/>
    <x v="39"/>
  </r>
  <r>
    <s v="355a4d50-2628-aa65-21df-3e8680071510"/>
    <d v="2020-11-23T08:34:51"/>
    <d v="2020-11-23T09:0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227.16"/>
    <n v="128188000"/>
    <x v="73"/>
  </r>
  <r>
    <s v="355a4d50-2628-aa65-6855-0941f13cfa44"/>
    <d v="2021-01-07T15:04:51"/>
    <d v="2021-01-07T15:56:19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860.16"/>
    <n v="688.12"/>
    <m/>
    <x v="0"/>
  </r>
  <r>
    <s v="355a4d50-2628-aa65-2643-074e33aebc4b"/>
    <d v="2021-01-21T15:04:51"/>
    <d v="2021-01-21T18:52:05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103697008"/>
    <x v="3"/>
  </r>
  <r>
    <s v="355a4d50-2628-aa65-5967-8b1339aa29f9"/>
    <d v="2021-03-09T18:18:19"/>
    <d v="2021-03-09T19:06:00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6341-ca47a4da8e80"/>
    <d v="2021-04-29T16:04:51"/>
    <d v="2021-04-29T16:19:51"/>
    <s v="355a4d50-2628-aa65-c336-deacf4d606fb"/>
    <s v="e2eab39c-5195-34aa-b35f-e89e37cfed01"/>
    <s v="bd19ee55-7b5f-3edb-9d74-a279232ace7a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355a4d50-2628-aa65-ae9d-581d83906ee5"/>
    <d v="2021-05-20T16:04:51"/>
    <d v="2021-05-20T16:19:51"/>
    <s v="355a4d50-2628-aa65-c336-deacf4d606fb"/>
    <s v="e2eab39c-5195-34aa-b35f-e89e37cfed01"/>
    <s v="bd19ee55-7b5f-3edb-9d74-a279232ace7a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355a4d50-2628-aa65-813c-8c29797e1bad"/>
    <d v="2021-10-25T17:50:07"/>
    <d v="2021-10-25T18:30:28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12867.34"/>
    <n v="10107.469999999999"/>
    <n v="275978004"/>
    <x v="29"/>
  </r>
  <r>
    <s v="355a4d50-2628-aa65-43bd-20a4414149c4"/>
    <d v="2021-11-02T10:04:51"/>
    <d v="2021-11-02T10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b356-bc930f7495d6"/>
    <d v="2021-12-30T15:04:51"/>
    <d v="2021-12-30T15:42:4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373.6"/>
    <n v="1098.8599999999999"/>
    <m/>
    <x v="0"/>
  </r>
  <r>
    <s v="355a4d50-2628-aa65-6939-8e249bef327a"/>
    <d v="2022-01-06T15:04:51"/>
    <d v="2022-01-06T15:19:51"/>
    <s v="355a4d50-2628-aa65-c336-deacf4d606fb"/>
    <s v="e2eab39c-5195-34aa-b35f-e89e37cfed01"/>
    <s v="bd19ee55-7b5f-3edb-9d74-a279232ace7a"/>
    <s v="a735bf55-83e9-331a-899d-a82a60b9f60c"/>
    <x v="1"/>
    <n v="185345009"/>
    <s v="Encounter for symptom (procedure)"/>
    <n v="85.55"/>
    <n v="85.55"/>
    <n v="68.44"/>
    <n v="444814009"/>
    <x v="2"/>
  </r>
  <r>
    <s v="355a4d50-2628-aa65-6752-40c50a7a5346"/>
    <d v="2022-01-13T15:04:51"/>
    <d v="2022-01-13T16:02:24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866.52"/>
    <n v="693.2"/>
    <m/>
    <x v="0"/>
  </r>
  <r>
    <s v="355a4d50-2628-aa65-39d5-6deb8c6075eb"/>
    <d v="2022-01-20T15:04:51"/>
    <d v="2022-01-20T19:09:56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968.15"/>
    <n v="3174.52"/>
    <n v="66383009"/>
    <x v="17"/>
  </r>
  <r>
    <s v="355a4d50-2628-aa65-c029-34da5af5888d"/>
    <d v="2022-02-03T15:04:51"/>
    <d v="2022-02-03T16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1229.8499999999999"/>
    <n v="983.86"/>
    <m/>
    <x v="0"/>
  </r>
  <r>
    <s v="355a4d50-2628-aa65-31a5-3b7c9838a55c"/>
    <d v="2022-02-10T15:04:51"/>
    <d v="2022-02-10T16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511.04"/>
    <n v="408.82"/>
    <m/>
    <x v="0"/>
  </r>
  <r>
    <s v="355a4d50-2628-aa65-f3d4-94cbee9bbf7c"/>
    <d v="2022-02-17T15:04:51"/>
    <d v="2022-02-17T15:55:34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10ed-d96a69189fc2"/>
    <d v="2022-02-24T15:04:51"/>
    <d v="2022-02-24T16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295.33999999999997"/>
    <n v="236.26"/>
    <m/>
    <x v="0"/>
  </r>
  <r>
    <s v="355a4d50-2628-aa65-af97-e76a6cb513eb"/>
    <d v="2022-03-03T15:04:51"/>
    <d v="2022-03-03T16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875.9"/>
    <n v="700.7"/>
    <m/>
    <x v="0"/>
  </r>
  <r>
    <s v="355a4d50-2628-aa65-49fa-9ae21ee5aa26"/>
    <d v="2022-03-10T15:04:51"/>
    <d v="2022-03-10T15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c421-e246c3a0307d"/>
    <d v="2022-03-17T16:04:51"/>
    <d v="2022-03-17T16:47:03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088"/>
    <n v="870.38"/>
    <m/>
    <x v="0"/>
  </r>
  <r>
    <s v="355a4d50-2628-aa65-7d7f-0af0bd1baf44"/>
    <d v="2022-03-24T16:04:51"/>
    <d v="2022-03-24T16:19:5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450.41"/>
    <n v="360.32"/>
    <m/>
    <x v="0"/>
  </r>
  <r>
    <s v="355a4d50-2628-aa65-b6ba-b89162e4da88"/>
    <d v="2022-03-31T16:04:51"/>
    <d v="2022-03-31T17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875.9"/>
    <n v="700.7"/>
    <m/>
    <x v="0"/>
  </r>
  <r>
    <s v="355a4d50-2628-aa65-a05e-7f2327cba6f9"/>
    <d v="2022-04-07T16:04:51"/>
    <d v="2022-04-07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af36-c5f6e47850b4"/>
    <d v="2022-04-14T16:04:51"/>
    <d v="2022-04-14T16:57:14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90cf-cb5a16f0b64d"/>
    <d v="2022-04-21T16:04:51"/>
    <d v="2022-04-21T16:19:5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370.71"/>
    <n v="296.56"/>
    <m/>
    <x v="0"/>
  </r>
  <r>
    <s v="355a4d50-2628-aa65-0361-6091de617d40"/>
    <d v="2022-04-28T16:04:51"/>
    <d v="2022-04-28T17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1738.7"/>
    <n v="1390.94"/>
    <m/>
    <x v="0"/>
  </r>
  <r>
    <s v="355a4d50-2628-aa65-9995-88336b4e8544"/>
    <d v="2022-05-05T16:04:51"/>
    <d v="2022-05-05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507.44"/>
    <n v="405.94"/>
    <m/>
    <x v="0"/>
  </r>
  <r>
    <s v="355a4d50-2628-aa65-a637-d6ecf07f5218"/>
    <d v="2022-05-12T16:04:51"/>
    <d v="2022-05-12T16:36:2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2268-731acf68bdcf"/>
    <d v="2022-05-19T16:04:51"/>
    <d v="2022-05-19T16:19:5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234.71"/>
    <n v="187.76"/>
    <m/>
    <x v="0"/>
  </r>
  <r>
    <s v="355a4d50-2628-aa65-ebe9-5b8f3bdbf7dd"/>
    <d v="2022-05-26T16:04:51"/>
    <d v="2022-05-26T16:37:16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9296-000ec60f8ce9"/>
    <d v="2022-06-02T16:04:51"/>
    <d v="2022-06-02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736.84"/>
    <n v="589.46"/>
    <m/>
    <x v="0"/>
  </r>
  <r>
    <s v="355a4d50-2628-aa65-c78a-8f8efa3ab9a5"/>
    <d v="2022-06-09T16:04:51"/>
    <d v="2022-06-09T16:36:20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1081.3599999999999"/>
    <n v="865.07"/>
    <m/>
    <x v="0"/>
  </r>
  <r>
    <s v="355a4d50-2628-aa65-f4d1-2db1e7a9b80b"/>
    <d v="2022-06-16T16:04:51"/>
    <d v="2022-06-16T16:19:51"/>
    <s v="355a4d50-2628-aa65-c336-deacf4d606fb"/>
    <s v="e2eab39c-5195-34aa-b35f-e89e37cfed01"/>
    <s v="bd19ee55-7b5f-3edb-9d74-a279232ace7a"/>
    <s v="a735bf55-83e9-331a-899d-a82a60b9f60c"/>
    <x v="1"/>
    <n v="185345009"/>
    <s v="Encounter for symptom (procedure)"/>
    <n v="85.55"/>
    <n v="424.91"/>
    <n v="339.93"/>
    <n v="10509002"/>
    <x v="1"/>
  </r>
  <r>
    <s v="355a4d50-2628-aa65-2ac3-5f22c6624cd0"/>
    <d v="2022-06-23T16:04:51"/>
    <d v="2022-06-23T19:24:41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968.15"/>
    <n v="3174.52"/>
    <n v="103697008"/>
    <x v="3"/>
  </r>
  <r>
    <s v="355a4d50-2628-aa65-02ea-989f32b33d76"/>
    <d v="2022-06-30T16:04:51"/>
    <d v="2022-06-30T16:53:49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894d-a45b1d7b2fe7"/>
    <d v="2022-07-14T16:04:51"/>
    <d v="2022-07-14T16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7edc-4afa28cf7a61"/>
    <d v="2023-01-19T15:04:51"/>
    <d v="2023-01-19T15:58:35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002.52"/>
    <n v="802"/>
    <m/>
    <x v="0"/>
  </r>
  <r>
    <s v="355a4d50-2628-aa65-e7c5-7f1c409118c5"/>
    <d v="2023-02-02T15:04:51"/>
    <d v="2023-02-02T17:57:26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103697008"/>
    <x v="3"/>
  </r>
  <r>
    <s v="355a4d50-2628-aa65-e944-58bafe391680"/>
    <d v="2023-05-25T16:04:51"/>
    <d v="2023-05-25T16:38:23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1166.97"/>
    <n v="933.56"/>
    <m/>
    <x v="0"/>
  </r>
  <r>
    <s v="355a4d50-2628-aa65-56b5-5f2ef47703a3"/>
    <d v="2023-05-26T16:23:49"/>
    <d v="2023-05-26T17:10:46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6d20-6435c85f3c3f"/>
    <d v="2023-06-01T16:34:51"/>
    <d v="2023-06-01T17:0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71e3-7b49de1d7b23"/>
    <d v="2023-06-22T16:04:51"/>
    <d v="2023-06-22T16:43:02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815.27"/>
    <n v="652.20000000000005"/>
    <m/>
    <x v="0"/>
  </r>
  <r>
    <s v="355a4d50-2628-aa65-7d8d-672606beb0b6"/>
    <d v="2023-10-12T16:04:51"/>
    <d v="2023-10-12T16:40:38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1496.07"/>
    <n v="1196.8399999999999"/>
    <m/>
    <x v="0"/>
  </r>
  <r>
    <s v="355a4d50-2628-aa65-3a4f-4be1c7fbd771"/>
    <d v="2023-11-26T16:04:51"/>
    <d v="2023-11-26T16:34:51"/>
    <s v="355a4d50-2628-aa65-c336-deacf4d606fb"/>
    <s v="e2eab39c-5195-34aa-b35f-e89e37cfed01"/>
    <s v="bd19ee55-7b5f-3edb-9d74-a279232ace7a"/>
    <s v="a735bf55-83e9-331a-899d-a82a60b9f60c"/>
    <x v="8"/>
    <n v="390906007"/>
    <s v="Follow-up encounter (procedure)"/>
    <n v="75"/>
    <n v="506.4"/>
    <n v="218.72"/>
    <n v="128188000"/>
    <x v="73"/>
  </r>
  <r>
    <s v="355a4d50-2628-aa65-4175-538c038d11ff"/>
    <d v="2024-01-11T15:04:51"/>
    <d v="2024-01-11T15:43:37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1593.02"/>
    <n v="1274.4000000000001"/>
    <m/>
    <x v="0"/>
  </r>
  <r>
    <s v="355a4d50-2628-aa65-78c1-60e459a327e0"/>
    <d v="2024-01-25T15:04:51"/>
    <d v="2024-01-25T15:47:50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866.52"/>
    <n v="693.2"/>
    <m/>
    <x v="0"/>
  </r>
  <r>
    <s v="355a4d50-2628-aa65-f6f4-0eff7b1ca84c"/>
    <d v="2024-02-01T15:04:51"/>
    <d v="2024-02-01T15:51:21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4fc2-9c989acf2dd7"/>
    <d v="2024-04-11T16:04:51"/>
    <d v="2024-04-11T16:49:0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815.27"/>
    <n v="652.20000000000005"/>
    <m/>
    <x v="0"/>
  </r>
  <r>
    <s v="355a4d50-2628-aa65-8379-82b305b81cdd"/>
    <d v="2024-07-10T17:34:51"/>
    <d v="2024-07-10T18:0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1cf4-9e52b48fc497"/>
    <d v="2024-12-05T15:04:51"/>
    <d v="2024-12-05T15:48:16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951.27"/>
    <n v="761"/>
    <m/>
    <x v="0"/>
  </r>
  <r>
    <s v="355a4d50-2628-aa65-50c8-12f9bf5733e4"/>
    <d v="2024-12-12T15:04:51"/>
    <d v="2024-12-12T16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295.33999999999997"/>
    <n v="236.26"/>
    <m/>
    <x v="0"/>
  </r>
  <r>
    <s v="355a4d50-2628-aa65-1e6e-0bc55feca2ce"/>
    <d v="2024-12-19T15:04:51"/>
    <d v="2024-12-19T15:40:59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31ac-59da17933968"/>
    <d v="2024-12-26T15:04:51"/>
    <d v="2024-12-26T15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77e1-59a402455737"/>
    <d v="2025-01-02T15:04:51"/>
    <d v="2025-01-02T15:57:38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088"/>
    <n v="870.38"/>
    <m/>
    <x v="0"/>
  </r>
  <r>
    <s v="355a4d50-2628-aa65-9a3f-d517b8ea73dd"/>
    <d v="2025-01-09T15:04:51"/>
    <d v="2025-01-09T15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8cd4-d9bc4aae8ebf"/>
    <d v="2025-01-16T15:04:51"/>
    <d v="2025-01-16T15:43:56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538.05"/>
    <n v="1230.42"/>
    <m/>
    <x v="0"/>
  </r>
  <r>
    <s v="355a4d50-2628-aa65-166d-762c32788f6c"/>
    <d v="2025-01-23T15:04:51"/>
    <d v="2025-01-23T15:19:5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450.41"/>
    <n v="360.32"/>
    <m/>
    <x v="0"/>
  </r>
  <r>
    <s v="355a4d50-2628-aa65-76a6-d67500741021"/>
    <d v="2025-01-30T15:04:51"/>
    <d v="2025-01-30T15:37:04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1238.3399999999999"/>
    <n v="990.66"/>
    <m/>
    <x v="0"/>
  </r>
  <r>
    <s v="355a4d50-2628-aa65-65ae-9016917fd0fb"/>
    <d v="2025-02-06T15:04:51"/>
    <d v="2025-02-06T15:19:5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508.83"/>
    <n v="407.06"/>
    <m/>
    <x v="0"/>
  </r>
  <r>
    <s v="355a4d50-2628-aa65-426c-09e5b97b79fa"/>
    <d v="2025-02-13T15:04:51"/>
    <d v="2025-02-13T15:46:52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5273-5bfb6e0aaa0b"/>
    <d v="2025-02-20T15:04:51"/>
    <d v="2025-02-20T15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ec39-11677da7c6e4"/>
    <d v="2025-02-27T15:04:51"/>
    <d v="2025-02-27T15:38:19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815.27"/>
    <n v="652.20000000000005"/>
    <m/>
    <x v="0"/>
  </r>
  <r>
    <s v="355a4d50-2628-aa65-4ce2-657c589c5285"/>
    <d v="2025-03-06T15:04:51"/>
    <d v="2025-03-06T18:01:15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66383009"/>
    <x v="17"/>
  </r>
  <r>
    <s v="355a4d50-2628-aa65-3a0b-de542d1c86fb"/>
    <d v="2025-03-13T16:04:51"/>
    <d v="2025-03-13T16:52:52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8c7f-ae11a37d7e5e"/>
    <d v="2025-03-20T16:04:51"/>
    <d v="2025-03-20T16:19:51"/>
    <s v="355a4d50-2628-aa65-c336-deacf4d606fb"/>
    <s v="e2eab39c-5195-34aa-b35f-e89e37cfed01"/>
    <s v="bd19ee55-7b5f-3edb-9d74-a279232ace7a"/>
    <s v="a735bf55-83e9-331a-899d-a82a60b9f60c"/>
    <x v="1"/>
    <n v="185345009"/>
    <s v="Encounter for symptom (procedure)"/>
    <n v="85.55"/>
    <n v="85.55"/>
    <n v="68.44"/>
    <n v="444814009"/>
    <x v="2"/>
  </r>
  <r>
    <s v="355a4d50-2628-aa65-38a2-bdafc6e30f1d"/>
    <d v="2025-03-27T16:04:51"/>
    <d v="2025-03-27T17:01:54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e535-ccbef967d6a9"/>
    <d v="2025-04-03T16:04:51"/>
    <d v="2025-04-03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154.54"/>
    <n v="923.62"/>
    <m/>
    <x v="0"/>
  </r>
  <r>
    <s v="355a4d50-2628-aa65-6108-01a11cffd463"/>
    <d v="2025-04-10T16:04:51"/>
    <d v="2025-04-10T16:52:50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c053-2483a1c3597b"/>
    <d v="2025-04-17T16:04:51"/>
    <d v="2025-04-17T19:41:09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66383009"/>
    <x v="17"/>
  </r>
  <r>
    <s v="355a4d50-2628-aa65-d0c8-9c86df0d0501"/>
    <d v="2025-05-08T16:04:51"/>
    <d v="2025-05-08T16:49:1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951.27"/>
    <n v="761"/>
    <m/>
    <x v="0"/>
  </r>
  <r>
    <s v="355a4d50-2628-aa65-0d98-0d6efa7edb90"/>
    <d v="2025-05-23T18:04:51"/>
    <d v="2025-05-23T18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a78a-79375788aa12"/>
    <d v="2025-07-10T16:04:51"/>
    <d v="2025-07-10T17:02:2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1030.97"/>
    <n v="824.76"/>
    <m/>
    <x v="0"/>
  </r>
  <r>
    <s v="355a4d50-2628-aa65-f021-4241375c991a"/>
    <d v="2025-07-24T16:04:51"/>
    <d v="2025-07-24T19:20:55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66383009"/>
    <x v="17"/>
  </r>
  <r>
    <s v="355a4d50-2628-aa65-592c-2ac4436aca50"/>
    <d v="2025-10-09T16:04:51"/>
    <d v="2025-10-09T16:57:06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088"/>
    <n v="870.38"/>
    <m/>
    <x v="0"/>
  </r>
  <r>
    <s v="355a4d50-2628-aa65-84d2-2b8f727b5545"/>
    <d v="2026-02-05T15:04:51"/>
    <d v="2026-02-05T15:48:10"/>
    <s v="355a4d50-2628-aa65-c336-deacf4d606fb"/>
    <s v="e1892a2c-6dca-3c4c-93b7-0e00a9eb8b61"/>
    <s v="ad591f6e-61a6-3c70-a19b-5e2e7e6b6d08"/>
    <s v="a735bf55-83e9-331a-899d-a82a60b9f60c"/>
    <x v="0"/>
    <n v="162673000"/>
    <s v="General examination of patient (procedure)"/>
    <n v="136.80000000000001"/>
    <n v="866.52"/>
    <n v="608.30999999999995"/>
    <m/>
    <x v="0"/>
  </r>
  <r>
    <s v="355a4d50-2628-aa65-150e-1d6f741898cb"/>
    <d v="2026-02-06T15:22:52"/>
    <d v="2026-02-06T16:09:22"/>
    <s v="355a4d50-2628-aa65-c336-deacf4d606fb"/>
    <s v="e2eab39c-5195-34aa-b35f-e89e37cfed01"/>
    <s v="bd19ee55-7b5f-3edb-9d74-a279232ace7a"/>
    <s v="a735bf55-83e9-331a-899d-a82a60b9f60c"/>
    <x v="1"/>
    <n v="36228007"/>
    <s v="Ophthalmic examination and evaluation (procedure)"/>
    <n v="142.58000000000001"/>
    <n v="3236.96"/>
    <n v="2589.56"/>
    <m/>
    <x v="0"/>
  </r>
  <r>
    <s v="355a4d50-2628-aa65-8c82-dee442ceecd2"/>
    <d v="2026-02-19T15:04:51"/>
    <d v="2026-02-19T18:10:09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3105.35"/>
    <n v="2484.2800000000002"/>
    <n v="66383009"/>
    <x v="17"/>
  </r>
  <r>
    <s v="355a4d50-2628-aa65-697b-6d2d7f9070e5"/>
    <d v="2026-05-07T16:04:51"/>
    <d v="2026-05-07T17:04:51"/>
    <s v="355a4d50-2628-aa65-c336-deacf4d606fb"/>
    <s v="83769f98-fff3-3535-8781-6ace5957136f"/>
    <s v="a861a3ec-dbe3-3e8c-a3bb-63cbe5edd780"/>
    <s v="a735bf55-83e9-331a-899d-a82a60b9f60c"/>
    <x v="3"/>
    <n v="50849002"/>
    <s v="Emergency room admission (procedure)"/>
    <n v="146.18"/>
    <n v="1011.9"/>
    <n v="809.5"/>
    <m/>
    <x v="0"/>
  </r>
  <r>
    <s v="355a4d50-2628-aa65-b28c-06a3f99a7835"/>
    <d v="2026-05-14T16:04:51"/>
    <d v="2026-05-14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358c-c4585b3fc863"/>
    <d v="2026-05-21T16:04:51"/>
    <d v="2026-05-21T16:56:36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f8e9-30b54d1c36d6"/>
    <d v="2026-05-28T16:04:51"/>
    <d v="2026-05-28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d8e6-5dba7871bac6"/>
    <d v="2026-06-04T16:04:51"/>
    <d v="2026-06-04T17:04:40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107.1300000000001"/>
    <n v="885.68"/>
    <m/>
    <x v="0"/>
  </r>
  <r>
    <s v="355a4d50-2628-aa65-8d20-bdd60cb4e06e"/>
    <d v="2026-06-11T16:04:51"/>
    <d v="2026-06-11T16:19:51"/>
    <s v="355a4d50-2628-aa65-c336-deacf4d606fb"/>
    <s v="e2eab39c-5195-34aa-b35f-e89e37cfed01"/>
    <s v="bd19ee55-7b5f-3edb-9d74-a279232ace7a"/>
    <s v="a735bf55-83e9-331a-899d-a82a60b9f60c"/>
    <x v="2"/>
    <n v="185349003"/>
    <s v="Encounter for check up (procedure)"/>
    <n v="85.55"/>
    <n v="680.03"/>
    <n v="544.02"/>
    <m/>
    <x v="0"/>
  </r>
  <r>
    <s v="355a4d50-2628-aa65-f0f5-d7e02a7cc812"/>
    <d v="2026-06-18T16:04:51"/>
    <d v="2026-06-18T16:34:51"/>
    <s v="355a4d50-2628-aa65-c336-deacf4d606fb"/>
    <s v="e2eab39c-5195-34aa-b35f-e89e37cfed01"/>
    <s v="bd19ee55-7b5f-3edb-9d74-a279232ace7a"/>
    <s v="a735bf55-83e9-331a-899d-a82a60b9f60c"/>
    <x v="1"/>
    <n v="390906007"/>
    <s v="Follow-up encounter (procedure)"/>
    <n v="85.55"/>
    <n v="516.95000000000005"/>
    <n v="413.56"/>
    <n v="128188000"/>
    <x v="73"/>
  </r>
  <r>
    <s v="355a4d50-2628-aa65-8b0f-d88aa9f18484"/>
    <d v="2026-06-25T16:04:51"/>
    <d v="2026-06-25T22:58:53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4830.95"/>
    <n v="3864.76"/>
    <n v="66383009"/>
    <x v="17"/>
  </r>
  <r>
    <s v="355a4d50-2628-aa65-5eef-79c7b6ca7f2d"/>
    <d v="2026-07-02T16:04:51"/>
    <d v="2026-07-02T16:19:51"/>
    <s v="355a4d50-2628-aa65-c336-deacf4d606fb"/>
    <s v="e2eab39c-5195-34aa-b35f-e89e37cfed01"/>
    <s v="bd19ee55-7b5f-3edb-9d74-a279232ace7a"/>
    <s v="a735bf55-83e9-331a-899d-a82a60b9f60c"/>
    <x v="1"/>
    <n v="185345009"/>
    <s v="Encounter for symptom (procedure)"/>
    <n v="85.55"/>
    <n v="85.55"/>
    <n v="68.44"/>
    <n v="43878008"/>
    <x v="18"/>
  </r>
  <r>
    <s v="355a4d50-2628-aa65-e20a-7f9a69a0e538"/>
    <d v="2026-07-09T16:04:51"/>
    <d v="2026-07-09T16:58:33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872.3"/>
    <n v="697.82"/>
    <m/>
    <x v="0"/>
  </r>
  <r>
    <s v="355a4d50-2628-aa65-b168-a21fffaf00bf"/>
    <d v="2026-07-16T16:04:51"/>
    <d v="2026-07-16T16:19:51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291.74"/>
    <n v="233.38"/>
    <m/>
    <x v="0"/>
  </r>
  <r>
    <s v="355a4d50-2628-aa65-89c4-990f2ae6e95c"/>
    <d v="2026-07-23T16:04:51"/>
    <d v="2026-07-23T19:21:45"/>
    <s v="355a4d50-2628-aa65-c336-deacf4d606fb"/>
    <s v="e2eab39c-5195-34aa-b35f-e89e37cfed01"/>
    <s v="bd19ee55-7b5f-3edb-9d74-a279232ace7a"/>
    <s v="a735bf55-83e9-331a-899d-a82a60b9f60c"/>
    <x v="1"/>
    <n v="185349003"/>
    <s v="Encounter for check up (procedure)"/>
    <n v="85.55"/>
    <n v="2673.95"/>
    <n v="2139.16"/>
    <n v="103697008"/>
    <x v="3"/>
  </r>
  <r>
    <s v="355a4d50-2628-aa65-22b5-d6fae3dd23f7"/>
    <d v="2026-08-06T16:04:51"/>
    <d v="2026-08-06T16:44:19"/>
    <s v="355a4d50-2628-aa65-c336-deacf4d606fb"/>
    <s v="2ca615f3-87f7-3283-a447-d919a883b676"/>
    <s v="a07ed308-d247-3b39-9e38-401332ca99f3"/>
    <s v="a735bf55-83e9-331a-899d-a82a60b9f60c"/>
    <x v="4"/>
    <n v="702927004"/>
    <s v="Urgent care clinic (environment)"/>
    <n v="142.58000000000001"/>
    <n v="1593.24"/>
    <n v="1274.57"/>
    <m/>
    <x v="0"/>
  </r>
  <r>
    <s v="f6745f8a-8107-443e-96a4-c3109911c436"/>
    <d v="1955-12-04T07:10:58"/>
    <d v="1955-12-04T07:25:58"/>
    <s v="f6745f8a-8107-443e-8946-3e6329d20408"/>
    <s v="3b021cb6-4745-3d9d-8436-230055f770bd"/>
    <s v="3aadffc5-0246-3fc8-8981-6c99c5a22e8b"/>
    <s v="e03e23c9-4df1-3eb6-a62d-f70f02301496"/>
    <x v="1"/>
    <n v="185345009"/>
    <s v="Encounter for symptom (procedure)"/>
    <n v="85.55"/>
    <n v="85.55"/>
    <n v="0"/>
    <n v="232353008"/>
    <x v="16"/>
  </r>
  <r>
    <s v="f6745f8a-8107-443e-2249-0b4b49af0630"/>
    <d v="1955-12-11T11:10:58"/>
    <d v="1955-12-11T11:25:58"/>
    <s v="f6745f8a-8107-443e-8946-3e6329d20408"/>
    <s v="3b021cb6-4745-3d9d-8436-230055f770bd"/>
    <s v="3aadffc5-0246-3fc8-8981-6c99c5a22e8b"/>
    <s v="e03e23c9-4df1-3eb6-a62d-f70f02301496"/>
    <x v="1"/>
    <n v="185347001"/>
    <s v="Encounter for problem (procedure)"/>
    <n v="85.55"/>
    <n v="85.55"/>
    <n v="0"/>
    <n v="609328004"/>
    <x v="11"/>
  </r>
  <r>
    <s v="f6745f8a-8107-443e-5b8e-44e3b9793542"/>
    <d v="1971-07-06T08:10:58"/>
    <d v="1971-07-06T08:51:15"/>
    <s v="f6745f8a-8107-443e-8946-3e6329d20408"/>
    <s v="84de2bcf-1b1a-3ce2-9f6d-9e0cb34991f6"/>
    <s v="ed9ec70c-1294-3cdc-9000-97026df08396"/>
    <s v="e03e23c9-4df1-3eb6-a62d-f70f02301496"/>
    <x v="0"/>
    <n v="162673000"/>
    <s v="General examination of patient (procedure)"/>
    <n v="136.80000000000001"/>
    <n v="704.2"/>
    <n v="0"/>
    <m/>
    <x v="0"/>
  </r>
  <r>
    <s v="f6745f8a-8107-443e-b55f-4877d3e97b47"/>
    <d v="1990-07-31T08:10:58"/>
    <d v="1990-07-31T08:42:41"/>
    <s v="f6745f8a-8107-443e-8946-3e6329d20408"/>
    <s v="84de2bcf-1b1a-3ce2-9f6d-9e0cb34991f6"/>
    <s v="ed9ec70c-1294-3cdc-9000-97026df08396"/>
    <s v="e03e23c9-4df1-3eb6-a62d-f70f02301496"/>
    <x v="0"/>
    <n v="162673000"/>
    <s v="General examination of patient (procedure)"/>
    <n v="136.80000000000001"/>
    <n v="1779.8"/>
    <n v="0"/>
    <m/>
    <x v="0"/>
  </r>
  <r>
    <s v="f6745f8a-8107-443e-cfbb-51379f5f4a07"/>
    <d v="1990-10-02T08:10:58"/>
    <d v="1990-10-02T09:10:54"/>
    <s v="f6745f8a-8107-443e-8946-3e6329d20408"/>
    <s v="121b0ad1-1beb-3caa-9271-3d3f726bb727"/>
    <s v="3d8598c7-b464-3e8b-b494-c85d503739b3"/>
    <s v="e03e23c9-4df1-3eb6-a62d-f70f02301496"/>
    <x v="4"/>
    <n v="702927004"/>
    <s v="Urgent care clinic (environment)"/>
    <n v="142.58000000000001"/>
    <n v="1007.06"/>
    <n v="0"/>
    <m/>
    <x v="0"/>
  </r>
  <r>
    <s v="f6745f8a-8107-443e-402e-d236ef71aa79"/>
    <d v="1990-10-23T08:10:58"/>
    <d v="1990-10-23T09:31:19"/>
    <s v="f6745f8a-8107-443e-8946-3e6329d20408"/>
    <s v="3b021cb6-4745-3d9d-8436-230055f770bd"/>
    <s v="3aadffc5-0246-3fc8-8981-6c99c5a22e8b"/>
    <s v="e03e23c9-4df1-3eb6-a62d-f70f02301496"/>
    <x v="1"/>
    <n v="185347001"/>
    <s v="Encounter for problem (procedure)"/>
    <n v="85.55"/>
    <n v="1415.6"/>
    <n v="0"/>
    <n v="271737000"/>
    <x v="32"/>
  </r>
  <r>
    <s v="f6745f8a-8107-443e-61ef-3c986a64b965"/>
    <d v="1995-05-23T08:10:58"/>
    <d v="1995-05-23T09:08:24"/>
    <s v="f6745f8a-8107-443e-8946-3e6329d20408"/>
    <s v="84de2bcf-1b1a-3ce2-9f6d-9e0cb34991f6"/>
    <s v="ed9ec70c-1294-3cdc-9000-97026df08396"/>
    <s v="e03e23c9-4df1-3eb6-a62d-f70f02301496"/>
    <x v="0"/>
    <n v="162673000"/>
    <s v="General examination of patient (procedure)"/>
    <n v="136.80000000000001"/>
    <n v="785.58"/>
    <n v="0"/>
    <m/>
    <x v="0"/>
  </r>
  <r>
    <s v="f6745f8a-8107-443e-424f-786e6c6663ab"/>
    <d v="1999-12-31T07:10:58"/>
    <d v="1999-12-31T07:25:58"/>
    <s v="f6745f8a-8107-443e-8946-3e6329d20408"/>
    <s v="3b021cb6-4745-3d9d-8436-230055f770bd"/>
    <s v="3aadffc5-0246-3fc8-8981-6c99c5a22e8b"/>
    <s v="e03e23c9-4df1-3eb6-a62d-f70f02301496"/>
    <x v="1"/>
    <n v="185347001"/>
    <s v="Encounter for problem (procedure)"/>
    <n v="85.55"/>
    <n v="85.55"/>
    <n v="0"/>
    <n v="201834006"/>
    <x v="23"/>
  </r>
  <r>
    <s v="f6745f8a-8107-443e-c1dc-62ba144f1c72"/>
    <d v="2006-10-31T07:10:58"/>
    <d v="2006-10-31T08:10:58"/>
    <s v="f6745f8a-8107-443e-8946-3e6329d20408"/>
    <s v="74ab949d-17ac-3309-83a0-13b4405c66aa"/>
    <s v="35fedf4a-4da7-315e-a103-dbcfea0540fa"/>
    <s v="b046940f-1664-3047-bca7-dfa76be352a4"/>
    <x v="3"/>
    <n v="50849002"/>
    <s v="Emergency room admission (procedure)"/>
    <n v="146.18"/>
    <n v="10325.56"/>
    <n v="4957.13"/>
    <n v="22298006"/>
    <x v="71"/>
  </r>
  <r>
    <s v="f6745f8a-8107-443e-c807-0b0c7cee0c78"/>
    <d v="2006-10-31T08:10:54"/>
    <d v="2006-11-01T08:10:54"/>
    <s v="f6745f8a-8107-443e-8946-3e6329d20408"/>
    <s v="74ab949d-17ac-3309-83a0-13b4405c66aa"/>
    <s v="35fedf4a-4da7-315e-a103-dbcfea0540fa"/>
    <s v="b046940f-1664-3047-bca7-dfa76be352a4"/>
    <x v="6"/>
    <n v="32485007"/>
    <s v="Hospital admission (procedure)"/>
    <n v="146.18"/>
    <n v="38462.78"/>
    <n v="26923.95"/>
    <n v="4557003"/>
    <x v="74"/>
  </r>
  <r>
    <s v="f6745f8a-8107-443e-7a1d-858797793b5a"/>
    <d v="2014-02-06T07:10:58"/>
    <d v="2014-02-06T07:25:58"/>
    <s v="f6745f8a-8107-443e-8946-3e6329d20408"/>
    <s v="3b021cb6-4745-3d9d-8436-230055f770bd"/>
    <s v="3aadffc5-0246-3fc8-8981-6c99c5a22e8b"/>
    <s v="b046940f-1664-3047-bca7-dfa76be352a4"/>
    <x v="2"/>
    <n v="185347001"/>
    <s v="Encounter for problem (procedure)"/>
    <n v="85.55"/>
    <n v="85.55"/>
    <n v="85.55"/>
    <n v="82423001"/>
    <x v="33"/>
  </r>
  <r>
    <s v="f6745f8a-8107-443e-e78d-3fe6ad1ed010"/>
    <d v="2014-07-15T08:10:58"/>
    <d v="2014-07-15T09:04:51"/>
    <s v="f6745f8a-8107-443e-8946-3e6329d20408"/>
    <s v="84de2bcf-1b1a-3ce2-9f6d-9e0cb34991f6"/>
    <s v="ed9ec70c-1294-3cdc-9000-97026df08396"/>
    <s v="b046940f-1664-3047-bca7-dfa76be352a4"/>
    <x v="0"/>
    <n v="162673000"/>
    <s v="General examination of patient (procedure)"/>
    <n v="136.80000000000001"/>
    <n v="1070.74"/>
    <n v="0"/>
    <m/>
    <x v="0"/>
  </r>
  <r>
    <s v="f6745f8a-8107-443e-cbc1-9f942a0dee50"/>
    <d v="2014-08-05T08:10:58"/>
    <d v="2014-08-05T08:25:58"/>
    <s v="f6745f8a-8107-443e-8946-3e6329d20408"/>
    <s v="3b021cb6-4745-3d9d-8436-230055f770bd"/>
    <s v="3aadffc5-0246-3fc8-8981-6c99c5a22e8b"/>
    <s v="b046940f-1664-3047-bca7-dfa76be352a4"/>
    <x v="1"/>
    <n v="390906007"/>
    <s v="Follow-up encounter (procedure)"/>
    <n v="85.55"/>
    <n v="85.55"/>
    <n v="0"/>
    <n v="55822004"/>
    <x v="52"/>
  </r>
  <r>
    <s v="f6745f8a-8107-443e-8d85-de6a5a21b6bf"/>
    <d v="2016-07-26T08:10:58"/>
    <d v="2016-07-26T08:47:15"/>
    <s v="f6745f8a-8107-443e-8946-3e6329d20408"/>
    <s v="84de2bcf-1b1a-3ce2-9f6d-9e0cb34991f6"/>
    <s v="ed9ec70c-1294-3cdc-9000-97026df08396"/>
    <s v="b046940f-1664-3047-bca7-dfa76be352a4"/>
    <x v="0"/>
    <n v="162673000"/>
    <s v="General examination of patient (procedure)"/>
    <n v="136.80000000000001"/>
    <n v="1019.7"/>
    <n v="0"/>
    <m/>
    <x v="0"/>
  </r>
  <r>
    <s v="f6745f8a-8107-443e-52bc-16a1d5b3f61e"/>
    <d v="2016-08-16T08:10:58"/>
    <d v="2016-08-16T08:25:58"/>
    <s v="f6745f8a-8107-443e-8946-3e6329d20408"/>
    <s v="3b021cb6-4745-3d9d-8436-230055f770bd"/>
    <s v="3aadffc5-0246-3fc8-8981-6c99c5a22e8b"/>
    <s v="b046940f-1664-3047-bca7-dfa76be352a4"/>
    <x v="1"/>
    <n v="390906007"/>
    <s v="Follow-up encounter (procedure)"/>
    <n v="85.55"/>
    <n v="234.71"/>
    <n v="0"/>
    <n v="55822004"/>
    <x v="52"/>
  </r>
  <r>
    <s v="f6745f8a-8107-443e-d52c-4d62d23fce8e"/>
    <d v="2017-08-01T08:10:58"/>
    <d v="2017-08-01T09:10:08"/>
    <s v="f6745f8a-8107-443e-8946-3e6329d20408"/>
    <s v="84de2bcf-1b1a-3ce2-9f6d-9e0cb34991f6"/>
    <s v="ed9ec70c-1294-3cdc-9000-97026df08396"/>
    <s v="b046940f-1664-3047-bca7-dfa76be352a4"/>
    <x v="0"/>
    <n v="162673000"/>
    <s v="General examination of patient (procedure)"/>
    <n v="136.80000000000001"/>
    <n v="778.78"/>
    <n v="0"/>
    <m/>
    <x v="0"/>
  </r>
  <r>
    <s v="f6745f8a-8107-443e-4155-4c198f5b983f"/>
    <d v="2017-08-15T08:10:58"/>
    <d v="2017-08-15T11:40:07"/>
    <s v="f6745f8a-8107-443e-8946-3e6329d20408"/>
    <s v="3b021cb6-4745-3d9d-8436-230055f770bd"/>
    <s v="3aadffc5-0246-3fc8-8981-6c99c5a22e8b"/>
    <s v="b046940f-1664-3047-bca7-dfa76be352a4"/>
    <x v="1"/>
    <n v="185349003"/>
    <s v="Encounter for check up (procedure)"/>
    <n v="85.55"/>
    <n v="3105.35"/>
    <n v="0"/>
    <n v="66383009"/>
    <x v="17"/>
  </r>
  <r>
    <s v="f6745f8a-8107-443e-dcf2-5f70e2a2369e"/>
    <d v="2017-08-16T08:10:58"/>
    <d v="2017-08-16T08:25:58"/>
    <s v="f6745f8a-8107-443e-8946-3e6329d20408"/>
    <s v="3b021cb6-4745-3d9d-8436-230055f770bd"/>
    <s v="3aadffc5-0246-3fc8-8981-6c99c5a22e8b"/>
    <s v="b046940f-1664-3047-bca7-dfa76be352a4"/>
    <x v="1"/>
    <n v="390906007"/>
    <s v="Follow-up encounter (procedure)"/>
    <n v="85.55"/>
    <n v="234.71"/>
    <n v="0"/>
    <n v="55822004"/>
    <x v="52"/>
  </r>
  <r>
    <s v="f6745f8a-8107-443e-addf-accad549d9df"/>
    <d v="2018-05-19T09:37:14"/>
    <d v="2018-05-19T10:20:10"/>
    <s v="f6745f8a-8107-443e-8946-3e6329d20408"/>
    <s v="3b021cb6-4745-3d9d-8436-230055f770bd"/>
    <s v="3aadffc5-0246-3fc8-8981-6c99c5a22e8b"/>
    <s v="a735bf55-83e9-331a-899d-a82a60b9f60c"/>
    <x v="1"/>
    <n v="185349003"/>
    <s v="Encounter for check up (procedure)"/>
    <n v="85.55"/>
    <n v="5138.45"/>
    <n v="3924.36"/>
    <n v="275978004"/>
    <x v="29"/>
  </r>
  <r>
    <s v="f6745f8a-8107-443e-88cb-23505c5e6d38"/>
    <d v="2018-08-07T08:10:58"/>
    <d v="2018-08-07T09:07:06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1225.46"/>
    <n v="980.36"/>
    <m/>
    <x v="0"/>
  </r>
  <r>
    <s v="f6745f8a-8107-443e-c8f2-de5663c4d7ca"/>
    <d v="2018-08-16T08:10:58"/>
    <d v="2018-08-16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7681-ae7f4965585e"/>
    <d v="2019-08-13T08:10:58"/>
    <d v="2019-08-13T08:58:52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1401.16"/>
    <n v="934.52"/>
    <m/>
    <x v="0"/>
  </r>
  <r>
    <s v="f6745f8a-8107-443e-d096-9242a6171347"/>
    <d v="2019-08-20T08:10:58"/>
    <d v="2019-08-20T08:25:58"/>
    <s v="f6745f8a-8107-443e-8946-3e6329d20408"/>
    <s v="3b021cb6-4745-3d9d-8436-230055f770bd"/>
    <s v="3aadffc5-0246-3fc8-8981-6c99c5a22e8b"/>
    <s v="a735bf55-83e9-331a-899d-a82a60b9f60c"/>
    <x v="2"/>
    <n v="185345009"/>
    <s v="Encounter for symptom (procedure)"/>
    <n v="85.55"/>
    <n v="85.55"/>
    <n v="68.44"/>
    <n v="65363002"/>
    <x v="25"/>
  </r>
  <r>
    <s v="f6745f8a-8107-443e-a26f-34eef06e073a"/>
    <d v="2019-08-16T08:10:58"/>
    <d v="2019-08-16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655e-fb9dca4b48ba"/>
    <d v="2020-08-18T08:10:58"/>
    <d v="2020-08-18T08:54:56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853.36"/>
    <n v="496.28"/>
    <m/>
    <x v="0"/>
  </r>
  <r>
    <s v="f6745f8a-8107-443e-97e8-bc81256b6e0b"/>
    <d v="2020-08-25T08:10:58"/>
    <d v="2020-08-25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86e9-fa6c0f7bd099"/>
    <d v="2020-09-01T08:10:58"/>
    <d v="2020-09-01T11:13:38"/>
    <s v="f6745f8a-8107-443e-8946-3e6329d20408"/>
    <s v="3b021cb6-4745-3d9d-8436-230055f770bd"/>
    <s v="3aadffc5-0246-3fc8-8981-6c99c5a22e8b"/>
    <s v="a735bf55-83e9-331a-899d-a82a60b9f60c"/>
    <x v="1"/>
    <n v="185349003"/>
    <s v="Encounter for check up (procedure)"/>
    <n v="85.55"/>
    <n v="3105.35"/>
    <n v="2484.2800000000002"/>
    <n v="103697008"/>
    <x v="3"/>
  </r>
  <r>
    <s v="f6745f8a-8107-443e-bfc8-de6f5afa5132"/>
    <d v="2021-05-18T08:10:58"/>
    <d v="2021-05-18T08:25:58"/>
    <s v="f6745f8a-8107-443e-8946-3e6329d20408"/>
    <s v="3b021cb6-4745-3d9d-8436-230055f770bd"/>
    <s v="3aadffc5-0246-3fc8-8981-6c99c5a22e8b"/>
    <s v="a735bf55-83e9-331a-899d-a82a60b9f60c"/>
    <x v="2"/>
    <n v="33879002"/>
    <s v="Administration of vaccine to produce active immunity (procedure)"/>
    <n v="142.58000000000001"/>
    <n v="278.58"/>
    <n v="36.46"/>
    <m/>
    <x v="0"/>
  </r>
  <r>
    <s v="f6745f8a-8107-443e-0e96-745168bb2626"/>
    <d v="2021-06-15T08:10:58"/>
    <d v="2021-06-15T08:25:58"/>
    <s v="f6745f8a-8107-443e-8946-3e6329d20408"/>
    <s v="3b021cb6-4745-3d9d-8436-230055f770bd"/>
    <s v="3aadffc5-0246-3fc8-8981-6c99c5a22e8b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f6745f8a-8107-443e-a24d-daf845d5b210"/>
    <d v="2021-06-29T08:10:58"/>
    <d v="2021-06-29T08:51:25"/>
    <s v="f6745f8a-8107-443e-8946-3e6329d20408"/>
    <s v="121b0ad1-1beb-3caa-9271-3d3f726bb727"/>
    <s v="3d8598c7-b464-3e8b-b494-c85d503739b3"/>
    <s v="a735bf55-83e9-331a-899d-a82a60b9f60c"/>
    <x v="4"/>
    <n v="702927004"/>
    <s v="Urgent care clinic (environment)"/>
    <n v="142.58000000000001"/>
    <n v="791.36"/>
    <n v="633.08000000000004"/>
    <m/>
    <x v="0"/>
  </r>
  <r>
    <s v="f6745f8a-8107-443e-9e1a-a25902ec9e8e"/>
    <d v="2021-07-06T08:10:58"/>
    <d v="2021-07-06T08:25:58"/>
    <s v="f6745f8a-8107-443e-8946-3e6329d20408"/>
    <s v="3b021cb6-4745-3d9d-8436-230055f770bd"/>
    <s v="3aadffc5-0246-3fc8-8981-6c99c5a22e8b"/>
    <s v="a735bf55-83e9-331a-899d-a82a60b9f60c"/>
    <x v="1"/>
    <n v="185345009"/>
    <s v="Encounter for symptom (procedure)"/>
    <n v="85.55"/>
    <n v="12602.58"/>
    <n v="10082.06"/>
    <n v="10509002"/>
    <x v="1"/>
  </r>
  <r>
    <s v="f6745f8a-8107-443e-fc1d-8ead3df1f308"/>
    <d v="2021-07-13T08:10:58"/>
    <d v="2021-07-13T11:41:16"/>
    <s v="f6745f8a-8107-443e-8946-3e6329d20408"/>
    <s v="3b021cb6-4745-3d9d-8436-230055f770bd"/>
    <s v="3aadffc5-0246-3fc8-8981-6c99c5a22e8b"/>
    <s v="a735bf55-83e9-331a-899d-a82a60b9f60c"/>
    <x v="1"/>
    <n v="185349003"/>
    <s v="Encounter for check up (procedure)"/>
    <n v="85.55"/>
    <n v="3536.75"/>
    <n v="2829.4"/>
    <n v="103697008"/>
    <x v="3"/>
  </r>
  <r>
    <s v="f6745f8a-8107-443e-a475-020a8d299de5"/>
    <d v="2021-08-24T08:10:58"/>
    <d v="2021-08-24T08:48:28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717.36"/>
    <n v="573.88"/>
    <m/>
    <x v="0"/>
  </r>
  <r>
    <s v="f6745f8a-8107-443e-45e5-8e9615f97844"/>
    <d v="2021-08-25T08:10:58"/>
    <d v="2021-08-25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e8bc-4f48bc182f4c"/>
    <d v="2022-01-23T10:10:58"/>
    <d v="2022-01-23T10:25:58"/>
    <s v="f6745f8a-8107-443e-8946-3e6329d20408"/>
    <s v="3b021cb6-4745-3d9d-8436-230055f770bd"/>
    <s v="3aadffc5-0246-3fc8-8981-6c99c5a22e8b"/>
    <s v="a735bf55-83e9-331a-899d-a82a60b9f60c"/>
    <x v="1"/>
    <n v="185345009"/>
    <s v="Encounter for symptom (procedure)"/>
    <n v="85.55"/>
    <n v="85.55"/>
    <n v="68.44"/>
    <n v="10509002"/>
    <x v="1"/>
  </r>
  <r>
    <s v="f6745f8a-8107-443e-fd4a-52273d70dade"/>
    <d v="2022-02-01T07:10:58"/>
    <d v="2022-02-01T08:00:49"/>
    <s v="f6745f8a-8107-443e-8946-3e6329d20408"/>
    <s v="3b021cb6-4745-3d9d-8436-230055f770bd"/>
    <s v="3aadffc5-0246-3fc8-8981-6c99c5a22e8b"/>
    <s v="a735bf55-83e9-331a-899d-a82a60b9f60c"/>
    <x v="2"/>
    <n v="185349003"/>
    <s v="Encounter for check up (procedure)"/>
    <n v="85.55"/>
    <n v="950.03"/>
    <n v="760.02"/>
    <m/>
    <x v="0"/>
  </r>
  <r>
    <s v="f6745f8a-8107-443e-4e0c-6bc5a3b27d46"/>
    <d v="2022-08-30T08:10:58"/>
    <d v="2022-08-30T09:07:27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865.28"/>
    <n v="505.82"/>
    <m/>
    <x v="0"/>
  </r>
  <r>
    <s v="f6745f8a-8107-443e-fe7a-32b9fd330626"/>
    <d v="2022-09-06T08:10:58"/>
    <d v="2022-09-06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6189-d722408bf771"/>
    <d v="2023-05-19T10:20:10"/>
    <d v="2023-05-19T11:02:44"/>
    <s v="f6745f8a-8107-443e-8946-3e6329d20408"/>
    <s v="3b021cb6-4745-3d9d-8436-230055f770bd"/>
    <s v="3aadffc5-0246-3fc8-8981-6c99c5a22e8b"/>
    <s v="a735bf55-83e9-331a-899d-a82a60b9f60c"/>
    <x v="1"/>
    <n v="185349003"/>
    <s v="Encounter for check up (procedure)"/>
    <n v="85.55"/>
    <n v="14269.65"/>
    <n v="11229.32"/>
    <n v="275978004"/>
    <x v="29"/>
  </r>
  <r>
    <s v="f6745f8a-8107-443e-a0e9-70e3c110808b"/>
    <d v="2023-09-05T08:10:58"/>
    <d v="2023-09-05T08:55:18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1524.48"/>
    <n v="1219.58"/>
    <m/>
    <x v="0"/>
  </r>
  <r>
    <s v="f6745f8a-8107-443e-4d0e-2bb8614839ae"/>
    <d v="2023-09-06T08:10:58"/>
    <d v="2023-09-06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8d3e-a20b6338451d"/>
    <d v="2024-01-23T07:10:58"/>
    <d v="2024-01-23T07:25:58"/>
    <s v="f6745f8a-8107-443e-8946-3e6329d20408"/>
    <s v="121b0ad1-1beb-3caa-9271-3d3f726bb727"/>
    <s v="3d8598c7-b464-3e8b-b494-c85d503739b3"/>
    <s v="a735bf55-83e9-331a-899d-a82a60b9f60c"/>
    <x v="4"/>
    <n v="308335008"/>
    <s v="Patient encounter procedure (procedure)"/>
    <n v="142.58000000000001"/>
    <n v="573.98"/>
    <n v="459.18"/>
    <n v="1871000124103"/>
    <x v="75"/>
  </r>
  <r>
    <s v="f6745f8a-8107-443e-71b2-4f3109f88f52"/>
    <d v="2024-01-23T13:38:58"/>
    <d v="2024-01-23T13:53:58"/>
    <s v="f6745f8a-8107-443e-8946-3e6329d20408"/>
    <s v="3c6efeb4-3e73-3d5a-9d45-8fbf9f389bed"/>
    <s v="ea7fdf1f-73df-3493-ac4d-eeb822865ee8"/>
    <s v="a735bf55-83e9-331a-899d-a82a60b9f60c"/>
    <x v="9"/>
    <n v="439708006"/>
    <s v="Home visit (procedure)"/>
    <n v="128.53"/>
    <n v="1854.13"/>
    <n v="1483.3"/>
    <n v="1871000124103"/>
    <x v="75"/>
  </r>
  <r>
    <s v="f6745f8a-8107-443e-dea6-cde6b6fe831c"/>
    <d v="2024-01-24T13:38:58"/>
    <d v="2024-01-24T13:53:58"/>
    <s v="f6745f8a-8107-443e-8946-3e6329d20408"/>
    <s v="3c6efeb4-3e73-3d5a-9d45-8fbf9f389bed"/>
    <s v="ea7fdf1f-73df-3493-ac4d-eeb822865ee8"/>
    <s v="a735bf55-83e9-331a-899d-a82a60b9f60c"/>
    <x v="9"/>
    <n v="439708006"/>
    <s v="Home visit (procedure)"/>
    <n v="128.53"/>
    <n v="344.23"/>
    <n v="275.38"/>
    <n v="1871000124103"/>
    <x v="75"/>
  </r>
  <r>
    <s v="f6745f8a-8107-443e-e04d-0b34172e87e0"/>
    <d v="2024-01-25T13:38:58"/>
    <d v="2024-01-25T13:53:58"/>
    <s v="f6745f8a-8107-443e-8946-3e6329d20408"/>
    <s v="3c6efeb4-3e73-3d5a-9d45-8fbf9f389bed"/>
    <s v="ea7fdf1f-73df-3493-ac4d-eeb822865ee8"/>
    <s v="a735bf55-83e9-331a-899d-a82a60b9f60c"/>
    <x v="9"/>
    <n v="439708006"/>
    <s v="Home visit (procedure)"/>
    <n v="128.53"/>
    <n v="559.92999999999995"/>
    <n v="447.94"/>
    <n v="1871000124103"/>
    <x v="75"/>
  </r>
  <r>
    <s v="f6745f8a-8107-443e-ba1a-4b9323210bcb"/>
    <d v="2024-01-26T13:38:58"/>
    <d v="2024-01-26T13:53:58"/>
    <s v="f6745f8a-8107-443e-8946-3e6329d20408"/>
    <s v="3c6efeb4-3e73-3d5a-9d45-8fbf9f389bed"/>
    <s v="ea7fdf1f-73df-3493-ac4d-eeb822865ee8"/>
    <s v="a735bf55-83e9-331a-899d-a82a60b9f60c"/>
    <x v="9"/>
    <n v="439708006"/>
    <s v="Home visit (procedure)"/>
    <n v="128.53"/>
    <n v="559.92999999999995"/>
    <n v="447.94"/>
    <n v="1871000124103"/>
    <x v="75"/>
  </r>
  <r>
    <s v="f6745f8a-8107-443e-fd54-0ffc94a78474"/>
    <d v="2024-01-27T13:38:58"/>
    <d v="2024-01-27T13:53:58"/>
    <s v="f6745f8a-8107-443e-8946-3e6329d20408"/>
    <s v="3c6efeb4-3e73-3d5a-9d45-8fbf9f389bed"/>
    <s v="ea7fdf1f-73df-3493-ac4d-eeb822865ee8"/>
    <s v="a735bf55-83e9-331a-899d-a82a60b9f60c"/>
    <x v="9"/>
    <n v="439708006"/>
    <s v="Home visit (procedure)"/>
    <n v="128.53"/>
    <n v="559.92999999999995"/>
    <n v="447.94"/>
    <n v="1871000124103"/>
    <x v="75"/>
  </r>
  <r>
    <s v="f6745f8a-8107-443e-0917-eb156ed458b7"/>
    <d v="2024-01-28T13:38:58"/>
    <d v="2024-01-28T13:53:58"/>
    <s v="f6745f8a-8107-443e-8946-3e6329d20408"/>
    <s v="3c6efeb4-3e73-3d5a-9d45-8fbf9f389bed"/>
    <s v="ea7fdf1f-73df-3493-ac4d-eeb822865ee8"/>
    <s v="a735bf55-83e9-331a-899d-a82a60b9f60c"/>
    <x v="9"/>
    <n v="439708006"/>
    <s v="Home visit (procedure)"/>
    <n v="128.53"/>
    <n v="991.33"/>
    <n v="793.06"/>
    <n v="1871000124103"/>
    <x v="75"/>
  </r>
  <r>
    <s v="f6745f8a-8107-443e-dab7-edfd666a042a"/>
    <d v="2024-07-04T17:10:58"/>
    <d v="2024-07-04T17:25:58"/>
    <s v="f6745f8a-8107-443e-8946-3e6329d20408"/>
    <s v="3b021cb6-4745-3d9d-8436-230055f770bd"/>
    <s v="3aadffc5-0246-3fc8-8981-6c99c5a22e8b"/>
    <s v="a735bf55-83e9-331a-899d-a82a60b9f60c"/>
    <x v="1"/>
    <n v="185345009"/>
    <s v="Encounter for symptom (procedure)"/>
    <n v="85.55"/>
    <n v="85.55"/>
    <n v="0"/>
    <n v="444814009"/>
    <x v="2"/>
  </r>
  <r>
    <s v="f6745f8a-8107-443e-eb62-d5141b7335a3"/>
    <d v="2024-09-10T08:10:58"/>
    <d v="2024-09-10T09:01:59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996.16"/>
    <n v="678.96"/>
    <m/>
    <x v="0"/>
  </r>
  <r>
    <s v="f6745f8a-8107-443e-a06a-e08bf3292dd8"/>
    <d v="2024-09-17T08:10:58"/>
    <d v="2024-09-17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ec75-7f98d40c4e75"/>
    <d v="2025-09-16T08:10:58"/>
    <d v="2025-09-16T08:55:06"/>
    <s v="f6745f8a-8107-443e-8946-3e6329d20408"/>
    <s v="84de2bcf-1b1a-3ce2-9f6d-9e0cb34991f6"/>
    <s v="ed9ec70c-1294-3cdc-9000-97026df08396"/>
    <s v="a735bf55-83e9-331a-899d-a82a60b9f60c"/>
    <x v="0"/>
    <n v="162673000"/>
    <s v="General examination of patient (procedure)"/>
    <n v="136.80000000000001"/>
    <n v="860.16"/>
    <n v="501.72"/>
    <m/>
    <x v="0"/>
  </r>
  <r>
    <s v="f6745f8a-8107-443e-1b33-f84b54b63091"/>
    <d v="2025-09-17T08:10:58"/>
    <d v="2025-09-17T08:25:58"/>
    <s v="f6745f8a-8107-443e-8946-3e6329d20408"/>
    <s v="3b021cb6-4745-3d9d-8436-230055f770bd"/>
    <s v="3aadffc5-0246-3fc8-8981-6c99c5a22e8b"/>
    <s v="a735bf55-83e9-331a-899d-a82a60b9f60c"/>
    <x v="1"/>
    <n v="390906007"/>
    <s v="Follow-up encounter (procedure)"/>
    <n v="85.55"/>
    <n v="234.71"/>
    <n v="187.76"/>
    <n v="55822004"/>
    <x v="52"/>
  </r>
  <r>
    <s v="f6745f8a-8107-443e-1187-788f2ff640da"/>
    <d v="2025-09-30T08:10:58"/>
    <d v="2025-09-30T12:53:55"/>
    <s v="f6745f8a-8107-443e-8946-3e6329d20408"/>
    <s v="3b021cb6-4745-3d9d-8436-230055f770bd"/>
    <s v="3aadffc5-0246-3fc8-8981-6c99c5a22e8b"/>
    <s v="a735bf55-83e9-331a-899d-a82a60b9f60c"/>
    <x v="1"/>
    <n v="185349003"/>
    <s v="Encounter for check up (procedure)"/>
    <n v="85.55"/>
    <n v="4830.95"/>
    <n v="3864.76"/>
    <n v="66383009"/>
    <x v="17"/>
  </r>
  <r>
    <s v="e170fdcd-8830-89c4-4398-14b999d0a106"/>
    <d v="2008-02-03T20:49:36"/>
    <d v="2008-02-03T21:12:47"/>
    <s v="e170fdcd-8830-89c4-94b2-aaf7f35ca9c5"/>
    <s v="5581e43d-0463-3a0b-afc7-a60aea5ac96c"/>
    <s v="a17c450f-fa85-38a5-b97e-b4b9f20611ea"/>
    <s v="0133f751-9229-3cfd-815f-b6d4979bdd6a"/>
    <x v="0"/>
    <n v="410620009"/>
    <s v="Well child visit (procedure)"/>
    <n v="136.80000000000001"/>
    <n v="1428.16"/>
    <n v="0"/>
    <m/>
    <x v="0"/>
  </r>
  <r>
    <s v="e170fdcd-8830-89c4-e134-b547eb8d45a7"/>
    <d v="2009-02-08T20:49:36"/>
    <d v="2009-02-08T21:37:02"/>
    <s v="e170fdcd-8830-89c4-94b2-aaf7f35ca9c5"/>
    <s v="5581e43d-0463-3a0b-afc7-a60aea5ac96c"/>
    <s v="a17c450f-fa85-38a5-b97e-b4b9f20611ea"/>
    <s v="0133f751-9229-3cfd-815f-b6d4979bdd6a"/>
    <x v="0"/>
    <n v="162673000"/>
    <s v="General examination of patient (procedure)"/>
    <n v="136.80000000000001"/>
    <n v="919.9"/>
    <n v="0"/>
    <m/>
    <x v="0"/>
  </r>
  <r>
    <s v="e170fdcd-8830-89c4-378c-6c0a492c834e"/>
    <d v="2010-02-14T20:49:36"/>
    <d v="2010-02-14T21:45:00"/>
    <s v="e170fdcd-8830-89c4-94b2-aaf7f35ca9c5"/>
    <s v="5581e43d-0463-3a0b-afc7-a60aea5ac96c"/>
    <s v="a17c450f-fa85-38a5-b97e-b4b9f20611ea"/>
    <s v="0133f751-9229-3cfd-815f-b6d4979bdd6a"/>
    <x v="0"/>
    <n v="162673000"/>
    <s v="General examination of patient (procedure)"/>
    <n v="136.80000000000001"/>
    <n v="704.2"/>
    <n v="0"/>
    <m/>
    <x v="0"/>
  </r>
  <r>
    <s v="e170fdcd-8830-89c4-13a1-942849671b05"/>
    <d v="2016-02-21T20:49:36"/>
    <d v="2016-02-21T21:20:16"/>
    <s v="e170fdcd-8830-89c4-94b2-aaf7f35ca9c5"/>
    <s v="5581e43d-0463-3a0b-afc7-a60aea5ac96c"/>
    <s v="a17c450f-fa85-38a5-b97e-b4b9f20611ea"/>
    <s v="0133f751-9229-3cfd-815f-b6d4979bdd6a"/>
    <x v="0"/>
    <n v="162673000"/>
    <s v="General examination of patient (procedure)"/>
    <n v="136.80000000000001"/>
    <n v="1233.08"/>
    <n v="0"/>
    <m/>
    <x v="0"/>
  </r>
  <r>
    <s v="e170fdcd-8830-89c4-500c-39ee420a9be8"/>
    <d v="2016-02-28T20:49:36"/>
    <d v="2016-02-28T21:59:26"/>
    <s v="e170fdcd-8830-89c4-94b2-aaf7f35ca9c5"/>
    <s v="2836d9ac-c6a6-39d1-8f13-fdf0fc8928f4"/>
    <s v="51936775-54b2-3316-b84c-195ddefe763c"/>
    <s v="0133f751-9229-3cfd-815f-b6d4979bdd6a"/>
    <x v="1"/>
    <n v="185347001"/>
    <s v="Encounter for problem (procedure)"/>
    <n v="85.55"/>
    <n v="1059.1600000000001"/>
    <n v="0"/>
    <n v="271737000"/>
    <x v="32"/>
  </r>
  <r>
    <s v="e170fdcd-8830-89c4-2e3b-005b54e0d260"/>
    <d v="2016-10-13T21:49:36"/>
    <d v="2016-10-13T22:04:36"/>
    <s v="e170fdcd-8830-89c4-94b2-aaf7f35ca9c5"/>
    <s v="2836d9ac-c6a6-39d1-8f13-fdf0fc8928f4"/>
    <s v="51936775-54b2-3316-b84c-195ddefe763c"/>
    <s v="0133f751-9229-3cfd-815f-b6d4979bdd6a"/>
    <x v="2"/>
    <n v="698314001"/>
    <s v="Consultation for treatment (procedure)"/>
    <n v="142.58000000000001"/>
    <n v="142.58000000000001"/>
    <n v="0"/>
    <n v="389095005"/>
    <x v="15"/>
  </r>
  <r>
    <s v="e170fdcd-8830-89c4-fe09-c25c9ba3997a"/>
    <d v="2017-10-08T21:49:36"/>
    <d v="2017-10-08T22:04:36"/>
    <s v="e170fdcd-8830-89c4-94b2-aaf7f35ca9c5"/>
    <s v="2836d9ac-c6a6-39d1-8f13-fdf0fc8928f4"/>
    <s v="51936775-54b2-3316-b84c-195ddefe763c"/>
    <s v="0133f751-9229-3cfd-815f-b6d4979bdd6a"/>
    <x v="2"/>
    <n v="698314001"/>
    <s v="Consultation for treatment (procedure)"/>
    <n v="142.58000000000001"/>
    <n v="142.58000000000001"/>
    <n v="0"/>
    <n v="389095005"/>
    <x v="15"/>
  </r>
  <r>
    <s v="e170fdcd-8830-89c4-f2e5-9620e0b2017d"/>
    <d v="2018-12-02T20:49:36"/>
    <d v="2018-12-02T21:04:36"/>
    <s v="e170fdcd-8830-89c4-94b2-aaf7f35ca9c5"/>
    <s v="2836d9ac-c6a6-39d1-8f13-fdf0fc8928f4"/>
    <s v="51936775-54b2-3316-b84c-195ddefe763c"/>
    <s v="0133f751-9229-3cfd-815f-b6d4979bdd6a"/>
    <x v="1"/>
    <n v="424441002"/>
    <s v="Prenatal initial visit (regime/therapy)"/>
    <n v="142.58000000000001"/>
    <n v="50121.01"/>
    <n v="26416.21"/>
    <n v="72892002"/>
    <x v="4"/>
  </r>
  <r>
    <s v="e170fdcd-8830-89c4-5dd0-28f5061b3573"/>
    <d v="2018-12-30T20:49:36"/>
    <d v="2018-12-30T21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7777.51"/>
    <n v="7627.51"/>
    <n v="72892002"/>
    <x v="4"/>
  </r>
  <r>
    <s v="e170fdcd-8830-89c4-dc3e-df5839ecc35d"/>
    <d v="2019-01-27T20:49:36"/>
    <d v="2019-01-27T21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7164.82"/>
    <n v="7114.82"/>
    <n v="72892002"/>
    <x v="4"/>
  </r>
  <r>
    <s v="e170fdcd-8830-89c4-4b91-08fd856b4dbd"/>
    <d v="2019-02-24T20:49:36"/>
    <d v="2019-02-24T21:28:02"/>
    <s v="e170fdcd-8830-89c4-94b2-aaf7f35ca9c5"/>
    <s v="5581e43d-0463-3a0b-afc7-a60aea5ac96c"/>
    <s v="a17c450f-fa85-38a5-b97e-b4b9f20611ea"/>
    <s v="df166300-5a78-3502-a46a-832842197811"/>
    <x v="0"/>
    <n v="162673000"/>
    <s v="General examination of patient (procedure)"/>
    <n v="136.80000000000001"/>
    <n v="1155.25"/>
    <n v="1155.25"/>
    <m/>
    <x v="0"/>
  </r>
  <r>
    <s v="e170fdcd-8830-89c4-b95e-ca491774cf5d"/>
    <d v="2019-03-03T20:49:36"/>
    <d v="2019-03-03T21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4665.96"/>
    <n v="4615.96"/>
    <n v="72892002"/>
    <x v="4"/>
  </r>
  <r>
    <s v="e170fdcd-8830-89c4-89de-a8dc7cdaf59c"/>
    <d v="2019-03-10T21:49:36"/>
    <d v="2019-03-11T01:45:22"/>
    <s v="e170fdcd-8830-89c4-94b2-aaf7f35ca9c5"/>
    <s v="2836d9ac-c6a6-39d1-8f13-fdf0fc8928f4"/>
    <s v="51936775-54b2-3316-b84c-195ddefe763c"/>
    <s v="df166300-5a78-3502-a46a-832842197811"/>
    <x v="1"/>
    <n v="185349003"/>
    <s v="Encounter for check up (procedure)"/>
    <n v="85.55"/>
    <n v="3536.75"/>
    <n v="3486.75"/>
    <n v="103697008"/>
    <x v="3"/>
  </r>
  <r>
    <s v="e170fdcd-8830-89c4-6b80-e82ea964a1ed"/>
    <d v="2019-03-31T21:49:36"/>
    <d v="2019-03-31T22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8840.9500000000007"/>
    <n v="8790.9500000000007"/>
    <n v="72892002"/>
    <x v="4"/>
  </r>
  <r>
    <s v="e170fdcd-8830-89c4-95c0-2110538e7355"/>
    <d v="2019-04-28T21:49:36"/>
    <d v="2019-04-28T22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3319.67"/>
    <n v="13269.67"/>
    <n v="72892002"/>
    <x v="4"/>
  </r>
  <r>
    <s v="e170fdcd-8830-89c4-21a3-eb8def4d6e83"/>
    <d v="2019-05-26T21:49:36"/>
    <d v="2019-05-26T22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1451.02"/>
    <n v="11401.02"/>
    <n v="72892002"/>
    <x v="4"/>
  </r>
  <r>
    <s v="e170fdcd-8830-89c4-d689-2970c864a23e"/>
    <d v="2019-06-23T21:49:36"/>
    <d v="2019-06-23T22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13807.17"/>
    <n v="13757.17"/>
    <n v="72892002"/>
    <x v="4"/>
  </r>
  <r>
    <s v="e170fdcd-8830-89c4-b2e0-ea1770cff68f"/>
    <d v="2019-07-07T21:49:36"/>
    <d v="2019-07-07T22:04:36"/>
    <s v="e170fdcd-8830-89c4-94b2-aaf7f35ca9c5"/>
    <s v="2836d9ac-c6a6-39d1-8f13-fdf0fc8928f4"/>
    <s v="51936775-54b2-3316-b84c-195ddefe763c"/>
    <s v="df166300-5a78-3502-a46a-832842197811"/>
    <x v="1"/>
    <n v="424619006"/>
    <s v="Prenatal visit (regime/therapy)"/>
    <n v="142.58000000000001"/>
    <n v="4823.66"/>
    <n v="4773.66"/>
    <n v="72892002"/>
    <x v="4"/>
  </r>
  <r>
    <s v="e170fdcd-8830-89c4-6057-8465f584909a"/>
    <d v="2019-07-14T21:49:36"/>
    <d v="2019-07-14T22:49:36"/>
    <s v="e170fdcd-8830-89c4-94b2-aaf7f35ca9c5"/>
    <s v="8424b5ec-ba0a-32e9-94ae-a9d397884093"/>
    <s v="54fc623c-9647-352d-87ab-74e31055cb9c"/>
    <s v="df166300-5a78-3502-a46a-832842197811"/>
    <x v="3"/>
    <n v="183460006"/>
    <s v="Obstetric emergency hospital admission (procedure)"/>
    <n v="146.18"/>
    <n v="7553.44"/>
    <n v="7503.44"/>
    <n v="72892002"/>
    <x v="4"/>
  </r>
  <r>
    <s v="e170fdcd-8830-89c4-dbec-ff7640dea6fc"/>
    <d v="2019-08-25T21:49:36"/>
    <d v="2019-08-25T22:04:36"/>
    <s v="e170fdcd-8830-89c4-94b2-aaf7f35ca9c5"/>
    <s v="2836d9ac-c6a6-39d1-8f13-fdf0fc8928f4"/>
    <s v="51936775-54b2-3316-b84c-195ddefe763c"/>
    <s v="df166300-5a78-3502-a46a-832842197811"/>
    <x v="1"/>
    <n v="169762003"/>
    <s v="Postnatal visit (regime/therapy)"/>
    <n v="142.58000000000001"/>
    <n v="5438.48"/>
    <n v="5388.48"/>
    <m/>
    <x v="0"/>
  </r>
  <r>
    <s v="e170fdcd-8830-89c4-aee1-3efd4de8d9a2"/>
    <d v="2019-09-28T21:49:36"/>
    <d v="2019-09-28T22:04:36"/>
    <s v="e170fdcd-8830-89c4-94b2-aaf7f35ca9c5"/>
    <s v="2836d9ac-c6a6-39d1-8f13-fdf0fc8928f4"/>
    <s v="51936775-54b2-3316-b84c-195ddefe763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170fdcd-8830-89c4-8bb7-d542ce96c64d"/>
    <d v="2020-09-22T21:49:36"/>
    <d v="2020-09-22T22:04:36"/>
    <s v="e170fdcd-8830-89c4-94b2-aaf7f35ca9c5"/>
    <s v="2836d9ac-c6a6-39d1-8f13-fdf0fc8928f4"/>
    <s v="51936775-54b2-3316-b84c-195ddefe763c"/>
    <s v="734afbd6-4794-363b-9bc0-6a3981533ed5"/>
    <x v="2"/>
    <n v="698314001"/>
    <s v="Consultation for treatment (procedure)"/>
    <n v="142.58000000000001"/>
    <n v="142.58000000000001"/>
    <n v="0"/>
    <n v="389095005"/>
    <x v="15"/>
  </r>
  <r>
    <s v="e170fdcd-8830-89c4-dbc0-d169654503d3"/>
    <d v="2021-05-16T21:49:36"/>
    <d v="2021-05-16T22:04:36"/>
    <s v="e170fdcd-8830-89c4-94b2-aaf7f35ca9c5"/>
    <s v="2836d9ac-c6a6-39d1-8f13-fdf0fc8928f4"/>
    <s v="51936775-54b2-3316-b84c-195ddefe763c"/>
    <s v="734afbd6-4794-363b-9bc0-6a3981533ed5"/>
    <x v="2"/>
    <n v="33879002"/>
    <s v="Administration of vaccine to produce active immunity (procedure)"/>
    <n v="142.58000000000001"/>
    <n v="278.58"/>
    <n v="0"/>
    <m/>
    <x v="0"/>
  </r>
  <r>
    <s v="e170fdcd-8830-89c4-86f9-7c932d99fac5"/>
    <d v="2021-06-06T21:49:36"/>
    <d v="2021-06-06T22:04:36"/>
    <s v="e170fdcd-8830-89c4-94b2-aaf7f35ca9c5"/>
    <s v="2836d9ac-c6a6-39d1-8f13-fdf0fc8928f4"/>
    <s v="51936775-54b2-3316-b84c-195ddefe763c"/>
    <s v="734afbd6-4794-363b-9bc0-6a3981533ed5"/>
    <x v="2"/>
    <n v="33879002"/>
    <s v="Administration of vaccine to produce active immunity (procedure)"/>
    <n v="142.58000000000001"/>
    <n v="278.58"/>
    <n v="0"/>
    <m/>
    <x v="0"/>
  </r>
  <r>
    <s v="e170fdcd-8830-89c4-4ea2-ac7930ba5f66"/>
    <d v="2021-09-17T21:49:36"/>
    <d v="2021-09-17T22:04:36"/>
    <s v="e170fdcd-8830-89c4-94b2-aaf7f35ca9c5"/>
    <s v="2836d9ac-c6a6-39d1-8f13-fdf0fc8928f4"/>
    <s v="51936775-54b2-3316-b84c-195ddefe763c"/>
    <s v="734afbd6-4794-363b-9bc0-6a3981533ed5"/>
    <x v="2"/>
    <n v="698314001"/>
    <s v="Consultation for treatment (procedure)"/>
    <n v="142.58000000000001"/>
    <n v="142.58000000000001"/>
    <n v="0"/>
    <n v="389095005"/>
    <x v="15"/>
  </r>
  <r>
    <s v="e170fdcd-8830-89c4-7b17-28a759583522"/>
    <d v="2022-02-27T20:49:36"/>
    <d v="2022-02-27T21:39:12"/>
    <s v="e170fdcd-8830-89c4-94b2-aaf7f35ca9c5"/>
    <s v="5581e43d-0463-3a0b-afc7-a60aea5ac96c"/>
    <s v="a17c450f-fa85-38a5-b97e-b4b9f20611ea"/>
    <s v="734afbd6-4794-363b-9bc0-6a3981533ed5"/>
    <x v="0"/>
    <n v="162673000"/>
    <s v="General examination of patient (procedure)"/>
    <n v="136.80000000000001"/>
    <n v="1211.8599999999999"/>
    <n v="0"/>
    <m/>
    <x v="0"/>
  </r>
  <r>
    <s v="e170fdcd-8830-89c4-9120-6ed7cd497e8a"/>
    <d v="2022-03-13T21:49:36"/>
    <d v="2022-03-14T00:28:42"/>
    <s v="e170fdcd-8830-89c4-94b2-aaf7f35ca9c5"/>
    <s v="2836d9ac-c6a6-39d1-8f13-fdf0fc8928f4"/>
    <s v="51936775-54b2-3316-b84c-195ddefe763c"/>
    <s v="734afbd6-4794-363b-9bc0-6a3981533ed5"/>
    <x v="1"/>
    <n v="185349003"/>
    <s v="Encounter for check up (procedure)"/>
    <n v="85.55"/>
    <n v="3105.35"/>
    <n v="2287.37"/>
    <n v="66383009"/>
    <x v="17"/>
  </r>
  <r>
    <s v="e170fdcd-8830-89c4-dd94-c2b563fc01de"/>
    <d v="2022-09-12T21:49:36"/>
    <d v="2022-09-12T22:04:36"/>
    <s v="e170fdcd-8830-89c4-94b2-aaf7f35ca9c5"/>
    <s v="2836d9ac-c6a6-39d1-8f13-fdf0fc8928f4"/>
    <s v="51936775-54b2-3316-b84c-195ddefe763c"/>
    <s v="734afbd6-4794-363b-9bc0-6a3981533ed5"/>
    <x v="2"/>
    <n v="698314001"/>
    <s v="Consultation for treatment (procedure)"/>
    <n v="142.58000000000001"/>
    <n v="142.58000000000001"/>
    <n v="114.06"/>
    <n v="389095005"/>
    <x v="15"/>
  </r>
  <r>
    <s v="e170fdcd-8830-89c4-9ea9-0bc183f2a9f1"/>
    <d v="2023-04-16T21:49:36"/>
    <d v="2023-04-16T22:04:36"/>
    <s v="e170fdcd-8830-89c4-94b2-aaf7f35ca9c5"/>
    <s v="2836d9ac-c6a6-39d1-8f13-fdf0fc8928f4"/>
    <s v="51936775-54b2-3316-b84c-195ddefe763c"/>
    <s v="734afbd6-4794-363b-9bc0-6a3981533ed5"/>
    <x v="1"/>
    <n v="424441002"/>
    <s v="Prenatal initial visit (regime/therapy)"/>
    <n v="142.58000000000001"/>
    <n v="46946.42"/>
    <n v="36390.74"/>
    <n v="72892002"/>
    <x v="4"/>
  </r>
  <r>
    <s v="e170fdcd-8830-89c4-4111-49f1d96e3d36"/>
    <d v="2023-05-14T21:49:36"/>
    <d v="2023-05-14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8032.310000000001"/>
    <n v="18032.310000000001"/>
    <n v="72892002"/>
    <x v="4"/>
  </r>
  <r>
    <s v="e170fdcd-8830-89c4-e136-852e9738b2d4"/>
    <d v="2023-06-11T21:49:36"/>
    <d v="2023-06-11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8279.87"/>
    <n v="18279.87"/>
    <n v="72892002"/>
    <x v="4"/>
  </r>
  <r>
    <s v="e170fdcd-8830-89c4-a01f-5ee7bd779688"/>
    <d v="2023-07-09T21:49:36"/>
    <d v="2023-07-09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4816.07"/>
    <n v="14816.07"/>
    <n v="72892002"/>
    <x v="4"/>
  </r>
  <r>
    <s v="e170fdcd-8830-89c4-3f13-b474e9c7c876"/>
    <d v="2023-08-06T21:49:36"/>
    <d v="2023-08-06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6388.02"/>
    <n v="6388.02"/>
    <n v="72892002"/>
    <x v="4"/>
  </r>
  <r>
    <s v="e170fdcd-8830-89c4-378a-2a1739aca245"/>
    <d v="2023-09-03T21:49:36"/>
    <d v="2023-09-03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23070.61"/>
    <n v="23070.61"/>
    <n v="72892002"/>
    <x v="4"/>
  </r>
  <r>
    <s v="e170fdcd-8830-89c4-6671-f76ad1e24668"/>
    <d v="2023-10-01T21:49:36"/>
    <d v="2023-10-01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1451.02"/>
    <n v="11451.02"/>
    <n v="72892002"/>
    <x v="4"/>
  </r>
  <r>
    <s v="e170fdcd-8830-89c4-1ac7-008920c45254"/>
    <d v="2023-10-29T21:49:36"/>
    <d v="2023-10-29T22:04:36"/>
    <s v="e170fdcd-8830-89c4-94b2-aaf7f35ca9c5"/>
    <s v="2836d9ac-c6a6-39d1-8f13-fdf0fc8928f4"/>
    <s v="51936775-54b2-3316-b84c-195ddefe763c"/>
    <s v="734afbd6-4794-363b-9bc0-6a3981533ed5"/>
    <x v="1"/>
    <n v="424619006"/>
    <s v="Prenatal visit (regime/therapy)"/>
    <n v="142.58000000000001"/>
    <n v="12062.66"/>
    <n v="12062.66"/>
    <n v="72892002"/>
    <x v="4"/>
  </r>
  <r>
    <s v="e170fdcd-8830-89c4-7c57-3702ffc678fb"/>
    <d v="2023-11-12T20:49:36"/>
    <d v="2023-11-12T21:49:36"/>
    <s v="e170fdcd-8830-89c4-94b2-aaf7f35ca9c5"/>
    <s v="8424b5ec-ba0a-32e9-94ae-a9d397884093"/>
    <s v="54fc623c-9647-352d-87ab-74e31055cb9c"/>
    <s v="734afbd6-4794-363b-9bc0-6a3981533ed5"/>
    <x v="3"/>
    <n v="183460006"/>
    <s v="Obstetric emergency hospital admission (procedure)"/>
    <n v="146.18"/>
    <n v="5714.07"/>
    <n v="5714.07"/>
    <n v="72892002"/>
    <x v="4"/>
  </r>
  <r>
    <s v="e170fdcd-8830-89c4-680e-f73ec890fa07"/>
    <d v="2023-12-24T20:49:36"/>
    <d v="2023-12-24T21:04:36"/>
    <s v="e170fdcd-8830-89c4-94b2-aaf7f35ca9c5"/>
    <s v="2836d9ac-c6a6-39d1-8f13-fdf0fc8928f4"/>
    <s v="51936775-54b2-3316-b84c-195ddefe763c"/>
    <s v="df166300-5a78-3502-a46a-832842197811"/>
    <x v="1"/>
    <n v="169762003"/>
    <s v="Postnatal visit (regime/therapy)"/>
    <n v="142.58000000000001"/>
    <n v="2113.65"/>
    <n v="1963.65"/>
    <m/>
    <x v="0"/>
  </r>
  <r>
    <s v="e170fdcd-8830-89c4-caef-dd14d84dee74"/>
    <d v="2023-12-31T20:49:36"/>
    <d v="2023-12-31T21:04:36"/>
    <s v="e170fdcd-8830-89c4-94b2-aaf7f35ca9c5"/>
    <s v="2836d9ac-c6a6-39d1-8f13-fdf0fc8928f4"/>
    <s v="51936775-54b2-3316-b84c-195ddefe763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170fdcd-8830-89c4-94ae-234355fecdec"/>
    <d v="2024-12-25T20:49:36"/>
    <d v="2024-12-25T21:04:36"/>
    <s v="e170fdcd-8830-89c4-94b2-aaf7f35ca9c5"/>
    <s v="2836d9ac-c6a6-39d1-8f13-fdf0fc8928f4"/>
    <s v="51936775-54b2-3316-b84c-195ddefe763c"/>
    <s v="0133f751-9229-3cfd-815f-b6d4979bdd6a"/>
    <x v="2"/>
    <n v="698314001"/>
    <s v="Consultation for treatment (procedure)"/>
    <n v="142.58000000000001"/>
    <n v="142.58000000000001"/>
    <n v="0"/>
    <n v="389095005"/>
    <x v="15"/>
  </r>
  <r>
    <s v="e170fdcd-8830-89c4-9c6c-bb22dffd831c"/>
    <d v="2024-12-29T13:49:36"/>
    <d v="2024-12-29T14:53:55"/>
    <s v="e170fdcd-8830-89c4-94b2-aaf7f35ca9c5"/>
    <s v="2836d9ac-c6a6-39d1-8f13-fdf0fc8928f4"/>
    <s v="51936775-54b2-3316-b84c-195ddefe763c"/>
    <s v="0133f751-9229-3cfd-815f-b6d4979bdd6a"/>
    <x v="2"/>
    <n v="308335008"/>
    <s v="Patient encounter procedure (procedure)"/>
    <n v="142.58000000000001"/>
    <n v="4052.91"/>
    <n v="0"/>
    <n v="389095005"/>
    <x v="15"/>
  </r>
  <r>
    <s v="e170fdcd-8830-89c4-f3ad-500cfe98531c"/>
    <d v="2025-03-02T20:49:36"/>
    <d v="2025-03-02T21:22:57"/>
    <s v="e170fdcd-8830-89c4-94b2-aaf7f35ca9c5"/>
    <s v="5581e43d-0463-3a0b-afc7-a60aea5ac96c"/>
    <s v="a17c450f-fa85-38a5-b97e-b4b9f20611ea"/>
    <s v="0133f751-9229-3cfd-815f-b6d4979bdd6a"/>
    <x v="0"/>
    <n v="162673000"/>
    <s v="General examination of patient (procedure)"/>
    <n v="136.80000000000001"/>
    <n v="1765.93"/>
    <n v="0"/>
    <m/>
    <x v="0"/>
  </r>
  <r>
    <s v="e170fdcd-8830-89c4-e01a-cf11452701f0"/>
    <d v="2025-03-16T21:49:36"/>
    <d v="2025-03-17T05:02:24"/>
    <s v="e170fdcd-8830-89c4-94b2-aaf7f35ca9c5"/>
    <s v="2836d9ac-c6a6-39d1-8f13-fdf0fc8928f4"/>
    <s v="51936775-54b2-3316-b84c-195ddefe763c"/>
    <s v="0133f751-9229-3cfd-815f-b6d4979bdd6a"/>
    <x v="1"/>
    <n v="185349003"/>
    <s v="Encounter for check up (procedure)"/>
    <n v="85.55"/>
    <n v="5262.35"/>
    <n v="3157.41"/>
    <n v="66383009"/>
    <x v="17"/>
  </r>
  <r>
    <s v="e170fdcd-8830-89c4-412a-62fa538e78b2"/>
    <d v="2025-09-01T08:49:36"/>
    <d v="2025-09-01T09:04:36"/>
    <s v="e170fdcd-8830-89c4-94b2-aaf7f35ca9c5"/>
    <s v="2836d9ac-c6a6-39d1-8f13-fdf0fc8928f4"/>
    <s v="51936775-54b2-3316-b84c-195ddefe763c"/>
    <s v="0133f751-9229-3cfd-815f-b6d4979bdd6a"/>
    <x v="1"/>
    <n v="185345009"/>
    <s v="Encounter for symptom (procedure)"/>
    <n v="85.55"/>
    <n v="85.55"/>
    <n v="51.33"/>
    <n v="444814009"/>
    <x v="2"/>
  </r>
  <r>
    <s v="e170fdcd-8830-89c4-5416-88c878948691"/>
    <d v="2025-12-24T14:53:55"/>
    <d v="2025-12-24T15:08:55"/>
    <s v="e170fdcd-8830-89c4-94b2-aaf7f35ca9c5"/>
    <s v="2836d9ac-c6a6-39d1-8f13-fdf0fc8928f4"/>
    <s v="51936775-54b2-3316-b84c-195ddefe763c"/>
    <s v="0133f751-9229-3cfd-815f-b6d4979bdd6a"/>
    <x v="2"/>
    <n v="698314001"/>
    <s v="Consultation for treatment (procedure)"/>
    <n v="142.58000000000001"/>
    <n v="142.58000000000001"/>
    <n v="0"/>
    <n v="389095005"/>
    <x v="15"/>
  </r>
  <r>
    <s v="d21fc5fa-6dc5-8058-6429-d512a7d040c4"/>
    <d v="2016-07-10T19:25:26"/>
    <d v="2016-07-10T19:41:55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704.2"/>
    <n v="0"/>
    <m/>
    <x v="0"/>
  </r>
  <r>
    <s v="d21fc5fa-6dc5-8058-0483-5028718ee63d"/>
    <d v="2017-07-16T19:25:26"/>
    <d v="2017-07-16T19:40:26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1186.78"/>
    <n v="0"/>
    <m/>
    <x v="0"/>
  </r>
  <r>
    <s v="d21fc5fa-6dc5-8058-e632-38d1e7468329"/>
    <d v="2017-07-23T19:25:26"/>
    <d v="2017-07-23T23:06:49"/>
    <s v="d21fc5fa-6dc5-8058-1d11-5fd631086b72"/>
    <s v="1ab2b5f9-cb95-3236-beec-9b9d4a407c61"/>
    <s v="d8aa8286-f3b9-3003-8cb9-5985e301d798"/>
    <s v="b046940f-1664-3047-bca7-dfa76be352a4"/>
    <x v="1"/>
    <n v="185349003"/>
    <s v="Encounter for check up (procedure)"/>
    <n v="85.55"/>
    <n v="3536.75"/>
    <n v="247.43"/>
    <n v="66383009"/>
    <x v="17"/>
  </r>
  <r>
    <s v="d21fc5fa-6dc5-8058-5858-2920bf4f4c8d"/>
    <d v="2018-02-18T18:25:26"/>
    <d v="2018-02-18T19:25:26"/>
    <s v="d21fc5fa-6dc5-8058-1d11-5fd631086b72"/>
    <s v="0cc04ba5-137a-3ef8-acda-e79b25960b2a"/>
    <s v="56bcd94f-4d2f-3701-a4e4-7c7259261477"/>
    <s v="b046940f-1664-3047-bca7-dfa76be352a4"/>
    <x v="3"/>
    <n v="50849002"/>
    <s v="Emergency room admission (procedure)"/>
    <n v="146.18"/>
    <n v="12382.91"/>
    <n v="8668.0400000000009"/>
    <n v="312608009"/>
    <x v="20"/>
  </r>
  <r>
    <s v="d21fc5fa-6dc5-8058-ec64-93bc980a03a9"/>
    <d v="2018-07-22T19:25:26"/>
    <d v="2018-07-22T19:42:12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1077.54"/>
    <n v="0"/>
    <m/>
    <x v="0"/>
  </r>
  <r>
    <s v="d21fc5fa-6dc5-8058-e1c1-05787c5051d5"/>
    <d v="2018-08-24T01:25:26"/>
    <d v="2018-08-24T01:40:26"/>
    <s v="d21fc5fa-6dc5-8058-1d11-5fd631086b72"/>
    <s v="1ab2b5f9-cb95-3236-beec-9b9d4a407c61"/>
    <s v="d8aa8286-f3b9-3003-8cb9-5985e301d798"/>
    <s v="b046940f-1664-3047-bca7-dfa76be352a4"/>
    <x v="1"/>
    <n v="185345009"/>
    <s v="Encounter for symptom (procedure)"/>
    <n v="85.55"/>
    <n v="85.55"/>
    <n v="0"/>
    <n v="444814009"/>
    <x v="2"/>
  </r>
  <r>
    <s v="d21fc5fa-6dc5-8058-e719-9e37f1a2b82c"/>
    <d v="2019-04-12T05:25:26"/>
    <d v="2019-04-12T05:40:26"/>
    <s v="d21fc5fa-6dc5-8058-1d11-5fd631086b72"/>
    <s v="1ab2b5f9-cb95-3236-beec-9b9d4a407c61"/>
    <s v="d8aa8286-f3b9-3003-8cb9-5985e301d798"/>
    <s v="b046940f-1664-3047-bca7-dfa76be352a4"/>
    <x v="1"/>
    <n v="185345009"/>
    <s v="Encounter for symptom (procedure)"/>
    <n v="85.55"/>
    <n v="948.35"/>
    <n v="0"/>
    <n v="195662009"/>
    <x v="9"/>
  </r>
  <r>
    <s v="d21fc5fa-6dc5-8058-1c16-1923a49188f3"/>
    <d v="2019-07-28T19:25:26"/>
    <d v="2019-07-28T19:40:26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1055.9000000000001"/>
    <n v="0"/>
    <m/>
    <x v="0"/>
  </r>
  <r>
    <s v="d21fc5fa-6dc5-8058-57b1-b8f5313b7798"/>
    <d v="2020-08-02T19:25:26"/>
    <d v="2020-08-02T19:40:26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704.2"/>
    <n v="0"/>
    <m/>
    <x v="0"/>
  </r>
  <r>
    <s v="d21fc5fa-6dc5-8058-9882-07f54998bc35"/>
    <d v="2021-05-30T19:25:26"/>
    <d v="2021-05-30T19:40:26"/>
    <s v="d21fc5fa-6dc5-8058-1d11-5fd631086b72"/>
    <s v="1ab2b5f9-cb95-3236-beec-9b9d4a407c61"/>
    <s v="d8aa8286-f3b9-3003-8cb9-5985e301d798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d21fc5fa-6dc5-8058-ef56-6376e4397ab1"/>
    <d v="2021-06-20T19:25:26"/>
    <d v="2021-06-20T19:40:26"/>
    <s v="d21fc5fa-6dc5-8058-1d11-5fd631086b72"/>
    <s v="1ab2b5f9-cb95-3236-beec-9b9d4a407c61"/>
    <s v="d8aa8286-f3b9-3003-8cb9-5985e301d798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d21fc5fa-6dc5-8058-e8bf-d0b76c9a54c0"/>
    <d v="2021-08-08T19:25:26"/>
    <d v="2021-08-08T19:46:01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704.2"/>
    <n v="0"/>
    <m/>
    <x v="0"/>
  </r>
  <r>
    <s v="d21fc5fa-6dc5-8058-cb44-81e3e77b7eaa"/>
    <d v="2021-08-22T19:25:26"/>
    <d v="2021-08-22T22:35:43"/>
    <s v="d21fc5fa-6dc5-8058-1d11-5fd631086b72"/>
    <s v="1ab2b5f9-cb95-3236-beec-9b9d4a407c61"/>
    <s v="d8aa8286-f3b9-3003-8cb9-5985e301d798"/>
    <s v="b046940f-1664-3047-bca7-dfa76be352a4"/>
    <x v="1"/>
    <n v="185349003"/>
    <s v="Encounter for check up (procedure)"/>
    <n v="85.55"/>
    <n v="2673.95"/>
    <n v="0"/>
    <n v="103697008"/>
    <x v="3"/>
  </r>
  <r>
    <s v="d21fc5fa-6dc5-8058-05e2-89d8eb3614da"/>
    <d v="2022-08-14T19:25:26"/>
    <d v="2022-08-14T19:44:23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1657.19"/>
    <n v="0"/>
    <m/>
    <x v="0"/>
  </r>
  <r>
    <s v="d21fc5fa-6dc5-8058-57ae-c3622afc213f"/>
    <d v="2023-07-31T09:48:55"/>
    <d v="2023-07-31T10:03:55"/>
    <s v="d21fc5fa-6dc5-8058-1d11-5fd631086b72"/>
    <s v="1ab2b5f9-cb95-3236-beec-9b9d4a407c61"/>
    <s v="d8aa8286-f3b9-3003-8cb9-5985e301d798"/>
    <s v="b046940f-1664-3047-bca7-dfa76be352a4"/>
    <x v="1"/>
    <n v="185345009"/>
    <s v="Encounter for symptom (procedure)"/>
    <n v="85.55"/>
    <n v="85.55"/>
    <n v="0"/>
    <n v="10509002"/>
    <x v="1"/>
  </r>
  <r>
    <s v="d21fc5fa-6dc5-8058-ad8a-7f2a2c541cd2"/>
    <d v="2023-08-20T19:25:26"/>
    <d v="2023-08-20T19:42:40"/>
    <s v="d21fc5fa-6dc5-8058-1d11-5fd631086b72"/>
    <s v="371948e4-733a-33b6-a835-68abefdeb59f"/>
    <s v="24115b7b-28b4-3c6c-88dd-a0b3b9d961a9"/>
    <s v="b046940f-1664-3047-bca7-dfa76be352a4"/>
    <x v="0"/>
    <n v="410620009"/>
    <s v="Well child visit (procedure)"/>
    <n v="136.80000000000001"/>
    <n v="919.9"/>
    <n v="0"/>
    <m/>
    <x v="0"/>
  </r>
  <r>
    <s v="d21fc5fa-6dc5-8058-de3a-a521dc09a203"/>
    <d v="2023-09-03T19:25:26"/>
    <d v="2023-09-04T01:39:07"/>
    <s v="d21fc5fa-6dc5-8058-1d11-5fd631086b72"/>
    <s v="1ab2b5f9-cb95-3236-beec-9b9d4a407c61"/>
    <s v="d8aa8286-f3b9-3003-8cb9-5985e301d798"/>
    <s v="b046940f-1664-3047-bca7-dfa76be352a4"/>
    <x v="1"/>
    <n v="185349003"/>
    <s v="Encounter for check up (procedure)"/>
    <n v="85.55"/>
    <n v="5262.35"/>
    <n v="1456.83"/>
    <n v="103697008"/>
    <x v="3"/>
  </r>
  <r>
    <s v="d21fc5fa-6dc5-8058-4d26-d82a73f4e850"/>
    <d v="2024-08-06T19:25:26"/>
    <d v="2024-08-06T19:40:26"/>
    <s v="d21fc5fa-6dc5-8058-1d11-5fd631086b72"/>
    <s v="1ab2b5f9-cb95-3236-beec-9b9d4a407c61"/>
    <s v="d8aa8286-f3b9-3003-8cb9-5985e301d798"/>
    <s v="b046940f-1664-3047-bca7-dfa76be352a4"/>
    <x v="2"/>
    <n v="185347001"/>
    <s v="Encounter for problem (procedure)"/>
    <n v="85.55"/>
    <n v="85.55"/>
    <n v="0"/>
    <n v="82423001"/>
    <x v="33"/>
  </r>
  <r>
    <s v="d21fc5fa-6dc5-8058-6128-b15e21b71f12"/>
    <d v="2024-08-09T19:25:26"/>
    <d v="2024-08-09T20:11:00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0"/>
    <n v="82423001"/>
    <x v="33"/>
  </r>
  <r>
    <s v="d21fc5fa-6dc5-8058-de55-e62f6c39d573"/>
    <d v="2024-08-12T20:11:00"/>
    <d v="2024-08-12T21:09:03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0"/>
    <n v="82423001"/>
    <x v="33"/>
  </r>
  <r>
    <s v="d21fc5fa-6dc5-8058-1622-47214fb7b02f"/>
    <d v="2024-08-15T21:09:03"/>
    <d v="2024-08-15T21:56:16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0"/>
    <n v="82423001"/>
    <x v="33"/>
  </r>
  <r>
    <s v="d21fc5fa-6dc5-8058-aa5b-388cb64b40ba"/>
    <d v="2024-08-25T19:25:26"/>
    <d v="2024-08-25T20:09:21"/>
    <s v="d21fc5fa-6dc5-8058-1d11-5fd631086b72"/>
    <s v="371948e4-733a-33b6-a835-68abefdeb59f"/>
    <s v="24115b7b-28b4-3c6c-88dd-a0b3b9d961a9"/>
    <s v="b046940f-1664-3047-bca7-dfa76be352a4"/>
    <x v="0"/>
    <n v="162673000"/>
    <s v="General examination of patient (procedure)"/>
    <n v="136.80000000000001"/>
    <n v="919.9"/>
    <n v="0"/>
    <m/>
    <x v="0"/>
  </r>
  <r>
    <s v="d21fc5fa-6dc5-8058-b339-809c2a3c4d98"/>
    <d v="2024-09-01T19:25:26"/>
    <d v="2024-09-01T20:22:24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0"/>
    <n v="82423001"/>
    <x v="33"/>
  </r>
  <r>
    <s v="d21fc5fa-6dc5-8058-2e05-eb8d1865124d"/>
    <d v="2024-09-04T20:22:24"/>
    <d v="2024-09-04T21:08:54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0"/>
    <n v="82423001"/>
    <x v="33"/>
  </r>
  <r>
    <s v="d21fc5fa-6dc5-8058-eba3-cc9f60d0658e"/>
    <d v="2024-09-07T21:08:54"/>
    <d v="2024-09-07T21:59:14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146.44999999999999"/>
    <n v="82423001"/>
    <x v="33"/>
  </r>
  <r>
    <s v="d21fc5fa-6dc5-8058-c85d-89127d9ee09e"/>
    <d v="2024-09-15T19:25:26"/>
    <d v="2024-09-15T22:21:49"/>
    <s v="d21fc5fa-6dc5-8058-1d11-5fd631086b72"/>
    <s v="1ab2b5f9-cb95-3236-beec-9b9d4a407c61"/>
    <s v="d8aa8286-f3b9-3003-8cb9-5985e301d798"/>
    <s v="b046940f-1664-3047-bca7-dfa76be352a4"/>
    <x v="1"/>
    <n v="185349003"/>
    <s v="Encounter for check up (procedure)"/>
    <n v="85.55"/>
    <n v="3105.35"/>
    <n v="2173.7399999999998"/>
    <n v="103697008"/>
    <x v="3"/>
  </r>
  <r>
    <s v="d21fc5fa-6dc5-8058-2a98-f5c2edec78ac"/>
    <d v="2024-09-22T19:25:26"/>
    <d v="2024-09-22T20:22:40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401.79"/>
    <n v="82423001"/>
    <x v="33"/>
  </r>
  <r>
    <s v="d21fc5fa-6dc5-8058-a4a9-10d4b5c3d238"/>
    <d v="2024-09-25T20:22:40"/>
    <d v="2024-09-25T21:11:16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401.79"/>
    <n v="82423001"/>
    <x v="33"/>
  </r>
  <r>
    <s v="d21fc5fa-6dc5-8058-ebfd-12db78d3a11d"/>
    <d v="2024-09-28T21:11:16"/>
    <d v="2024-09-28T22:05:57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401.79"/>
    <n v="82423001"/>
    <x v="33"/>
  </r>
  <r>
    <s v="d21fc5fa-6dc5-8058-9b52-cf2ce3b5d068"/>
    <d v="2024-10-01T22:05:57"/>
    <d v="2024-10-01T22:53:35"/>
    <s v="d21fc5fa-6dc5-8058-1d11-5fd631086b72"/>
    <s v="1ab2b5f9-cb95-3236-beec-9b9d4a407c61"/>
    <s v="d8aa8286-f3b9-3003-8cb9-5985e301d798"/>
    <s v="b046940f-1664-3047-bca7-dfa76be352a4"/>
    <x v="1"/>
    <n v="308335008"/>
    <s v="Patient encounter procedure (procedure)"/>
    <n v="142.58000000000001"/>
    <n v="573.98"/>
    <n v="401.79"/>
    <n v="82423001"/>
    <x v="33"/>
  </r>
  <r>
    <s v="d21fc5fa-6dc5-8058-d7b7-ce56295cecbe"/>
    <d v="2025-08-31T19:25:26"/>
    <d v="2025-08-31T20:12:30"/>
    <s v="d21fc5fa-6dc5-8058-1d11-5fd631086b72"/>
    <s v="371948e4-733a-33b6-a835-68abefdeb59f"/>
    <s v="24115b7b-28b4-3c6c-88dd-a0b3b9d961a9"/>
    <s v="b046940f-1664-3047-bca7-dfa76be352a4"/>
    <x v="0"/>
    <n v="162673000"/>
    <s v="General examination of patient (procedure)"/>
    <n v="136.80000000000001"/>
    <n v="1314.44"/>
    <n v="0"/>
    <m/>
    <x v="0"/>
  </r>
  <r>
    <s v="2e9a9dab-f5b6-8960-c661-a66a9a9263d9"/>
    <d v="1993-01-10T13:07:17"/>
    <d v="1993-01-10T13:22:17"/>
    <s v="2e9a9dab-f5b6-8960-d3ce-7834bb5e7344"/>
    <s v="5fcff9db-16e4-3e56-aa78-abbc16338097"/>
    <s v="ef159c90-21f2-34a3-ab95-4c0598b5fedf"/>
    <s v="26aab0cd-6aba-3e1b-ac5b-05c8867e762c"/>
    <x v="1"/>
    <n v="185345009"/>
    <s v="Encounter for symptom (procedure)"/>
    <n v="85.55"/>
    <n v="516.95000000000005"/>
    <n v="0"/>
    <n v="233678006"/>
    <x v="12"/>
  </r>
  <r>
    <s v="2e9a9dab-f5b6-8960-c67c-5fa51fbde64d"/>
    <d v="2008-03-09T14:07:17"/>
    <d v="2008-03-09T14:39:05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241.42"/>
    <n v="0"/>
    <m/>
    <x v="0"/>
  </r>
  <r>
    <s v="2e9a9dab-f5b6-8960-e3a9-faf4c1186290"/>
    <d v="2009-03-15T14:07:17"/>
    <d v="2009-03-15T14:44:14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919.9"/>
    <n v="0"/>
    <m/>
    <x v="0"/>
  </r>
  <r>
    <s v="2e9a9dab-f5b6-8960-8e61-884091e1159b"/>
    <d v="2010-03-21T14:07:17"/>
    <d v="2010-03-21T14:53:37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840.2"/>
    <n v="0"/>
    <m/>
    <x v="0"/>
  </r>
  <r>
    <s v="2e9a9dab-f5b6-8960-80ce-a8862d53702e"/>
    <d v="2011-03-27T14:07:17"/>
    <d v="2011-03-27T14:42:59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195.8"/>
    <n v="0"/>
    <m/>
    <x v="0"/>
  </r>
  <r>
    <s v="2e9a9dab-f5b6-8960-800e-fe365f13e5c4"/>
    <d v="2015-04-19T14:07:17"/>
    <d v="2015-04-19T15:03:38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259.51"/>
    <n v="0"/>
    <m/>
    <x v="0"/>
  </r>
  <r>
    <s v="2e9a9dab-f5b6-8960-1728-ec60c96081b2"/>
    <d v="2015-08-20T14:07:17"/>
    <d v="2015-08-20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005.38"/>
    <n v="603.23"/>
    <n v="156073000"/>
    <x v="26"/>
  </r>
  <r>
    <s v="2e9a9dab-f5b6-8960-2419-1582617bc0cb"/>
    <d v="2016-04-24T14:07:17"/>
    <d v="2016-04-24T15:03:10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075.8599999999999"/>
    <n v="0"/>
    <m/>
    <x v="0"/>
  </r>
  <r>
    <s v="2e9a9dab-f5b6-8960-ee45-157441827b80"/>
    <d v="2016-07-24T14:07:17"/>
    <d v="2016-07-24T14:22:17"/>
    <s v="2e9a9dab-f5b6-8960-d3ce-7834bb5e7344"/>
    <s v="5fcff9db-16e4-3e56-aa78-abbc16338097"/>
    <s v="ef159c90-21f2-34a3-ab95-4c0598b5fedf"/>
    <s v="26aab0cd-6aba-3e1b-ac5b-05c8867e762c"/>
    <x v="1"/>
    <n v="424441002"/>
    <s v="Prenatal initial visit (regime/therapy)"/>
    <n v="142.58000000000001"/>
    <n v="45246.93"/>
    <n v="26932.93"/>
    <n v="72892002"/>
    <x v="4"/>
  </r>
  <r>
    <s v="2e9a9dab-f5b6-8960-a49b-dca1b115bc0a"/>
    <d v="2016-09-18T14:07:17"/>
    <d v="2016-09-18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2809.04"/>
    <n v="12809.04"/>
    <n v="72892002"/>
    <x v="4"/>
  </r>
  <r>
    <s v="2e9a9dab-f5b6-8960-8e4e-db82892d0dd2"/>
    <d v="2016-10-16T14:07:17"/>
    <d v="2016-10-16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6226.48"/>
    <n v="6226.48"/>
    <n v="72892002"/>
    <x v="4"/>
  </r>
  <r>
    <s v="2e9a9dab-f5b6-8960-535a-df58135132c4"/>
    <d v="2016-11-13T13:07:17"/>
    <d v="2016-11-13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0795.35"/>
    <n v="10795.35"/>
    <n v="72892002"/>
    <x v="4"/>
  </r>
  <r>
    <s v="2e9a9dab-f5b6-8960-6be3-a74db4babe03"/>
    <d v="2016-12-11T13:07:17"/>
    <d v="2016-12-11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3505.71"/>
    <n v="13505.71"/>
    <n v="72892002"/>
    <x v="4"/>
  </r>
  <r>
    <s v="2e9a9dab-f5b6-8960-d9ae-f817b94edd12"/>
    <d v="2017-01-08T13:07:17"/>
    <d v="2017-01-08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4665.96"/>
    <n v="4665.96"/>
    <n v="72892002"/>
    <x v="4"/>
  </r>
  <r>
    <s v="2e9a9dab-f5b6-8960-12e4-bed3919e6879"/>
    <d v="2017-02-05T13:07:17"/>
    <d v="2017-02-05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5528.76"/>
    <n v="0"/>
    <n v="72892002"/>
    <x v="4"/>
  </r>
  <r>
    <s v="2e9a9dab-f5b6-8960-6eeb-88797b59fdd7"/>
    <d v="2017-02-19T13:07:17"/>
    <d v="2017-02-19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6727.22"/>
    <n v="9697.18"/>
    <n v="72892002"/>
    <x v="4"/>
  </r>
  <r>
    <s v="2e9a9dab-f5b6-8960-b10a-3b1a4033da24"/>
    <d v="2017-02-26T13:07:17"/>
    <d v="2017-02-26T14:07:17"/>
    <s v="2e9a9dab-f5b6-8960-d3ce-7834bb5e7344"/>
    <s v="f438b8e0-d856-328a-b193-2b014fc4cb97"/>
    <s v="8ed8f450-e247-389b-a3d0-2927fbcfeabe"/>
    <s v="26aab0cd-6aba-3e1b-ac5b-05c8867e762c"/>
    <x v="3"/>
    <n v="183460006"/>
    <s v="Obstetric emergency hospital admission (procedure)"/>
    <n v="146.18"/>
    <n v="577.58000000000004"/>
    <n v="577.58000000000004"/>
    <n v="72892002"/>
    <x v="4"/>
  </r>
  <r>
    <s v="2e9a9dab-f5b6-8960-594f-e10cfb3042a7"/>
    <d v="2017-04-09T14:07:17"/>
    <d v="2017-04-09T14:22:17"/>
    <s v="2e9a9dab-f5b6-8960-d3ce-7834bb5e7344"/>
    <s v="5fcff9db-16e4-3e56-aa78-abbc16338097"/>
    <s v="ef159c90-21f2-34a3-ab95-4c0598b5fedf"/>
    <s v="26aab0cd-6aba-3e1b-ac5b-05c8867e762c"/>
    <x v="1"/>
    <n v="169762003"/>
    <s v="Postnatal visit (regime/therapy)"/>
    <n v="142.58000000000001"/>
    <n v="1005.38"/>
    <n v="1005.38"/>
    <m/>
    <x v="0"/>
  </r>
  <r>
    <s v="2e9a9dab-f5b6-8960-3228-d9ecc99ddfbb"/>
    <d v="2017-04-30T14:07:17"/>
    <d v="2017-04-30T14:40:45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785.58"/>
    <n v="785.58"/>
    <m/>
    <x v="0"/>
  </r>
  <r>
    <s v="2e9a9dab-f5b6-8960-953e-f6cfc8bcb4e2"/>
    <d v="2017-05-14T14:07:17"/>
    <d v="2017-05-14T17:40:03"/>
    <s v="2e9a9dab-f5b6-8960-d3ce-7834bb5e7344"/>
    <s v="5fcff9db-16e4-3e56-aa78-abbc16338097"/>
    <s v="ef159c90-21f2-34a3-ab95-4c0598b5fedf"/>
    <s v="26aab0cd-6aba-3e1b-ac5b-05c8867e762c"/>
    <x v="1"/>
    <n v="185349003"/>
    <s v="Encounter for check up (procedure)"/>
    <n v="85.55"/>
    <n v="3105.35"/>
    <n v="3105.35"/>
    <n v="103697008"/>
    <x v="3"/>
  </r>
  <r>
    <s v="2e9a9dab-f5b6-8960-0cf4-cfcd158e1bc4"/>
    <d v="2017-07-09T14:07:17"/>
    <d v="2017-07-09T14:22:17"/>
    <s v="2e9a9dab-f5b6-8960-d3ce-7834bb5e7344"/>
    <s v="5fcff9db-16e4-3e56-aa78-abbc16338097"/>
    <s v="ef159c90-21f2-34a3-ab95-4c0598b5fedf"/>
    <s v="26aab0cd-6aba-3e1b-ac5b-05c8867e762c"/>
    <x v="1"/>
    <n v="424441002"/>
    <s v="Prenatal initial visit (regime/therapy)"/>
    <n v="142.58000000000001"/>
    <n v="44073.3"/>
    <n v="44073.3"/>
    <n v="72892002"/>
    <x v="4"/>
  </r>
  <r>
    <s v="2e9a9dab-f5b6-8960-cce9-ee73d6048b21"/>
    <d v="2017-08-06T14:07:17"/>
    <d v="2017-08-06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6317.6"/>
    <n v="6317.6"/>
    <n v="72892002"/>
    <x v="4"/>
  </r>
  <r>
    <s v="2e9a9dab-f5b6-8960-7a8c-82723331ae3c"/>
    <d v="2017-09-03T14:07:17"/>
    <d v="2017-09-03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6277.36"/>
    <n v="6277.36"/>
    <n v="72892002"/>
    <x v="4"/>
  </r>
  <r>
    <s v="2e9a9dab-f5b6-8960-1c8f-31deb68d2fc5"/>
    <d v="2017-10-01T14:07:17"/>
    <d v="2017-10-01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5461.4"/>
    <n v="5461.4"/>
    <n v="72892002"/>
    <x v="4"/>
  </r>
  <r>
    <s v="2e9a9dab-f5b6-8960-7b03-2e2db2de44b6"/>
    <d v="2017-10-29T14:07:17"/>
    <d v="2017-10-29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5630.66"/>
    <n v="5630.66"/>
    <n v="72892002"/>
    <x v="4"/>
  </r>
  <r>
    <s v="2e9a9dab-f5b6-8960-d8b6-6b54d36c6832"/>
    <d v="2017-11-26T13:07:17"/>
    <d v="2017-11-26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1510.82"/>
    <n v="11510.82"/>
    <n v="72892002"/>
    <x v="4"/>
  </r>
  <r>
    <s v="2e9a9dab-f5b6-8960-f553-09c66b55429b"/>
    <d v="2017-12-24T13:07:17"/>
    <d v="2017-12-24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1836.12"/>
    <n v="11836.12"/>
    <n v="72892002"/>
    <x v="4"/>
  </r>
  <r>
    <s v="2e9a9dab-f5b6-8960-3151-cc0d322729de"/>
    <d v="2018-01-21T13:07:17"/>
    <d v="2018-01-21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7639.259999999998"/>
    <n v="6927.16"/>
    <n v="72892002"/>
    <x v="4"/>
  </r>
  <r>
    <s v="2e9a9dab-f5b6-8960-4d4f-7248cfb7ecdd"/>
    <d v="2018-02-04T13:07:17"/>
    <d v="2018-02-04T14:07:17"/>
    <s v="2e9a9dab-f5b6-8960-d3ce-7834bb5e7344"/>
    <s v="f438b8e0-d856-328a-b193-2b014fc4cb97"/>
    <s v="8ed8f450-e247-389b-a3d0-2927fbcfeabe"/>
    <s v="26aab0cd-6aba-3e1b-ac5b-05c8867e762c"/>
    <x v="3"/>
    <n v="183460006"/>
    <s v="Obstetric emergency hospital admission (procedure)"/>
    <n v="146.18"/>
    <n v="12234.3"/>
    <n v="12234.3"/>
    <n v="72892002"/>
    <x v="4"/>
  </r>
  <r>
    <s v="2e9a9dab-f5b6-8960-9f48-bf9a4391959b"/>
    <d v="2018-03-18T14:07:17"/>
    <d v="2018-03-18T14:22:17"/>
    <s v="2e9a9dab-f5b6-8960-d3ce-7834bb5e7344"/>
    <s v="5fcff9db-16e4-3e56-aa78-abbc16338097"/>
    <s v="ef159c90-21f2-34a3-ab95-4c0598b5fedf"/>
    <s v="26aab0cd-6aba-3e1b-ac5b-05c8867e762c"/>
    <x v="1"/>
    <n v="169762003"/>
    <s v="Postnatal visit (regime/therapy)"/>
    <n v="142.58000000000001"/>
    <n v="1005.38"/>
    <n v="1005.38"/>
    <m/>
    <x v="0"/>
  </r>
  <r>
    <s v="2e9a9dab-f5b6-8960-d6d2-b1d033e76677"/>
    <d v="2018-05-06T14:07:17"/>
    <d v="2018-05-06T14:45:10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785.58"/>
    <n v="785.58"/>
    <m/>
    <x v="0"/>
  </r>
  <r>
    <s v="2e9a9dab-f5b6-8960-428a-8f849b02f123"/>
    <d v="2019-04-06T14:07:17"/>
    <d v="2019-04-06T14:22:17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2e9a9dab-f5b6-8960-8c59-115e830f83d0"/>
    <d v="2019-05-12T14:07:17"/>
    <d v="2019-05-12T14:52:50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778.78"/>
    <n v="0"/>
    <m/>
    <x v="0"/>
  </r>
  <r>
    <s v="2e9a9dab-f5b6-8960-c52a-6279f702c0d2"/>
    <d v="2020-03-31T14:07:17"/>
    <d v="2020-03-31T14:22:17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2e9a9dab-f5b6-8960-e178-63e6836cad92"/>
    <d v="2020-04-04T21:07:17"/>
    <d v="2020-04-04T22:09:30"/>
    <s v="2e9a9dab-f5b6-8960-d3ce-7834bb5e7344"/>
    <s v="06cc2462-430f-3322-9c87-7e971125f510"/>
    <s v="747fcccb-8c6a-3956-87a6-436687727f5c"/>
    <s v="26aab0cd-6aba-3e1b-ac5b-05c8867e762c"/>
    <x v="2"/>
    <n v="308335008"/>
    <s v="Patient encounter procedure (procedure)"/>
    <n v="142.58000000000001"/>
    <n v="8931.06"/>
    <n v="2076.38"/>
    <n v="389095005"/>
    <x v="15"/>
  </r>
  <r>
    <s v="2e9a9dab-f5b6-8960-8fb1-e564a42af2b7"/>
    <d v="2020-05-17T14:07:17"/>
    <d v="2020-05-17T14:53:51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130.03"/>
    <n v="678.02"/>
    <m/>
    <x v="0"/>
  </r>
  <r>
    <s v="2e9a9dab-f5b6-8960-fc97-b5e3c0705925"/>
    <d v="2021-01-22T13:07:17"/>
    <d v="2021-01-22T14:07:17"/>
    <s v="2e9a9dab-f5b6-8960-d3ce-7834bb5e7344"/>
    <s v="f438b8e0-d856-328a-b193-2b014fc4cb97"/>
    <s v="8ed8f450-e247-389b-a3d0-2927fbcfeabe"/>
    <s v="26aab0cd-6aba-3e1b-ac5b-05c8867e762c"/>
    <x v="3"/>
    <n v="183478001"/>
    <s v="Emergency hospital admission for asthma (procedure)"/>
    <n v="146.18"/>
    <n v="146.18"/>
    <n v="0"/>
    <n v="195967001"/>
    <x v="38"/>
  </r>
  <r>
    <s v="2e9a9dab-f5b6-8960-b8d9-5da581f10bce"/>
    <d v="2021-01-23T19:07:17"/>
    <d v="2021-01-23T19:22:17"/>
    <s v="2e9a9dab-f5b6-8960-d3ce-7834bb5e7344"/>
    <s v="5fcff9db-16e4-3e56-aa78-abbc16338097"/>
    <s v="ef159c90-21f2-34a3-ab95-4c0598b5fedf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2e9a9dab-f5b6-8960-4775-bc27dd410e9c"/>
    <d v="2021-03-30T22:09:30"/>
    <d v="2021-03-30T22:24:30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2e9a9dab-f5b6-8960-64d0-5af513ddcdc7"/>
    <d v="2021-04-04T11:09:30"/>
    <d v="2021-04-04T12:08:16"/>
    <s v="2e9a9dab-f5b6-8960-d3ce-7834bb5e7344"/>
    <s v="06cc2462-430f-3322-9c87-7e971125f510"/>
    <s v="747fcccb-8c6a-3956-87a6-436687727f5c"/>
    <s v="26aab0cd-6aba-3e1b-ac5b-05c8867e762c"/>
    <x v="2"/>
    <n v="308335008"/>
    <s v="Patient encounter procedure (procedure)"/>
    <n v="142.58000000000001"/>
    <n v="4052.91"/>
    <n v="0"/>
    <n v="389095005"/>
    <x v="15"/>
  </r>
  <r>
    <s v="2e9a9dab-f5b6-8960-597a-f68745aae983"/>
    <d v="2021-04-11T14:07:17"/>
    <d v="2021-04-11T14:22:17"/>
    <s v="2e9a9dab-f5b6-8960-d3ce-7834bb5e7344"/>
    <s v="06cc2462-430f-3322-9c87-7e971125f510"/>
    <s v="747fcccb-8c6a-3956-87a6-436687727f5c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2e9a9dab-f5b6-8960-7da3-9ad455f784b8"/>
    <d v="2021-05-09T14:07:17"/>
    <d v="2021-05-09T14:22:17"/>
    <s v="2e9a9dab-f5b6-8960-d3ce-7834bb5e7344"/>
    <s v="06cc2462-430f-3322-9c87-7e971125f510"/>
    <s v="747fcccb-8c6a-3956-87a6-436687727f5c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2e9a9dab-f5b6-8960-4cc9-2d7b5f19a9b5"/>
    <d v="2021-05-23T14:07:17"/>
    <d v="2021-05-23T14:57:14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211.8599999999999"/>
    <n v="251.49"/>
    <m/>
    <x v="0"/>
  </r>
  <r>
    <s v="2e9a9dab-f5b6-8960-f8cd-eb934c776d1b"/>
    <d v="2022-03-30T12:08:16"/>
    <d v="2022-03-30T12:23:16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2e9a9dab-f5b6-8960-a542-ce8064b673ca"/>
    <d v="2022-05-29T14:07:17"/>
    <d v="2022-05-29T15:01:41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778.78"/>
    <n v="0"/>
    <m/>
    <x v="0"/>
  </r>
  <r>
    <s v="2e9a9dab-f5b6-8960-c69d-84733660dfbd"/>
    <d v="2022-06-12T14:07:17"/>
    <d v="2022-06-12T18:13:38"/>
    <s v="2e9a9dab-f5b6-8960-d3ce-7834bb5e7344"/>
    <s v="5fcff9db-16e4-3e56-aa78-abbc16338097"/>
    <s v="ef159c90-21f2-34a3-ab95-4c0598b5fedf"/>
    <s v="26aab0cd-6aba-3e1b-ac5b-05c8867e762c"/>
    <x v="1"/>
    <n v="185349003"/>
    <s v="Encounter for check up (procedure)"/>
    <n v="85.55"/>
    <n v="3536.75"/>
    <n v="0"/>
    <n v="103697008"/>
    <x v="3"/>
  </r>
  <r>
    <s v="2e9a9dab-f5b6-8960-7b27-29733036da85"/>
    <d v="2023-04-02T14:07:17"/>
    <d v="2023-04-02T14:52:16"/>
    <s v="2e9a9dab-f5b6-8960-d3ce-7834bb5e7344"/>
    <s v="06cc2462-430f-3322-9c87-7e971125f510"/>
    <s v="747fcccb-8c6a-3956-87a6-436687727f5c"/>
    <s v="26aab0cd-6aba-3e1b-ac5b-05c8867e762c"/>
    <x v="2"/>
    <n v="308335008"/>
    <s v="Patient encounter procedure (procedure)"/>
    <n v="142.58000000000001"/>
    <n v="573.98"/>
    <n v="0"/>
    <n v="389095005"/>
    <x v="15"/>
  </r>
  <r>
    <s v="2e9a9dab-f5b6-8960-22a8-5ac3db48de9b"/>
    <d v="2023-05-21T14:07:17"/>
    <d v="2023-05-21T14:22:17"/>
    <s v="2e9a9dab-f5b6-8960-d3ce-7834bb5e7344"/>
    <s v="5fcff9db-16e4-3e56-aa78-abbc16338097"/>
    <s v="ef159c90-21f2-34a3-ab95-4c0598b5fedf"/>
    <s v="26aab0cd-6aba-3e1b-ac5b-05c8867e762c"/>
    <x v="1"/>
    <n v="424441002"/>
    <s v="Prenatal initial visit (regime/therapy)"/>
    <n v="142.58000000000001"/>
    <n v="50918.75"/>
    <n v="27239.25"/>
    <n v="72892002"/>
    <x v="4"/>
  </r>
  <r>
    <s v="2e9a9dab-f5b6-8960-c574-8f077e741564"/>
    <d v="2023-06-04T14:07:17"/>
    <d v="2023-06-04T14:54:35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860.16"/>
    <n v="860.16"/>
    <m/>
    <x v="0"/>
  </r>
  <r>
    <s v="2e9a9dab-f5b6-8960-335b-1364dc491f08"/>
    <d v="2023-06-18T14:07:17"/>
    <d v="2023-06-18T17:56:36"/>
    <s v="2e9a9dab-f5b6-8960-d3ce-7834bb5e7344"/>
    <s v="5fcff9db-16e4-3e56-aa78-abbc16338097"/>
    <s v="ef159c90-21f2-34a3-ab95-4c0598b5fedf"/>
    <s v="26aab0cd-6aba-3e1b-ac5b-05c8867e762c"/>
    <x v="1"/>
    <n v="185349003"/>
    <s v="Encounter for check up (procedure)"/>
    <n v="85.55"/>
    <n v="3536.75"/>
    <n v="3536.75"/>
    <n v="103697008"/>
    <x v="3"/>
  </r>
  <r>
    <s v="2e9a9dab-f5b6-8960-3893-63c950f88b85"/>
    <d v="2023-06-25T14:07:17"/>
    <d v="2023-06-25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2123.3"/>
    <n v="12123.3"/>
    <n v="72892002"/>
    <x v="4"/>
  </r>
  <r>
    <s v="2e9a9dab-f5b6-8960-1561-6adff3f6a450"/>
    <d v="2023-07-23T14:07:17"/>
    <d v="2023-07-23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0191.76"/>
    <n v="10191.76"/>
    <n v="72892002"/>
    <x v="4"/>
  </r>
  <r>
    <s v="2e9a9dab-f5b6-8960-8450-e2786cca462a"/>
    <d v="2023-08-20T14:07:17"/>
    <d v="2023-08-20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9341.9699999999993"/>
    <n v="9341.9699999999993"/>
    <n v="72892002"/>
    <x v="4"/>
  </r>
  <r>
    <s v="2e9a9dab-f5b6-8960-8f4a-c9517a96625a"/>
    <d v="2023-09-17T14:07:17"/>
    <d v="2023-09-17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4573.33"/>
    <n v="14573.33"/>
    <n v="72892002"/>
    <x v="4"/>
  </r>
  <r>
    <s v="2e9a9dab-f5b6-8960-27fe-ab51d6e6bcdf"/>
    <d v="2023-10-15T14:07:17"/>
    <d v="2023-10-15T14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0495.41"/>
    <n v="10495.41"/>
    <n v="72892002"/>
    <x v="4"/>
  </r>
  <r>
    <s v="2e9a9dab-f5b6-8960-9343-4eb9e2bcd03f"/>
    <d v="2023-11-12T13:07:17"/>
    <d v="2023-11-12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1451.02"/>
    <n v="11451.02"/>
    <n v="72892002"/>
    <x v="4"/>
  </r>
  <r>
    <s v="2e9a9dab-f5b6-8960-f7e6-41495d76f448"/>
    <d v="2023-12-10T13:07:17"/>
    <d v="2023-12-10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5528.76"/>
    <n v="5528.76"/>
    <n v="72892002"/>
    <x v="4"/>
  </r>
  <r>
    <s v="2e9a9dab-f5b6-8960-19eb-4251cc3a4e5c"/>
    <d v="2023-12-24T13:07:17"/>
    <d v="2023-12-24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11451.02"/>
    <n v="11451.02"/>
    <n v="72892002"/>
    <x v="4"/>
  </r>
  <r>
    <s v="2e9a9dab-f5b6-8960-9616-e61a28da98ef"/>
    <d v="2023-12-31T13:07:17"/>
    <d v="2023-12-31T13:22:17"/>
    <s v="2e9a9dab-f5b6-8960-d3ce-7834bb5e7344"/>
    <s v="5fcff9db-16e4-3e56-aa78-abbc16338097"/>
    <s v="ef159c90-21f2-34a3-ab95-4c0598b5fedf"/>
    <s v="26aab0cd-6aba-3e1b-ac5b-05c8867e762c"/>
    <x v="1"/>
    <n v="424619006"/>
    <s v="Prenatal visit (regime/therapy)"/>
    <n v="142.58000000000001"/>
    <n v="4809.3"/>
    <n v="4809.3"/>
    <n v="72892002"/>
    <x v="4"/>
  </r>
  <r>
    <s v="2e9a9dab-f5b6-8960-57e5-8eacbb19f205"/>
    <d v="2024-01-07T13:07:17"/>
    <d v="2024-01-07T14:07:17"/>
    <s v="2e9a9dab-f5b6-8960-d3ce-7834bb5e7344"/>
    <s v="f438b8e0-d856-328a-b193-2b014fc4cb97"/>
    <s v="8ed8f450-e247-389b-a3d0-2927fbcfeabe"/>
    <s v="26aab0cd-6aba-3e1b-ac5b-05c8867e762c"/>
    <x v="3"/>
    <n v="183460006"/>
    <s v="Obstetric emergency hospital admission (procedure)"/>
    <n v="146.18"/>
    <n v="4028.78"/>
    <n v="4028.78"/>
    <n v="72892002"/>
    <x v="4"/>
  </r>
  <r>
    <s v="2e9a9dab-f5b6-8960-5114-37e261eb8be2"/>
    <d v="2024-02-18T13:07:17"/>
    <d v="2024-02-18T13:22:17"/>
    <s v="2e9a9dab-f5b6-8960-d3ce-7834bb5e7344"/>
    <s v="5fcff9db-16e4-3e56-aa78-abbc16338097"/>
    <s v="ef159c90-21f2-34a3-ab95-4c0598b5fedf"/>
    <s v="26aab0cd-6aba-3e1b-ac5b-05c8867e762c"/>
    <x v="1"/>
    <n v="169762003"/>
    <s v="Postnatal visit (regime/therapy)"/>
    <n v="142.58000000000001"/>
    <n v="1005.38"/>
    <n v="0"/>
    <m/>
    <x v="0"/>
  </r>
  <r>
    <s v="2e9a9dab-f5b6-8960-ed5e-6dd1c39bc449"/>
    <d v="2024-03-19T12:08:16"/>
    <d v="2024-03-19T12:23:16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2e9a9dab-f5b6-8960-da1a-d00e01c67125"/>
    <d v="2024-06-09T14:07:17"/>
    <d v="2024-06-09T14:55:10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056.03"/>
    <n v="0"/>
    <m/>
    <x v="0"/>
  </r>
  <r>
    <s v="2e9a9dab-f5b6-8960-84ec-d256ee97102c"/>
    <d v="2024-06-23T14:07:17"/>
    <d v="2024-06-23T17:48:16"/>
    <s v="2e9a9dab-f5b6-8960-d3ce-7834bb5e7344"/>
    <s v="5fcff9db-16e4-3e56-aa78-abbc16338097"/>
    <s v="ef159c90-21f2-34a3-ab95-4c0598b5fedf"/>
    <s v="26aab0cd-6aba-3e1b-ac5b-05c8867e762c"/>
    <x v="1"/>
    <n v="185349003"/>
    <s v="Encounter for check up (procedure)"/>
    <n v="85.55"/>
    <n v="3105.35"/>
    <n v="119.41"/>
    <n v="103697008"/>
    <x v="3"/>
  </r>
  <r>
    <s v="2e9a9dab-f5b6-8960-9900-278eeca0a92a"/>
    <d v="2024-07-28T14:07:17"/>
    <d v="2024-07-28T14:57:17"/>
    <s v="2e9a9dab-f5b6-8960-d3ce-7834bb5e7344"/>
    <s v="06cc2462-430f-3322-9c87-7e971125f510"/>
    <s v="747fcccb-8c6a-3956-87a6-436687727f5c"/>
    <s v="26aab0cd-6aba-3e1b-ac5b-05c8867e762c"/>
    <x v="2"/>
    <n v="185349003"/>
    <s v="Encounter for check up (procedure)"/>
    <n v="85.55"/>
    <n v="734.33"/>
    <n v="440.6"/>
    <m/>
    <x v="0"/>
  </r>
  <r>
    <s v="2e9a9dab-f5b6-8960-d55d-9652367acc32"/>
    <d v="2024-08-04T14:07:17"/>
    <d v="2024-08-04T14:22:17"/>
    <s v="2e9a9dab-f5b6-8960-d3ce-7834bb5e7344"/>
    <s v="5fcff9db-16e4-3e56-aa78-abbc16338097"/>
    <s v="ef159c90-21f2-34a3-ab95-4c0598b5fedf"/>
    <s v="26aab0cd-6aba-3e1b-ac5b-05c8867e762c"/>
    <x v="1"/>
    <n v="185345009"/>
    <s v="Encounter for symptom (procedure)"/>
    <n v="85.55"/>
    <n v="85.55"/>
    <n v="51.33"/>
    <n v="444814009"/>
    <x v="2"/>
  </r>
  <r>
    <s v="2e9a9dab-f5b6-8960-745c-4b34421bcb10"/>
    <d v="2024-08-11T14:07:17"/>
    <d v="2024-08-11T17:21:47"/>
    <s v="2e9a9dab-f5b6-8960-d3ce-7834bb5e7344"/>
    <s v="5fcff9db-16e4-3e56-aa78-abbc16338097"/>
    <s v="ef159c90-21f2-34a3-ab95-4c0598b5fedf"/>
    <s v="26aab0cd-6aba-3e1b-ac5b-05c8867e762c"/>
    <x v="1"/>
    <n v="185349003"/>
    <s v="Encounter for check up (procedure)"/>
    <n v="85.55"/>
    <n v="3105.35"/>
    <n v="1863.21"/>
    <n v="66383009"/>
    <x v="17"/>
  </r>
  <r>
    <s v="2e9a9dab-f5b6-8960-3430-f63d95b55664"/>
    <d v="2025-01-02T19:07:17"/>
    <d v="2025-01-02T19:22:17"/>
    <s v="2e9a9dab-f5b6-8960-d3ce-7834bb5e7344"/>
    <s v="5fcff9db-16e4-3e56-aa78-abbc16338097"/>
    <s v="ef159c90-21f2-34a3-ab95-4c0598b5fedf"/>
    <s v="26aab0cd-6aba-3e1b-ac5b-05c8867e762c"/>
    <x v="1"/>
    <n v="394701000"/>
    <s v="Asthma follow-up (regime/therapy)"/>
    <n v="142.58000000000001"/>
    <n v="142.58000000000001"/>
    <n v="85.55"/>
    <n v="195967001"/>
    <x v="38"/>
  </r>
  <r>
    <s v="2e9a9dab-f5b6-8960-b032-523be36600b9"/>
    <d v="2025-03-14T12:08:16"/>
    <d v="2025-03-14T12:28:58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4052.91"/>
    <n v="0"/>
    <n v="389095005"/>
    <x v="15"/>
  </r>
  <r>
    <s v="2e9a9dab-f5b6-8960-e226-12bdf9a235cb"/>
    <d v="2025-06-15T14:07:17"/>
    <d v="2025-06-15T14:43:45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649.58000000000004"/>
    <n v="0"/>
    <m/>
    <x v="0"/>
  </r>
  <r>
    <s v="2e9a9dab-f5b6-8960-c0e9-d8ec50a910cb"/>
    <d v="2025-06-29T14:07:17"/>
    <d v="2025-06-29T16:53:25"/>
    <s v="2e9a9dab-f5b6-8960-d3ce-7834bb5e7344"/>
    <s v="5fcff9db-16e4-3e56-aa78-abbc16338097"/>
    <s v="ef159c90-21f2-34a3-ab95-4c0598b5fedf"/>
    <s v="26aab0cd-6aba-3e1b-ac5b-05c8867e762c"/>
    <x v="1"/>
    <n v="185349003"/>
    <s v="Encounter for check up (procedure)"/>
    <n v="85.55"/>
    <n v="3105.35"/>
    <n v="1192.0999999999999"/>
    <n v="66383009"/>
    <x v="17"/>
  </r>
  <r>
    <s v="2e9a9dab-f5b6-8960-63e5-cd916bfe024e"/>
    <d v="2025-12-28T19:07:17"/>
    <d v="2025-12-28T19:22:17"/>
    <s v="2e9a9dab-f5b6-8960-d3ce-7834bb5e7344"/>
    <s v="5fcff9db-16e4-3e56-aa78-abbc16338097"/>
    <s v="ef159c90-21f2-34a3-ab95-4c0598b5fedf"/>
    <s v="26aab0cd-6aba-3e1b-ac5b-05c8867e762c"/>
    <x v="1"/>
    <n v="394701000"/>
    <s v="Asthma follow-up (regime/therapy)"/>
    <n v="142.58000000000001"/>
    <n v="142.58000000000001"/>
    <n v="85.55"/>
    <n v="195967001"/>
    <x v="38"/>
  </r>
  <r>
    <s v="2e9a9dab-f5b6-8960-4e15-c1eb437d0c65"/>
    <d v="2026-03-09T12:28:58"/>
    <d v="2026-03-09T12:43:58"/>
    <s v="2e9a9dab-f5b6-8960-d3ce-7834bb5e7344"/>
    <s v="06cc2462-430f-3322-9c87-7e971125f510"/>
    <s v="747fcccb-8c6a-3956-87a6-436687727f5c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2e9a9dab-f5b6-8960-89d6-5090bebbd7b2"/>
    <d v="2026-06-21T14:07:17"/>
    <d v="2026-06-21T14:58:06"/>
    <s v="2e9a9dab-f5b6-8960-d3ce-7834bb5e7344"/>
    <s v="6450f09c-28fc-3815-abfb-62056b72e508"/>
    <s v="716f8cbe-65b6-3d80-a8d9-2c74eb7ecd9b"/>
    <s v="26aab0cd-6aba-3e1b-ac5b-05c8867e762c"/>
    <x v="0"/>
    <n v="162673000"/>
    <s v="General examination of patient (procedure)"/>
    <n v="136.80000000000001"/>
    <n v="1153.73"/>
    <n v="0"/>
    <m/>
    <x v="0"/>
  </r>
  <r>
    <s v="00bcbfc6-c7b9-bd0e-0c7a-bfa7c60525a3"/>
    <d v="1999-03-15T20:16:49"/>
    <d v="1999-03-15T20:50:20"/>
    <s v="00bcbfc6-c7b9-bd0e-3d95-071f9fba6321"/>
    <s v="79508e39-d0b0-3613-9d54-168f6e1c3a18"/>
    <s v="73c37c91-2db4-3035-ad6b-a17ba872183e"/>
    <s v="e03e23c9-4df1-3eb6-a62d-f70f02301496"/>
    <x v="0"/>
    <n v="162673000"/>
    <s v="General examination of patient (procedure)"/>
    <n v="136.80000000000001"/>
    <n v="704.2"/>
    <n v="0"/>
    <m/>
    <x v="0"/>
  </r>
  <r>
    <s v="00bcbfc6-c7b9-bd0e-3c9c-04c7c31d4e70"/>
    <d v="2006-03-27T20:16:49"/>
    <d v="2006-03-27T20:50:31"/>
    <s v="00bcbfc6-c7b9-bd0e-3d95-071f9fba6321"/>
    <s v="79508e39-d0b0-3613-9d54-168f6e1c3a18"/>
    <s v="73c37c91-2db4-3035-ad6b-a17ba872183e"/>
    <s v="734afbd6-4794-363b-9bc0-6a3981533ed5"/>
    <x v="0"/>
    <n v="162673000"/>
    <s v="General examination of patient (procedure)"/>
    <n v="136.80000000000001"/>
    <n v="1705.22"/>
    <n v="197.78"/>
    <m/>
    <x v="0"/>
  </r>
  <r>
    <s v="00bcbfc6-c7b9-bd0e-bd6c-67a2c4630b2a"/>
    <d v="2012-04-02T21:16:49"/>
    <d v="2012-04-02T22:06:33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1215.48"/>
    <n v="0"/>
    <m/>
    <x v="0"/>
  </r>
  <r>
    <s v="00bcbfc6-c7b9-bd0e-a616-fd9cb0db9328"/>
    <d v="2013-04-08T21:16:49"/>
    <d v="2013-04-08T21:57:45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785.58"/>
    <n v="0"/>
    <m/>
    <x v="0"/>
  </r>
  <r>
    <s v="00bcbfc6-c7b9-bd0e-b3e0-fded30c067fb"/>
    <d v="2016-04-25T21:16:49"/>
    <d v="2016-04-25T22:10:34"/>
    <s v="00bcbfc6-c7b9-bd0e-3d95-071f9fba6321"/>
    <s v="79508e39-d0b0-3613-9d54-168f6e1c3a18"/>
    <s v="73c37c91-2db4-3035-ad6b-a17ba872183e"/>
    <s v="8fa6c185-e44e-3e34-8bd8-39be8694f4ce"/>
    <x v="0"/>
    <n v="162673000"/>
    <s v="General examination of patient (procedure)"/>
    <n v="136.80000000000001"/>
    <n v="785.58"/>
    <n v="0"/>
    <m/>
    <x v="0"/>
  </r>
  <r>
    <s v="00bcbfc6-c7b9-bd0e-5508-fed429d48fda"/>
    <d v="2017-04-24T21:16:49"/>
    <d v="2017-04-24T21:56:04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4052.91"/>
    <n v="0"/>
    <n v="389095005"/>
    <x v="15"/>
  </r>
  <r>
    <s v="00bcbfc6-c7b9-bd0e-9492-f3f5df2feff3"/>
    <d v="2017-05-08T21:16:49"/>
    <d v="2017-05-08T21:48:00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785.58"/>
    <n v="0"/>
    <m/>
    <x v="0"/>
  </r>
  <r>
    <s v="00bcbfc6-c7b9-bd0e-d4a2-6d081b2d5302"/>
    <d v="2017-06-12T21:16:49"/>
    <d v="2017-06-12T21:31:49"/>
    <s v="00bcbfc6-c7b9-bd0e-3d95-071f9fba6321"/>
    <s v="b5b380d2-df21-3389-abf0-08551c7e1f2d"/>
    <s v="16522b44-0fe3-3bd5-ae6f-e87db0c891f2"/>
    <s v="0133f751-9229-3cfd-815f-b6d4979bdd6a"/>
    <x v="1"/>
    <n v="424441002"/>
    <s v="Prenatal initial visit (regime/therapy)"/>
    <n v="142.58000000000001"/>
    <n v="41358.47"/>
    <n v="24062.58"/>
    <n v="72892002"/>
    <x v="4"/>
  </r>
  <r>
    <s v="00bcbfc6-c7b9-bd0e-d509-3138062c5530"/>
    <d v="2017-07-10T21:16:49"/>
    <d v="2017-07-10T21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8655.64"/>
    <n v="18655.64"/>
    <n v="72892002"/>
    <x v="4"/>
  </r>
  <r>
    <s v="00bcbfc6-c7b9-bd0e-fbed-dbb2ed31ce69"/>
    <d v="2017-07-07T04:16:49"/>
    <d v="2017-07-07T04:31:49"/>
    <s v="00bcbfc6-c7b9-bd0e-3d95-071f9fba6321"/>
    <s v="b5b380d2-df21-3389-abf0-08551c7e1f2d"/>
    <s v="16522b44-0fe3-3bd5-ae6f-e87db0c891f2"/>
    <s v="0133f751-9229-3cfd-815f-b6d4979bdd6a"/>
    <x v="1"/>
    <n v="185345009"/>
    <s v="Encounter for symptom (procedure)"/>
    <n v="85.55"/>
    <n v="948.35"/>
    <n v="948.35"/>
    <n v="195662009"/>
    <x v="9"/>
  </r>
  <r>
    <s v="00bcbfc6-c7b9-bd0e-a6aa-732b910e0bf3"/>
    <d v="2017-08-07T21:16:49"/>
    <d v="2017-08-07T21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6270.11"/>
    <n v="6270.11"/>
    <n v="72892002"/>
    <x v="4"/>
  </r>
  <r>
    <s v="00bcbfc6-c7b9-bd0e-e505-81492e4842af"/>
    <d v="2017-09-04T21:16:49"/>
    <d v="2017-09-04T21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9278.17"/>
    <n v="9278.17"/>
    <n v="72892002"/>
    <x v="4"/>
  </r>
  <r>
    <s v="00bcbfc6-c7b9-bd0e-596e-681a0d6f0014"/>
    <d v="2017-10-02T21:16:49"/>
    <d v="2017-10-02T21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2125.84"/>
    <n v="12125.84"/>
    <n v="72892002"/>
    <x v="4"/>
  </r>
  <r>
    <s v="00bcbfc6-c7b9-bd0e-7809-47336c0224cf"/>
    <d v="2017-10-30T21:16:49"/>
    <d v="2017-10-30T21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5707.28"/>
    <n v="15707.28"/>
    <n v="72892002"/>
    <x v="4"/>
  </r>
  <r>
    <s v="00bcbfc6-c7b9-bd0e-4160-05741d5cf15a"/>
    <d v="2017-11-27T20:16:49"/>
    <d v="2017-11-27T20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2174.86"/>
    <n v="12174.86"/>
    <n v="72892002"/>
    <x v="4"/>
  </r>
  <r>
    <s v="00bcbfc6-c7b9-bd0e-0c46-877b804c3c45"/>
    <d v="2017-12-25T20:16:49"/>
    <d v="2017-12-25T20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6313.49"/>
    <n v="16313.49"/>
    <n v="72892002"/>
    <x v="4"/>
  </r>
  <r>
    <s v="00bcbfc6-c7b9-bd0e-177c-d01407b67077"/>
    <d v="2018-01-08T20:16:49"/>
    <d v="2018-01-08T20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1451.02"/>
    <n v="11451.02"/>
    <n v="72892002"/>
    <x v="4"/>
  </r>
  <r>
    <s v="00bcbfc6-c7b9-bd0e-5810-fffdf61d8ce3"/>
    <d v="2018-01-15T20:16:49"/>
    <d v="2018-01-15T20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4665.96"/>
    <n v="4665.96"/>
    <n v="72892002"/>
    <x v="4"/>
  </r>
  <r>
    <s v="00bcbfc6-c7b9-bd0e-2aac-7992d71c83d5"/>
    <d v="2018-01-22T20:16:49"/>
    <d v="2018-01-22T20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1451.02"/>
    <n v="3214.21"/>
    <n v="72892002"/>
    <x v="4"/>
  </r>
  <r>
    <s v="00bcbfc6-c7b9-bd0e-eb8c-5a5fd719de83"/>
    <d v="2018-01-29T20:16:49"/>
    <d v="2018-01-29T21:16:49"/>
    <s v="00bcbfc6-c7b9-bd0e-3d95-071f9fba6321"/>
    <s v="df852cb2-9fe0-3c90-87ac-46e5f980ee3b"/>
    <s v="3f81e0b9-0aab-303d-89cb-05a1cd8e138f"/>
    <s v="0133f751-9229-3cfd-815f-b6d4979bdd6a"/>
    <x v="3"/>
    <n v="183460006"/>
    <s v="Obstetric emergency hospital admission (procedure)"/>
    <n v="146.18"/>
    <n v="3362.86"/>
    <n v="2017.72"/>
    <n v="72892002"/>
    <x v="4"/>
  </r>
  <r>
    <s v="00bcbfc6-c7b9-bd0e-9ef1-12cd72be4c0a"/>
    <d v="2018-03-12T21:16:49"/>
    <d v="2018-03-12T21:31:49"/>
    <s v="00bcbfc6-c7b9-bd0e-3d95-071f9fba6321"/>
    <s v="b5b380d2-df21-3389-abf0-08551c7e1f2d"/>
    <s v="16522b44-0fe3-3bd5-ae6f-e87db0c891f2"/>
    <s v="0133f751-9229-3cfd-815f-b6d4979bdd6a"/>
    <x v="1"/>
    <n v="169762003"/>
    <s v="Postnatal visit (regime/therapy)"/>
    <n v="142.58000000000001"/>
    <n v="1005.38"/>
    <n v="1005.38"/>
    <m/>
    <x v="0"/>
  </r>
  <r>
    <s v="00bcbfc6-c7b9-bd0e-54c2-cb7f7bf9fc06"/>
    <d v="2018-03-19T21:16:49"/>
    <d v="2018-03-19T21:31:49"/>
    <s v="00bcbfc6-c7b9-bd0e-3d95-071f9fba6321"/>
    <s v="b5b380d2-df21-3389-abf0-08551c7e1f2d"/>
    <s v="16522b44-0fe3-3bd5-ae6f-e87db0c891f2"/>
    <s v="0133f751-9229-3cfd-815f-b6d4979bdd6a"/>
    <x v="2"/>
    <n v="698314001"/>
    <s v="Consultation for treatment (procedure)"/>
    <n v="142.58000000000001"/>
    <n v="142.58000000000001"/>
    <n v="142.58000000000001"/>
    <n v="389095005"/>
    <x v="15"/>
  </r>
  <r>
    <s v="00bcbfc6-c7b9-bd0e-cb53-57b9c908a61c"/>
    <d v="2018-03-19T21:16:49"/>
    <d v="2018-03-19T21:31:49"/>
    <s v="00bcbfc6-c7b9-bd0e-3d95-071f9fba6321"/>
    <s v="b5b380d2-df21-3389-abf0-08551c7e1f2d"/>
    <s v="16522b44-0fe3-3bd5-ae6f-e87db0c891f2"/>
    <s v="0133f751-9229-3cfd-815f-b6d4979bdd6a"/>
    <x v="1"/>
    <n v="185345009"/>
    <s v="Encounter for symptom (procedure)"/>
    <n v="85.55"/>
    <n v="2935.76"/>
    <n v="2935.76"/>
    <n v="43878008"/>
    <x v="18"/>
  </r>
  <r>
    <s v="00bcbfc6-c7b9-bd0e-99de-ba933408d2b0"/>
    <d v="2018-03-26T21:16:49"/>
    <d v="2018-03-26T22:06:19"/>
    <s v="00bcbfc6-c7b9-bd0e-3d95-071f9fba6321"/>
    <s v="b5b380d2-df21-3389-abf0-08551c7e1f2d"/>
    <s v="16522b44-0fe3-3bd5-ae6f-e87db0c891f2"/>
    <s v="0133f751-9229-3cfd-815f-b6d4979bdd6a"/>
    <x v="2"/>
    <n v="185349003"/>
    <s v="Encounter for check up (procedure)"/>
    <n v="85.55"/>
    <n v="1481.58"/>
    <n v="1481.58"/>
    <m/>
    <x v="0"/>
  </r>
  <r>
    <s v="00bcbfc6-c7b9-bd0e-1c1e-c72a7208dbd4"/>
    <d v="2018-05-14T21:16:49"/>
    <d v="2018-05-14T22:14:32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717.36"/>
    <n v="717.36"/>
    <m/>
    <x v="0"/>
  </r>
  <r>
    <s v="00bcbfc6-c7b9-bd0e-6ab7-1fba82e68e0a"/>
    <d v="2019-03-14T21:16:49"/>
    <d v="2019-03-14T21:31:49"/>
    <s v="00bcbfc6-c7b9-bd0e-3d95-071f9fba6321"/>
    <s v="b5b380d2-df21-3389-abf0-08551c7e1f2d"/>
    <s v="16522b44-0fe3-3bd5-ae6f-e87db0c891f2"/>
    <s v="0133f751-9229-3cfd-815f-b6d4979bdd6a"/>
    <x v="2"/>
    <n v="698314001"/>
    <s v="Consultation for treatment (procedure)"/>
    <n v="142.58000000000001"/>
    <n v="2582.14"/>
    <n v="0"/>
    <n v="389095005"/>
    <x v="15"/>
  </r>
  <r>
    <s v="00bcbfc6-c7b9-bd0e-8123-84ca497122bf"/>
    <d v="2019-05-20T21:16:49"/>
    <d v="2019-05-20T21:56:05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1219.55"/>
    <n v="0"/>
    <m/>
    <x v="0"/>
  </r>
  <r>
    <s v="00bcbfc6-c7b9-bd0e-0e23-491fd22a9f45"/>
    <d v="2019-06-24T21:16:49"/>
    <d v="2019-06-24T21:31:49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1250.8499999999999"/>
    <n v="0"/>
    <n v="389095005"/>
    <x v="15"/>
  </r>
  <r>
    <s v="00bcbfc6-c7b9-bd0e-cbab-c787d377c8e7"/>
    <d v="2019-09-23T21:16:49"/>
    <d v="2019-09-23T21:31:49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4575.68"/>
    <n v="2141.42"/>
    <n v="389095005"/>
    <x v="15"/>
  </r>
  <r>
    <s v="00bcbfc6-c7b9-bd0e-2d0c-20e806dab77b"/>
    <d v="2019-12-23T20:16:49"/>
    <d v="2019-12-23T20:32:33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3380.48"/>
    <n v="2028.29"/>
    <n v="389095005"/>
    <x v="15"/>
  </r>
  <r>
    <s v="00bcbfc6-c7b9-bd0e-3430-9260777bbb1e"/>
    <d v="2020-03-08T21:28:42"/>
    <d v="2020-03-08T21:43:42"/>
    <s v="00bcbfc6-c7b9-bd0e-3d95-071f9fba6321"/>
    <s v="b5b380d2-df21-3389-abf0-08551c7e1f2d"/>
    <s v="16522b44-0fe3-3bd5-ae6f-e87db0c891f2"/>
    <s v="8fa6c185-e44e-3e34-8bd8-39be8694f4ce"/>
    <x v="2"/>
    <n v="698314001"/>
    <s v="Consultation for treatment (procedure)"/>
    <n v="142.58000000000001"/>
    <n v="142.58000000000001"/>
    <n v="0"/>
    <n v="389095005"/>
    <x v="15"/>
  </r>
  <r>
    <s v="00bcbfc6-c7b9-bd0e-f2d7-f5c6867f856a"/>
    <d v="2020-03-23T21:16:49"/>
    <d v="2020-03-23T21:32:15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1250.8499999999999"/>
    <n v="0"/>
    <n v="389095005"/>
    <x v="15"/>
  </r>
  <r>
    <s v="00bcbfc6-c7b9-bd0e-0fe2-db4de2617b51"/>
    <d v="2020-05-25T21:16:49"/>
    <d v="2020-05-25T21:59:54"/>
    <s v="00bcbfc6-c7b9-bd0e-3d95-071f9fba6321"/>
    <s v="79508e39-d0b0-3613-9d54-168f6e1c3a18"/>
    <s v="73c37c91-2db4-3035-ad6b-a17ba872183e"/>
    <s v="8fa6c185-e44e-3e34-8bd8-39be8694f4ce"/>
    <x v="0"/>
    <n v="162673000"/>
    <s v="General examination of patient (procedure)"/>
    <n v="136.80000000000001"/>
    <n v="1243.31"/>
    <n v="0"/>
    <m/>
    <x v="0"/>
  </r>
  <r>
    <s v="00bcbfc6-c7b9-bd0e-1eb6-01a55a11128e"/>
    <d v="2020-06-22T21:16:49"/>
    <d v="2020-06-22T21:34:07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1250.8499999999999"/>
    <n v="0"/>
    <n v="389095005"/>
    <x v="15"/>
  </r>
  <r>
    <s v="00bcbfc6-c7b9-bd0e-7397-57b36365172c"/>
    <d v="2020-07-18T05:16:49"/>
    <d v="2020-07-18T05:31:49"/>
    <s v="00bcbfc6-c7b9-bd0e-3d95-071f9fba6321"/>
    <s v="b5b380d2-df21-3389-abf0-08551c7e1f2d"/>
    <s v="16522b44-0fe3-3bd5-ae6f-e87db0c891f2"/>
    <s v="8fa6c185-e44e-3e34-8bd8-39be8694f4ce"/>
    <x v="1"/>
    <n v="185345009"/>
    <s v="Encounter for symptom (procedure)"/>
    <n v="85.55"/>
    <n v="85.55"/>
    <n v="0"/>
    <n v="444814009"/>
    <x v="2"/>
  </r>
  <r>
    <s v="00bcbfc6-c7b9-bd0e-f99a-404440f1b916"/>
    <d v="2020-09-21T21:16:49"/>
    <d v="2020-09-21T21:34:14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2667.34"/>
    <n v="1707"/>
    <n v="389095005"/>
    <x v="15"/>
  </r>
  <r>
    <s v="00bcbfc6-c7b9-bd0e-3f2c-486e46627a7c"/>
    <d v="2020-10-18T06:16:49"/>
    <d v="2020-10-18T06:31:49"/>
    <s v="00bcbfc6-c7b9-bd0e-3d95-071f9fba6321"/>
    <s v="b5b380d2-df21-3389-abf0-08551c7e1f2d"/>
    <s v="16522b44-0fe3-3bd5-ae6f-e87db0c891f2"/>
    <s v="8fa6c185-e44e-3e34-8bd8-39be8694f4ce"/>
    <x v="1"/>
    <n v="185345009"/>
    <s v="Encounter for symptom (procedure)"/>
    <n v="85.55"/>
    <n v="1188.68"/>
    <n v="832.07"/>
    <n v="195662009"/>
    <x v="9"/>
  </r>
  <r>
    <s v="00bcbfc6-c7b9-bd0e-91c8-b5051310a011"/>
    <d v="2020-10-26T21:16:49"/>
    <d v="2020-10-26T22:03:41"/>
    <s v="00bcbfc6-c7b9-bd0e-3d95-071f9fba6321"/>
    <s v="b5b380d2-df21-3389-abf0-08551c7e1f2d"/>
    <s v="16522b44-0fe3-3bd5-ae6f-e87db0c891f2"/>
    <s v="8fa6c185-e44e-3e34-8bd8-39be8694f4ce"/>
    <x v="2"/>
    <n v="185349003"/>
    <s v="Encounter for check up (procedure)"/>
    <n v="85.55"/>
    <n v="741.13"/>
    <n v="518.79"/>
    <m/>
    <x v="0"/>
  </r>
  <r>
    <s v="00bcbfc6-c7b9-bd0e-1835-4e6d6b528627"/>
    <d v="2020-12-21T20:16:49"/>
    <d v="2020-12-21T20:35:09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1269.6099999999999"/>
    <n v="888.73"/>
    <n v="389095005"/>
    <x v="15"/>
  </r>
  <r>
    <s v="00bcbfc6-c7b9-bd0e-bff5-bdc89997b948"/>
    <d v="2021-03-03T20:28:42"/>
    <d v="2021-03-03T20:43:42"/>
    <s v="00bcbfc6-c7b9-bd0e-3d95-071f9fba6321"/>
    <s v="b5b380d2-df21-3389-abf0-08551c7e1f2d"/>
    <s v="16522b44-0fe3-3bd5-ae6f-e87db0c891f2"/>
    <s v="734afbd6-4794-363b-9bc0-6a3981533ed5"/>
    <x v="2"/>
    <n v="698314001"/>
    <s v="Consultation for treatment (procedure)"/>
    <n v="142.58000000000001"/>
    <n v="142.58000000000001"/>
    <n v="0"/>
    <n v="389095005"/>
    <x v="15"/>
  </r>
  <r>
    <s v="00bcbfc6-c7b9-bd0e-1350-4ea1bb0ead1a"/>
    <d v="2021-03-22T21:16:49"/>
    <d v="2021-03-22T21:31:49"/>
    <s v="00bcbfc6-c7b9-bd0e-3d95-071f9fba6321"/>
    <s v="b5b380d2-df21-3389-abf0-08551c7e1f2d"/>
    <s v="16522b44-0fe3-3bd5-ae6f-e87db0c891f2"/>
    <s v="734afbd6-4794-363b-9bc0-6a3981533ed5"/>
    <x v="2"/>
    <n v="308335008"/>
    <s v="Patient encounter procedure (procedure)"/>
    <n v="142.58000000000001"/>
    <n v="1250.8499999999999"/>
    <n v="131.80000000000001"/>
    <n v="389095005"/>
    <x v="15"/>
  </r>
  <r>
    <s v="00bcbfc6-c7b9-bd0e-8348-0d1533af3cc7"/>
    <d v="2021-05-31T21:16:49"/>
    <d v="2021-05-31T22:13:42"/>
    <s v="00bcbfc6-c7b9-bd0e-3d95-071f9fba6321"/>
    <s v="79508e39-d0b0-3613-9d54-168f6e1c3a18"/>
    <s v="73c37c91-2db4-3035-ad6b-a17ba872183e"/>
    <s v="734afbd6-4794-363b-9bc0-6a3981533ed5"/>
    <x v="0"/>
    <n v="162673000"/>
    <s v="General examination of patient (procedure)"/>
    <n v="136.80000000000001"/>
    <n v="853.36"/>
    <n v="682.68"/>
    <m/>
    <x v="0"/>
  </r>
  <r>
    <s v="0b786670-17af-32e1-cfb8-31a58dc48d1d"/>
    <d v="1982-08-24T19:29:08"/>
    <d v="1982-08-24T20:08:18"/>
    <s v="0b786670-17af-32e1-b2d2-f77c33874b30"/>
    <s v="b3312a2d-37e9-35a8-b50d-6c165c437baa"/>
    <s v="db583ce9-9aac-3415-938a-d837295672b1"/>
    <s v="e03e23c9-4df1-3eb6-a62d-f70f02301496"/>
    <x v="0"/>
    <n v="162673000"/>
    <s v="General examination of patient (procedure)"/>
    <n v="136.80000000000001"/>
    <n v="991.55"/>
    <n v="0"/>
    <m/>
    <x v="0"/>
  </r>
  <r>
    <s v="0b786670-17af-32e1-0966-f4de75b7e173"/>
    <d v="1992-12-29T18:29:08"/>
    <d v="1992-12-29T19:37:22"/>
    <s v="0b786670-17af-32e1-b2d2-f77c33874b30"/>
    <s v="05f80ed8-6a7a-3728-8b5c-c5c995c8244a"/>
    <s v="031b5bbb-be2d-3e2b-976e-0e03319c6d98"/>
    <s v="e03e23c9-4df1-3eb6-a62d-f70f02301496"/>
    <x v="1"/>
    <n v="185347001"/>
    <s v="Encounter for problem (procedure)"/>
    <n v="85.55"/>
    <n v="1454.33"/>
    <n v="0"/>
    <n v="62479008"/>
    <x v="76"/>
  </r>
  <r>
    <s v="0b786670-17af-32e1-63f2-d726a56feeca"/>
    <d v="1993-01-19T18:29:08"/>
    <d v="1993-01-20T05:01:15"/>
    <s v="0b786670-17af-32e1-b2d2-f77c33874b30"/>
    <s v="05f80ed8-6a7a-3728-8b5c-c5c995c8244a"/>
    <s v="031b5bbb-be2d-3e2b-976e-0e03319c6d98"/>
    <s v="e03e23c9-4df1-3eb6-a62d-f70f02301496"/>
    <x v="1"/>
    <n v="185347001"/>
    <s v="Encounter for problem (procedure)"/>
    <n v="85.55"/>
    <n v="10172.99"/>
    <n v="0"/>
    <n v="62479008"/>
    <x v="76"/>
  </r>
  <r>
    <s v="0b786670-17af-32e1-3c37-4e3a810c2eac"/>
    <d v="2004-11-16T18:29:08"/>
    <d v="2004-11-16T19:17:38"/>
    <s v="0b786670-17af-32e1-b2d2-f77c33874b30"/>
    <s v="05f80ed8-6a7a-3728-8b5c-c5c995c8244a"/>
    <s v="031b5bbb-be2d-3e2b-976e-0e03319c6d98"/>
    <s v="e03e23c9-4df1-3eb6-a62d-f70f02301496"/>
    <x v="0"/>
    <n v="162673000"/>
    <s v="General examination of patient (procedure)"/>
    <n v="136.80000000000001"/>
    <n v="840.2"/>
    <n v="0"/>
    <m/>
    <x v="0"/>
  </r>
  <r>
    <s v="00bcbfc6-c7b9-bd0e-7ffe-1b0b0df0ae0a"/>
    <d v="2021-06-14T21:16:49"/>
    <d v="2021-06-15T01:00:55"/>
    <s v="00bcbfc6-c7b9-bd0e-3d95-071f9fba6321"/>
    <s v="b5b380d2-df21-3389-abf0-08551c7e1f2d"/>
    <s v="16522b44-0fe3-3bd5-ae6f-e87db0c891f2"/>
    <s v="734afbd6-4794-363b-9bc0-6a3981533ed5"/>
    <x v="1"/>
    <n v="185349003"/>
    <s v="Encounter for check up (procedure)"/>
    <n v="85.55"/>
    <n v="3968.15"/>
    <n v="3174.52"/>
    <n v="103697008"/>
    <x v="3"/>
  </r>
  <r>
    <s v="0b786670-17af-32e1-4386-de5a4d2bf6c2"/>
    <d v="2005-11-22T18:29:08"/>
    <d v="2005-11-22T19:24:10"/>
    <s v="0b786670-17af-32e1-b2d2-f77c33874b30"/>
    <s v="05f80ed8-6a7a-3728-8b5c-c5c995c8244a"/>
    <s v="031b5bbb-be2d-3e2b-976e-0e03319c6d98"/>
    <s v="e03e23c9-4df1-3eb6-a62d-f70f02301496"/>
    <x v="0"/>
    <n v="162673000"/>
    <s v="General examination of patient (procedure)"/>
    <n v="136.80000000000001"/>
    <n v="976.2"/>
    <n v="0"/>
    <m/>
    <x v="0"/>
  </r>
  <r>
    <s v="0b786670-17af-32e1-5bba-84cb3d3ac69c"/>
    <d v="2008-12-09T18:29:08"/>
    <d v="2008-12-09T19:02:00"/>
    <s v="0b786670-17af-32e1-b2d2-f77c33874b30"/>
    <s v="05f80ed8-6a7a-3728-8b5c-c5c995c8244a"/>
    <s v="031b5bbb-be2d-3e2b-976e-0e03319c6d98"/>
    <s v="0133f751-9229-3cfd-815f-b6d4979bdd6a"/>
    <x v="0"/>
    <n v="162673000"/>
    <s v="General examination of patient (procedure)"/>
    <n v="136.80000000000001"/>
    <n v="1069.06"/>
    <n v="0"/>
    <m/>
    <x v="0"/>
  </r>
  <r>
    <s v="0b786670-17af-32e1-51f5-2e1a59fbbdbc"/>
    <d v="2010-12-21T18:29:08"/>
    <d v="2010-12-21T19:09:22"/>
    <s v="0b786670-17af-32e1-b2d2-f77c33874b30"/>
    <s v="05f80ed8-6a7a-3728-8b5c-c5c995c8244a"/>
    <s v="031b5bbb-be2d-3e2b-976e-0e03319c6d98"/>
    <s v="0133f751-9229-3cfd-815f-b6d4979bdd6a"/>
    <x v="0"/>
    <n v="162673000"/>
    <s v="General examination of patient (procedure)"/>
    <n v="136.80000000000001"/>
    <n v="853.36"/>
    <n v="0"/>
    <m/>
    <x v="0"/>
  </r>
  <r>
    <s v="0b786670-17af-32e1-d7e1-c5e1e39cfadd"/>
    <d v="2013-01-01T18:29:08"/>
    <d v="2013-01-01T18:59:48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1218.22"/>
    <n v="974.56"/>
    <m/>
    <x v="0"/>
  </r>
  <r>
    <s v="0b786670-17af-32e1-9413-fa827a09eb67"/>
    <d v="2013-05-14T19:29:08"/>
    <d v="2013-05-14T20:19:14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666.11"/>
    <n v="532.88"/>
    <m/>
    <x v="0"/>
  </r>
  <r>
    <s v="0b786670-17af-32e1-9fcc-352689de3f3a"/>
    <d v="2013-09-10T19:29:08"/>
    <d v="2013-09-10T20:13:24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1528.91"/>
    <n v="1024.76"/>
    <m/>
    <x v="0"/>
  </r>
  <r>
    <s v="0b786670-17af-32e1-e1a2-d1d0d239c2f4"/>
    <d v="2013-09-24T19:29:08"/>
    <d v="2013-09-24T22:47:02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105.35"/>
    <n v="2484.2800000000002"/>
    <n v="103697008"/>
    <x v="3"/>
  </r>
  <r>
    <s v="0b786670-17af-32e1-a161-d5b0138efb4f"/>
    <d v="2014-01-07T18:29:08"/>
    <d v="2014-01-07T19:25:07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1218.8900000000001"/>
    <n v="975.1"/>
    <m/>
    <x v="0"/>
  </r>
  <r>
    <s v="00bcbfc6-c7b9-bd0e-71ca-7c871210cd38"/>
    <d v="2021-06-28T21:16:49"/>
    <d v="2021-06-28T21:32:47"/>
    <s v="00bcbfc6-c7b9-bd0e-3d95-071f9fba6321"/>
    <s v="b5b380d2-df21-3389-abf0-08551c7e1f2d"/>
    <s v="16522b44-0fe3-3bd5-ae6f-e87db0c891f2"/>
    <s v="734afbd6-4794-363b-9bc0-6a3981533ed5"/>
    <x v="2"/>
    <n v="308335008"/>
    <s v="Patient encounter procedure (procedure)"/>
    <n v="142.58000000000001"/>
    <n v="1250.8499999999999"/>
    <n v="1000.68"/>
    <n v="389095005"/>
    <x v="15"/>
  </r>
  <r>
    <s v="00bcbfc6-c7b9-bd0e-6ef9-3c00856b78ab"/>
    <d v="2021-09-27T21:16:49"/>
    <d v="2021-09-27T21:35:22"/>
    <s v="00bcbfc6-c7b9-bd0e-3d95-071f9fba6321"/>
    <s v="b5b380d2-df21-3389-abf0-08551c7e1f2d"/>
    <s v="16522b44-0fe3-3bd5-ae6f-e87db0c891f2"/>
    <s v="734afbd6-4794-363b-9bc0-6a3981533ed5"/>
    <x v="2"/>
    <n v="308335008"/>
    <s v="Patient encounter procedure (procedure)"/>
    <n v="142.58000000000001"/>
    <n v="1250.8499999999999"/>
    <n v="1000.68"/>
    <n v="389095005"/>
    <x v="15"/>
  </r>
  <r>
    <s v="00bcbfc6-c7b9-bd0e-8605-16705bab64a3"/>
    <d v="2021-10-18T21:16:49"/>
    <d v="2021-10-18T21:31:49"/>
    <s v="00bcbfc6-c7b9-bd0e-3d95-071f9fba6321"/>
    <s v="b5b380d2-df21-3389-abf0-08551c7e1f2d"/>
    <s v="16522b44-0fe3-3bd5-ae6f-e87db0c891f2"/>
    <s v="734afbd6-4794-363b-9bc0-6a3981533ed5"/>
    <x v="2"/>
    <n v="33879002"/>
    <s v="Administration of vaccine to produce active immunity (procedure)"/>
    <n v="142.58000000000001"/>
    <n v="278.58"/>
    <n v="222.86"/>
    <m/>
    <x v="0"/>
  </r>
  <r>
    <s v="00bcbfc6-c7b9-bd0e-c330-49dd1f43b79a"/>
    <d v="2021-11-08T20:16:49"/>
    <d v="2021-11-08T20:31:49"/>
    <s v="00bcbfc6-c7b9-bd0e-3d95-071f9fba6321"/>
    <s v="b5b380d2-df21-3389-abf0-08551c7e1f2d"/>
    <s v="16522b44-0fe3-3bd5-ae6f-e87db0c891f2"/>
    <s v="734afbd6-4794-363b-9bc0-6a3981533ed5"/>
    <x v="2"/>
    <n v="33879002"/>
    <s v="Administration of vaccine to produce active immunity (procedure)"/>
    <n v="142.58000000000001"/>
    <n v="278.58"/>
    <n v="222.86"/>
    <m/>
    <x v="0"/>
  </r>
  <r>
    <s v="00bcbfc6-c7b9-bd0e-cc60-0198b36abda2"/>
    <d v="2021-12-27T20:16:49"/>
    <d v="2021-12-27T20:31:49"/>
    <s v="00bcbfc6-c7b9-bd0e-3d95-071f9fba6321"/>
    <s v="b5b380d2-df21-3389-abf0-08551c7e1f2d"/>
    <s v="16522b44-0fe3-3bd5-ae6f-e87db0c891f2"/>
    <s v="734afbd6-4794-363b-9bc0-6a3981533ed5"/>
    <x v="2"/>
    <n v="308335008"/>
    <s v="Patient encounter procedure (procedure)"/>
    <n v="142.58000000000001"/>
    <n v="4575.68"/>
    <n v="3660.54"/>
    <n v="389095005"/>
    <x v="15"/>
  </r>
  <r>
    <s v="00bcbfc6-c7b9-bd0e-2f04-c0c63a8fa23d"/>
    <d v="2022-03-28T21:16:49"/>
    <d v="2022-03-28T21:35:52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4575.68"/>
    <n v="0"/>
    <n v="389095005"/>
    <x v="15"/>
  </r>
  <r>
    <s v="0b786670-17af-32e1-e96f-dec05854ca60"/>
    <d v="2014-01-14T18:29:08"/>
    <d v="2014-01-14T19:28:46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e8bf-2c91a60512ae"/>
    <d v="2014-05-14T20:28:46"/>
    <d v="2014-05-14T22:07:26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811.15"/>
    <n v="1448.92"/>
    <n v="62479008"/>
    <x v="76"/>
  </r>
  <r>
    <s v="0b786670-17af-32e1-2b6c-6dbb7ffe7dc8"/>
    <d v="2014-06-24T19:29:08"/>
    <d v="2014-06-24T20:01:45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9564.48"/>
    <n v="6485.18"/>
    <n v="275978004"/>
    <x v="29"/>
  </r>
  <r>
    <s v="0b786670-17af-32e1-f0e2-6084242eefcb"/>
    <d v="2014-09-11T22:07:26"/>
    <d v="2014-09-11T23:01:53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a622-55de53642c73"/>
    <d v="2014-09-21T09:29:08"/>
    <d v="2014-09-21T09:44:08"/>
    <s v="0b786670-17af-32e1-b2d2-f77c33874b30"/>
    <s v="05f80ed8-6a7a-3728-8b5c-c5c995c8244a"/>
    <s v="031b5bbb-be2d-3e2b-976e-0e03319c6d98"/>
    <s v="734afbd6-4794-363b-9bc0-6a3981533ed5"/>
    <x v="1"/>
    <n v="185345009"/>
    <s v="Encounter for symptom (procedure)"/>
    <n v="85.55"/>
    <n v="85.55"/>
    <n v="68.44"/>
    <n v="195662009"/>
    <x v="9"/>
  </r>
  <r>
    <s v="0b786670-17af-32e1-7533-1a8309c18d54"/>
    <d v="2014-09-30T19:29:08"/>
    <d v="2014-09-30T20:29:08"/>
    <s v="0b786670-17af-32e1-b2d2-f77c33874b30"/>
    <s v="b3312a2d-37e9-35a8-b50d-6c165c437baa"/>
    <s v="db583ce9-9aac-3415-938a-d837295672b1"/>
    <s v="734afbd6-4794-363b-9bc0-6a3981533ed5"/>
    <x v="3"/>
    <n v="50849002"/>
    <s v="Emergency room admission (procedure)"/>
    <n v="146.18"/>
    <n v="862.74"/>
    <n v="690.18"/>
    <m/>
    <x v="0"/>
  </r>
  <r>
    <s v="00bcbfc6-c7b9-bd0e-c14c-b2f26d70771b"/>
    <d v="2022-06-06T21:16:49"/>
    <d v="2022-06-06T22:04:47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1057.58"/>
    <n v="0"/>
    <m/>
    <x v="0"/>
  </r>
  <r>
    <s v="00bcbfc6-c7b9-bd0e-724b-392ca6361209"/>
    <d v="2022-06-27T21:16:49"/>
    <d v="2022-06-27T21:31:49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2105.63"/>
    <n v="987.75"/>
    <n v="389095005"/>
    <x v="15"/>
  </r>
  <r>
    <s v="00bcbfc6-c7b9-bd0e-b96d-0469db6a39d3"/>
    <d v="2022-09-26T21:16:49"/>
    <d v="2022-09-26T21:34:10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2975.01"/>
    <n v="1785.01"/>
    <n v="389095005"/>
    <x v="15"/>
  </r>
  <r>
    <s v="00bcbfc6-c7b9-bd0e-3820-2d312dae2246"/>
    <d v="2022-12-26T20:16:49"/>
    <d v="2022-12-26T20:31:49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4575.68"/>
    <n v="2745.41"/>
    <n v="389095005"/>
    <x v="15"/>
  </r>
  <r>
    <s v="00bcbfc6-c7b9-bd0e-5865-c56b4c256eb2"/>
    <d v="2023-02-21T20:28:42"/>
    <d v="2023-02-21T20:43:42"/>
    <s v="00bcbfc6-c7b9-bd0e-3d95-071f9fba6321"/>
    <s v="b5b380d2-df21-3389-abf0-08551c7e1f2d"/>
    <s v="16522b44-0fe3-3bd5-ae6f-e87db0c891f2"/>
    <s v="0133f751-9229-3cfd-815f-b6d4979bdd6a"/>
    <x v="2"/>
    <n v="698314001"/>
    <s v="Consultation for treatment (procedure)"/>
    <n v="142.58000000000001"/>
    <n v="142.58000000000001"/>
    <n v="0"/>
    <n v="389095005"/>
    <x v="15"/>
  </r>
  <r>
    <s v="00bcbfc6-c7b9-bd0e-9fb9-1b97fbb07fe1"/>
    <d v="2023-02-26T17:28:42"/>
    <d v="2023-02-26T18:13:57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4052.91"/>
    <n v="0"/>
    <n v="389095005"/>
    <x v="15"/>
  </r>
  <r>
    <s v="00bcbfc6-c7b9-bd0e-c5e6-bed4a9061917"/>
    <d v="2023-03-27T21:16:49"/>
    <d v="2023-03-27T21:32:27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2059.1"/>
    <n v="340.96"/>
    <n v="389095005"/>
    <x v="15"/>
  </r>
  <r>
    <s v="00bcbfc6-c7b9-bd0e-6913-8eaabfdacaa6"/>
    <d v="2023-06-12T21:16:49"/>
    <d v="2023-06-12T22:11:29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785.58"/>
    <n v="471.35"/>
    <m/>
    <x v="0"/>
  </r>
  <r>
    <s v="00bcbfc6-c7b9-bd0e-2ecb-7242ca80fba4"/>
    <d v="2023-06-26T21:16:49"/>
    <d v="2023-06-26T21:33:33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1823.1"/>
    <n v="1093.8599999999999"/>
    <n v="389095005"/>
    <x v="15"/>
  </r>
  <r>
    <s v="00bcbfc6-c7b9-bd0e-a4b2-fc7f1f97ca1a"/>
    <d v="2023-09-25T21:16:49"/>
    <d v="2023-09-25T21:32:19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1250.8499999999999"/>
    <n v="750.51"/>
    <n v="389095005"/>
    <x v="15"/>
  </r>
  <r>
    <s v="00bcbfc6-c7b9-bd0e-2604-68d53476f85b"/>
    <d v="2023-12-25T20:16:49"/>
    <d v="2023-12-25T20:31:49"/>
    <s v="00bcbfc6-c7b9-bd0e-3d95-071f9fba6321"/>
    <s v="b5b380d2-df21-3389-abf0-08551c7e1f2d"/>
    <s v="16522b44-0fe3-3bd5-ae6f-e87db0c891f2"/>
    <s v="0133f751-9229-3cfd-815f-b6d4979bdd6a"/>
    <x v="2"/>
    <n v="308335008"/>
    <s v="Patient encounter procedure (procedure)"/>
    <n v="142.58000000000001"/>
    <n v="1338.53"/>
    <n v="803.12"/>
    <n v="389095005"/>
    <x v="15"/>
  </r>
  <r>
    <s v="00bcbfc6-c7b9-bd0e-f3a0-1d7c45ebd5a2"/>
    <d v="2024-05-13T21:16:49"/>
    <d v="2024-05-13T21:31:49"/>
    <s v="00bcbfc6-c7b9-bd0e-3d95-071f9fba6321"/>
    <s v="b5b380d2-df21-3389-abf0-08551c7e1f2d"/>
    <s v="16522b44-0fe3-3bd5-ae6f-e87db0c891f2"/>
    <s v="0133f751-9229-3cfd-815f-b6d4979bdd6a"/>
    <x v="1"/>
    <n v="424441002"/>
    <s v="Prenatal initial visit (regime/therapy)"/>
    <n v="142.58000000000001"/>
    <n v="6453.97"/>
    <n v="215.98"/>
    <n v="72892002"/>
    <x v="4"/>
  </r>
  <r>
    <s v="00bcbfc6-c7b9-bd0e-7cd3-5733dc64a235"/>
    <d v="2024-05-31T21:16:49"/>
    <d v="2024-05-31T21:31:49"/>
    <s v="00bcbfc6-c7b9-bd0e-3d95-071f9fba6321"/>
    <s v="b5b380d2-df21-3389-abf0-08551c7e1f2d"/>
    <s v="16522b44-0fe3-3bd5-ae6f-e87db0c891f2"/>
    <s v="0133f751-9229-3cfd-815f-b6d4979bdd6a"/>
    <x v="1"/>
    <n v="424619006"/>
    <s v="Prenatal visit (regime/therapy)"/>
    <n v="142.58000000000001"/>
    <n v="1005.38"/>
    <n v="603.23"/>
    <n v="156073000"/>
    <x v="26"/>
  </r>
  <r>
    <s v="0b786670-17af-32e1-b132-1f27ce61d032"/>
    <d v="2014-10-07T19:29:08"/>
    <d v="2014-10-07T20:29:08"/>
    <s v="0b786670-17af-32e1-b2d2-f77c33874b30"/>
    <s v="b3312a2d-37e9-35a8-b50d-6c165c437baa"/>
    <s v="db583ce9-9aac-3415-938a-d837295672b1"/>
    <s v="734afbd6-4794-363b-9bc0-6a3981533ed5"/>
    <x v="3"/>
    <n v="50849002"/>
    <s v="Emergency room admission (procedure)"/>
    <n v="146.18"/>
    <n v="295.33999999999997"/>
    <n v="236.26"/>
    <m/>
    <x v="0"/>
  </r>
  <r>
    <s v="0b786670-17af-32e1-456d-1c265773d88d"/>
    <d v="2014-11-04T18:29:08"/>
    <d v="2014-11-04T19:24:51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1180"/>
    <n v="943.99"/>
    <m/>
    <x v="0"/>
  </r>
  <r>
    <s v="0b786670-17af-32e1-aeda-f84baf45a99d"/>
    <d v="2014-11-18T18:29:08"/>
    <d v="2014-11-18T21:02:02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2673.95"/>
    <n v="2139.16"/>
    <n v="103697008"/>
    <x v="3"/>
  </r>
  <r>
    <s v="0b786670-17af-32e1-9d66-dbc74dc05706"/>
    <d v="2015-01-06T18:29:08"/>
    <d v="2015-01-06T19:18:35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938.11"/>
    <n v="750.48"/>
    <m/>
    <x v="0"/>
  </r>
  <r>
    <s v="00bcbfc6-c7b9-bd0e-f7ab-56a70d17135b"/>
    <d v="2024-06-17T21:16:49"/>
    <d v="2024-06-17T22:15:46"/>
    <s v="00bcbfc6-c7b9-bd0e-3d95-071f9fba6321"/>
    <s v="79508e39-d0b0-3613-9d54-168f6e1c3a18"/>
    <s v="73c37c91-2db4-3035-ad6b-a17ba872183e"/>
    <s v="0133f751-9229-3cfd-815f-b6d4979bdd6a"/>
    <x v="0"/>
    <n v="162673000"/>
    <s v="General examination of patient (procedure)"/>
    <n v="136.80000000000001"/>
    <n v="941.54"/>
    <n v="564.92999999999995"/>
    <m/>
    <x v="0"/>
  </r>
  <r>
    <s v="00bcbfc6-c7b9-bd0e-4d28-3b301e37881f"/>
    <d v="2025-02-15T18:13:57"/>
    <d v="2025-02-15T18:32:30"/>
    <s v="00bcbfc6-c7b9-bd0e-3d95-071f9fba6321"/>
    <s v="b5b380d2-df21-3389-abf0-08551c7e1f2d"/>
    <s v="16522b44-0fe3-3bd5-ae6f-e87db0c891f2"/>
    <s v="8fa6c185-e44e-3e34-8bd8-39be8694f4ce"/>
    <x v="2"/>
    <n v="698314001"/>
    <s v="Consultation for treatment (procedure)"/>
    <n v="142.58000000000001"/>
    <n v="3077.56"/>
    <n v="0"/>
    <n v="389095005"/>
    <x v="15"/>
  </r>
  <r>
    <s v="00bcbfc6-c7b9-bd0e-cb85-3ceacf68462e"/>
    <d v="2025-05-26T21:16:49"/>
    <d v="2025-05-26T21:31:49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1250.8499999999999"/>
    <n v="0"/>
    <n v="389095005"/>
    <x v="15"/>
  </r>
  <r>
    <s v="00bcbfc6-c7b9-bd0e-2ca3-dc72c56e2fcc"/>
    <d v="2025-06-23T21:16:49"/>
    <d v="2025-06-23T21:56:10"/>
    <s v="00bcbfc6-c7b9-bd0e-3d95-071f9fba6321"/>
    <s v="79508e39-d0b0-3613-9d54-168f6e1c3a18"/>
    <s v="73c37c91-2db4-3035-ad6b-a17ba872183e"/>
    <s v="8fa6c185-e44e-3e34-8bd8-39be8694f4ce"/>
    <x v="0"/>
    <n v="162673000"/>
    <s v="General examination of patient (procedure)"/>
    <n v="136.80000000000001"/>
    <n v="1001.28"/>
    <n v="591.59"/>
    <m/>
    <x v="0"/>
  </r>
  <r>
    <s v="00bcbfc6-c7b9-bd0e-247d-329bbd6e05b2"/>
    <d v="2025-07-07T21:16:49"/>
    <d v="2025-07-08T03:31:28"/>
    <s v="00bcbfc6-c7b9-bd0e-3d95-071f9fba6321"/>
    <s v="b5b380d2-df21-3389-abf0-08551c7e1f2d"/>
    <s v="16522b44-0fe3-3bd5-ae6f-e87db0c891f2"/>
    <s v="8fa6c185-e44e-3e34-8bd8-39be8694f4ce"/>
    <x v="1"/>
    <n v="185349003"/>
    <s v="Encounter for check up (procedure)"/>
    <n v="85.55"/>
    <n v="4830.95"/>
    <n v="3381.66"/>
    <n v="66383009"/>
    <x v="17"/>
  </r>
  <r>
    <s v="00bcbfc6-c7b9-bd0e-805b-401d5166f60e"/>
    <d v="2025-08-25T21:16:49"/>
    <d v="2025-08-25T21:33:33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1556.74"/>
    <n v="1089.72"/>
    <n v="389095005"/>
    <x v="15"/>
  </r>
  <r>
    <s v="00bcbfc6-c7b9-bd0e-d695-d11c977fe359"/>
    <d v="2025-11-24T20:16:49"/>
    <d v="2025-11-24T20:31:49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2420.83"/>
    <n v="1694.59"/>
    <n v="389095005"/>
    <x v="15"/>
  </r>
  <r>
    <s v="00bcbfc6-c7b9-bd0e-4687-136f91737416"/>
    <d v="2026-02-10T18:32:30"/>
    <d v="2026-02-10T18:47:30"/>
    <s v="00bcbfc6-c7b9-bd0e-3d95-071f9fba6321"/>
    <s v="b5b380d2-df21-3389-abf0-08551c7e1f2d"/>
    <s v="16522b44-0fe3-3bd5-ae6f-e87db0c891f2"/>
    <s v="8fa6c185-e44e-3e34-8bd8-39be8694f4ce"/>
    <x v="2"/>
    <n v="698314001"/>
    <s v="Consultation for treatment (procedure)"/>
    <n v="142.58000000000001"/>
    <n v="142.58000000000001"/>
    <n v="0"/>
    <n v="389095005"/>
    <x v="15"/>
  </r>
  <r>
    <s v="00bcbfc6-c7b9-bd0e-102b-07fdd1da61a5"/>
    <d v="2026-02-23T20:16:49"/>
    <d v="2026-02-23T20:34:56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1250.8499999999999"/>
    <n v="0"/>
    <n v="389095005"/>
    <x v="15"/>
  </r>
  <r>
    <s v="00bcbfc6-c7b9-bd0e-9a3b-89b3e95765d8"/>
    <d v="2026-05-25T21:16:49"/>
    <d v="2026-05-25T21:33:45"/>
    <s v="00bcbfc6-c7b9-bd0e-3d95-071f9fba6321"/>
    <s v="b5b380d2-df21-3389-abf0-08551c7e1f2d"/>
    <s v="16522b44-0fe3-3bd5-ae6f-e87db0c891f2"/>
    <s v="8fa6c185-e44e-3e34-8bd8-39be8694f4ce"/>
    <x v="2"/>
    <n v="308335008"/>
    <s v="Patient encounter procedure (procedure)"/>
    <n v="142.58000000000001"/>
    <n v="2217.3000000000002"/>
    <n v="0"/>
    <n v="389095005"/>
    <x v="15"/>
  </r>
  <r>
    <s v="00bcbfc6-c7b9-bd0e-cc12-fd233979708a"/>
    <d v="2026-06-29T21:16:49"/>
    <d v="2026-06-29T22:15:20"/>
    <s v="00bcbfc6-c7b9-bd0e-3d95-071f9fba6321"/>
    <s v="79508e39-d0b0-3613-9d54-168f6e1c3a18"/>
    <s v="73c37c91-2db4-3035-ad6b-a17ba872183e"/>
    <s v="8fa6c185-e44e-3e34-8bd8-39be8694f4ce"/>
    <x v="0"/>
    <n v="162673000"/>
    <s v="General examination of patient (procedure)"/>
    <n v="136.80000000000001"/>
    <n v="785.58"/>
    <n v="199.89"/>
    <m/>
    <x v="0"/>
  </r>
  <r>
    <s v="0b786670-17af-32e1-670d-a28cd1fde675"/>
    <d v="2015-01-13T18:29:08"/>
    <d v="2015-01-13T18:44:08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285.95999999999998"/>
    <n v="228.76"/>
    <m/>
    <x v="0"/>
  </r>
  <r>
    <s v="0b786670-17af-32e1-c41f-a10bd1916524"/>
    <d v="2015-01-20T18:29:08"/>
    <d v="2015-01-20T21:56:12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105.35"/>
    <n v="2484.2800000000002"/>
    <n v="66383009"/>
    <x v="17"/>
  </r>
  <r>
    <s v="0b786670-17af-32e1-2f65-8b8e5ed5a0ce"/>
    <d v="2015-01-27T18:29:08"/>
    <d v="2015-01-27T19:16:31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c28e-31f86e1f37f9"/>
    <d v="2015-06-26T20:16:31"/>
    <d v="2015-06-26T22:25:48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947.15"/>
    <n v="391.32"/>
    <n v="62479008"/>
    <x v="76"/>
  </r>
  <r>
    <s v="0b786670-17af-32e1-68c6-85b074637ba9"/>
    <d v="2015-11-23T21:25:48"/>
    <d v="2015-11-23T22:30:25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084.3499999999999"/>
    <n v="867.48"/>
    <n v="62479008"/>
    <x v="76"/>
  </r>
  <r>
    <s v="0b786670-17af-32e1-789e-1446a262c9cd"/>
    <d v="2016-01-19T18:29:08"/>
    <d v="2016-01-19T19:03:58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1063.94"/>
    <n v="851.14"/>
    <m/>
    <x v="0"/>
  </r>
  <r>
    <s v="0b786670-17af-32e1-7751-18cdef4480cc"/>
    <d v="2016-03-22T23:30:25"/>
    <d v="2016-03-23T00:37:33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7c2d-27ba76a4dbe8"/>
    <d v="2016-08-20T00:37:33"/>
    <d v="2016-08-20T02:47:56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811.15"/>
    <n v="282.52"/>
    <n v="62479008"/>
    <x v="76"/>
  </r>
  <r>
    <s v="0b786670-17af-32e1-ca16-12b33dea5a11"/>
    <d v="2016-12-18T01:47:56"/>
    <d v="2016-12-18T02:39:26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0108-840e0f611f04"/>
    <d v="2017-01-24T18:29:08"/>
    <d v="2017-01-24T19:12:23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1092.25"/>
    <n v="873.79"/>
    <m/>
    <x v="0"/>
  </r>
  <r>
    <s v="0b786670-17af-32e1-3d35-fc3d5b8848d2"/>
    <d v="2017-02-21T18:29:08"/>
    <d v="2017-02-21T19:09:26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666.11"/>
    <n v="532.88"/>
    <m/>
    <x v="0"/>
  </r>
  <r>
    <s v="0b786670-17af-32e1-ca1b-0ae3ef1bc6dd"/>
    <d v="2017-03-07T18:29:08"/>
    <d v="2017-03-07T22:10:37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536.75"/>
    <n v="2829.4"/>
    <n v="66383009"/>
    <x v="17"/>
  </r>
  <r>
    <s v="0b786670-17af-32e1-dee6-43b80e034eb6"/>
    <d v="2017-03-28T19:29:08"/>
    <d v="2017-03-28T20:20:36"/>
    <s v="0b786670-17af-32e1-b2d2-f77c33874b30"/>
    <s v="04b252db-4231-3cb5-963d-6f096fb4b97c"/>
    <s v="0cc6ceb3-b46c-35d6-a8dd-b1eaa408d28e"/>
    <s v="734afbd6-4794-363b-9bc0-6a3981533ed5"/>
    <x v="4"/>
    <n v="702927004"/>
    <s v="Urgent care clinic (environment)"/>
    <n v="142.58000000000001"/>
    <n v="723.14"/>
    <n v="578.5"/>
    <m/>
    <x v="0"/>
  </r>
  <r>
    <s v="0b786670-17af-32e1-f726-17f8d9de1708"/>
    <d v="2017-04-11T19:29:08"/>
    <d v="2017-04-11T22:15:24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105.35"/>
    <n v="2484.2800000000002"/>
    <n v="103697008"/>
    <x v="3"/>
  </r>
  <r>
    <s v="0b786670-17af-32e1-ad67-db00f8d5e138"/>
    <d v="2017-04-17T03:39:26"/>
    <d v="2017-04-17T04:31:16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084.3499999999999"/>
    <n v="867.48"/>
    <n v="62479008"/>
    <x v="76"/>
  </r>
  <r>
    <s v="0b786670-17af-32e1-9cf0-bc20cc41d09e"/>
    <d v="2017-08-15T04:31:16"/>
    <d v="2017-08-15T06:34:04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811.15"/>
    <n v="282.52"/>
    <n v="62479008"/>
    <x v="76"/>
  </r>
  <r>
    <s v="0b786670-17af-32e1-0074-663d561f891f"/>
    <d v="2017-09-03T20:12:53"/>
    <d v="2017-09-03T21:12:53"/>
    <s v="0b786670-17af-32e1-b2d2-f77c33874b30"/>
    <s v="b3312a2d-37e9-35a8-b50d-6c165c437baa"/>
    <s v="db583ce9-9aac-3415-938a-d837295672b1"/>
    <s v="734afbd6-4794-363b-9bc0-6a3981533ed5"/>
    <x v="3"/>
    <n v="50849002"/>
    <s v="Emergency room admission (procedure)"/>
    <n v="146.18"/>
    <n v="146.18"/>
    <n v="116.94"/>
    <n v="384709000"/>
    <x v="13"/>
  </r>
  <r>
    <s v="0b786670-17af-32e1-9823-497d5b643ca0"/>
    <d v="2018-01-12T05:34:04"/>
    <d v="2018-01-12T06:24:33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750e-50f00d8dbd79"/>
    <d v="2018-01-30T18:29:08"/>
    <d v="2018-01-30T19:06:24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1267.47"/>
    <n v="1013.96"/>
    <m/>
    <x v="0"/>
  </r>
  <r>
    <s v="0b786670-17af-32e1-ef50-ef5489964b47"/>
    <d v="2018-02-13T18:29:08"/>
    <d v="2018-02-14T00:24:58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4830.95"/>
    <n v="3864.76"/>
    <n v="66383009"/>
    <x v="17"/>
  </r>
  <r>
    <s v="0b786670-17af-32e1-b22e-ff12d69ce5cb"/>
    <d v="2018-02-27T18:29:08"/>
    <d v="2018-02-27T19:27:00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666.11"/>
    <n v="532.88"/>
    <m/>
    <x v="0"/>
  </r>
  <r>
    <s v="0b786670-17af-32e1-b657-a2fe31e21a3f"/>
    <d v="2018-03-20T19:29:08"/>
    <d v="2018-03-20T20:13:14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1254.99"/>
    <n v="1003.98"/>
    <m/>
    <x v="0"/>
  </r>
  <r>
    <s v="0b786670-17af-32e1-d64d-d4daa979cf04"/>
    <d v="2018-04-03T19:29:08"/>
    <d v="2018-04-03T22:14:28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105.35"/>
    <n v="2484.2800000000002"/>
    <n v="103697008"/>
    <x v="3"/>
  </r>
  <r>
    <s v="0b786670-17af-32e1-aee3-9d6f223e4fb6"/>
    <d v="2018-06-11T07:24:33"/>
    <d v="2018-06-11T08:20:59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3c0e-da4873363360"/>
    <d v="2018-10-09T08:20:59"/>
    <d v="2018-10-09T09:58:04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811.15"/>
    <n v="282.52"/>
    <n v="62479008"/>
    <x v="76"/>
  </r>
  <r>
    <s v="0b786670-17af-32e1-c152-bdf03ce2f4f4"/>
    <d v="2019-02-05T18:29:08"/>
    <d v="2019-02-05T19:00:26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927.94"/>
    <n v="742.34"/>
    <m/>
    <x v="0"/>
  </r>
  <r>
    <s v="0b786670-17af-32e1-ee1c-76c432dc4e62"/>
    <d v="2019-02-19T18:29:08"/>
    <d v="2019-02-19T20:57:28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2673.95"/>
    <n v="2139.16"/>
    <n v="103697008"/>
    <x v="3"/>
  </r>
  <r>
    <s v="0b786670-17af-32e1-7982-24e9bda18c92"/>
    <d v="2019-03-08T08:58:04"/>
    <d v="2019-03-08T09:49:13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1144-f5f3822b5b41"/>
    <d v="2019-06-24T20:01:45"/>
    <d v="2019-06-24T20:39:44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5138.45"/>
    <n v="4110.76"/>
    <n v="275978004"/>
    <x v="29"/>
  </r>
  <r>
    <s v="0b786670-17af-32e1-c1fe-c74ec6f69b38"/>
    <d v="2019-08-05T10:49:13"/>
    <d v="2019-08-05T11:54:20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0"/>
    <n v="62479008"/>
    <x v="76"/>
  </r>
  <r>
    <s v="0b786670-17af-32e1-b218-96844030f267"/>
    <d v="2019-09-10T19:29:08"/>
    <d v="2019-09-10T20:15:52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666.11"/>
    <n v="230.7"/>
    <m/>
    <x v="0"/>
  </r>
  <r>
    <s v="0b786670-17af-32e1-5ae7-5c0807ba53ae"/>
    <d v="2019-11-05T18:29:08"/>
    <d v="2019-11-05T19:09:16"/>
    <s v="0b786670-17af-32e1-b2d2-f77c33874b30"/>
    <s v="04b252db-4231-3cb5-963d-6f096fb4b97c"/>
    <s v="0cc6ceb3-b46c-35d6-a8dd-b1eaa408d28e"/>
    <s v="734afbd6-4794-363b-9bc0-6a3981533ed5"/>
    <x v="4"/>
    <n v="702927004"/>
    <s v="Urgent care clinic (environment)"/>
    <n v="142.58000000000001"/>
    <n v="723.14"/>
    <n v="578.5"/>
    <m/>
    <x v="0"/>
  </r>
  <r>
    <s v="0b786670-17af-32e1-0069-52a1fb4c3940"/>
    <d v="2019-11-12T18:29:08"/>
    <d v="2019-11-12T19:29:08"/>
    <s v="0b786670-17af-32e1-b2d2-f77c33874b30"/>
    <s v="b3312a2d-37e9-35a8-b50d-6c165c437baa"/>
    <s v="db583ce9-9aac-3415-938a-d837295672b1"/>
    <s v="734afbd6-4794-363b-9bc0-6a3981533ed5"/>
    <x v="3"/>
    <n v="50849002"/>
    <s v="Emergency room admission (procedure)"/>
    <n v="146.18"/>
    <n v="295.33999999999997"/>
    <n v="236.26"/>
    <m/>
    <x v="0"/>
  </r>
  <r>
    <s v="0b786670-17af-32e1-04ef-abfe34d8307e"/>
    <d v="2019-11-19T18:29:08"/>
    <d v="2019-11-19T18:59:28"/>
    <s v="0b786670-17af-32e1-b2d2-f77c33874b30"/>
    <s v="04b252db-4231-3cb5-963d-6f096fb4b97c"/>
    <s v="0cc6ceb3-b46c-35d6-a8dd-b1eaa408d28e"/>
    <s v="734afbd6-4794-363b-9bc0-6a3981533ed5"/>
    <x v="4"/>
    <n v="702927004"/>
    <s v="Urgent care clinic (environment)"/>
    <n v="142.58000000000001"/>
    <n v="723.14"/>
    <n v="578.5"/>
    <m/>
    <x v="0"/>
  </r>
  <r>
    <s v="0b786670-17af-32e1-fecb-8a818d0ac2e1"/>
    <d v="2019-11-26T18:29:08"/>
    <d v="2019-11-26T18:44:08"/>
    <s v="0b786670-17af-32e1-b2d2-f77c33874b30"/>
    <s v="04b252db-4231-3cb5-963d-6f096fb4b97c"/>
    <s v="0cc6ceb3-b46c-35d6-a8dd-b1eaa408d28e"/>
    <s v="734afbd6-4794-363b-9bc0-6a3981533ed5"/>
    <x v="4"/>
    <n v="702927004"/>
    <s v="Urgent care clinic (environment)"/>
    <n v="142.58000000000001"/>
    <n v="1051.9000000000001"/>
    <n v="841.51"/>
    <m/>
    <x v="0"/>
  </r>
  <r>
    <s v="0b786670-17af-32e1-566a-4cf0c3fd0f69"/>
    <d v="2019-12-03T18:29:08"/>
    <d v="2019-12-03T19:09:18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666.11"/>
    <n v="532.88"/>
    <m/>
    <x v="0"/>
  </r>
  <r>
    <s v="0b786670-17af-32e1-9327-8bf1c1f8a45f"/>
    <d v="2019-12-10T18:29:08"/>
    <d v="2019-12-10T18:44:08"/>
    <s v="0b786670-17af-32e1-b2d2-f77c33874b30"/>
    <s v="04b252db-4231-3cb5-963d-6f096fb4b97c"/>
    <s v="0cc6ceb3-b46c-35d6-a8dd-b1eaa408d28e"/>
    <s v="734afbd6-4794-363b-9bc0-6a3981533ed5"/>
    <x v="4"/>
    <n v="702927004"/>
    <s v="Urgent care clinic (environment)"/>
    <n v="142.58000000000001"/>
    <n v="291.74"/>
    <n v="233.38"/>
    <m/>
    <x v="0"/>
  </r>
  <r>
    <s v="0b786670-17af-32e1-fe09-03b77b7e36dc"/>
    <d v="2019-12-17T18:29:08"/>
    <d v="2019-12-17T19:08:11"/>
    <s v="0b786670-17af-32e1-b2d2-f77c33874b30"/>
    <s v="04b252db-4231-3cb5-963d-6f096fb4b97c"/>
    <s v="0cc6ceb3-b46c-35d6-a8dd-b1eaa408d28e"/>
    <s v="734afbd6-4794-363b-9bc0-6a3981533ed5"/>
    <x v="4"/>
    <n v="702927004"/>
    <s v="Urgent care clinic (environment)"/>
    <n v="142.58000000000001"/>
    <n v="723.14"/>
    <n v="578.5"/>
    <m/>
    <x v="0"/>
  </r>
  <r>
    <s v="0b786670-17af-32e1-80be-3703a7fff34d"/>
    <d v="2019-12-24T18:29:08"/>
    <d v="2019-12-24T18:44:08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370.71"/>
    <n v="296.56"/>
    <m/>
    <x v="0"/>
  </r>
  <r>
    <s v="0b786670-17af-32e1-6b93-a90f5a1fa31f"/>
    <d v="2019-12-31T18:29:08"/>
    <d v="2019-12-31T18:45:33"/>
    <s v="0b786670-17af-32e1-b2d2-f77c33874b30"/>
    <s v="05f80ed8-6a7a-3728-8b5c-c5c995c8244a"/>
    <s v="031b5bbb-be2d-3e2b-976e-0e03319c6d98"/>
    <s v="734afbd6-4794-363b-9bc0-6a3981533ed5"/>
    <x v="1"/>
    <n v="185345009"/>
    <s v="Encounter for symptom (procedure)"/>
    <n v="85.55"/>
    <n v="377.19"/>
    <n v="301.75"/>
    <n v="10509002"/>
    <x v="1"/>
  </r>
  <r>
    <s v="0b786670-17af-32e1-bd8e-281b05f9c95b"/>
    <d v="2020-01-07T18:29:08"/>
    <d v="2020-01-07T22:17:55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536.75"/>
    <n v="2829.4"/>
    <n v="66383009"/>
    <x v="17"/>
  </r>
  <r>
    <s v="0b786670-17af-32e1-97e8-8ad100231b37"/>
    <d v="2020-01-14T18:29:08"/>
    <d v="2020-01-14T20:53:27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811.15"/>
    <n v="1448.92"/>
    <n v="62479008"/>
    <x v="76"/>
  </r>
  <r>
    <s v="0b786670-17af-32e1-2ce4-909ecd327224"/>
    <d v="2020-02-11T18:29:08"/>
    <d v="2020-02-11T19:03:35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717.36"/>
    <n v="573.88"/>
    <m/>
    <x v="0"/>
  </r>
  <r>
    <s v="0b786670-17af-32e1-6762-e071592aa434"/>
    <d v="2020-02-25T18:29:08"/>
    <d v="2020-02-25T21:16:45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2673.95"/>
    <n v="2139.16"/>
    <n v="66383009"/>
    <x v="17"/>
  </r>
  <r>
    <s v="0b786670-17af-32e1-dda6-2218b1794c25"/>
    <d v="2020-05-13T21:53:27"/>
    <d v="2020-05-13T22:44:37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c227-d70fead26915"/>
    <d v="2020-09-10T22:44:37"/>
    <d v="2020-09-10T23:43:31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220.3499999999999"/>
    <n v="0"/>
    <n v="62479008"/>
    <x v="76"/>
  </r>
  <r>
    <s v="0b786670-17af-32e1-ed93-6c3ac2c1f927"/>
    <d v="2020-10-06T19:29:08"/>
    <d v="2020-10-06T20:10:45"/>
    <s v="0b786670-17af-32e1-b2d2-f77c33874b30"/>
    <s v="05f80ed8-6a7a-3728-8b5c-c5c995c8244a"/>
    <s v="031b5bbb-be2d-3e2b-976e-0e03319c6d98"/>
    <s v="734afbd6-4794-363b-9bc0-6a3981533ed5"/>
    <x v="2"/>
    <n v="185349003"/>
    <s v="Encounter for check up (procedure)"/>
    <n v="85.55"/>
    <n v="666.11"/>
    <n v="447.8"/>
    <m/>
    <x v="0"/>
  </r>
  <r>
    <s v="0b786670-17af-32e1-9802-8891762cfd4b"/>
    <d v="2020-10-20T19:29:08"/>
    <d v="2020-10-21T02:22:29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4399.55"/>
    <n v="3519.64"/>
    <n v="66383009"/>
    <x v="17"/>
  </r>
  <r>
    <s v="0b786670-17af-32e1-95b7-aa7b8b7a56c6"/>
    <d v="2021-02-07T22:43:31"/>
    <d v="2021-02-08T00:27:45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947.15"/>
    <n v="1557.72"/>
    <n v="62479008"/>
    <x v="76"/>
  </r>
  <r>
    <s v="0b786670-17af-32e1-a60b-d7c53abdbaff"/>
    <d v="2021-02-16T18:29:08"/>
    <d v="2021-02-16T19:26:23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853.36"/>
    <n v="682.68"/>
    <m/>
    <x v="0"/>
  </r>
  <r>
    <s v="0b786670-17af-32e1-bd00-cf3cd9951185"/>
    <d v="2021-03-02T18:29:08"/>
    <d v="2021-03-02T21:53:47"/>
    <s v="0b786670-17af-32e1-b2d2-f77c33874b30"/>
    <s v="05f80ed8-6a7a-3728-8b5c-c5c995c8244a"/>
    <s v="031b5bbb-be2d-3e2b-976e-0e03319c6d98"/>
    <s v="734afbd6-4794-363b-9bc0-6a3981533ed5"/>
    <x v="1"/>
    <n v="185349003"/>
    <s v="Encounter for check up (procedure)"/>
    <n v="85.55"/>
    <n v="3536.75"/>
    <n v="2829.4"/>
    <n v="103697008"/>
    <x v="3"/>
  </r>
  <r>
    <s v="0b786670-17af-32e1-b28d-94c5ed24dfd1"/>
    <d v="2021-06-08T01:27:45"/>
    <d v="2021-06-08T02:22:05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758.68"/>
    <n v="62479008"/>
    <x v="76"/>
  </r>
  <r>
    <s v="0b786670-17af-32e1-a5d1-682310cefd65"/>
    <d v="2021-10-12T19:29:08"/>
    <d v="2021-10-12T19:44:08"/>
    <s v="0b786670-17af-32e1-b2d2-f77c33874b30"/>
    <s v="05f80ed8-6a7a-3728-8b5c-c5c995c8244a"/>
    <s v="031b5bbb-be2d-3e2b-976e-0e03319c6d98"/>
    <s v="734afbd6-4794-363b-9bc0-6a3981533ed5"/>
    <x v="2"/>
    <n v="33879002"/>
    <s v="Administration of vaccine to produce active immunity (procedure)"/>
    <n v="142.58000000000001"/>
    <n v="278.58"/>
    <n v="0"/>
    <m/>
    <x v="0"/>
  </r>
  <r>
    <s v="0b786670-17af-32e1-d3d5-80bedb1e51cc"/>
    <d v="2021-11-02T19:29:08"/>
    <d v="2021-11-02T19:44:08"/>
    <s v="0b786670-17af-32e1-b2d2-f77c33874b30"/>
    <s v="05f80ed8-6a7a-3728-8b5c-c5c995c8244a"/>
    <s v="031b5bbb-be2d-3e2b-976e-0e03319c6d98"/>
    <s v="734afbd6-4794-363b-9bc0-6a3981533ed5"/>
    <x v="2"/>
    <n v="33879002"/>
    <s v="Administration of vaccine to produce active immunity (procedure)"/>
    <n v="142.58000000000001"/>
    <n v="278.58"/>
    <n v="0"/>
    <m/>
    <x v="0"/>
  </r>
  <r>
    <s v="0b786670-17af-32e1-7161-a6a525c559dd"/>
    <d v="2021-11-05T02:22:05"/>
    <d v="2021-11-05T03:25:27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948.35"/>
    <n v="38.01"/>
    <n v="62479008"/>
    <x v="76"/>
  </r>
  <r>
    <s v="0b786670-17af-32e1-557a-6fed403134e8"/>
    <d v="2022-02-22T18:29:08"/>
    <d v="2022-02-22T19:24:57"/>
    <s v="0b786670-17af-32e1-b2d2-f77c33874b30"/>
    <s v="05f80ed8-6a7a-3728-8b5c-c5c995c8244a"/>
    <s v="031b5bbb-be2d-3e2b-976e-0e03319c6d98"/>
    <s v="734afbd6-4794-363b-9bc0-6a3981533ed5"/>
    <x v="0"/>
    <n v="162673000"/>
    <s v="General examination of patient (procedure)"/>
    <n v="136.80000000000001"/>
    <n v="1143.6400000000001"/>
    <n v="914.9"/>
    <m/>
    <x v="0"/>
  </r>
  <r>
    <s v="0b786670-17af-32e1-5714-58e446390657"/>
    <d v="2022-04-04T03:25:27"/>
    <d v="2022-04-04T05:41:01"/>
    <s v="0b786670-17af-32e1-b2d2-f77c33874b30"/>
    <s v="05f80ed8-6a7a-3728-8b5c-c5c995c8244a"/>
    <s v="031b5bbb-be2d-3e2b-976e-0e03319c6d98"/>
    <s v="734afbd6-4794-363b-9bc0-6a3981533ed5"/>
    <x v="1"/>
    <n v="185347001"/>
    <s v="Encounter for problem (procedure)"/>
    <n v="85.55"/>
    <n v="1811.15"/>
    <n v="1448.92"/>
    <n v="62479008"/>
    <x v="76"/>
  </r>
  <r>
    <s v="0b786670-17af-32e1-5780-6f8edda5f9ec"/>
    <d v="2022-08-09T19:29:08"/>
    <d v="2022-08-09T20:09:23"/>
    <s v="0b786670-17af-32e1-b2d2-f77c33874b30"/>
    <s v="04b252db-4231-3cb5-963d-6f096fb4b97c"/>
    <s v="0cc6ceb3-b46c-35d6-a8dd-b1eaa408d28e"/>
    <s v="8fa6c185-e44e-3e34-8bd8-39be8694f4ce"/>
    <x v="4"/>
    <n v="702927004"/>
    <s v="Urgent care clinic (environment)"/>
    <n v="142.58000000000001"/>
    <n v="723.14"/>
    <n v="0"/>
    <m/>
    <x v="0"/>
  </r>
  <r>
    <s v="0b786670-17af-32e1-72bd-bfa2b8b20581"/>
    <d v="2022-08-16T19:29:08"/>
    <d v="2022-08-16T19:44:08"/>
    <s v="0b786670-17af-32e1-b2d2-f77c33874b30"/>
    <s v="04b252db-4231-3cb5-963d-6f096fb4b97c"/>
    <s v="0cc6ceb3-b46c-35d6-a8dd-b1eaa408d28e"/>
    <s v="8fa6c185-e44e-3e34-8bd8-39be8694f4ce"/>
    <x v="4"/>
    <n v="702927004"/>
    <s v="Urgent care clinic (environment)"/>
    <n v="142.58000000000001"/>
    <n v="291.74"/>
    <n v="0"/>
    <m/>
    <x v="0"/>
  </r>
  <r>
    <s v="0b786670-17af-32e1-52a0-12a811c988ef"/>
    <d v="2022-08-23T19:29:08"/>
    <d v="2022-08-23T20:04:29"/>
    <s v="0b786670-17af-32e1-b2d2-f77c33874b30"/>
    <s v="05f80ed8-6a7a-3728-8b5c-c5c995c8244a"/>
    <s v="031b5bbb-be2d-3e2b-976e-0e03319c6d98"/>
    <s v="8fa6c185-e44e-3e34-8bd8-39be8694f4ce"/>
    <x v="2"/>
    <n v="185349003"/>
    <s v="Encounter for check up (procedure)"/>
    <n v="85.55"/>
    <n v="666.11"/>
    <n v="0"/>
    <m/>
    <x v="0"/>
  </r>
  <r>
    <s v="0b786670-17af-32e1-fbd0-d55ec68717cc"/>
    <d v="2022-08-30T19:29:08"/>
    <d v="2022-08-30T19:44:08"/>
    <s v="0b786670-17af-32e1-b2d2-f77c33874b30"/>
    <s v="04b252db-4231-3cb5-963d-6f096fb4b97c"/>
    <s v="0cc6ceb3-b46c-35d6-a8dd-b1eaa408d28e"/>
    <s v="8fa6c185-e44e-3e34-8bd8-39be8694f4ce"/>
    <x v="4"/>
    <n v="702927004"/>
    <s v="Urgent care clinic (environment)"/>
    <n v="142.58000000000001"/>
    <n v="1154.54"/>
    <n v="0"/>
    <m/>
    <x v="0"/>
  </r>
  <r>
    <s v="0b786670-17af-32e1-313c-8fc4916558a0"/>
    <d v="2022-09-06T19:29:08"/>
    <d v="2022-09-06T20:22:21"/>
    <s v="0b786670-17af-32e1-b2d2-f77c33874b30"/>
    <s v="05f80ed8-6a7a-3728-8b5c-c5c995c8244a"/>
    <s v="031b5bbb-be2d-3e2b-976e-0e03319c6d98"/>
    <s v="8fa6c185-e44e-3e34-8bd8-39be8694f4ce"/>
    <x v="2"/>
    <n v="185349003"/>
    <s v="Encounter for check up (procedure)"/>
    <n v="85.55"/>
    <n v="666.11"/>
    <n v="0"/>
    <m/>
    <x v="0"/>
  </r>
  <r>
    <s v="0b786670-17af-32e1-3416-458cc6ee6299"/>
    <d v="2022-09-13T19:29:08"/>
    <d v="2022-09-14T00:15:13"/>
    <s v="0b786670-17af-32e1-b2d2-f77c33874b30"/>
    <s v="05f80ed8-6a7a-3728-8b5c-c5c995c8244a"/>
    <s v="031b5bbb-be2d-3e2b-976e-0e03319c6d98"/>
    <s v="8fa6c185-e44e-3e34-8bd8-39be8694f4ce"/>
    <x v="1"/>
    <n v="185349003"/>
    <s v="Encounter for check up (procedure)"/>
    <n v="85.55"/>
    <n v="3536.75"/>
    <n v="2328.14"/>
    <n v="103697008"/>
    <x v="3"/>
  </r>
  <r>
    <s v="0b786670-17af-32e1-bf1a-45465e45a75a"/>
    <d v="2022-09-20T19:29:08"/>
    <d v="2022-09-20T20:12:49"/>
    <s v="0b786670-17af-32e1-b2d2-f77c33874b30"/>
    <s v="05f80ed8-6a7a-3728-8b5c-c5c995c8244a"/>
    <s v="031b5bbb-be2d-3e2b-976e-0e03319c6d98"/>
    <s v="8fa6c185-e44e-3e34-8bd8-39be8694f4ce"/>
    <x v="1"/>
    <n v="185347001"/>
    <s v="Encounter for problem (procedure)"/>
    <n v="85.55"/>
    <n v="948.35"/>
    <n v="663.84"/>
    <n v="62479008"/>
    <x v="76"/>
  </r>
  <r>
    <s v="0b786670-17af-32e1-a615-07ea4ffca2b0"/>
    <d v="2022-09-27T19:29:08"/>
    <d v="2022-09-27T19:44:08"/>
    <s v="0b786670-17af-32e1-b2d2-f77c33874b30"/>
    <s v="05f80ed8-6a7a-3728-8b5c-c5c995c8244a"/>
    <s v="031b5bbb-be2d-3e2b-976e-0e03319c6d98"/>
    <s v="8fa6c185-e44e-3e34-8bd8-39be8694f4ce"/>
    <x v="1"/>
    <n v="185345009"/>
    <s v="Encounter for symptom (procedure)"/>
    <n v="85.55"/>
    <n v="85.55"/>
    <n v="59.88"/>
    <n v="444814009"/>
    <x v="2"/>
  </r>
  <r>
    <s v="0b786670-17af-32e1-8319-59c6da29051b"/>
    <d v="2022-10-04T19:29:08"/>
    <d v="2022-10-04T20:14:58"/>
    <s v="0b786670-17af-32e1-b2d2-f77c33874b30"/>
    <s v="04b252db-4231-3cb5-963d-6f096fb4b97c"/>
    <s v="0cc6ceb3-b46c-35d6-a8dd-b1eaa408d28e"/>
    <s v="8fa6c185-e44e-3e34-8bd8-39be8694f4ce"/>
    <x v="4"/>
    <n v="702927004"/>
    <s v="Urgent care clinic (environment)"/>
    <n v="142.58000000000001"/>
    <n v="723.14"/>
    <n v="506.21"/>
    <m/>
    <x v="0"/>
  </r>
  <r>
    <s v="0b786670-17af-32e1-8df1-37879646d6ad"/>
    <d v="2022-10-11T19:29:08"/>
    <d v="2022-10-11T19:44:08"/>
    <s v="0b786670-17af-32e1-b2d2-f77c33874b30"/>
    <s v="05f80ed8-6a7a-3728-8b5c-c5c995c8244a"/>
    <s v="031b5bbb-be2d-3e2b-976e-0e03319c6d98"/>
    <s v="8fa6c185-e44e-3e34-8bd8-39be8694f4ce"/>
    <x v="2"/>
    <n v="185349003"/>
    <s v="Encounter for check up (procedure)"/>
    <n v="85.55"/>
    <n v="234.71"/>
    <n v="164.3"/>
    <m/>
    <x v="0"/>
  </r>
  <r>
    <s v="0b786670-17af-32e1-d96e-184fc3bd672d"/>
    <d v="2023-02-17T19:12:49"/>
    <d v="2023-02-17T20:19:24"/>
    <s v="0b786670-17af-32e1-b2d2-f77c33874b30"/>
    <s v="05f80ed8-6a7a-3728-8b5c-c5c995c8244a"/>
    <s v="031b5bbb-be2d-3e2b-976e-0e03319c6d98"/>
    <s v="8fa6c185-e44e-3e34-8bd8-39be8694f4ce"/>
    <x v="1"/>
    <n v="185347001"/>
    <s v="Encounter for problem (procedure)"/>
    <n v="85.55"/>
    <n v="948.35"/>
    <n v="663.84"/>
    <n v="62479008"/>
    <x v="76"/>
  </r>
  <r>
    <s v="0b786670-17af-32e1-42a0-71cb03c8174b"/>
    <d v="2023-02-28T18:29:08"/>
    <d v="2023-02-28T19:27:58"/>
    <s v="0b786670-17af-32e1-b2d2-f77c33874b30"/>
    <s v="05f80ed8-6a7a-3728-8b5c-c5c995c8244a"/>
    <s v="031b5bbb-be2d-3e2b-976e-0e03319c6d98"/>
    <s v="8fa6c185-e44e-3e34-8bd8-39be8694f4ce"/>
    <x v="0"/>
    <n v="162673000"/>
    <s v="General examination of patient (procedure)"/>
    <n v="136.80000000000001"/>
    <n v="1430.01"/>
    <n v="1001.02"/>
    <m/>
    <x v="0"/>
  </r>
  <r>
    <s v="0b786670-17af-32e1-3dd2-526e742ffba4"/>
    <d v="2023-07-17T21:19:24"/>
    <d v="2023-07-17T23:19:45"/>
    <s v="0b786670-17af-32e1-b2d2-f77c33874b30"/>
    <s v="05f80ed8-6a7a-3728-8b5c-c5c995c8244a"/>
    <s v="031b5bbb-be2d-3e2b-976e-0e03319c6d98"/>
    <s v="8fa6c185-e44e-3e34-8bd8-39be8694f4ce"/>
    <x v="1"/>
    <n v="185347001"/>
    <s v="Encounter for problem (procedure)"/>
    <n v="85.55"/>
    <n v="1811.15"/>
    <n v="0"/>
    <n v="62479008"/>
    <x v="76"/>
  </r>
  <r>
    <s v="0b786670-17af-32e1-4e21-00eceeb1f1af"/>
    <d v="2023-07-25T19:29:08"/>
    <d v="2023-08-22T11:37:22"/>
    <s v="0b786670-17af-32e1-b2d2-f77c33874b30"/>
    <s v="05f80ed8-6a7a-3728-8b5c-c5c995c8244a"/>
    <s v="031b5bbb-be2d-3e2b-976e-0e03319c6d98"/>
    <s v="8fa6c185-e44e-3e34-8bd8-39be8694f4ce"/>
    <x v="5"/>
    <n v="305336008"/>
    <s v="Admission to hospice (procedure)"/>
    <n v="137.53"/>
    <n v="11353.93"/>
    <n v="6065.56"/>
    <m/>
    <x v="0"/>
  </r>
  <r>
    <s v="0b786670-17af-32e1-c58b-312c1117cc97"/>
    <d v="2023-08-22T19:29:08"/>
    <d v="2023-08-22T19:44:08"/>
    <s v="0b786670-17af-32e1-b2d2-f77c33874b30"/>
    <s v="05f80ed8-6a7a-3728-8b5c-c5c995c8244a"/>
    <s v="031b5bbb-be2d-3e2b-976e-0e03319c6d98"/>
    <s v="8fa6c185-e44e-3e34-8bd8-39be8694f4ce"/>
    <x v="0"/>
    <n v="308646001"/>
    <s v="Death Certification"/>
    <n v="136.80000000000001"/>
    <n v="211.38"/>
    <n v="147.97"/>
    <n v="62479008"/>
    <x v="76"/>
  </r>
  <r>
    <s v="2211f478-b7b4-7711-f161-ef6763f2d40a"/>
    <d v="1984-10-15T03:51:22"/>
    <d v="1984-10-16T03:51:22"/>
    <s v="2211f478-b7b4-7711-16cf-84ffb52b9d2b"/>
    <s v="352f2e3b-0708-3eb4-9f7e-e73a685bf379"/>
    <s v="4ba67eac-a99d-34c8-9055-4cf0013c75cc"/>
    <s v="df166300-5a78-3502-a46a-832842197811"/>
    <x v="6"/>
    <n v="67799006"/>
    <s v="Cystic fibrosis  prenatal detection (procedure)"/>
    <n v="146.18"/>
    <n v="1612.94"/>
    <n v="1562.94"/>
    <n v="190905008"/>
    <x v="77"/>
  </r>
  <r>
    <s v="2211f478-b7b4-7711-5c72-dc0d0db7fff7"/>
    <d v="1986-04-19T11:13:14"/>
    <d v="1986-04-19T12:46:58"/>
    <s v="2211f478-b7b4-7711-16cf-84ffb52b9d2b"/>
    <s v="3517aff1-b163-3cd5-8fff-19710fcdc1b7"/>
    <s v="a865312d-1c98-3619-8fa7-c703d5cdb78a"/>
    <s v="d18ef2e6-ef40-324c-be54-34a5ee865625"/>
    <x v="3"/>
    <n v="50849002"/>
    <s v="Emergency room admission (procedure)"/>
    <n v="146.18"/>
    <n v="1674.86"/>
    <n v="1639.86"/>
    <n v="65710008"/>
    <x v="78"/>
  </r>
  <r>
    <s v="2211f478-b7b4-7711-6b26-cb71a9b167ac"/>
    <d v="1994-06-02T10:47:05"/>
    <d v="1994-06-02T11:33:14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78.78"/>
    <n v="1143.78"/>
    <n v="190905008"/>
    <x v="77"/>
  </r>
  <r>
    <s v="2211f478-b7b4-7711-eb3c-f0216cea8c5b"/>
    <d v="1995-11-14T16:17:55"/>
    <d v="1995-11-14T20:20:12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4522.22"/>
    <n v="14487.22"/>
    <n v="190905008"/>
    <x v="77"/>
  </r>
  <r>
    <s v="2211f478-b7b4-7711-cee1-6c5024df8f66"/>
    <d v="1996-10-28T02:51:22"/>
    <d v="1996-10-28T03:06:22"/>
    <s v="2211f478-b7b4-7711-16cf-84ffb52b9d2b"/>
    <s v="907b1d2f-2bf8-31b5-abc2-14d6b75faa96"/>
    <s v="b12f301d-9854-3a36-945a-90d0d1d9be98"/>
    <s v="d18ef2e6-ef40-324c-be54-34a5ee865625"/>
    <x v="0"/>
    <n v="410620009"/>
    <s v="Well child visit (procedure)"/>
    <n v="136.80000000000001"/>
    <n v="1303.79"/>
    <n v="1268.79"/>
    <m/>
    <x v="0"/>
  </r>
  <r>
    <s v="2211f478-b7b4-7711-0d1a-2addda7cf5b4"/>
    <d v="1996-11-18T02:51:22"/>
    <d v="1996-11-18T04:08:23"/>
    <s v="2211f478-b7b4-7711-16cf-84ffb52b9d2b"/>
    <s v="352f2e3b-0708-3eb4-9f7e-e73a685bf379"/>
    <s v="4ba67eac-a99d-34c8-9055-4cf0013c75cc"/>
    <s v="d18ef2e6-ef40-324c-be54-34a5ee865625"/>
    <x v="1"/>
    <n v="185347001"/>
    <s v="Encounter for problem (procedure)"/>
    <n v="85.55"/>
    <n v="1379.75"/>
    <n v="1344.75"/>
    <n v="37320007"/>
    <x v="8"/>
  </r>
  <r>
    <s v="2211f478-b7b4-7711-1f7c-7e222c111eff"/>
    <d v="1997-11-03T02:51:22"/>
    <d v="1997-11-03T03:06:22"/>
    <s v="2211f478-b7b4-7711-16cf-84ffb52b9d2b"/>
    <s v="907b1d2f-2bf8-31b5-abc2-14d6b75faa96"/>
    <s v="b12f301d-9854-3a36-945a-90d0d1d9be98"/>
    <s v="d18ef2e6-ef40-324c-be54-34a5ee865625"/>
    <x v="0"/>
    <n v="410620009"/>
    <s v="Well child visit (procedure)"/>
    <n v="136.80000000000001"/>
    <n v="860.16"/>
    <n v="825.16"/>
    <m/>
    <x v="0"/>
  </r>
  <r>
    <s v="2211f478-b7b4-7711-bfd4-4a8941cc2cde"/>
    <d v="2002-12-02T02:51:22"/>
    <d v="2002-12-02T03:41:47"/>
    <s v="2211f478-b7b4-7711-16cf-84ffb52b9d2b"/>
    <s v="907b1d2f-2bf8-31b5-abc2-14d6b75faa96"/>
    <s v="b12f301d-9854-3a36-945a-90d0d1d9be98"/>
    <s v="df166300-5a78-3502-a46a-832842197811"/>
    <x v="0"/>
    <n v="162673000"/>
    <s v="General examination of patient (procedure)"/>
    <n v="136.80000000000001"/>
    <n v="1722.96"/>
    <n v="1672.96"/>
    <m/>
    <x v="0"/>
  </r>
  <r>
    <s v="2211f478-b7b4-7711-424d-0aead9d41920"/>
    <d v="2004-12-13T02:51:22"/>
    <d v="2004-12-13T03:32:58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996.16"/>
    <n v="961.16"/>
    <m/>
    <x v="0"/>
  </r>
  <r>
    <s v="2211f478-b7b4-7711-38c9-65a91b8fff2e"/>
    <d v="2005-03-14T02:51:22"/>
    <d v="2005-03-14T03:51:22"/>
    <s v="2211f478-b7b4-7711-16cf-84ffb52b9d2b"/>
    <s v="3517aff1-b163-3cd5-8fff-19710fcdc1b7"/>
    <s v="a865312d-1c98-3619-8fa7-c703d5cdb78a"/>
    <s v="d18ef2e6-ef40-324c-be54-34a5ee865625"/>
    <x v="3"/>
    <n v="50849002"/>
    <s v="Emergency room admission (procedure)"/>
    <n v="146.18"/>
    <n v="869.54"/>
    <n v="834.54"/>
    <m/>
    <x v="0"/>
  </r>
  <r>
    <s v="2211f478-b7b4-7711-199c-76ffbea4ca28"/>
    <d v="2005-12-19T02:51:22"/>
    <d v="2005-12-19T03:45:59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1063.94"/>
    <n v="1028.94"/>
    <m/>
    <x v="0"/>
  </r>
  <r>
    <s v="2211f478-b7b4-7711-2d4c-731ea3435800"/>
    <d v="2006-01-09T02:51:22"/>
    <d v="2006-01-09T03:06:22"/>
    <s v="2211f478-b7b4-7711-16cf-84ffb52b9d2b"/>
    <s v="352f2e3b-0708-3eb4-9f7e-e73a685bf379"/>
    <s v="4ba67eac-a99d-34c8-9055-4cf0013c75cc"/>
    <s v="d18ef2e6-ef40-324c-be54-34a5ee865625"/>
    <x v="1"/>
    <n v="424441002"/>
    <s v="Prenatal initial visit (regime/therapy)"/>
    <n v="142.58000000000001"/>
    <n v="41763.29"/>
    <n v="41728.29"/>
    <n v="72892002"/>
    <x v="4"/>
  </r>
  <r>
    <s v="2211f478-b7b4-7711-7b72-8cc2987161cb"/>
    <d v="2006-06-20T06:52:40"/>
    <d v="2006-06-20T07:36:40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5d72-ab3f2ba2c479"/>
    <d v="2006-06-26T03:51:22"/>
    <d v="2006-06-26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5750.27"/>
    <n v="5715.27"/>
    <n v="72892002"/>
    <x v="4"/>
  </r>
  <r>
    <s v="2211f478-b7b4-7711-b3d5-8f1d0d2f677c"/>
    <d v="2006-07-16T03:32:01"/>
    <d v="2006-07-16T07:53:17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4601.3999999999996"/>
    <n v="4566.3999999999996"/>
    <n v="190905008"/>
    <x v="77"/>
  </r>
  <r>
    <s v="2211f478-b7b4-7711-4394-f54450ff8356"/>
    <d v="2006-07-24T03:51:22"/>
    <d v="2006-07-24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8976.36"/>
    <n v="8941.36"/>
    <n v="72892002"/>
    <x v="4"/>
  </r>
  <r>
    <s v="2211f478-b7b4-7711-0e31-b3f10b9f63de"/>
    <d v="2006-08-07T03:51:22"/>
    <d v="2006-08-07T04:51:22"/>
    <s v="2211f478-b7b4-7711-16cf-84ffb52b9d2b"/>
    <s v="3517aff1-b163-3cd5-8fff-19710fcdc1b7"/>
    <s v="a865312d-1c98-3619-8fa7-c703d5cdb78a"/>
    <s v="d18ef2e6-ef40-324c-be54-34a5ee865625"/>
    <x v="3"/>
    <n v="183460006"/>
    <s v="Obstetric emergency hospital admission (procedure)"/>
    <n v="146.18"/>
    <n v="4624.83"/>
    <n v="4589.83"/>
    <n v="72892002"/>
    <x v="4"/>
  </r>
  <r>
    <s v="2211f478-b7b4-7711-1ee4-47415d47506e"/>
    <d v="2006-09-18T03:51:22"/>
    <d v="2006-09-18T04:06:22"/>
    <s v="2211f478-b7b4-7711-16cf-84ffb52b9d2b"/>
    <s v="352f2e3b-0708-3eb4-9f7e-e73a685bf379"/>
    <s v="4ba67eac-a99d-34c8-9055-4cf0013c75cc"/>
    <s v="d18ef2e6-ef40-324c-be54-34a5ee865625"/>
    <x v="1"/>
    <n v="169762003"/>
    <s v="Postnatal visit (regime/therapy)"/>
    <n v="142.58000000000001"/>
    <n v="2113.65"/>
    <n v="2078.65"/>
    <m/>
    <x v="0"/>
  </r>
  <r>
    <s v="2211f478-b7b4-7711-6682-401fa8f2ecb2"/>
    <d v="2006-10-21T07:53:17"/>
    <d v="2006-10-21T08:24:59"/>
    <s v="2211f478-b7b4-7711-16cf-84ffb52b9d2b"/>
    <s v="352f2e3b-0708-3eb4-9f7e-e73a685bf379"/>
    <s v="4ba67eac-a99d-34c8-9055-4cf0013c75cc"/>
    <s v="a735bf55-83e9-331a-899d-a82a60b9f60c"/>
    <x v="1"/>
    <n v="185349003"/>
    <s v="Encounter for check up (procedure)"/>
    <n v="85.55"/>
    <n v="1066.01"/>
    <n v="666.41"/>
    <n v="190905008"/>
    <x v="77"/>
  </r>
  <r>
    <s v="2211f478-b7b4-7711-74f8-d530d825b069"/>
    <d v="2006-12-25T02:51:22"/>
    <d v="2006-12-25T03:29:15"/>
    <s v="2211f478-b7b4-7711-16cf-84ffb52b9d2b"/>
    <s v="907b1d2f-2bf8-31b5-abc2-14d6b75faa96"/>
    <s v="b12f301d-9854-3a36-945a-90d0d1d9be98"/>
    <s v="a735bf55-83e9-331a-899d-a82a60b9f60c"/>
    <x v="0"/>
    <n v="162673000"/>
    <s v="General examination of patient (procedure)"/>
    <n v="136.80000000000001"/>
    <n v="1262.6300000000001"/>
    <n v="1010.1"/>
    <m/>
    <x v="0"/>
  </r>
  <r>
    <s v="2211f478-b7b4-7711-cbd4-35945012f033"/>
    <d v="2007-01-20T07:24:59"/>
    <d v="2007-01-20T10:27:30"/>
    <s v="2211f478-b7b4-7711-16cf-84ffb52b9d2b"/>
    <s v="3517aff1-b163-3cd5-8fff-19710fcdc1b7"/>
    <s v="a865312d-1c98-3619-8fa7-c703d5cdb78a"/>
    <s v="a735bf55-83e9-331a-899d-a82a60b9f60c"/>
    <x v="3"/>
    <n v="50849002"/>
    <s v="Emergency room admission (procedure)"/>
    <n v="146.18"/>
    <n v="1008.98"/>
    <n v="807.18"/>
    <n v="448417001"/>
    <x v="79"/>
  </r>
  <r>
    <s v="2211f478-b7b4-7711-9a9f-03d1d5bff6f1"/>
    <d v="2007-04-02T03:51:22"/>
    <d v="2007-04-02T04:51:19"/>
    <s v="2211f478-b7b4-7711-16cf-84ffb52b9d2b"/>
    <s v="1de7e7d9-9a7a-3a3f-bf4c-b4de450711f2"/>
    <s v="673d2b7f-fd5d-31e4-b38d-5e8903c00ef2"/>
    <s v="a735bf55-83e9-331a-899d-a82a60b9f60c"/>
    <x v="4"/>
    <n v="702927004"/>
    <s v="Urgent care clinic (environment)"/>
    <n v="142.58000000000001"/>
    <n v="938.84"/>
    <n v="751.06"/>
    <m/>
    <x v="0"/>
  </r>
  <r>
    <s v="2211f478-b7b4-7711-8583-ac8486f7ccf0"/>
    <d v="2007-04-09T03:51:22"/>
    <d v="2007-04-09T04:06:22"/>
    <s v="2211f478-b7b4-7711-16cf-84ffb52b9d2b"/>
    <s v="1de7e7d9-9a7a-3a3f-bf4c-b4de450711f2"/>
    <s v="673d2b7f-fd5d-31e4-b38d-5e8903c00ef2"/>
    <s v="a735bf55-83e9-331a-899d-a82a60b9f60c"/>
    <x v="4"/>
    <n v="702927004"/>
    <s v="Urgent care clinic (environment)"/>
    <n v="142.58000000000001"/>
    <n v="556.15"/>
    <n v="444.92"/>
    <m/>
    <x v="0"/>
  </r>
  <r>
    <s v="2211f478-b7b4-7711-0814-69f276decac7"/>
    <d v="2007-04-16T03:51:22"/>
    <d v="2007-04-16T04:17:08"/>
    <s v="2211f478-b7b4-7711-16cf-84ffb52b9d2b"/>
    <s v="352f2e3b-0708-3eb4-9f7e-e73a685bf379"/>
    <s v="4ba67eac-a99d-34c8-9055-4cf0013c75cc"/>
    <s v="a735bf55-83e9-331a-899d-a82a60b9f60c"/>
    <x v="1"/>
    <n v="185349003"/>
    <s v="Encounter for check up (procedure)"/>
    <n v="85.55"/>
    <n v="1038.77"/>
    <n v="831.02"/>
    <n v="190905008"/>
    <x v="77"/>
  </r>
  <r>
    <s v="2211f478-b7b4-7711-d968-8e765bd9024a"/>
    <d v="2007-04-23T03:51:22"/>
    <d v="2007-04-23T07:00:54"/>
    <s v="2211f478-b7b4-7711-16cf-84ffb52b9d2b"/>
    <s v="352f2e3b-0708-3eb4-9f7e-e73a685bf379"/>
    <s v="4ba67eac-a99d-34c8-9055-4cf0013c75cc"/>
    <s v="a735bf55-83e9-331a-899d-a82a60b9f60c"/>
    <x v="1"/>
    <n v="185349003"/>
    <s v="Encounter for check up (procedure)"/>
    <n v="85.55"/>
    <n v="3536.75"/>
    <n v="2829.4"/>
    <n v="103697008"/>
    <x v="3"/>
  </r>
  <r>
    <s v="2211f478-b7b4-7711-5aca-e4edf829a480"/>
    <d v="2007-04-30T03:51:22"/>
    <d v="2007-04-30T04:06:22"/>
    <s v="2211f478-b7b4-7711-16cf-84ffb52b9d2b"/>
    <s v="352f2e3b-0708-3eb4-9f7e-e73a685bf379"/>
    <s v="4ba67eac-a99d-34c8-9055-4cf0013c75cc"/>
    <s v="a735bf55-83e9-331a-899d-a82a60b9f60c"/>
    <x v="1"/>
    <n v="185345009"/>
    <s v="Encounter for symptom (procedure)"/>
    <n v="85.55"/>
    <n v="85.55"/>
    <n v="68.44"/>
    <n v="444814009"/>
    <x v="2"/>
  </r>
  <r>
    <s v="2211f478-b7b4-7711-7671-7ca49166a6f0"/>
    <d v="2007-05-16T07:10:42"/>
    <d v="2007-05-16T07:54:42"/>
    <s v="2211f478-b7b4-7711-16cf-84ffb52b9d2b"/>
    <s v="352f2e3b-0708-3eb4-9f7e-e73a685bf379"/>
    <s v="4ba67eac-a99d-34c8-9055-4cf0013c75cc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2211f478-b7b4-7711-0596-38765041ba1a"/>
    <d v="2007-07-10T04:17:08"/>
    <d v="2007-07-10T05:03:57"/>
    <s v="2211f478-b7b4-7711-16cf-84ffb52b9d2b"/>
    <s v="352f2e3b-0708-3eb4-9f7e-e73a685bf379"/>
    <s v="4ba67eac-a99d-34c8-9055-4cf0013c75cc"/>
    <s v="a735bf55-83e9-331a-899d-a82a60b9f60c"/>
    <x v="1"/>
    <n v="185349003"/>
    <s v="Encounter for check up (procedure)"/>
    <n v="85.55"/>
    <n v="1140.53"/>
    <n v="912.42"/>
    <n v="190905008"/>
    <x v="77"/>
  </r>
  <r>
    <s v="2211f478-b7b4-7711-939f-60126e4c6086"/>
    <d v="2007-10-08T05:03:57"/>
    <d v="2007-10-08T05:35:52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15.1400000000001"/>
    <n v="1080.1400000000001"/>
    <n v="190905008"/>
    <x v="77"/>
  </r>
  <r>
    <s v="2211f478-b7b4-7711-7e7e-b020f6cf5120"/>
    <d v="2007-12-10T02:51:22"/>
    <d v="2007-12-10T03:06:22"/>
    <s v="2211f478-b7b4-7711-16cf-84ffb52b9d2b"/>
    <s v="352f2e3b-0708-3eb4-9f7e-e73a685bf379"/>
    <s v="4ba67eac-a99d-34c8-9055-4cf0013c75cc"/>
    <s v="d18ef2e6-ef40-324c-be54-34a5ee865625"/>
    <x v="1"/>
    <n v="424441002"/>
    <s v="Prenatal initial visit (regime/therapy)"/>
    <n v="142.58000000000001"/>
    <n v="44043.4"/>
    <n v="44008.4"/>
    <n v="72892002"/>
    <x v="4"/>
  </r>
  <r>
    <s v="2211f478-b7b4-7711-af6b-270fb441c6c2"/>
    <d v="2007-12-31T02:51:22"/>
    <d v="2007-12-31T03:37:56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717.36"/>
    <n v="717.36"/>
    <m/>
    <x v="0"/>
  </r>
  <r>
    <s v="2211f478-b7b4-7711-a6e7-7b98fbebf83d"/>
    <d v="2008-01-07T02:51:22"/>
    <d v="2008-01-07T03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7266.74"/>
    <n v="7231.74"/>
    <n v="72892002"/>
    <x v="4"/>
  </r>
  <r>
    <s v="2211f478-b7b4-7711-a743-1084a98dd7fd"/>
    <d v="2008-01-12T04:35:52"/>
    <d v="2008-01-12T05:05:55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057.3800000000001"/>
    <n v="1022.38"/>
    <n v="190905008"/>
    <x v="77"/>
  </r>
  <r>
    <s v="2211f478-b7b4-7711-05ef-f7d59fd44f10"/>
    <d v="2008-02-04T02:51:22"/>
    <d v="2008-02-04T03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5837.07"/>
    <n v="15802.07"/>
    <n v="72892002"/>
    <x v="4"/>
  </r>
  <r>
    <s v="2211f478-b7b4-7711-9426-a65e78ce184f"/>
    <d v="2008-03-03T02:51:22"/>
    <d v="2008-03-03T03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4994.24"/>
    <n v="14959.24"/>
    <n v="72892002"/>
    <x v="4"/>
  </r>
  <r>
    <s v="2211f478-b7b4-7711-44cf-229e74f617a0"/>
    <d v="2008-03-31T03:51:22"/>
    <d v="2008-03-31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2888.23"/>
    <n v="12853.23"/>
    <n v="72892002"/>
    <x v="4"/>
  </r>
  <r>
    <s v="2211f478-b7b4-7711-2444-c1144b33a54e"/>
    <d v="2008-04-05T06:05:55"/>
    <d v="2008-04-05T06:53:0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638.59"/>
    <n v="1603.59"/>
    <n v="190905008"/>
    <x v="77"/>
  </r>
  <r>
    <s v="2211f478-b7b4-7711-d28c-85bfbeabafc6"/>
    <d v="2008-04-28T03:51:22"/>
    <d v="2008-04-28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5880.19"/>
    <n v="15845.19"/>
    <n v="72892002"/>
    <x v="4"/>
  </r>
  <r>
    <s v="2211f478-b7b4-7711-7e96-47a81c3e5a11"/>
    <d v="2008-05-10T07:26:55"/>
    <d v="2008-05-10T08:10:55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11ec-78476a47fd80"/>
    <d v="2008-05-26T03:51:22"/>
    <d v="2008-05-26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0076.780000000001"/>
    <n v="10041.780000000001"/>
    <n v="72892002"/>
    <x v="4"/>
  </r>
  <r>
    <s v="2211f478-b7b4-7711-fcf0-16628190903e"/>
    <d v="2008-06-23T03:51:22"/>
    <d v="2008-06-23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8429.07"/>
    <n v="8394.07"/>
    <n v="72892002"/>
    <x v="4"/>
  </r>
  <r>
    <s v="2211f478-b7b4-7711-58a4-63c2870204bf"/>
    <d v="2008-07-07T03:51:22"/>
    <d v="2008-07-07T04:51:22"/>
    <s v="2211f478-b7b4-7711-16cf-84ffb52b9d2b"/>
    <s v="3517aff1-b163-3cd5-8fff-19710fcdc1b7"/>
    <s v="a865312d-1c98-3619-8fa7-c703d5cdb78a"/>
    <s v="d18ef2e6-ef40-324c-be54-34a5ee865625"/>
    <x v="3"/>
    <n v="183460006"/>
    <s v="Obstetric emergency hospital admission (procedure)"/>
    <n v="146.18"/>
    <n v="577.58000000000004"/>
    <n v="542.58000000000004"/>
    <n v="72892002"/>
    <x v="4"/>
  </r>
  <r>
    <s v="2211f478-b7b4-7711-c896-9c2353a506e0"/>
    <d v="2008-07-07T06:53:08"/>
    <d v="2008-07-07T07:35:3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279.6600000000001"/>
    <n v="1244.6600000000001"/>
    <n v="190905008"/>
    <x v="77"/>
  </r>
  <r>
    <s v="2211f478-b7b4-7711-6d73-e522e5431242"/>
    <d v="2008-08-18T03:51:22"/>
    <d v="2008-08-18T04:06:22"/>
    <s v="2211f478-b7b4-7711-16cf-84ffb52b9d2b"/>
    <s v="352f2e3b-0708-3eb4-9f7e-e73a685bf379"/>
    <s v="4ba67eac-a99d-34c8-9055-4cf0013c75cc"/>
    <s v="d18ef2e6-ef40-324c-be54-34a5ee865625"/>
    <x v="1"/>
    <n v="169762003"/>
    <s v="Postnatal visit (regime/therapy)"/>
    <n v="142.58000000000001"/>
    <n v="2113.65"/>
    <n v="2078.65"/>
    <m/>
    <x v="0"/>
  </r>
  <r>
    <s v="2211f478-b7b4-7711-c2ed-bb1d859e720c"/>
    <d v="2008-09-14T03:51:22"/>
    <d v="2008-09-14T04:06:22"/>
    <s v="2211f478-b7b4-7711-16cf-84ffb52b9d2b"/>
    <s v="352f2e3b-0708-3eb4-9f7e-e73a685bf379"/>
    <s v="4ba67eac-a99d-34c8-9055-4cf0013c75cc"/>
    <s v="d18ef2e6-ef40-324c-be54-34a5ee865625"/>
    <x v="2"/>
    <n v="698314001"/>
    <s v="Consultation for treatment (procedure)"/>
    <n v="142.58000000000001"/>
    <n v="142.58000000000001"/>
    <n v="107.58"/>
    <n v="389095005"/>
    <x v="15"/>
  </r>
  <r>
    <s v="2211f478-b7b4-7711-f0e6-a2c0a7920fd7"/>
    <d v="2008-09-30T07:35:38"/>
    <d v="2008-09-30T11:24:36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4361.59"/>
    <n v="14326.59"/>
    <n v="190905008"/>
    <x v="77"/>
  </r>
  <r>
    <s v="2211f478-b7b4-7711-c047-865f024bccf4"/>
    <d v="2008-12-27T10:24:36"/>
    <d v="2008-12-27T11:10:56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287.08"/>
    <n v="1252.08"/>
    <n v="190905008"/>
    <x v="77"/>
  </r>
  <r>
    <s v="2211f478-b7b4-7711-fb3b-3b9132e8339b"/>
    <d v="2009-01-05T02:51:22"/>
    <d v="2009-01-05T03:42:58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860.16"/>
    <n v="860.16"/>
    <m/>
    <x v="0"/>
  </r>
  <r>
    <s v="2211f478-b7b4-7711-ee6f-f98f4b7dd072"/>
    <d v="2009-01-19T02:51:22"/>
    <d v="2009-01-19T05:34:00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3105.35"/>
    <n v="3070.35"/>
    <n v="66383009"/>
    <x v="17"/>
  </r>
  <r>
    <s v="2211f478-b7b4-7711-80b3-ca71df6d1777"/>
    <d v="2009-03-26T12:10:56"/>
    <d v="2009-03-26T12:45:35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256.6500000000001"/>
    <n v="1221.6500000000001"/>
    <n v="190905008"/>
    <x v="77"/>
  </r>
  <r>
    <s v="2211f478-b7b4-7711-5540-46998776c701"/>
    <d v="2009-05-05T07:43:46"/>
    <d v="2009-05-05T08:27:46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5286-ed9bcec7601a"/>
    <d v="2009-06-23T12:45:35"/>
    <d v="2009-06-23T13:34:44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990.77"/>
    <n v="955.77"/>
    <n v="190905008"/>
    <x v="77"/>
  </r>
  <r>
    <s v="2211f478-b7b4-7711-45c0-a077fcee214f"/>
    <d v="2009-09-26T13:34:44"/>
    <d v="2009-09-26T14:12:3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983.82"/>
    <n v="948.82"/>
    <n v="190905008"/>
    <x v="77"/>
  </r>
  <r>
    <s v="2211f478-b7b4-7711-fdb0-87475e198805"/>
    <d v="2009-12-30T13:12:38"/>
    <d v="2009-12-30T13:47:40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91.69"/>
    <n v="1156.69"/>
    <n v="190905008"/>
    <x v="77"/>
  </r>
  <r>
    <s v="2211f478-b7b4-7711-6f8a-677b40c8851a"/>
    <d v="2010-01-11T02:51:22"/>
    <d v="2010-01-11T03:27:50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860.16"/>
    <n v="860.16"/>
    <m/>
    <x v="0"/>
  </r>
  <r>
    <s v="2211f478-b7b4-7711-7911-f5dd641a72d4"/>
    <d v="2010-01-25T02:51:22"/>
    <d v="2010-01-25T08:31:5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4830.95"/>
    <n v="4795.95"/>
    <n v="66383009"/>
    <x v="17"/>
  </r>
  <r>
    <s v="2211f478-b7b4-7711-d136-4be07b4d41e2"/>
    <d v="2010-03-08T02:51:22"/>
    <d v="2010-03-08T03:39:52"/>
    <s v="2211f478-b7b4-7711-16cf-84ffb52b9d2b"/>
    <s v="352f2e3b-0708-3eb4-9f7e-e73a685bf379"/>
    <s v="4ba67eac-a99d-34c8-9055-4cf0013c75cc"/>
    <s v="d18ef2e6-ef40-324c-be54-34a5ee865625"/>
    <x v="2"/>
    <n v="185349003"/>
    <s v="Encounter for check up (procedure)"/>
    <n v="85.55"/>
    <n v="900.83"/>
    <n v="865.83"/>
    <m/>
    <x v="0"/>
  </r>
  <r>
    <s v="2211f478-b7b4-7711-3d91-6277ab70ab95"/>
    <d v="2010-03-15T03:51:22"/>
    <d v="2010-03-15T04:06:22"/>
    <s v="2211f478-b7b4-7711-16cf-84ffb52b9d2b"/>
    <s v="352f2e3b-0708-3eb4-9f7e-e73a685bf379"/>
    <s v="4ba67eac-a99d-34c8-9055-4cf0013c75cc"/>
    <s v="d18ef2e6-ef40-324c-be54-34a5ee865625"/>
    <x v="1"/>
    <n v="185345009"/>
    <s v="Encounter for symptom (procedure)"/>
    <n v="85.55"/>
    <n v="85.55"/>
    <n v="50.55"/>
    <n v="444814009"/>
    <x v="2"/>
  </r>
  <r>
    <s v="2211f478-b7b4-7711-6d4e-7b90001efb45"/>
    <d v="2010-03-31T14:47:40"/>
    <d v="2010-03-31T15:42:41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035.1099999999999"/>
    <n v="1000.11"/>
    <n v="190905008"/>
    <x v="77"/>
  </r>
  <r>
    <s v="2211f478-b7b4-7711-bc82-50e1f21e0a54"/>
    <d v="2010-03-31T08:00:24"/>
    <d v="2010-03-31T08:44:24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7125-651af6fba98e"/>
    <d v="2010-06-24T15:42:41"/>
    <d v="2010-06-24T16:31:12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982.86"/>
    <n v="947.86"/>
    <n v="190905008"/>
    <x v="77"/>
  </r>
  <r>
    <s v="2211f478-b7b4-7711-e507-4d939dc6e4ba"/>
    <d v="2010-07-26T03:51:22"/>
    <d v="2010-07-26T04:06:22"/>
    <s v="2211f478-b7b4-7711-16cf-84ffb52b9d2b"/>
    <s v="352f2e3b-0708-3eb4-9f7e-e73a685bf379"/>
    <s v="4ba67eac-a99d-34c8-9055-4cf0013c75cc"/>
    <s v="d18ef2e6-ef40-324c-be54-34a5ee865625"/>
    <x v="1"/>
    <n v="424441002"/>
    <s v="Prenatal initial visit (regime/therapy)"/>
    <n v="142.58000000000001"/>
    <n v="9208.9699999999993"/>
    <n v="9173.9699999999993"/>
    <n v="72892002"/>
    <x v="4"/>
  </r>
  <r>
    <s v="2211f478-b7b4-7711-bb60-19cff13017d7"/>
    <d v="2010-08-15T03:51:22"/>
    <d v="2010-08-19T20:51:22"/>
    <s v="2211f478-b7b4-7711-16cf-84ffb52b9d2b"/>
    <s v="352f2e3b-0708-3eb4-9f7e-e73a685bf379"/>
    <s v="4ba67eac-a99d-34c8-9055-4cf0013c75cc"/>
    <s v="d18ef2e6-ef40-324c-be54-34a5ee865625"/>
    <x v="6"/>
    <n v="305408004"/>
    <s v="Admission to surgical department (procedure)"/>
    <n v="146.18"/>
    <n v="3990.68"/>
    <n v="3955.68"/>
    <n v="79586000"/>
    <x v="43"/>
  </r>
  <r>
    <s v="2211f478-b7b4-7711-b73b-8f7b01b8e915"/>
    <d v="2010-08-27T20:51:22"/>
    <d v="2010-08-27T21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5438.48"/>
    <n v="5403.48"/>
    <n v="79586000"/>
    <x v="43"/>
  </r>
  <r>
    <s v="2211f478-b7b4-7711-6ea3-bce29d2e70ba"/>
    <d v="2010-09-22T16:31:12"/>
    <d v="2010-09-22T17:19:10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308.96"/>
    <n v="1273.96"/>
    <n v="190905008"/>
    <x v="77"/>
  </r>
  <r>
    <s v="2211f478-b7b4-7711-1b89-679bddcc3487"/>
    <d v="2010-12-21T16:19:10"/>
    <d v="2010-12-21T20:05:26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4319.29"/>
    <n v="14284.29"/>
    <n v="190905008"/>
    <x v="77"/>
  </r>
  <r>
    <s v="2211f478-b7b4-7711-ea15-db6bf7f13879"/>
    <d v="2011-01-03T02:51:22"/>
    <d v="2011-01-03T03:06:22"/>
    <s v="2211f478-b7b4-7711-16cf-84ffb52b9d2b"/>
    <s v="352f2e3b-0708-3eb4-9f7e-e73a685bf379"/>
    <s v="4ba67eac-a99d-34c8-9055-4cf0013c75cc"/>
    <s v="d18ef2e6-ef40-324c-be54-34a5ee865625"/>
    <x v="1"/>
    <n v="424441002"/>
    <s v="Prenatal initial visit (regime/therapy)"/>
    <n v="142.58000000000001"/>
    <n v="44993.71"/>
    <n v="44958.71"/>
    <n v="72892002"/>
    <x v="4"/>
  </r>
  <r>
    <s v="2211f478-b7b4-7711-4129-6932f2d0b918"/>
    <d v="2011-01-17T02:51:22"/>
    <d v="2011-01-17T03:29:34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934.74"/>
    <n v="934.74"/>
    <m/>
    <x v="0"/>
  </r>
  <r>
    <s v="2211f478-b7b4-7711-0cd6-e5c7c90a89bc"/>
    <d v="2011-01-31T02:51:22"/>
    <d v="2011-01-31T03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4902.22"/>
    <n v="14867.22"/>
    <n v="72892002"/>
    <x v="4"/>
  </r>
  <r>
    <s v="2211f478-b7b4-7711-3bb1-b8b2584defb8"/>
    <d v="2011-02-24T07:18:35"/>
    <d v="2011-02-24T08:02:35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dc1c-d9688d722926"/>
    <d v="2011-02-28T02:51:22"/>
    <d v="2011-02-28T03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2507.22"/>
    <n v="12472.22"/>
    <n v="72892002"/>
    <x v="4"/>
  </r>
  <r>
    <s v="2211f478-b7b4-7711-9769-cd5077160508"/>
    <d v="2011-03-16T21:05:26"/>
    <d v="2011-03-16T22:00:19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392.76"/>
    <n v="1357.76"/>
    <n v="190905008"/>
    <x v="77"/>
  </r>
  <r>
    <s v="2211f478-b7b4-7711-3fcf-4501242318cb"/>
    <d v="2011-03-28T03:51:22"/>
    <d v="2011-03-28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6076.08"/>
    <n v="6041.08"/>
    <n v="72892002"/>
    <x v="4"/>
  </r>
  <r>
    <s v="2211f478-b7b4-7711-c4f7-98604b7b61af"/>
    <d v="2011-04-25T03:51:22"/>
    <d v="2011-04-25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5931.58"/>
    <n v="5896.58"/>
    <n v="72892002"/>
    <x v="4"/>
  </r>
  <r>
    <s v="2211f478-b7b4-7711-048b-0117d7d85ba3"/>
    <d v="2011-05-23T03:51:22"/>
    <d v="2011-05-23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21455.17"/>
    <n v="21420.17"/>
    <n v="72892002"/>
    <x v="4"/>
  </r>
  <r>
    <s v="2211f478-b7b4-7711-7f4a-ca15661d8e7e"/>
    <d v="2011-06-12T22:00:19"/>
    <d v="2011-06-12T22:42:57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86.29"/>
    <n v="1151.29"/>
    <n v="190905008"/>
    <x v="77"/>
  </r>
  <r>
    <s v="2211f478-b7b4-7711-084e-08833242da6f"/>
    <d v="2011-06-20T03:51:22"/>
    <d v="2011-06-20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1451.02"/>
    <n v="11416.02"/>
    <n v="72892002"/>
    <x v="4"/>
  </r>
  <r>
    <s v="2211f478-b7b4-7711-cf77-9778515964ab"/>
    <d v="2011-07-18T03:51:22"/>
    <d v="2011-07-18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7876.12"/>
    <n v="7841.12"/>
    <n v="72892002"/>
    <x v="4"/>
  </r>
  <r>
    <s v="2211f478-b7b4-7711-d1f7-d81fee071b7d"/>
    <d v="2011-08-01T03:51:22"/>
    <d v="2011-08-01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6895.38"/>
    <n v="6860.38"/>
    <n v="72892002"/>
    <x v="4"/>
  </r>
  <r>
    <s v="2211f478-b7b4-7711-b810-61d2a2c9fb1c"/>
    <d v="2011-08-08T03:51:22"/>
    <d v="2011-08-08T04:51:22"/>
    <s v="2211f478-b7b4-7711-16cf-84ffb52b9d2b"/>
    <s v="3517aff1-b163-3cd5-8fff-19710fcdc1b7"/>
    <s v="a865312d-1c98-3619-8fa7-c703d5cdb78a"/>
    <s v="d18ef2e6-ef40-324c-be54-34a5ee865625"/>
    <x v="3"/>
    <n v="183460006"/>
    <s v="Obstetric emergency hospital admission (procedure)"/>
    <n v="146.18"/>
    <n v="577.58000000000004"/>
    <n v="542.58000000000004"/>
    <n v="72892002"/>
    <x v="4"/>
  </r>
  <r>
    <s v="2211f478-b7b4-7711-010e-5198d251bb4f"/>
    <d v="2011-09-08T22:42:57"/>
    <d v="2011-09-08T23:38:57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87.6199999999999"/>
    <n v="1152.6199999999999"/>
    <n v="190905008"/>
    <x v="77"/>
  </r>
  <r>
    <s v="2211f478-b7b4-7711-1409-32b990ee4a50"/>
    <d v="2011-09-19T03:51:22"/>
    <d v="2011-09-19T04:06:22"/>
    <s v="2211f478-b7b4-7711-16cf-84ffb52b9d2b"/>
    <s v="352f2e3b-0708-3eb4-9f7e-e73a685bf379"/>
    <s v="4ba67eac-a99d-34c8-9055-4cf0013c75cc"/>
    <s v="d18ef2e6-ef40-324c-be54-34a5ee865625"/>
    <x v="1"/>
    <n v="169762003"/>
    <s v="Postnatal visit (regime/therapy)"/>
    <n v="142.58000000000001"/>
    <n v="2113.65"/>
    <n v="2078.65"/>
    <m/>
    <x v="0"/>
  </r>
  <r>
    <s v="2211f478-b7b4-7711-de5b-5b27cc9e354f"/>
    <d v="2011-12-05T22:38:57"/>
    <d v="2011-12-05T23:23:5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032.93"/>
    <n v="997.93"/>
    <n v="190905008"/>
    <x v="77"/>
  </r>
  <r>
    <s v="2211f478-b7b4-7711-9acb-16c85379d22f"/>
    <d v="2012-01-23T02:51:22"/>
    <d v="2012-01-23T03:34:12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860.16"/>
    <n v="860.16"/>
    <m/>
    <x v="0"/>
  </r>
  <r>
    <s v="2211f478-b7b4-7711-bee5-c65b677b76ed"/>
    <d v="2012-02-19T07:36:14"/>
    <d v="2012-02-19T08:20:14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c78a-e3544d5a4be9"/>
    <d v="2012-03-06T23:23:58"/>
    <d v="2012-03-07T00:09:23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055.48"/>
    <n v="1020.48"/>
    <n v="190905008"/>
    <x v="77"/>
  </r>
  <r>
    <s v="2211f478-b7b4-7711-57b8-468a7353018b"/>
    <d v="2012-06-05T01:09:23"/>
    <d v="2012-06-05T01:48:11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30.17"/>
    <n v="1095.17"/>
    <n v="190905008"/>
    <x v="77"/>
  </r>
  <r>
    <s v="2211f478-b7b4-7711-82c8-754570a1a1ef"/>
    <d v="2012-08-13T03:51:22"/>
    <d v="2012-08-13T04:06:22"/>
    <s v="2211f478-b7b4-7711-16cf-84ffb52b9d2b"/>
    <s v="352f2e3b-0708-3eb4-9f7e-e73a685bf379"/>
    <s v="4ba67eac-a99d-34c8-9055-4cf0013c75cc"/>
    <s v="d18ef2e6-ef40-324c-be54-34a5ee865625"/>
    <x v="1"/>
    <n v="424441002"/>
    <s v="Prenatal initial visit (regime/therapy)"/>
    <n v="142.58000000000001"/>
    <n v="48126.1"/>
    <n v="48091.1"/>
    <n v="72892002"/>
    <x v="4"/>
  </r>
  <r>
    <s v="2211f478-b7b4-7711-9fb5-cbda1710a710"/>
    <d v="2012-09-02T01:48:11"/>
    <d v="2012-09-02T02:30:03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638.59"/>
    <n v="1603.59"/>
    <n v="190905008"/>
    <x v="77"/>
  </r>
  <r>
    <s v="2211f478-b7b4-7711-8331-6cddcdc6bb1d"/>
    <d v="2012-09-10T03:51:22"/>
    <d v="2012-09-10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3824.29"/>
    <n v="13789.29"/>
    <n v="72892002"/>
    <x v="4"/>
  </r>
  <r>
    <s v="2211f478-b7b4-7711-2398-52847bf74ade"/>
    <d v="2012-10-08T03:51:22"/>
    <d v="2012-10-08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142.58000000000001"/>
    <n v="107.58"/>
    <n v="72892002"/>
    <x v="4"/>
  </r>
  <r>
    <s v="2211f478-b7b4-7711-6053-e855f580196a"/>
    <d v="2012-10-19T03:51:22"/>
    <d v="2012-10-19T04:06:22"/>
    <s v="2211f478-b7b4-7711-16cf-84ffb52b9d2b"/>
    <s v="352f2e3b-0708-3eb4-9f7e-e73a685bf379"/>
    <s v="4ba67eac-a99d-34c8-9055-4cf0013c75cc"/>
    <s v="d18ef2e6-ef40-324c-be54-34a5ee865625"/>
    <x v="1"/>
    <n v="424619006"/>
    <s v="Prenatal visit (regime/therapy)"/>
    <n v="142.58000000000001"/>
    <n v="2113.65"/>
    <n v="2078.65"/>
    <n v="267253006"/>
    <x v="34"/>
  </r>
  <r>
    <s v="2211f478-b7b4-7711-a1a6-21b5c1b18f9a"/>
    <d v="2012-10-29T03:51:22"/>
    <d v="2012-10-29T04:06:22"/>
    <s v="2211f478-b7b4-7711-16cf-84ffb52b9d2b"/>
    <s v="352f2e3b-0708-3eb4-9f7e-e73a685bf379"/>
    <s v="4ba67eac-a99d-34c8-9055-4cf0013c75cc"/>
    <s v="d18ef2e6-ef40-324c-be54-34a5ee865625"/>
    <x v="2"/>
    <n v="698314001"/>
    <s v="Consultation for treatment (procedure)"/>
    <n v="142.58000000000001"/>
    <n v="142.58000000000001"/>
    <n v="107.58"/>
    <n v="389095005"/>
    <x v="15"/>
  </r>
  <r>
    <s v="2211f478-b7b4-7711-39fa-4b0f00505ac7"/>
    <d v="2012-11-25T01:30:03"/>
    <d v="2012-11-25T02:15:21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638.59"/>
    <n v="1603.59"/>
    <n v="190905008"/>
    <x v="77"/>
  </r>
  <r>
    <s v="2211f478-b7b4-7711-b1ba-e776d81ea9c0"/>
    <d v="2013-01-14T07:52:39"/>
    <d v="2013-01-14T08:36:39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b8e3-956ad9157646"/>
    <d v="2013-01-28T02:51:22"/>
    <d v="2013-01-28T03:48:30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860.16"/>
    <n v="860.16"/>
    <m/>
    <x v="0"/>
  </r>
  <r>
    <s v="2211f478-b7b4-7711-c37a-ef2ed90fa3e7"/>
    <d v="2013-02-11T02:51:22"/>
    <d v="2013-02-11T09:05:41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5262.35"/>
    <n v="5227.3500000000004"/>
    <n v="66383009"/>
    <x v="17"/>
  </r>
  <r>
    <s v="2211f478-b7b4-7711-4ae6-488183665a3a"/>
    <d v="2013-03-02T02:15:21"/>
    <d v="2013-03-02T06:21:3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4327.63"/>
    <n v="14292.63"/>
    <n v="190905008"/>
    <x v="77"/>
  </r>
  <r>
    <s v="2211f478-b7b4-7711-3c3e-1bf56eae4737"/>
    <d v="2013-05-26T07:21:38"/>
    <d v="2013-05-26T08:01:29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300.6600000000001"/>
    <n v="1265.6600000000001"/>
    <n v="190905008"/>
    <x v="77"/>
  </r>
  <r>
    <s v="2211f478-b7b4-7711-611b-6ea39999fa8d"/>
    <d v="2013-08-28T08:01:29"/>
    <d v="2013-08-28T08:32:30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094.1500000000001"/>
    <n v="1059.1500000000001"/>
    <n v="190905008"/>
    <x v="77"/>
  </r>
  <r>
    <s v="2211f478-b7b4-7711-b75a-dc656f9493ec"/>
    <d v="2013-11-22T07:32:30"/>
    <d v="2013-11-22T08:10:33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277.1099999999999"/>
    <n v="1242.1099999999999"/>
    <n v="190905008"/>
    <x v="77"/>
  </r>
  <r>
    <s v="2211f478-b7b4-7711-40dc-3a4fb8756274"/>
    <d v="2013-12-10T08:10:15"/>
    <d v="2013-12-10T08:54:15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2a9d-fe5a2d5ff9bf"/>
    <d v="2014-01-09T05:17:33"/>
    <d v="2014-01-09T06:13:09"/>
    <s v="2211f478-b7b4-7711-16cf-84ffb52b9d2b"/>
    <s v="352f2e3b-0708-3eb4-9f7e-e73a685bf379"/>
    <s v="4ba67eac-a99d-34c8-9055-4cf0013c75cc"/>
    <s v="d18ef2e6-ef40-324c-be54-34a5ee865625"/>
    <x v="1"/>
    <n v="185347001"/>
    <s v="Encounter for problem (procedure)"/>
    <n v="85.55"/>
    <n v="1379.75"/>
    <n v="1344.75"/>
    <n v="37320007"/>
    <x v="8"/>
  </r>
  <r>
    <s v="2211f478-b7b4-7711-4729-3c3ea1094040"/>
    <d v="2014-02-03T02:51:22"/>
    <d v="2014-02-03T03:31:33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860.16"/>
    <n v="860.16"/>
    <m/>
    <x v="0"/>
  </r>
  <r>
    <s v="2211f478-b7b4-7711-4eff-bcfd918bbfd3"/>
    <d v="2014-02-10T02:51:22"/>
    <d v="2014-02-10T03:47:59"/>
    <s v="2211f478-b7b4-7711-16cf-84ffb52b9d2b"/>
    <s v="352f2e3b-0708-3eb4-9f7e-e73a685bf379"/>
    <s v="4ba67eac-a99d-34c8-9055-4cf0013c75cc"/>
    <s v="d18ef2e6-ef40-324c-be54-34a5ee865625"/>
    <x v="1"/>
    <n v="390906007"/>
    <s v="Follow-up encounter (procedure)"/>
    <n v="85.55"/>
    <n v="516.95000000000005"/>
    <n v="481.95"/>
    <n v="37320007"/>
    <x v="8"/>
  </r>
  <r>
    <s v="2211f478-b7b4-7711-ee3d-74fbb870d7e9"/>
    <d v="2014-02-17T02:51:22"/>
    <d v="2014-02-17T03:06:22"/>
    <s v="2211f478-b7b4-7711-16cf-84ffb52b9d2b"/>
    <s v="352f2e3b-0708-3eb4-9f7e-e73a685bf379"/>
    <s v="4ba67eac-a99d-34c8-9055-4cf0013c75cc"/>
    <s v="d18ef2e6-ef40-324c-be54-34a5ee865625"/>
    <x v="2"/>
    <n v="185347001"/>
    <s v="Encounter for problem (procedure)"/>
    <n v="85.55"/>
    <n v="85.55"/>
    <n v="50.55"/>
    <n v="82423001"/>
    <x v="33"/>
  </r>
  <r>
    <s v="2211f478-b7b4-7711-1a5e-200b3098abec"/>
    <d v="2014-02-24T02:51:22"/>
    <d v="2014-02-24T05:53:28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2673.95"/>
    <n v="2638.95"/>
    <n v="103697008"/>
    <x v="3"/>
  </r>
  <r>
    <s v="2211f478-b7b4-7711-5f64-70378ffc8d79"/>
    <d v="2014-03-10T03:51:22"/>
    <d v="2014-03-10T04:22:34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638.59"/>
    <n v="1603.59"/>
    <n v="190905008"/>
    <x v="77"/>
  </r>
  <r>
    <s v="2211f478-b7b4-7711-fc4a-a0f109556700"/>
    <d v="2014-06-03T04:22:34"/>
    <d v="2014-06-03T05:09:23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171.69"/>
    <n v="1136.69"/>
    <n v="190905008"/>
    <x v="77"/>
  </r>
  <r>
    <s v="2211f478-b7b4-7711-8bfd-c18d5b859d93"/>
    <d v="2014-06-30T03:51:22"/>
    <d v="2014-06-30T04:29:31"/>
    <s v="2211f478-b7b4-7711-16cf-84ffb52b9d2b"/>
    <s v="352f2e3b-0708-3eb4-9f7e-e73a685bf379"/>
    <s v="4ba67eac-a99d-34c8-9055-4cf0013c75cc"/>
    <s v="d18ef2e6-ef40-324c-be54-34a5ee865625"/>
    <x v="2"/>
    <n v="185349003"/>
    <s v="Encounter for check up (procedure)"/>
    <n v="85.55"/>
    <n v="951.27"/>
    <n v="916.27"/>
    <m/>
    <x v="0"/>
  </r>
  <r>
    <s v="2211f478-b7b4-7711-7173-adf041057e94"/>
    <d v="2014-07-28T03:51:22"/>
    <d v="2014-07-28T04:34:55"/>
    <s v="2211f478-b7b4-7711-16cf-84ffb52b9d2b"/>
    <s v="352f2e3b-0708-3eb4-9f7e-e73a685bf379"/>
    <s v="4ba67eac-a99d-34c8-9055-4cf0013c75cc"/>
    <s v="d18ef2e6-ef40-324c-be54-34a5ee865625"/>
    <x v="2"/>
    <n v="185349003"/>
    <s v="Encounter for check up (procedure)"/>
    <n v="85.55"/>
    <n v="815.27"/>
    <n v="780.27"/>
    <m/>
    <x v="0"/>
  </r>
  <r>
    <s v="2211f478-b7b4-7711-b8e2-c251ed7b67c4"/>
    <d v="2014-08-29T05:09:23"/>
    <d v="2014-08-29T05:53:19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638.59"/>
    <n v="1603.59"/>
    <n v="190905008"/>
    <x v="77"/>
  </r>
  <r>
    <s v="2211f478-b7b4-7711-d64d-12b6fd298306"/>
    <d v="2014-09-29T03:51:22"/>
    <d v="2014-09-29T04:31:08"/>
    <s v="2211f478-b7b4-7711-16cf-84ffb52b9d2b"/>
    <s v="352f2e3b-0708-3eb4-9f7e-e73a685bf379"/>
    <s v="4ba67eac-a99d-34c8-9055-4cf0013c75cc"/>
    <s v="d18ef2e6-ef40-324c-be54-34a5ee865625"/>
    <x v="2"/>
    <n v="185349003"/>
    <s v="Encounter for check up (procedure)"/>
    <n v="85.55"/>
    <n v="1030.97"/>
    <n v="995.97"/>
    <m/>
    <x v="0"/>
  </r>
  <r>
    <s v="2211f478-b7b4-7711-1e30-320546271ef6"/>
    <d v="2014-11-22T04:53:19"/>
    <d v="2014-11-22T05:27:16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982.86"/>
    <n v="832.86"/>
    <n v="190905008"/>
    <x v="77"/>
  </r>
  <r>
    <s v="2211f478-b7b4-7711-c023-bcd4752dd9ef"/>
    <d v="2014-12-05T08:27:00"/>
    <d v="2014-12-05T09:11:00"/>
    <s v="2211f478-b7b4-7711-16cf-84ffb52b9d2b"/>
    <s v="352f2e3b-0708-3eb4-9f7e-e73a685bf379"/>
    <s v="4ba67eac-a99d-34c8-9055-4cf0013c75cc"/>
    <s v="df166300-5a78-3502-a46a-832842197811"/>
    <x v="1"/>
    <n v="36228007"/>
    <s v="Ophthalmic examination and evaluation (procedure)"/>
    <n v="142.58000000000001"/>
    <n v="2730.98"/>
    <n v="2680.98"/>
    <m/>
    <x v="0"/>
  </r>
  <r>
    <s v="2211f478-b7b4-7711-7465-b3111af6bf18"/>
    <d v="2014-12-29T02:51:22"/>
    <d v="2014-12-29T03:45:17"/>
    <s v="2211f478-b7b4-7711-16cf-84ffb52b9d2b"/>
    <s v="352f2e3b-0708-3eb4-9f7e-e73a685bf379"/>
    <s v="4ba67eac-a99d-34c8-9055-4cf0013c75cc"/>
    <s v="df166300-5a78-3502-a46a-832842197811"/>
    <x v="2"/>
    <n v="185349003"/>
    <s v="Encounter for check up (procedure)"/>
    <n v="85.55"/>
    <n v="1175.6600000000001"/>
    <n v="1125.6600000000001"/>
    <m/>
    <x v="0"/>
  </r>
  <r>
    <s v="2211f478-b7b4-7711-70ee-fcd7706eb5d2"/>
    <d v="2015-01-05T02:51:22"/>
    <d v="2015-01-05T03:06:22"/>
    <s v="2211f478-b7b4-7711-16cf-84ffb52b9d2b"/>
    <s v="352f2e3b-0708-3eb4-9f7e-e73a685bf379"/>
    <s v="4ba67eac-a99d-34c8-9055-4cf0013c75cc"/>
    <s v="df166300-5a78-3502-a46a-832842197811"/>
    <x v="1"/>
    <n v="424441002"/>
    <s v="Prenatal initial visit (regime/therapy)"/>
    <n v="142.58000000000001"/>
    <n v="49563.64"/>
    <n v="49513.64"/>
    <n v="72892002"/>
    <x v="4"/>
  </r>
  <r>
    <s v="2211f478-b7b4-7711-188c-4b8f6ee8d72d"/>
    <d v="2015-01-12T02:51:22"/>
    <d v="2015-01-12T06:30:33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3968.15"/>
    <n v="3918.15"/>
    <n v="66383009"/>
    <x v="17"/>
  </r>
  <r>
    <s v="2211f478-b7b4-7711-5f4f-53029cc199d9"/>
    <d v="2015-02-02T02:51:22"/>
    <d v="2015-02-02T03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9560.51"/>
    <n v="9510.51"/>
    <n v="72892002"/>
    <x v="4"/>
  </r>
  <r>
    <s v="2211f478-b7b4-7711-0e1c-edf30feb952b"/>
    <d v="2015-02-09T02:51:22"/>
    <d v="2015-02-09T03:30:17"/>
    <s v="2211f478-b7b4-7711-16cf-84ffb52b9d2b"/>
    <s v="907b1d2f-2bf8-31b5-abc2-14d6b75faa96"/>
    <s v="b12f301d-9854-3a36-945a-90d0d1d9be98"/>
    <s v="df166300-5a78-3502-a46a-832842197811"/>
    <x v="0"/>
    <n v="162673000"/>
    <s v="General examination of patient (procedure)"/>
    <n v="136.80000000000001"/>
    <n v="1729.32"/>
    <n v="1729.32"/>
    <m/>
    <x v="0"/>
  </r>
  <r>
    <s v="2211f478-b7b4-7711-af05-589edbc73de3"/>
    <d v="2015-02-23T02:51:22"/>
    <d v="2015-02-23T05:46:53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3105.35"/>
    <n v="3055.35"/>
    <n v="66383009"/>
    <x v="17"/>
  </r>
  <r>
    <s v="2211f478-b7b4-7711-5aab-520829825c8c"/>
    <d v="2015-03-02T02:51:22"/>
    <d v="2015-03-02T03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0545.06"/>
    <n v="10495.06"/>
    <n v="72892002"/>
    <x v="4"/>
  </r>
  <r>
    <s v="2211f478-b7b4-7711-75f5-200ac43e1a13"/>
    <d v="2015-03-09T03:51:22"/>
    <d v="2015-03-09T09:01:22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14975.02"/>
    <n v="14925.02"/>
    <n v="190905008"/>
    <x v="77"/>
  </r>
  <r>
    <s v="2211f478-b7b4-7711-52f2-dd226e1f859f"/>
    <d v="2015-03-30T03:51:22"/>
    <d v="2015-03-30T04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6896.16"/>
    <n v="16846.16"/>
    <n v="72892002"/>
    <x v="4"/>
  </r>
  <r>
    <s v="2211f478-b7b4-7711-1499-08ae31eefef8"/>
    <d v="2015-04-10T06:51:22"/>
    <d v="2015-04-10T07:06:24"/>
    <s v="2211f478-b7b4-7711-16cf-84ffb52b9d2b"/>
    <s v="352f2e3b-0708-3eb4-9f7e-e73a685bf379"/>
    <s v="4ba67eac-a99d-34c8-9055-4cf0013c75cc"/>
    <s v="df166300-5a78-3502-a46a-832842197811"/>
    <x v="1"/>
    <n v="185345009"/>
    <s v="Encounter for symptom (procedure)"/>
    <n v="85.55"/>
    <n v="386.11"/>
    <n v="336.11"/>
    <n v="10509002"/>
    <x v="1"/>
  </r>
  <r>
    <s v="2211f478-b7b4-7711-b69c-25962b2e7aea"/>
    <d v="2015-04-20T03:51:22"/>
    <d v="2015-04-20T04:51:22"/>
    <s v="2211f478-b7b4-7711-16cf-84ffb52b9d2b"/>
    <s v="3517aff1-b163-3cd5-8fff-19710fcdc1b7"/>
    <s v="a865312d-1c98-3619-8fa7-c703d5cdb78a"/>
    <s v="df166300-5a78-3502-a46a-832842197811"/>
    <x v="3"/>
    <n v="50849002"/>
    <s v="Emergency room admission (procedure)"/>
    <n v="146.18"/>
    <n v="1874.7"/>
    <n v="1824.7"/>
    <m/>
    <x v="0"/>
  </r>
  <r>
    <s v="2211f478-b7b4-7711-fce6-94bbf2d7e19c"/>
    <d v="2015-04-27T03:51:22"/>
    <d v="2015-04-27T04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1451.02"/>
    <n v="11401.02"/>
    <n v="72892002"/>
    <x v="4"/>
  </r>
  <r>
    <s v="2211f478-b7b4-7711-620d-8fa20650e9f2"/>
    <d v="2015-05-25T03:51:22"/>
    <d v="2015-05-25T04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9704.29"/>
    <n v="19654.29"/>
    <n v="72892002"/>
    <x v="4"/>
  </r>
  <r>
    <s v="2211f478-b7b4-7711-d05d-99dd37f126f9"/>
    <d v="2015-06-06T09:01:22"/>
    <d v="2015-06-06T09:29:09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1497.68"/>
    <n v="1447.68"/>
    <n v="190905008"/>
    <x v="77"/>
  </r>
  <r>
    <s v="2211f478-b7b4-7711-561a-963c0835620c"/>
    <d v="2015-06-22T03:51:22"/>
    <d v="2015-06-22T04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4665.96"/>
    <n v="4615.96"/>
    <n v="72892002"/>
    <x v="4"/>
  </r>
  <r>
    <s v="2211f478-b7b4-7711-8383-96f6b347ce5d"/>
    <d v="2015-07-20T03:51:22"/>
    <d v="2015-07-20T04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8395.56"/>
    <n v="8345.56"/>
    <n v="72892002"/>
    <x v="4"/>
  </r>
  <r>
    <s v="2211f478-b7b4-7711-fb90-03f8c7f7e73d"/>
    <d v="2015-08-03T03:51:22"/>
    <d v="2015-08-03T04:06:22"/>
    <s v="2211f478-b7b4-7711-16cf-84ffb52b9d2b"/>
    <s v="352f2e3b-0708-3eb4-9f7e-e73a685bf379"/>
    <s v="4ba67eac-a99d-34c8-9055-4cf0013c75cc"/>
    <s v="df166300-5a78-3502-a46a-832842197811"/>
    <x v="1"/>
    <n v="424619006"/>
    <s v="Prenatal visit (regime/therapy)"/>
    <n v="142.58000000000001"/>
    <n v="4981.26"/>
    <n v="4931.26"/>
    <n v="72892002"/>
    <x v="4"/>
  </r>
  <r>
    <s v="2211f478-b7b4-7711-1a26-b9f15d8f463c"/>
    <d v="2015-08-10T03:51:22"/>
    <d v="2015-08-10T04:51:22"/>
    <s v="2211f478-b7b4-7711-16cf-84ffb52b9d2b"/>
    <s v="3517aff1-b163-3cd5-8fff-19710fcdc1b7"/>
    <s v="a865312d-1c98-3619-8fa7-c703d5cdb78a"/>
    <s v="df166300-5a78-3502-a46a-832842197811"/>
    <x v="3"/>
    <n v="183460006"/>
    <s v="Obstetric emergency hospital admission (procedure)"/>
    <n v="146.18"/>
    <n v="4648.71"/>
    <n v="4598.71"/>
    <n v="72892002"/>
    <x v="4"/>
  </r>
  <r>
    <s v="2211f478-b7b4-7711-2063-bd8974846363"/>
    <d v="2015-08-24T03:51:22"/>
    <d v="2015-08-24T04:41:24"/>
    <s v="2211f478-b7b4-7711-16cf-84ffb52b9d2b"/>
    <s v="1de7e7d9-9a7a-3a3f-bf4c-b4de450711f2"/>
    <s v="673d2b7f-fd5d-31e4-b38d-5e8903c00ef2"/>
    <s v="df166300-5a78-3502-a46a-832842197811"/>
    <x v="4"/>
    <n v="702927004"/>
    <s v="Urgent care clinic (environment)"/>
    <n v="142.58000000000001"/>
    <n v="872.3"/>
    <n v="822.3"/>
    <m/>
    <x v="0"/>
  </r>
  <r>
    <s v="2211f478-b7b4-7711-4024-4057ec28784c"/>
    <d v="2015-09-02T09:29:09"/>
    <d v="2015-09-02T10:01:14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1638.59"/>
    <n v="1588.59"/>
    <n v="190905008"/>
    <x v="77"/>
  </r>
  <r>
    <s v="2211f478-b7b4-7711-8566-706271053729"/>
    <d v="2015-09-07T03:51:22"/>
    <d v="2015-09-07T07:01:10"/>
    <s v="2211f478-b7b4-7711-16cf-84ffb52b9d2b"/>
    <s v="352f2e3b-0708-3eb4-9f7e-e73a685bf379"/>
    <s v="4ba67eac-a99d-34c8-9055-4cf0013c75cc"/>
    <s v="df166300-5a78-3502-a46a-832842197811"/>
    <x v="1"/>
    <n v="185349003"/>
    <s v="Encounter for check up (procedure)"/>
    <n v="85.55"/>
    <n v="3536.75"/>
    <n v="3486.75"/>
    <n v="66383009"/>
    <x v="17"/>
  </r>
  <r>
    <s v="2211f478-b7b4-7711-33ca-7c8263068148"/>
    <d v="2015-09-21T03:51:22"/>
    <d v="2015-09-21T04:06:22"/>
    <s v="2211f478-b7b4-7711-16cf-84ffb52b9d2b"/>
    <s v="352f2e3b-0708-3eb4-9f7e-e73a685bf379"/>
    <s v="4ba67eac-a99d-34c8-9055-4cf0013c75cc"/>
    <s v="df166300-5a78-3502-a46a-832842197811"/>
    <x v="1"/>
    <n v="169762003"/>
    <s v="Postnatal visit (regime/therapy)"/>
    <n v="142.58000000000001"/>
    <n v="3612.9"/>
    <n v="3562.9"/>
    <m/>
    <x v="0"/>
  </r>
  <r>
    <s v="2211f478-b7b4-7711-952b-3c8f09c8df1d"/>
    <d v="2015-10-14T03:51:22"/>
    <d v="2015-10-14T04:06:22"/>
    <s v="2211f478-b7b4-7711-16cf-84ffb52b9d2b"/>
    <s v="352f2e3b-0708-3eb4-9f7e-e73a685bf379"/>
    <s v="4ba67eac-a99d-34c8-9055-4cf0013c75cc"/>
    <s v="d18ef2e6-ef40-324c-be54-34a5ee865625"/>
    <x v="2"/>
    <n v="698314001"/>
    <s v="Consultation for treatment (procedure)"/>
    <n v="142.58000000000001"/>
    <n v="142.58000000000001"/>
    <n v="107.58"/>
    <n v="389095005"/>
    <x v="15"/>
  </r>
  <r>
    <s v="2211f478-b7b4-7711-f810-a21f7d451ee4"/>
    <d v="2015-10-31T09:43:55"/>
    <d v="2015-10-31T10:27:55"/>
    <s v="2211f478-b7b4-7711-16cf-84ffb52b9d2b"/>
    <s v="352f2e3b-0708-3eb4-9f7e-e73a685bf379"/>
    <s v="4ba67eac-a99d-34c8-9055-4cf0013c75cc"/>
    <s v="d18ef2e6-ef40-324c-be54-34a5ee865625"/>
    <x v="1"/>
    <n v="36228007"/>
    <s v="Ophthalmic examination and evaluation (procedure)"/>
    <n v="142.58000000000001"/>
    <n v="2730.98"/>
    <n v="2695.98"/>
    <m/>
    <x v="0"/>
  </r>
  <r>
    <s v="2211f478-b7b4-7711-a1fe-9005c0b64fbb"/>
    <d v="2015-12-02T09:01:14"/>
    <d v="2015-12-02T09:44:19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982.86"/>
    <n v="947.86"/>
    <n v="190905008"/>
    <x v="77"/>
  </r>
  <r>
    <s v="2211f478-b7b4-7711-e11c-09f63123f310"/>
    <d v="2015-12-21T02:51:22"/>
    <d v="2015-12-21T03:22:50"/>
    <s v="2211f478-b7b4-7711-16cf-84ffb52b9d2b"/>
    <s v="352f2e3b-0708-3eb4-9f7e-e73a685bf379"/>
    <s v="4ba67eac-a99d-34c8-9055-4cf0013c75cc"/>
    <s v="d18ef2e6-ef40-324c-be54-34a5ee865625"/>
    <x v="2"/>
    <n v="185349003"/>
    <s v="Encounter for check up (procedure)"/>
    <n v="85.55"/>
    <n v="1814.07"/>
    <n v="1779.07"/>
    <m/>
    <x v="0"/>
  </r>
  <r>
    <s v="2211f478-b7b4-7711-b65e-38f39b85367f"/>
    <d v="2016-01-18T02:51:22"/>
    <d v="2016-01-18T03:50:23"/>
    <s v="2211f478-b7b4-7711-16cf-84ffb52b9d2b"/>
    <s v="352f2e3b-0708-3eb4-9f7e-e73a685bf379"/>
    <s v="4ba67eac-a99d-34c8-9055-4cf0013c75cc"/>
    <s v="d18ef2e6-ef40-324c-be54-34a5ee865625"/>
    <x v="2"/>
    <n v="185349003"/>
    <s v="Encounter for check up (procedure)"/>
    <n v="85.55"/>
    <n v="889.85"/>
    <n v="854.85"/>
    <m/>
    <x v="0"/>
  </r>
  <r>
    <s v="2211f478-b7b4-7711-f442-6813692e1397"/>
    <d v="2016-02-15T02:51:22"/>
    <d v="2016-02-15T03:44:09"/>
    <s v="2211f478-b7b4-7711-16cf-84ffb52b9d2b"/>
    <s v="907b1d2f-2bf8-31b5-abc2-14d6b75faa96"/>
    <s v="b12f301d-9854-3a36-945a-90d0d1d9be98"/>
    <s v="d18ef2e6-ef40-324c-be54-34a5ee865625"/>
    <x v="0"/>
    <n v="162673000"/>
    <s v="General examination of patient (procedure)"/>
    <n v="136.80000000000001"/>
    <n v="866.52"/>
    <n v="866.52"/>
    <m/>
    <x v="0"/>
  </r>
  <r>
    <s v="2211f478-b7b4-7711-e0ef-6d8e77230e72"/>
    <d v="2016-03-02T09:44:19"/>
    <d v="2016-03-02T10:32:10"/>
    <s v="2211f478-b7b4-7711-16cf-84ffb52b9d2b"/>
    <s v="352f2e3b-0708-3eb4-9f7e-e73a685bf379"/>
    <s v="4ba67eac-a99d-34c8-9055-4cf0013c75cc"/>
    <s v="d18ef2e6-ef40-324c-be54-34a5ee865625"/>
    <x v="1"/>
    <n v="185349003"/>
    <s v="Encounter for check up (procedure)"/>
    <n v="85.55"/>
    <n v="1022.76"/>
    <n v="987.76"/>
    <n v="190905008"/>
    <x v="77"/>
  </r>
  <r>
    <s v="2211f478-b7b4-7711-6ac4-d082185e9b20"/>
    <d v="2016-06-03T11:32:10"/>
    <d v="2016-06-03T13:41:28"/>
    <s v="2211f478-b7b4-7711-16cf-84ffb52b9d2b"/>
    <s v="3517aff1-b163-3cd5-8fff-19710fcdc1b7"/>
    <s v="a865312d-1c98-3619-8fa7-c703d5cdb78a"/>
    <s v="d18ef2e6-ef40-324c-be54-34a5ee865625"/>
    <x v="3"/>
    <n v="50849002"/>
    <s v="Emergency room admission (procedure)"/>
    <n v="146.18"/>
    <n v="1008.98"/>
    <n v="973.98"/>
    <n v="448417001"/>
    <x v="79"/>
  </r>
  <r>
    <s v="2211f478-b7b4-7711-c3cf-c260af366446"/>
    <d v="2016-06-13T03:51:22"/>
    <d v="2016-06-13T04:06:22"/>
    <s v="2211f478-b7b4-7711-16cf-84ffb52b9d2b"/>
    <s v="907b1d2f-2bf8-31b5-abc2-14d6b75faa96"/>
    <s v="b12f301d-9854-3a36-945a-90d0d1d9be98"/>
    <s v="d18ef2e6-ef40-324c-be54-34a5ee865625"/>
    <x v="0"/>
    <n v="308646001"/>
    <s v="Death Certification"/>
    <n v="136.80000000000001"/>
    <n v="211.38"/>
    <n v="211.38"/>
    <n v="448813005"/>
    <x v="80"/>
  </r>
  <r>
    <s v="716c6d0a-2a5d-0aaa-f327-6348128dfff7"/>
    <d v="1968-01-30T05:29:08"/>
    <d v="1968-01-30T05:44:08"/>
    <s v="716c6d0a-2a5d-0aaa-9ced-312ed6a943da"/>
    <s v="9adfae03-673d-365d-9052-f705098fa3e4"/>
    <s v="28e98af0-d17a-345c-8fc6-6662b16c17c4"/>
    <s v="e03e23c9-4df1-3eb6-a62d-f70f02301496"/>
    <x v="1"/>
    <n v="185345009"/>
    <s v="Encounter for symptom (procedure)"/>
    <n v="85.55"/>
    <n v="92.93"/>
    <n v="0"/>
    <n v="75498004"/>
    <x v="14"/>
  </r>
  <r>
    <s v="716c6d0a-2a5d-0aaa-62a3-77493d14b678"/>
    <d v="1974-07-02T19:29:08"/>
    <d v="1974-07-02T19:44:08"/>
    <s v="716c6d0a-2a5d-0aaa-9ced-312ed6a943da"/>
    <s v="e2a8b444-9b8f-36ff-84c4-05ee98589482"/>
    <s v="5adecba6-20dc-3fb7-9753-6e69ce4d0165"/>
    <s v="e03e23c9-4df1-3eb6-a62d-f70f02301496"/>
    <x v="0"/>
    <n v="410620009"/>
    <s v="Well child visit (procedure)"/>
    <n v="136.80000000000001"/>
    <n v="704.2"/>
    <n v="0"/>
    <m/>
    <x v="0"/>
  </r>
  <r>
    <s v="716c6d0a-2a5d-0aaa-45e3-e71cc689a387"/>
    <d v="1981-08-11T19:29:08"/>
    <d v="1981-08-11T19:44:08"/>
    <s v="716c6d0a-2a5d-0aaa-9ced-312ed6a943da"/>
    <s v="e2a8b444-9b8f-36ff-84c4-05ee98589482"/>
    <s v="5adecba6-20dc-3fb7-9753-6e69ce4d0165"/>
    <s v="e03e23c9-4df1-3eb6-a62d-f70f02301496"/>
    <x v="0"/>
    <n v="410620009"/>
    <s v="Well child visit (procedure)"/>
    <n v="136.80000000000001"/>
    <n v="704.2"/>
    <n v="0"/>
    <m/>
    <x v="0"/>
  </r>
  <r>
    <s v="716c6d0a-2a5d-0aaa-8d22-3790299018b8"/>
    <d v="1982-08-17T19:29:08"/>
    <d v="1982-08-17T20:05:25"/>
    <s v="716c6d0a-2a5d-0aaa-9ced-312ed6a943da"/>
    <s v="e2a8b444-9b8f-36ff-84c4-05ee98589482"/>
    <s v="5adecba6-20dc-3fb7-9753-6e69ce4d0165"/>
    <s v="e03e23c9-4df1-3eb6-a62d-f70f02301496"/>
    <x v="0"/>
    <n v="162673000"/>
    <s v="General examination of patient (procedure)"/>
    <n v="136.80000000000001"/>
    <n v="919.9"/>
    <n v="0"/>
    <m/>
    <x v="0"/>
  </r>
  <r>
    <s v="716c6d0a-2a5d-0aaa-1a09-3a8080e92a6a"/>
    <d v="1998-09-08T19:29:08"/>
    <d v="1998-09-08T20:17:44"/>
    <s v="716c6d0a-2a5d-0aaa-9ced-312ed6a943da"/>
    <s v="e2a8b444-9b8f-36ff-84c4-05ee98589482"/>
    <s v="5adecba6-20dc-3fb7-9753-6e69ce4d0165"/>
    <s v="e03e23c9-4df1-3eb6-a62d-f70f02301496"/>
    <x v="0"/>
    <n v="162673000"/>
    <s v="General examination of patient (procedure)"/>
    <n v="136.80000000000001"/>
    <n v="853.36"/>
    <n v="0"/>
    <m/>
    <x v="0"/>
  </r>
  <r>
    <s v="716c6d0a-2a5d-0aaa-a65b-7d9355f6607d"/>
    <d v="2004-06-29T19:29:08"/>
    <d v="2004-06-29T20:09:30"/>
    <s v="716c6d0a-2a5d-0aaa-9ced-312ed6a943da"/>
    <s v="e2a8b444-9b8f-36ff-84c4-05ee98589482"/>
    <s v="5adecba6-20dc-3fb7-9753-6e69ce4d0165"/>
    <s v="e03e23c9-4df1-3eb6-a62d-f70f02301496"/>
    <x v="0"/>
    <n v="162673000"/>
    <s v="General examination of patient (procedure)"/>
    <n v="136.80000000000001"/>
    <n v="914.78"/>
    <n v="0"/>
    <m/>
    <x v="0"/>
  </r>
  <r>
    <s v="716c6d0a-2a5d-0aaa-443b-7f98d78dbc05"/>
    <d v="2005-11-13T07:29:08"/>
    <d v="2005-11-13T07:44:08"/>
    <s v="716c6d0a-2a5d-0aaa-9ced-312ed6a943da"/>
    <s v="9adfae03-673d-365d-9052-f705098fa3e4"/>
    <s v="28e98af0-d17a-345c-8fc6-6662b16c17c4"/>
    <s v="e03e23c9-4df1-3eb6-a62d-f70f02301496"/>
    <x v="1"/>
    <n v="185345009"/>
    <s v="Encounter for symptom (procedure)"/>
    <n v="85.55"/>
    <n v="85.55"/>
    <n v="0"/>
    <n v="195662009"/>
    <x v="9"/>
  </r>
  <r>
    <s v="716c6d0a-2a5d-0aaa-2e47-ceedae462b05"/>
    <d v="2006-07-04T19:29:08"/>
    <d v="2006-07-04T20:08:50"/>
    <s v="716c6d0a-2a5d-0aaa-9ced-312ed6a943da"/>
    <s v="e2a8b444-9b8f-36ff-84c4-05ee98589482"/>
    <s v="5adecba6-20dc-3fb7-9753-6e69ce4d0165"/>
    <s v="8fa6c185-e44e-3e34-8bd8-39be8694f4ce"/>
    <x v="0"/>
    <n v="162673000"/>
    <s v="General examination of patient (procedure)"/>
    <n v="136.80000000000001"/>
    <n v="2062.7399999999998"/>
    <n v="0"/>
    <m/>
    <x v="0"/>
  </r>
  <r>
    <s v="716c6d0a-2a5d-0aaa-0a79-e0bd0b98c5f5"/>
    <d v="2006-07-18T19:29:08"/>
    <d v="2006-07-18T22:44:36"/>
    <s v="716c6d0a-2a5d-0aaa-9ced-312ed6a943da"/>
    <s v="9adfae03-673d-365d-9052-f705098fa3e4"/>
    <s v="28e98af0-d17a-345c-8fc6-6662b16c17c4"/>
    <s v="8fa6c185-e44e-3e34-8bd8-39be8694f4ce"/>
    <x v="1"/>
    <n v="185349003"/>
    <s v="Encounter for check up (procedure)"/>
    <n v="85.55"/>
    <n v="2673.95"/>
    <n v="165.68"/>
    <n v="66383009"/>
    <x v="17"/>
  </r>
  <r>
    <s v="716c6d0a-2a5d-0aaa-6e35-54ed9a11ccad"/>
    <d v="2006-07-25T19:29:08"/>
    <d v="2006-07-25T19:44:08"/>
    <s v="716c6d0a-2a5d-0aaa-9ced-312ed6a943da"/>
    <s v="9adfae03-673d-365d-9052-f705098fa3e4"/>
    <s v="28e98af0-d17a-345c-8fc6-6662b16c17c4"/>
    <s v="8fa6c185-e44e-3e34-8bd8-39be8694f4ce"/>
    <x v="1"/>
    <n v="390906007"/>
    <s v="Follow-up encounter (procedure)"/>
    <n v="85.55"/>
    <n v="85.55"/>
    <n v="59.88"/>
    <n v="55822004"/>
    <x v="52"/>
  </r>
  <r>
    <s v="716c6d0a-2a5d-0aaa-6d57-c658101aea22"/>
    <d v="2006-11-06T17:29:08"/>
    <d v="2006-11-06T17:44:08"/>
    <s v="716c6d0a-2a5d-0aaa-9ced-312ed6a943da"/>
    <s v="9adfae03-673d-365d-9052-f705098fa3e4"/>
    <s v="28e98af0-d17a-345c-8fc6-6662b16c17c4"/>
    <s v="8fa6c185-e44e-3e34-8bd8-39be8694f4ce"/>
    <x v="1"/>
    <n v="185345009"/>
    <s v="Encounter for symptom (procedure)"/>
    <n v="85.55"/>
    <n v="85.55"/>
    <n v="59.88"/>
    <n v="10509002"/>
    <x v="1"/>
  </r>
  <r>
    <s v="716c6d0a-2a5d-0aaa-8928-9c3809266188"/>
    <d v="2006-11-14T18:29:08"/>
    <d v="2006-11-14T19:18:31"/>
    <s v="716c6d0a-2a5d-0aaa-9ced-312ed6a943da"/>
    <s v="9adfae03-673d-365d-9052-f705098fa3e4"/>
    <s v="28e98af0-d17a-345c-8fc6-6662b16c17c4"/>
    <s v="8fa6c185-e44e-3e34-8bd8-39be8694f4ce"/>
    <x v="2"/>
    <n v="185349003"/>
    <s v="Encounter for check up (procedure)"/>
    <n v="85.55"/>
    <n v="652.95000000000005"/>
    <n v="457.06"/>
    <m/>
    <x v="0"/>
  </r>
  <r>
    <s v="716c6d0a-2a5d-0aaa-06e4-ada94fb442ac"/>
    <d v="2007-07-25T19:29:08"/>
    <d v="2007-07-25T19:44:08"/>
    <s v="716c6d0a-2a5d-0aaa-9ced-312ed6a943da"/>
    <s v="9adfae03-673d-365d-9052-f705098fa3e4"/>
    <s v="28e98af0-d17a-345c-8fc6-6662b16c17c4"/>
    <s v="8fa6c185-e44e-3e34-8bd8-39be8694f4ce"/>
    <x v="1"/>
    <n v="390906007"/>
    <s v="Follow-up encounter (procedure)"/>
    <n v="85.55"/>
    <n v="234.71"/>
    <n v="0"/>
    <n v="55822004"/>
    <x v="52"/>
  </r>
  <r>
    <s v="716c6d0a-2a5d-0aaa-277d-a8dcf89b6b4a"/>
    <d v="2007-12-15T06:29:08"/>
    <d v="2007-12-15T06:44:08"/>
    <s v="716c6d0a-2a5d-0aaa-9ced-312ed6a943da"/>
    <s v="9adfae03-673d-365d-9052-f705098fa3e4"/>
    <s v="28e98af0-d17a-345c-8fc6-6662b16c17c4"/>
    <s v="8fa6c185-e44e-3e34-8bd8-39be8694f4ce"/>
    <x v="1"/>
    <n v="185345009"/>
    <s v="Encounter for symptom (procedure)"/>
    <n v="85.55"/>
    <n v="85.55"/>
    <n v="0"/>
    <n v="444814009"/>
    <x v="2"/>
  </r>
  <r>
    <s v="716c6d0a-2a5d-0aaa-cd52-8b7aed91af80"/>
    <d v="2008-07-08T19:29:08"/>
    <d v="2008-07-08T20:02:38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1567"/>
    <n v="88.9"/>
    <m/>
    <x v="0"/>
  </r>
  <r>
    <s v="716c6d0a-2a5d-0aaa-9ee5-a399df3fe76c"/>
    <d v="2008-07-22T19:29:08"/>
    <d v="2008-07-22T23:00:12"/>
    <s v="716c6d0a-2a5d-0aaa-9ced-312ed6a943da"/>
    <s v="9adfae03-673d-365d-9052-f705098fa3e4"/>
    <s v="28e98af0-d17a-345c-8fc6-6662b16c17c4"/>
    <s v="734afbd6-4794-363b-9bc0-6a3981533ed5"/>
    <x v="1"/>
    <n v="185349003"/>
    <s v="Encounter for check up (procedure)"/>
    <n v="85.55"/>
    <n v="3105.35"/>
    <n v="2484.2800000000002"/>
    <n v="103697008"/>
    <x v="3"/>
  </r>
  <r>
    <s v="716c6d0a-2a5d-0aaa-6066-f9d6fc2c467f"/>
    <d v="2008-07-24T19:29:08"/>
    <d v="2008-07-24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187.76"/>
    <n v="55822004"/>
    <x v="52"/>
  </r>
  <r>
    <s v="716c6d0a-2a5d-0aaa-025a-a65dea2c5f5b"/>
    <d v="2008-08-07T19:29:08"/>
    <d v="2008-08-07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85.55"/>
    <n v="68.44"/>
    <n v="59621000"/>
    <x v="31"/>
  </r>
  <r>
    <s v="716c6d0a-2a5d-0aaa-002e-dfef5fa74c74"/>
    <d v="2008-10-06T19:29:08"/>
    <d v="2008-10-06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85.55"/>
    <n v="68.44"/>
    <n v="59621000"/>
    <x v="31"/>
  </r>
  <r>
    <s v="716c6d0a-2a5d-0aaa-242c-7548bfb96de1"/>
    <d v="2008-12-05T18:29:08"/>
    <d v="2008-12-05T18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85.55"/>
    <n v="68.44"/>
    <n v="59621000"/>
    <x v="31"/>
  </r>
  <r>
    <s v="716c6d0a-2a5d-0aaa-e251-b0ef69c1b72e"/>
    <d v="2009-07-14T19:29:08"/>
    <d v="2009-07-14T20:16:59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1069.06"/>
    <n v="0"/>
    <m/>
    <x v="0"/>
  </r>
  <r>
    <s v="716c6d0a-2a5d-0aaa-cdd3-54861ce83926"/>
    <d v="2009-07-24T19:29:08"/>
    <d v="2009-07-24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0"/>
    <n v="55822004"/>
    <x v="52"/>
  </r>
  <r>
    <s v="716c6d0a-2a5d-0aaa-603e-9c66072bcce5"/>
    <d v="2009-11-08T19:29:08"/>
    <d v="2009-11-08T20:29:08"/>
    <s v="716c6d0a-2a5d-0aaa-9ced-312ed6a943da"/>
    <s v="be509ccb-bfb7-3b87-8945-8426b689ef9d"/>
    <s v="a4c2a727-44d2-3281-a1f9-92c68b434a8f"/>
    <s v="734afbd6-4794-363b-9bc0-6a3981533ed5"/>
    <x v="3"/>
    <n v="50849002"/>
    <s v="Emergency room admission (procedure)"/>
    <n v="146.18"/>
    <n v="146.18"/>
    <n v="32.31"/>
    <n v="384709000"/>
    <x v="13"/>
  </r>
  <r>
    <s v="716c6d0a-2a5d-0aaa-e41a-25d1dfd5d40b"/>
    <d v="2009-11-17T18:29:08"/>
    <d v="2009-11-17T18:44:08"/>
    <s v="716c6d0a-2a5d-0aaa-9ced-312ed6a943da"/>
    <s v="9adfae03-673d-365d-9052-f705098fa3e4"/>
    <s v="28e98af0-d17a-345c-8fc6-6662b16c17c4"/>
    <s v="734afbd6-4794-363b-9bc0-6a3981533ed5"/>
    <x v="2"/>
    <n v="185345009"/>
    <s v="Encounter for symptom (procedure)"/>
    <n v="85.55"/>
    <n v="85.55"/>
    <n v="68.44"/>
    <n v="65363002"/>
    <x v="25"/>
  </r>
  <r>
    <s v="716c6d0a-2a5d-0aaa-b25a-0c58bfae52f2"/>
    <d v="2010-01-10T18:29:08"/>
    <d v="2010-01-10T18:44:08"/>
    <s v="716c6d0a-2a5d-0aaa-9ced-312ed6a943da"/>
    <s v="9adfae03-673d-365d-9052-f705098fa3e4"/>
    <s v="28e98af0-d17a-345c-8fc6-6662b16c17c4"/>
    <s v="734afbd6-4794-363b-9bc0-6a3981533ed5"/>
    <x v="2"/>
    <n v="698314001"/>
    <s v="Consultation for treatment (procedure)"/>
    <n v="142.58000000000001"/>
    <n v="142.58000000000001"/>
    <n v="114.06"/>
    <n v="183996000"/>
    <x v="35"/>
  </r>
  <r>
    <s v="716c6d0a-2a5d-0aaa-7dd9-536b165afaf8"/>
    <d v="2010-01-25T18:29:08"/>
    <d v="2010-01-25T20:18:08"/>
    <s v="716c6d0a-2a5d-0aaa-9ced-312ed6a943da"/>
    <s v="9adfae03-673d-365d-9052-f705098fa3e4"/>
    <s v="28e98af0-d17a-345c-8fc6-6662b16c17c4"/>
    <s v="734afbd6-4794-363b-9bc0-6a3981533ed5"/>
    <x v="2"/>
    <n v="308335008"/>
    <s v="Patient encounter procedure (procedure)"/>
    <n v="142.58000000000001"/>
    <n v="22810.18"/>
    <n v="18248.14"/>
    <n v="183996000"/>
    <x v="35"/>
  </r>
  <r>
    <s v="716c6d0a-2a5d-0aaa-e4c3-e35331d5def0"/>
    <d v="2010-07-20T19:29:08"/>
    <d v="2010-07-20T20:26:27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1090.6199999999999"/>
    <n v="0"/>
    <m/>
    <x v="0"/>
  </r>
  <r>
    <s v="716c6d0a-2a5d-0aaa-74cb-c7044c2d693b"/>
    <d v="2010-07-24T19:29:08"/>
    <d v="2010-07-24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0"/>
    <n v="55822004"/>
    <x v="52"/>
  </r>
  <r>
    <s v="716c6d0a-2a5d-0aaa-2ecd-04d69fef62bc"/>
    <d v="2011-07-26T19:29:08"/>
    <d v="2011-07-26T20:02:24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704.2"/>
    <n v="0"/>
    <m/>
    <x v="0"/>
  </r>
  <r>
    <s v="716c6d0a-2a5d-0aaa-d8e7-ff63271fdb6d"/>
    <d v="2011-08-02T19:29:08"/>
    <d v="2011-08-02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0"/>
    <n v="55822004"/>
    <x v="52"/>
  </r>
  <r>
    <s v="716c6d0a-2a5d-0aaa-5481-323d61f687ba"/>
    <d v="2011-08-09T19:29:08"/>
    <d v="2011-08-09T22:38:00"/>
    <s v="716c6d0a-2a5d-0aaa-9ced-312ed6a943da"/>
    <s v="9adfae03-673d-365d-9052-f705098fa3e4"/>
    <s v="28e98af0-d17a-345c-8fc6-6662b16c17c4"/>
    <s v="734afbd6-4794-363b-9bc0-6a3981533ed5"/>
    <x v="1"/>
    <n v="185349003"/>
    <s v="Encounter for check up (procedure)"/>
    <n v="85.55"/>
    <n v="3105.35"/>
    <n v="2071.0700000000002"/>
    <n v="103697008"/>
    <x v="3"/>
  </r>
  <r>
    <s v="716c6d0a-2a5d-0aaa-d99e-01073c0e9ac7"/>
    <d v="2012-07-31T19:29:08"/>
    <d v="2012-07-31T20:21:55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1058"/>
    <n v="0"/>
    <m/>
    <x v="0"/>
  </r>
  <r>
    <s v="716c6d0a-2a5d-0aaa-3061-f5b2bacf94b5"/>
    <d v="2012-08-01T19:29:08"/>
    <d v="2012-08-01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0"/>
    <n v="55822004"/>
    <x v="52"/>
  </r>
  <r>
    <s v="716c6d0a-2a5d-0aaa-318c-43f5272cd284"/>
    <d v="2013-07-14T21:29:08"/>
    <d v="2013-07-14T21:44:08"/>
    <s v="716c6d0a-2a5d-0aaa-9ced-312ed6a943da"/>
    <s v="9adfae03-673d-365d-9052-f705098fa3e4"/>
    <s v="28e98af0-d17a-345c-8fc6-6662b16c17c4"/>
    <s v="734afbd6-4794-363b-9bc0-6a3981533ed5"/>
    <x v="1"/>
    <n v="185345009"/>
    <s v="Encounter for symptom (procedure)"/>
    <n v="85.55"/>
    <n v="85.55"/>
    <n v="0"/>
    <n v="10509002"/>
    <x v="1"/>
  </r>
  <r>
    <s v="716c6d0a-2a5d-0aaa-0259-525eee714321"/>
    <d v="2013-07-23T19:29:08"/>
    <d v="2013-07-23T20:14:03"/>
    <s v="716c6d0a-2a5d-0aaa-9ced-312ed6a943da"/>
    <s v="3e97ce4f-3ad7-3cea-883f-e2bb4ca89d83"/>
    <s v="f23915b5-5720-379f-ba7d-f5b290934bfc"/>
    <s v="734afbd6-4794-363b-9bc0-6a3981533ed5"/>
    <x v="4"/>
    <n v="702927004"/>
    <s v="Urgent care clinic (environment)"/>
    <n v="142.58000000000001"/>
    <n v="709.98"/>
    <n v="0"/>
    <m/>
    <x v="0"/>
  </r>
  <r>
    <s v="716c6d0a-2a5d-0aaa-d4d4-c5854fbdd737"/>
    <d v="2013-07-30T19:29:08"/>
    <d v="2013-07-30T19:44:08"/>
    <s v="716c6d0a-2a5d-0aaa-9ced-312ed6a943da"/>
    <s v="9adfae03-673d-365d-9052-f705098fa3e4"/>
    <s v="28e98af0-d17a-345c-8fc6-6662b16c17c4"/>
    <s v="734afbd6-4794-363b-9bc0-6a3981533ed5"/>
    <x v="2"/>
    <n v="185349003"/>
    <s v="Encounter for check up (procedure)"/>
    <n v="85.55"/>
    <n v="301.25"/>
    <n v="0"/>
    <m/>
    <x v="0"/>
  </r>
  <r>
    <s v="716c6d0a-2a5d-0aaa-97ad-bb40b53bbdfb"/>
    <d v="2013-08-06T19:29:08"/>
    <d v="2013-08-06T20:14:05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1051.42"/>
    <n v="637.58000000000004"/>
    <m/>
    <x v="0"/>
  </r>
  <r>
    <s v="716c6d0a-2a5d-0aaa-02a9-26520723fb0f"/>
    <d v="2013-08-13T19:29:08"/>
    <d v="2013-08-13T22:22:39"/>
    <s v="716c6d0a-2a5d-0aaa-9ced-312ed6a943da"/>
    <s v="9adfae03-673d-365d-9052-f705098fa3e4"/>
    <s v="28e98af0-d17a-345c-8fc6-6662b16c17c4"/>
    <s v="734afbd6-4794-363b-9bc0-6a3981533ed5"/>
    <x v="1"/>
    <n v="185349003"/>
    <s v="Encounter for check up (procedure)"/>
    <n v="85.55"/>
    <n v="2673.95"/>
    <n v="2139.16"/>
    <n v="103697008"/>
    <x v="3"/>
  </r>
  <r>
    <s v="716c6d0a-2a5d-0aaa-7c46-88a59a004935"/>
    <d v="2013-08-20T19:29:08"/>
    <d v="2013-08-20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187.76"/>
    <n v="55822004"/>
    <x v="52"/>
  </r>
  <r>
    <s v="716c6d0a-2a5d-0aaa-5e35-67bff855c442"/>
    <d v="2014-06-24T19:29:08"/>
    <d v="2014-06-24T20:14:02"/>
    <s v="716c6d0a-2a5d-0aaa-9ced-312ed6a943da"/>
    <s v="9adfae03-673d-365d-9052-f705098fa3e4"/>
    <s v="28e98af0-d17a-345c-8fc6-6662b16c17c4"/>
    <s v="734afbd6-4794-363b-9bc0-6a3981533ed5"/>
    <x v="1"/>
    <n v="185349003"/>
    <s v="Encounter for check up (procedure)"/>
    <n v="85.55"/>
    <n v="17981.53"/>
    <n v="13218.82"/>
    <n v="275978004"/>
    <x v="29"/>
  </r>
  <r>
    <s v="716c6d0a-2a5d-0aaa-259c-f85352b65fec"/>
    <d v="2014-08-12T19:29:08"/>
    <d v="2014-08-12T20:05:59"/>
    <s v="716c6d0a-2a5d-0aaa-9ced-312ed6a943da"/>
    <s v="e2a8b444-9b8f-36ff-84c4-05ee98589482"/>
    <s v="5adecba6-20dc-3fb7-9753-6e69ce4d0165"/>
    <s v="734afbd6-4794-363b-9bc0-6a3981533ed5"/>
    <x v="0"/>
    <n v="162673000"/>
    <s v="General examination of patient (procedure)"/>
    <n v="136.80000000000001"/>
    <n v="914.78"/>
    <n v="731.82"/>
    <m/>
    <x v="0"/>
  </r>
  <r>
    <s v="716c6d0a-2a5d-0aaa-2187-516f63dc17a8"/>
    <d v="2014-08-26T19:29:08"/>
    <d v="2014-08-26T22:48:42"/>
    <s v="716c6d0a-2a5d-0aaa-9ced-312ed6a943da"/>
    <s v="9adfae03-673d-365d-9052-f705098fa3e4"/>
    <s v="28e98af0-d17a-345c-8fc6-6662b16c17c4"/>
    <s v="734afbd6-4794-363b-9bc0-6a3981533ed5"/>
    <x v="1"/>
    <n v="185349003"/>
    <s v="Encounter for check up (procedure)"/>
    <n v="85.55"/>
    <n v="3105.35"/>
    <n v="2484.2800000000002"/>
    <n v="66383009"/>
    <x v="17"/>
  </r>
  <r>
    <s v="716c6d0a-2a5d-0aaa-3864-136cad83982c"/>
    <d v="2014-09-02T19:29:08"/>
    <d v="2014-09-02T19:44:08"/>
    <s v="716c6d0a-2a5d-0aaa-9ced-312ed6a943da"/>
    <s v="9adfae03-673d-365d-9052-f705098fa3e4"/>
    <s v="28e98af0-d17a-345c-8fc6-6662b16c17c4"/>
    <s v="734afbd6-4794-363b-9bc0-6a3981533ed5"/>
    <x v="1"/>
    <n v="390906007"/>
    <s v="Follow-up encounter (procedure)"/>
    <n v="85.55"/>
    <n v="234.71"/>
    <n v="187.76"/>
    <n v="55822004"/>
    <x v="52"/>
  </r>
  <r>
    <s v="716c6d0a-2a5d-0aaa-b305-d6399271a23d"/>
    <d v="2015-02-03T18:29:08"/>
    <d v="2015-02-08T21:29:08"/>
    <s v="716c6d0a-2a5d-0aaa-9ced-312ed6a943da"/>
    <s v="be509ccb-bfb7-3b87-8945-8426b689ef9d"/>
    <s v="a4c2a727-44d2-3281-a1f9-92c68b434a8f"/>
    <s v="734afbd6-4794-363b-9bc0-6a3981533ed5"/>
    <x v="3"/>
    <n v="185347001"/>
    <s v="Encounter for problem (procedure)"/>
    <n v="87.71"/>
    <n v="33650.17"/>
    <n v="26920.13"/>
    <n v="91302008"/>
    <x v="50"/>
  </r>
  <r>
    <s v="8ece28c6-f931-b0e0-abe8-532197038d9b"/>
    <d v="1960-04-29T21:49:50"/>
    <d v="1960-04-29T22:28:08"/>
    <s v="8ece28c6-f931-b0e0-5c0e-72b8d8d3c86a"/>
    <s v="dd280187-8662-3732-af81-595d10572911"/>
    <s v="7c5f7d04-ae61-3c6a-a1ae-02b79bf75398"/>
    <s v="df166300-5a78-3502-a46a-832842197811"/>
    <x v="2"/>
    <n v="185349003"/>
    <s v="Encounter for check up (procedure)"/>
    <n v="85.55"/>
    <n v="957.53"/>
    <n v="807.53"/>
    <m/>
    <x v="0"/>
  </r>
  <r>
    <s v="8ece28c6-f931-b0e0-896d-e0b1f1b04096"/>
    <d v="1988-04-22T21:49:50"/>
    <d v="1988-04-22T22:20:57"/>
    <s v="8ece28c6-f931-b0e0-5c0e-72b8d8d3c86a"/>
    <s v="643eac8e-1620-3b6a-b9f3-664b003d22cd"/>
    <s v="026c51c4-d207-3ec7-8786-7c8231456c2e"/>
    <s v="df166300-5a78-3502-a46a-832842197811"/>
    <x v="0"/>
    <n v="162673000"/>
    <s v="General examination of patient (procedure)"/>
    <n v="136.80000000000001"/>
    <n v="1571.74"/>
    <n v="1421.74"/>
    <m/>
    <x v="0"/>
  </r>
  <r>
    <s v="8ece28c6-f931-b0e0-7153-534549127919"/>
    <d v="1997-10-09T21:49:50"/>
    <d v="1997-10-09T22:04:50"/>
    <s v="8ece28c6-f931-b0e0-5c0e-72b8d8d3c86a"/>
    <s v="dd280187-8662-3732-af81-595d10572911"/>
    <s v="7c5f7d04-ae61-3c6a-a1ae-02b79bf75398"/>
    <s v="df166300-5a78-3502-a46a-832842197811"/>
    <x v="1"/>
    <n v="185347001"/>
    <s v="Encounter for problem (procedure)"/>
    <n v="85.55"/>
    <n v="85.55"/>
    <n v="35.549999999999997"/>
    <n v="90560007"/>
    <x v="81"/>
  </r>
  <r>
    <s v="8ece28c6-f931-b0e0-3ed7-6472c6a43e53"/>
    <d v="1998-05-08T21:49:50"/>
    <d v="1998-05-08T22:45:59"/>
    <s v="8ece28c6-f931-b0e0-5c0e-72b8d8d3c86a"/>
    <s v="643eac8e-1620-3b6a-b9f3-664b003d22cd"/>
    <s v="026c51c4-d207-3ec7-8786-7c8231456c2e"/>
    <s v="df166300-5a78-3502-a46a-832842197811"/>
    <x v="0"/>
    <n v="162673000"/>
    <s v="General examination of patient (procedure)"/>
    <n v="136.80000000000001"/>
    <n v="1236.28"/>
    <n v="1086.28"/>
    <m/>
    <x v="0"/>
  </r>
  <r>
    <s v="8ece28c6-f931-b0e0-43b3-e2985a38eb14"/>
    <d v="1998-05-15T21:49:50"/>
    <d v="1998-05-15T22:49:50"/>
    <s v="8ece28c6-f931-b0e0-5c0e-72b8d8d3c86a"/>
    <s v="2f67494e-f17e-3248-ba68-3ca42913cca1"/>
    <s v="5a83dcd0-74c0-3f71-8fa5-4b57a00b2e25"/>
    <s v="df166300-5a78-3502-a46a-832842197811"/>
    <x v="3"/>
    <n v="183452005"/>
    <s v="Emergency hospital admission (procedure)"/>
    <n v="87.71"/>
    <n v="87.71"/>
    <n v="37.71"/>
    <n v="82423001"/>
    <x v="33"/>
  </r>
  <r>
    <s v="8ece28c6-f931-b0e0-974b-be019fd9601e"/>
    <d v="2002-05-31T21:49:50"/>
    <d v="2002-05-31T22:41:58"/>
    <s v="8ece28c6-f931-b0e0-5c0e-72b8d8d3c86a"/>
    <s v="643eac8e-1620-3b6a-b9f3-664b003d22cd"/>
    <s v="026c51c4-d207-3ec7-8786-7c8231456c2e"/>
    <s v="df166300-5a78-3502-a46a-832842197811"/>
    <x v="0"/>
    <n v="162673000"/>
    <s v="General examination of patient (procedure)"/>
    <n v="136.80000000000001"/>
    <n v="5202.49"/>
    <n v="5052.49"/>
    <m/>
    <x v="0"/>
  </r>
  <r>
    <s v="8ece28c6-f931-b0e0-f998-a7b84d812c59"/>
    <d v="2015-02-09T20:49:50"/>
    <d v="2015-02-09T21:49:50"/>
    <s v="8ece28c6-f931-b0e0-5c0e-72b8d8d3c86a"/>
    <s v="74ab949d-17ac-3309-83a0-13b4405c66aa"/>
    <s v="35fedf4a-4da7-315e-a103-dbcfea0540fa"/>
    <s v="d18ef2e6-ef40-324c-be54-34a5ee865625"/>
    <x v="3"/>
    <n v="50849002"/>
    <s v="Emergency room admission (procedure)"/>
    <n v="146.18"/>
    <n v="8283.7900000000009"/>
    <n v="8248.7900000000009"/>
    <n v="22298006"/>
    <x v="71"/>
  </r>
  <r>
    <s v="8ece28c6-f931-b0e0-a88e-e7a9b5a04b46"/>
    <d v="2015-02-09T21:18:49"/>
    <d v="2015-02-10T21:18:49"/>
    <s v="8ece28c6-f931-b0e0-5c0e-72b8d8d3c86a"/>
    <s v="74ab949d-17ac-3309-83a0-13b4405c66aa"/>
    <s v="35fedf4a-4da7-315e-a103-dbcfea0540fa"/>
    <s v="d18ef2e6-ef40-324c-be54-34a5ee865625"/>
    <x v="6"/>
    <n v="32485007"/>
    <s v="Hospital admission (procedure)"/>
    <n v="146.18"/>
    <n v="38096.089999999997"/>
    <n v="38061.089999999997"/>
    <n v="401303003"/>
    <x v="41"/>
  </r>
  <r>
    <s v="8ece28c6-f931-b0e0-5981-2e0729bac2b8"/>
    <d v="2015-08-14T21:49:50"/>
    <d v="2015-08-14T22:31:54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778.78"/>
    <n v="778.78"/>
    <m/>
    <x v="0"/>
  </r>
  <r>
    <s v="8ece28c6-f931-b0e0-22df-b402dda51ddd"/>
    <d v="2016-08-19T21:49:50"/>
    <d v="2016-08-19T22:26:28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919.9"/>
    <n v="919.9"/>
    <m/>
    <x v="0"/>
  </r>
  <r>
    <s v="8ece28c6-f931-b0e0-083b-f21018d32066"/>
    <d v="2016-08-26T21:49:50"/>
    <d v="2016-08-26T22:30:03"/>
    <s v="8ece28c6-f931-b0e0-5c0e-72b8d8d3c86a"/>
    <s v="74ab949d-17ac-3309-83a0-13b4405c66aa"/>
    <s v="35fedf4a-4da7-315e-a103-dbcfea0540fa"/>
    <s v="d18ef2e6-ef40-324c-be54-34a5ee865625"/>
    <x v="1"/>
    <n v="185347001"/>
    <s v="Encounter for problem (procedure)"/>
    <n v="85.55"/>
    <n v="516.95000000000005"/>
    <n v="481.95"/>
    <n v="414545008"/>
    <x v="19"/>
  </r>
  <r>
    <s v="8ece28c6-f931-b0e0-8ebe-2b450699fab6"/>
    <d v="2016-08-28T01:30:03"/>
    <d v="2016-08-28T07:03:52"/>
    <s v="8ece28c6-f931-b0e0-5c0e-72b8d8d3c86a"/>
    <s v="74ab949d-17ac-3309-83a0-13b4405c66aa"/>
    <s v="35fedf4a-4da7-315e-a103-dbcfea0540fa"/>
    <s v="d18ef2e6-ef40-324c-be54-34a5ee865625"/>
    <x v="1"/>
    <n v="185347001"/>
    <s v="Encounter for problem (procedure)"/>
    <n v="85.55"/>
    <n v="1444.46"/>
    <n v="1409.46"/>
    <n v="414545008"/>
    <x v="19"/>
  </r>
  <r>
    <s v="8ece28c6-f931-b0e0-1150-c3970bfce3e4"/>
    <d v="2016-09-09T21:49:50"/>
    <d v="2016-09-10T01:30:03"/>
    <s v="8ece28c6-f931-b0e0-5c0e-72b8d8d3c86a"/>
    <s v="dd280187-8662-3732-af81-595d10572911"/>
    <s v="7c5f7d04-ae61-3c6a-a1ae-02b79bf75398"/>
    <s v="d18ef2e6-ef40-324c-be54-34a5ee865625"/>
    <x v="1"/>
    <n v="185349003"/>
    <s v="Encounter for check up (procedure)"/>
    <n v="85.55"/>
    <n v="3536.75"/>
    <n v="3501.75"/>
    <n v="103697008"/>
    <x v="3"/>
  </r>
  <r>
    <s v="8ece28c6-f931-b0e0-7c06-50c66075ad8c"/>
    <d v="2016-09-16T21:49:50"/>
    <d v="2016-09-16T22:36:05"/>
    <s v="8ece28c6-f931-b0e0-5c0e-72b8d8d3c86a"/>
    <s v="74ab949d-17ac-3309-83a0-13b4405c66aa"/>
    <s v="35fedf4a-4da7-315e-a103-dbcfea0540fa"/>
    <s v="d18ef2e6-ef40-324c-be54-34a5ee865625"/>
    <x v="1"/>
    <n v="185347001"/>
    <s v="Encounter for problem (procedure)"/>
    <n v="85.55"/>
    <n v="24346.32"/>
    <n v="24311.32"/>
    <n v="414545008"/>
    <x v="19"/>
  </r>
  <r>
    <s v="8ece28c6-f931-b0e0-09ba-f35679165318"/>
    <d v="2016-09-30T21:49:50"/>
    <d v="2016-09-30T22:25:45"/>
    <s v="8ece28c6-f931-b0e0-5c0e-72b8d8d3c86a"/>
    <s v="dd280187-8662-3732-af81-595d10572911"/>
    <s v="7c5f7d04-ae61-3c6a-a1ae-02b79bf75398"/>
    <s v="d18ef2e6-ef40-324c-be54-34a5ee865625"/>
    <x v="2"/>
    <n v="185349003"/>
    <s v="Encounter for check up (procedure)"/>
    <n v="85.55"/>
    <n v="732.65"/>
    <n v="697.65"/>
    <m/>
    <x v="0"/>
  </r>
  <r>
    <s v="8ece28c6-f931-b0e0-505a-d00a6c0ce72d"/>
    <d v="2016-10-07T21:49:50"/>
    <d v="2016-10-07T22:04:50"/>
    <s v="8ece28c6-f931-b0e0-5c0e-72b8d8d3c86a"/>
    <s v="dd280187-8662-3732-af81-595d10572911"/>
    <s v="7c5f7d04-ae61-3c6a-a1ae-02b79bf75398"/>
    <s v="d18ef2e6-ef40-324c-be54-34a5ee865625"/>
    <x v="1"/>
    <n v="185345009"/>
    <s v="Encounter for symptom (procedure)"/>
    <n v="85.55"/>
    <n v="85.55"/>
    <n v="50.55"/>
    <n v="195662009"/>
    <x v="9"/>
  </r>
  <r>
    <s v="8ece28c6-f931-b0e0-7e64-8a67114567b3"/>
    <d v="2017-08-25T21:49:50"/>
    <d v="2017-08-25T22:24:39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704.2"/>
    <n v="704.2"/>
    <m/>
    <x v="0"/>
  </r>
  <r>
    <s v="8ece28c6-f931-b0e0-a2fc-625d9ab8471c"/>
    <d v="2018-08-31T21:49:50"/>
    <d v="2018-08-31T22:22:22"/>
    <s v="8ece28c6-f931-b0e0-5c0e-72b8d8d3c86a"/>
    <s v="643eac8e-1620-3b6a-b9f3-664b003d22cd"/>
    <s v="026c51c4-d207-3ec7-8786-7c8231456c2e"/>
    <s v="df166300-5a78-3502-a46a-832842197811"/>
    <x v="0"/>
    <n v="162673000"/>
    <s v="General examination of patient (procedure)"/>
    <n v="136.80000000000001"/>
    <n v="1589.53"/>
    <n v="1489.53"/>
    <m/>
    <x v="0"/>
  </r>
  <r>
    <s v="8ece28c6-f931-b0e0-d6a7-5d016fabc380"/>
    <d v="2018-09-14T21:49:50"/>
    <d v="2018-09-15T01:40:23"/>
    <s v="8ece28c6-f931-b0e0-5c0e-72b8d8d3c86a"/>
    <s v="dd280187-8662-3732-af81-595d10572911"/>
    <s v="7c5f7d04-ae61-3c6a-a1ae-02b79bf75398"/>
    <s v="df166300-5a78-3502-a46a-832842197811"/>
    <x v="1"/>
    <n v="185349003"/>
    <s v="Encounter for check up (procedure)"/>
    <n v="85.55"/>
    <n v="3105.35"/>
    <n v="3055.35"/>
    <n v="103697008"/>
    <x v="3"/>
  </r>
  <r>
    <s v="8ece28c6-f931-b0e0-ac7a-190e12763c8d"/>
    <d v="2019-09-06T21:49:50"/>
    <d v="2019-09-06T22:49:22"/>
    <s v="8ece28c6-f931-b0e0-5c0e-72b8d8d3c86a"/>
    <s v="643eac8e-1620-3b6a-b9f3-664b003d22cd"/>
    <s v="026c51c4-d207-3ec7-8786-7c8231456c2e"/>
    <s v="a735bf55-83e9-331a-899d-a82a60b9f60c"/>
    <x v="0"/>
    <n v="162673000"/>
    <s v="General examination of patient (procedure)"/>
    <n v="136.80000000000001"/>
    <n v="1465.64"/>
    <n v="987.28"/>
    <m/>
    <x v="0"/>
  </r>
  <r>
    <s v="8ece28c6-f931-b0e0-a01f-414912526dd9"/>
    <d v="2020-05-01T21:49:50"/>
    <d v="2020-05-01T22:04:50"/>
    <s v="8ece28c6-f931-b0e0-5c0e-72b8d8d3c86a"/>
    <s v="0592d4e5-a0fb-3143-83cd-8e5a6b066a96"/>
    <s v="9069fd9f-e1aa-3b63-b8bb-ce37b676a504"/>
    <s v="d18ef2e6-ef40-324c-be54-34a5ee865625"/>
    <x v="4"/>
    <n v="308335008"/>
    <s v="Patient encounter procedure (procedure)"/>
    <n v="142.58000000000001"/>
    <n v="573.98"/>
    <n v="538.98"/>
    <n v="1871000124103"/>
    <x v="75"/>
  </r>
  <r>
    <s v="8ece28c6-f931-b0e0-6d18-ed3766978eca"/>
    <d v="2020-05-02T21:16:50"/>
    <d v="2020-05-02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1854.13"/>
    <n v="1819.13"/>
    <n v="1871000124103"/>
    <x v="75"/>
  </r>
  <r>
    <s v="8ece28c6-f931-b0e0-e96a-19fe6cda1bee"/>
    <d v="2020-05-03T21:16:50"/>
    <d v="2020-05-03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fe1b-0bbbfb738ec7"/>
    <d v="2020-05-04T21:16:50"/>
    <d v="2020-05-04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bad1-ac6de7fb3a3a"/>
    <d v="2020-05-05T21:16:50"/>
    <d v="2020-05-05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fb60-0e4ed84ff13e"/>
    <d v="2020-05-06T21:16:50"/>
    <d v="2020-05-06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fd63-e9b9b29755d3"/>
    <d v="2020-05-07T21:16:50"/>
    <d v="2020-05-07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6747-4fd7a2ca60d0"/>
    <d v="2020-05-08T21:16:50"/>
    <d v="2020-05-08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0968-ec6916622d5b"/>
    <d v="2020-05-09T21:16:50"/>
    <d v="2020-05-09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598d-a86f6246228c"/>
    <d v="2020-05-10T21:16:50"/>
    <d v="2020-05-10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b5e4-87756f65f315"/>
    <d v="2020-05-11T21:16:50"/>
    <d v="2020-05-11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2008-a7c5af7e088a"/>
    <d v="2020-05-12T21:16:50"/>
    <d v="2020-05-12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0674-b51533d3808c"/>
    <d v="2020-05-13T21:16:50"/>
    <d v="2020-05-13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8d42-5f3c4ba7de47"/>
    <d v="2020-05-14T21:16:50"/>
    <d v="2020-05-14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0347-2683a7e3bd0a"/>
    <d v="2020-05-15T21:16:50"/>
    <d v="2020-05-15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4208-77d3b7317d20"/>
    <d v="2020-05-16T21:16:50"/>
    <d v="2020-05-16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758.14"/>
    <n v="723.14"/>
    <n v="1871000124103"/>
    <x v="75"/>
  </r>
  <r>
    <s v="8ece28c6-f931-b0e0-e770-63a0685697b9"/>
    <d v="2020-05-17T21:16:50"/>
    <d v="2020-05-17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28e4-23c31c7bc7bd"/>
    <d v="2020-05-18T21:16:50"/>
    <d v="2020-05-18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991.33"/>
    <n v="956.33"/>
    <n v="1871000124103"/>
    <x v="75"/>
  </r>
  <r>
    <s v="8ece28c6-f931-b0e0-4d8a-2cb5bd9b9b5f"/>
    <d v="2020-05-19T21:16:50"/>
    <d v="2020-05-19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991.33"/>
    <n v="956.33"/>
    <n v="1871000124103"/>
    <x v="75"/>
  </r>
  <r>
    <s v="8ece28c6-f931-b0e0-7cd6-cad25020bead"/>
    <d v="2020-05-20T21:16:50"/>
    <d v="2020-05-20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1702-e143bd2ca204"/>
    <d v="2020-05-21T21:16:50"/>
    <d v="2020-05-21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d6d4-3a6403c5f698"/>
    <d v="2020-05-22T21:16:50"/>
    <d v="2020-05-22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52b8-7a17050581ce"/>
    <d v="2020-05-23T21:16:50"/>
    <d v="2020-05-23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4c43-78d0630c3323"/>
    <d v="2020-05-24T21:16:50"/>
    <d v="2020-05-24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f904-d55cc47f3a26"/>
    <d v="2020-05-25T21:16:50"/>
    <d v="2020-05-25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3753-bf054f51b5a6"/>
    <d v="2020-05-26T21:16:50"/>
    <d v="2020-05-26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559.92999999999995"/>
    <n v="524.92999999999995"/>
    <n v="1871000124103"/>
    <x v="75"/>
  </r>
  <r>
    <s v="8ece28c6-f931-b0e0-a150-5fb57adad794"/>
    <d v="2020-05-27T21:16:50"/>
    <d v="2020-05-27T21:31:50"/>
    <s v="8ece28c6-f931-b0e0-5c0e-72b8d8d3c86a"/>
    <s v="712509af-be0c-3f54-a34c-f4796e538e4e"/>
    <s v="3a6cfaa1-04d2-37af-96e1-f9a92a5de777"/>
    <s v="d18ef2e6-ef40-324c-be54-34a5ee865625"/>
    <x v="9"/>
    <n v="439708006"/>
    <s v="Home visit (procedure)"/>
    <n v="128.53"/>
    <n v="775.63"/>
    <n v="740.63"/>
    <n v="1871000124103"/>
    <x v="75"/>
  </r>
  <r>
    <s v="8ece28c6-f931-b0e0-1657-76ea6a17c20c"/>
    <d v="2020-09-11T21:49:50"/>
    <d v="2020-09-11T22:31:00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1444.34"/>
    <n v="1444.34"/>
    <m/>
    <x v="0"/>
  </r>
  <r>
    <s v="8ece28c6-f931-b0e0-731a-003892e56191"/>
    <d v="2020-09-25T21:49:50"/>
    <d v="2020-09-26T01:19:03"/>
    <s v="8ece28c6-f931-b0e0-5c0e-72b8d8d3c86a"/>
    <s v="dd280187-8662-3732-af81-595d10572911"/>
    <s v="7c5f7d04-ae61-3c6a-a1ae-02b79bf75398"/>
    <s v="d18ef2e6-ef40-324c-be54-34a5ee865625"/>
    <x v="1"/>
    <n v="185349003"/>
    <s v="Encounter for check up (procedure)"/>
    <n v="85.55"/>
    <n v="2673.95"/>
    <n v="2638.95"/>
    <n v="103697008"/>
    <x v="3"/>
  </r>
  <r>
    <s v="8ece28c6-f931-b0e0-14bc-6278c66b6253"/>
    <d v="2021-03-12T20:49:50"/>
    <d v="2021-03-12T21:04:50"/>
    <s v="8ece28c6-f931-b0e0-5c0e-72b8d8d3c86a"/>
    <s v="dd280187-8662-3732-af81-595d10572911"/>
    <s v="7c5f7d04-ae61-3c6a-a1ae-02b79bf75398"/>
    <s v="d18ef2e6-ef40-324c-be54-34a5ee865625"/>
    <x v="2"/>
    <n v="33879002"/>
    <s v="Administration of vaccine to produce active immunity (procedure)"/>
    <n v="142.58000000000001"/>
    <n v="278.58"/>
    <n v="243.58"/>
    <m/>
    <x v="0"/>
  </r>
  <r>
    <s v="8ece28c6-f931-b0e0-129b-d9fc3267ad8b"/>
    <d v="2021-09-17T21:49:50"/>
    <d v="2021-09-17T22:23:46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1022.26"/>
    <n v="1022.26"/>
    <m/>
    <x v="0"/>
  </r>
  <r>
    <s v="8ece28c6-f931-b0e0-482a-b972066329ff"/>
    <d v="2021-10-01T21:49:50"/>
    <d v="2021-10-02T01:07:01"/>
    <s v="8ece28c6-f931-b0e0-5c0e-72b8d8d3c86a"/>
    <s v="dd280187-8662-3732-af81-595d10572911"/>
    <s v="7c5f7d04-ae61-3c6a-a1ae-02b79bf75398"/>
    <s v="d18ef2e6-ef40-324c-be54-34a5ee865625"/>
    <x v="1"/>
    <n v="185349003"/>
    <s v="Encounter for check up (procedure)"/>
    <n v="85.55"/>
    <n v="3105.35"/>
    <n v="3070.35"/>
    <n v="103697008"/>
    <x v="3"/>
  </r>
  <r>
    <s v="8ece28c6-f931-b0e0-4da7-3be24086a224"/>
    <d v="2022-09-23T21:49:50"/>
    <d v="2022-09-23T22:48:07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704.2"/>
    <n v="704.2"/>
    <m/>
    <x v="0"/>
  </r>
  <r>
    <s v="8ece28c6-f931-b0e0-3431-7e367fa57e2c"/>
    <d v="2022-10-07T21:49:50"/>
    <d v="2022-10-08T01:00:39"/>
    <s v="8ece28c6-f931-b0e0-5c0e-72b8d8d3c86a"/>
    <s v="dd280187-8662-3732-af81-595d10572911"/>
    <s v="7c5f7d04-ae61-3c6a-a1ae-02b79bf75398"/>
    <s v="d18ef2e6-ef40-324c-be54-34a5ee865625"/>
    <x v="1"/>
    <n v="185349003"/>
    <s v="Encounter for check up (procedure)"/>
    <n v="85.55"/>
    <n v="3105.35"/>
    <n v="3070.35"/>
    <n v="66383009"/>
    <x v="17"/>
  </r>
  <r>
    <s v="8ece28c6-f931-b0e0-5870-cda02b8d71fe"/>
    <d v="2022-10-18T09:49:50"/>
    <d v="2022-10-18T10:04:50"/>
    <s v="8ece28c6-f931-b0e0-5c0e-72b8d8d3c86a"/>
    <s v="dd280187-8662-3732-af81-595d10572911"/>
    <s v="7c5f7d04-ae61-3c6a-a1ae-02b79bf75398"/>
    <s v="d18ef2e6-ef40-324c-be54-34a5ee865625"/>
    <x v="1"/>
    <n v="185345009"/>
    <s v="Encounter for symptom (procedure)"/>
    <n v="85.55"/>
    <n v="85.55"/>
    <n v="50.55"/>
    <n v="195662009"/>
    <x v="9"/>
  </r>
  <r>
    <s v="8ece28c6-f931-b0e0-b284-105a73d139fa"/>
    <d v="2022-10-28T21:49:50"/>
    <d v="2022-10-28T22:34:02"/>
    <s v="8ece28c6-f931-b0e0-5c0e-72b8d8d3c86a"/>
    <s v="dd280187-8662-3732-af81-595d10572911"/>
    <s v="7c5f7d04-ae61-3c6a-a1ae-02b79bf75398"/>
    <s v="d18ef2e6-ef40-324c-be54-34a5ee865625"/>
    <x v="2"/>
    <n v="185349003"/>
    <s v="Encounter for check up (procedure)"/>
    <n v="85.55"/>
    <n v="1360.58"/>
    <n v="1325.58"/>
    <m/>
    <x v="0"/>
  </r>
  <r>
    <s v="8ece28c6-f931-b0e0-0665-4317289e5ba4"/>
    <d v="2022-11-11T20:49:50"/>
    <d v="2022-11-12T00:07:51"/>
    <s v="8ece28c6-f931-b0e0-5c0e-72b8d8d3c86a"/>
    <s v="dd280187-8662-3732-af81-595d10572911"/>
    <s v="7c5f7d04-ae61-3c6a-a1ae-02b79bf75398"/>
    <s v="d18ef2e6-ef40-324c-be54-34a5ee865625"/>
    <x v="1"/>
    <n v="185349003"/>
    <s v="Encounter for check up (procedure)"/>
    <n v="85.55"/>
    <n v="3536.75"/>
    <n v="3501.75"/>
    <n v="103697008"/>
    <x v="3"/>
  </r>
  <r>
    <s v="8ece28c6-f931-b0e0-e15e-f120e984198e"/>
    <d v="2023-09-29T21:49:50"/>
    <d v="2023-09-29T22:30:17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704.2"/>
    <n v="704.2"/>
    <m/>
    <x v="0"/>
  </r>
  <r>
    <s v="8ece28c6-f931-b0e0-1775-8f401a2c6f78"/>
    <d v="2023-11-05T20:49:50"/>
    <d v="2023-11-05T21:04:50"/>
    <s v="8ece28c6-f931-b0e0-5c0e-72b8d8d3c86a"/>
    <s v="dd280187-8662-3732-af81-595d10572911"/>
    <s v="7c5f7d04-ae61-3c6a-a1ae-02b79bf75398"/>
    <s v="d18ef2e6-ef40-324c-be54-34a5ee865625"/>
    <x v="1"/>
    <n v="185347001"/>
    <s v="Encounter for problem (procedure)"/>
    <n v="85.55"/>
    <n v="85.55"/>
    <n v="50.55"/>
    <n v="90560007"/>
    <x v="81"/>
  </r>
  <r>
    <s v="8ece28c6-f931-b0e0-759b-fd032d795588"/>
    <d v="2024-10-04T21:49:50"/>
    <d v="2024-10-04T22:36:13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1716.16"/>
    <n v="1716.16"/>
    <m/>
    <x v="0"/>
  </r>
  <r>
    <s v="8ece28c6-f931-b0e0-3d4d-e37ad4b472f0"/>
    <d v="2024-12-13T20:49:50"/>
    <d v="2024-12-13T21:20:51"/>
    <s v="8ece28c6-f931-b0e0-5c0e-72b8d8d3c86a"/>
    <s v="dd280187-8662-3732-af81-595d10572911"/>
    <s v="7c5f7d04-ae61-3c6a-a1ae-02b79bf75398"/>
    <s v="d18ef2e6-ef40-324c-be54-34a5ee865625"/>
    <x v="2"/>
    <n v="185349003"/>
    <s v="Encounter for check up (procedure)"/>
    <n v="85.55"/>
    <n v="868.65"/>
    <n v="833.65"/>
    <m/>
    <x v="0"/>
  </r>
  <r>
    <s v="8ece28c6-f931-b0e0-0eb0-5570f29cf3ea"/>
    <d v="2024-12-20T20:49:50"/>
    <d v="2024-12-20T21:04:50"/>
    <s v="8ece28c6-f931-b0e0-5c0e-72b8d8d3c86a"/>
    <s v="dd280187-8662-3732-af81-595d10572911"/>
    <s v="7c5f7d04-ae61-3c6a-a1ae-02b79bf75398"/>
    <s v="d18ef2e6-ef40-324c-be54-34a5ee865625"/>
    <x v="1"/>
    <n v="185345009"/>
    <s v="Encounter for symptom (procedure)"/>
    <n v="85.55"/>
    <n v="85.55"/>
    <n v="50.55"/>
    <n v="444814009"/>
    <x v="2"/>
  </r>
  <r>
    <s v="8ece28c6-f931-b0e0-b43e-9b7f3b9b74eb"/>
    <d v="2025-10-10T21:49:50"/>
    <d v="2025-10-10T22:25:10"/>
    <s v="8ece28c6-f931-b0e0-5c0e-72b8d8d3c86a"/>
    <s v="643eac8e-1620-3b6a-b9f3-664b003d22cd"/>
    <s v="026c51c4-d207-3ec7-8786-7c8231456c2e"/>
    <s v="d18ef2e6-ef40-324c-be54-34a5ee865625"/>
    <x v="0"/>
    <n v="162673000"/>
    <s v="General examination of patient (procedure)"/>
    <n v="136.80000000000001"/>
    <n v="1000.39"/>
    <n v="1000.39"/>
    <m/>
    <x v="0"/>
  </r>
  <r>
    <s v="8ece28c6-f931-b0e0-2fd7-cdf53c8d48c2"/>
    <d v="2025-10-24T21:49:50"/>
    <d v="2025-10-25T02:02:56"/>
    <s v="8ece28c6-f931-b0e0-5c0e-72b8d8d3c86a"/>
    <s v="dd280187-8662-3732-af81-595d10572911"/>
    <s v="7c5f7d04-ae61-3c6a-a1ae-02b79bf75398"/>
    <s v="d18ef2e6-ef40-324c-be54-34a5ee865625"/>
    <x v="1"/>
    <n v="185349003"/>
    <s v="Encounter for check up (procedure)"/>
    <n v="85.55"/>
    <n v="3536.75"/>
    <n v="3501.75"/>
    <n v="103697008"/>
    <x v="3"/>
  </r>
  <r>
    <s v="e503e9b3-d149-653b-7280-07d85636cde6"/>
    <d v="1995-11-15T18:39:51"/>
    <d v="1995-11-15T18:57:27"/>
    <s v="e503e9b3-d149-653b-92df-ca4a8cb68e16"/>
    <s v="352f2e3b-0708-3eb4-9f7e-e73a685bf379"/>
    <s v="4ba67eac-a99d-34c8-9055-4cf0013c75cc"/>
    <s v="df166300-5a78-3502-a46a-832842197811"/>
    <x v="1"/>
    <n v="390906007"/>
    <s v="Follow-up encounter (procedure)"/>
    <n v="85.55"/>
    <n v="948.35"/>
    <n v="898.35"/>
    <n v="203646004"/>
    <x v="82"/>
  </r>
  <r>
    <s v="e503e9b3-d149-653b-263d-d83b3d9020a2"/>
    <d v="2001-10-08T03:51:22"/>
    <d v="2001-10-08T04:06:22"/>
    <s v="e503e9b3-d149-653b-92df-ca4a8cb68e16"/>
    <s v="981338c4-287c-3621-bc45-8b0b9f1b8922"/>
    <s v="078ffffe-ec9e-347b-b419-abf3e6077f79"/>
    <s v="df166300-5a78-3502-a46a-832842197811"/>
    <x v="0"/>
    <n v="410620009"/>
    <s v="Well child visit (procedure)"/>
    <n v="136.80000000000001"/>
    <n v="994.48"/>
    <n v="844.48"/>
    <m/>
    <x v="0"/>
  </r>
  <r>
    <s v="e503e9b3-d149-653b-ac32-eda69f4d42c1"/>
    <d v="2002-10-14T03:51:22"/>
    <d v="2002-10-14T04:26:25"/>
    <s v="e503e9b3-d149-653b-92df-ca4a8cb68e16"/>
    <s v="981338c4-287c-3621-bc45-8b0b9f1b8922"/>
    <s v="078ffffe-ec9e-347b-b419-abf3e6077f79"/>
    <s v="df166300-5a78-3502-a46a-832842197811"/>
    <x v="0"/>
    <n v="162673000"/>
    <s v="General examination of patient (procedure)"/>
    <n v="136.80000000000001"/>
    <n v="704.2"/>
    <n v="554.20000000000005"/>
    <m/>
    <x v="0"/>
  </r>
  <r>
    <s v="e503e9b3-d149-653b-a536-cca0cbc06b1e"/>
    <d v="2007-03-12T03:51:22"/>
    <d v="2007-03-12T04:06:22"/>
    <s v="e503e9b3-d149-653b-92df-ca4a8cb68e16"/>
    <s v="352f2e3b-0708-3eb4-9f7e-e73a685bf379"/>
    <s v="4ba67eac-a99d-34c8-9055-4cf0013c75cc"/>
    <s v="df166300-5a78-3502-a46a-832842197811"/>
    <x v="1"/>
    <n v="185345009"/>
    <s v="Encounter for symptom (procedure)"/>
    <n v="85.55"/>
    <n v="92.93"/>
    <n v="42.93"/>
    <n v="75498004"/>
    <x v="14"/>
  </r>
  <r>
    <s v="e503e9b3-d149-653b-ac10-e39d4b9ec777"/>
    <d v="2009-10-26T03:51:22"/>
    <d v="2009-10-26T04:23:14"/>
    <s v="e503e9b3-d149-653b-92df-ca4a8cb68e16"/>
    <s v="981338c4-287c-3621-bc45-8b0b9f1b8922"/>
    <s v="078ffffe-ec9e-347b-b419-abf3e6077f79"/>
    <s v="df166300-5a78-3502-a46a-832842197811"/>
    <x v="0"/>
    <n v="162673000"/>
    <s v="General examination of patient (procedure)"/>
    <n v="136.80000000000001"/>
    <n v="1139.03"/>
    <n v="1039.03"/>
    <m/>
    <x v="0"/>
  </r>
  <r>
    <s v="e503e9b3-d149-653b-3ffa-062b5ac17d65"/>
    <d v="2009-11-02T02:51:22"/>
    <d v="2009-11-02T03:57:13"/>
    <s v="e503e9b3-d149-653b-92df-ca4a8cb68e16"/>
    <s v="352f2e3b-0708-3eb4-9f7e-e73a685bf379"/>
    <s v="4ba67eac-a99d-34c8-9055-4cf0013c75cc"/>
    <s v="df166300-5a78-3502-a46a-832842197811"/>
    <x v="1"/>
    <n v="185347001"/>
    <s v="Encounter for problem (procedure)"/>
    <n v="85.55"/>
    <n v="910.76"/>
    <n v="860.76"/>
    <n v="271737000"/>
    <x v="32"/>
  </r>
  <r>
    <s v="e503e9b3-d149-653b-ac5d-46444e967cb2"/>
    <d v="2014-10-13T03:51:22"/>
    <d v="2014-10-13T04:06:22"/>
    <s v="e503e9b3-d149-653b-92df-ca4a8cb68e16"/>
    <s v="352f2e3b-0708-3eb4-9f7e-e73a685bf379"/>
    <s v="4ba67eac-a99d-34c8-9055-4cf0013c75cc"/>
    <s v="df166300-5a78-3502-a46a-832842197811"/>
    <x v="1"/>
    <n v="424441002"/>
    <s v="Prenatal initial visit (regime/therapy)"/>
    <n v="142.58000000000001"/>
    <n v="37689.040000000001"/>
    <n v="37539.040000000001"/>
    <n v="72892002"/>
    <x v="4"/>
  </r>
  <r>
    <s v="e503e9b3-d149-653b-b1e0-8315d7047c4d"/>
    <d v="2014-10-27T03:51:22"/>
    <d v="2014-10-27T04:31:34"/>
    <s v="e503e9b3-d149-653b-92df-ca4a8cb68e16"/>
    <s v="1de7e7d9-9a7a-3a3f-bf4c-b4de450711f2"/>
    <s v="673d2b7f-fd5d-31e4-b38d-5e8903c00ef2"/>
    <s v="df166300-5a78-3502-a46a-832842197811"/>
    <x v="4"/>
    <n v="702927004"/>
    <s v="Urgent care clinic (environment)"/>
    <n v="142.58000000000001"/>
    <n v="865.94"/>
    <n v="815.94"/>
    <m/>
    <x v="0"/>
  </r>
  <r>
    <s v="e503e9b3-d149-653b-6a3a-59b59eb91605"/>
    <d v="2014-12-29T02:51:22"/>
    <d v="2014-12-29T03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005.38"/>
    <n v="955.38"/>
    <n v="267253006"/>
    <x v="34"/>
  </r>
  <r>
    <s v="e503e9b3-d149-653b-bf5c-a70a46442f0f"/>
    <d v="2015-11-02T02:51:22"/>
    <d v="2015-11-02T03:41:39"/>
    <s v="e503e9b3-d149-653b-92df-ca4a8cb68e16"/>
    <s v="981338c4-287c-3621-bc45-8b0b9f1b8922"/>
    <s v="078ffffe-ec9e-347b-b419-abf3e6077f79"/>
    <s v="df166300-5a78-3502-a46a-832842197811"/>
    <x v="0"/>
    <n v="162673000"/>
    <s v="General examination of patient (procedure)"/>
    <n v="136.80000000000001"/>
    <n v="921.58"/>
    <n v="821.58"/>
    <m/>
    <x v="0"/>
  </r>
  <r>
    <s v="e503e9b3-d149-653b-ed8f-c1687b5e6edf"/>
    <d v="2016-07-30T04:23:17"/>
    <d v="2016-07-30T04:38:17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503e9b3-d149-653b-7b61-31b21a173c16"/>
    <d v="2016-11-14T02:51:22"/>
    <d v="2016-11-14T03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388.85"/>
    <n v="1238.8499999999999"/>
    <n v="389095005"/>
    <x v="15"/>
  </r>
  <r>
    <s v="e503e9b3-d149-653b-4387-a11bebf38b92"/>
    <d v="2017-02-13T02:51:22"/>
    <d v="2017-02-13T03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ac80-b9b48cd67d89"/>
    <d v="2017-05-15T03:51:22"/>
    <d v="2017-05-15T04:11:21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4eaf-0a52c9f697ba"/>
    <d v="2017-07-25T04:23:17"/>
    <d v="2017-07-25T04:38:17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503e9b3-d149-653b-7e3d-cca237d357a5"/>
    <d v="2017-08-14T03:51:22"/>
    <d v="2017-08-14T04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e503e9b3-d149-653b-dbf4-3f426462f811"/>
    <d v="2017-11-13T02:51:22"/>
    <d v="2017-11-13T03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100.8499999999999"/>
    <n v="389095005"/>
    <x v="15"/>
  </r>
  <r>
    <s v="e503e9b3-d149-653b-2760-c1deba2a297a"/>
    <d v="2018-02-12T02:51:22"/>
    <d v="2018-02-12T03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1ca0-0bf8f83371da"/>
    <d v="2018-05-14T03:51:22"/>
    <d v="2018-05-14T04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369.33"/>
    <n v="1319.33"/>
    <n v="389095005"/>
    <x v="15"/>
  </r>
  <r>
    <s v="e503e9b3-d149-653b-8321-58d6fa829d64"/>
    <d v="2018-07-20T04:23:17"/>
    <d v="2018-07-20T04:58:17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4052.91"/>
    <n v="4002.91"/>
    <n v="389095005"/>
    <x v="15"/>
  </r>
  <r>
    <s v="e503e9b3-d149-653b-adf5-1b9304644d5f"/>
    <d v="2018-08-13T03:51:22"/>
    <d v="2018-08-13T04:10:24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e503e9b3-d149-653b-3cb3-3bca83381510"/>
    <d v="2018-11-05T02:51:22"/>
    <d v="2018-11-05T03:27:25"/>
    <s v="e503e9b3-d149-653b-92df-ca4a8cb68e16"/>
    <s v="981338c4-287c-3621-bc45-8b0b9f1b8922"/>
    <s v="078ffffe-ec9e-347b-b419-abf3e6077f79"/>
    <s v="df166300-5a78-3502-a46a-832842197811"/>
    <x v="0"/>
    <n v="162673000"/>
    <s v="General examination of patient (procedure)"/>
    <n v="136.80000000000001"/>
    <n v="1150.44"/>
    <n v="1050.44"/>
    <m/>
    <x v="0"/>
  </r>
  <r>
    <s v="e503e9b3-d149-653b-1569-2b477bbd3224"/>
    <d v="2018-11-12T02:51:22"/>
    <d v="2018-11-12T03:07:48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5fb3-e1213db51c2e"/>
    <d v="2018-11-19T02:51:22"/>
    <d v="2018-11-19T05:42:15"/>
    <s v="e503e9b3-d149-653b-92df-ca4a8cb68e16"/>
    <s v="352f2e3b-0708-3eb4-9f7e-e73a685bf379"/>
    <s v="4ba67eac-a99d-34c8-9055-4cf0013c75cc"/>
    <s v="df166300-5a78-3502-a46a-832842197811"/>
    <x v="1"/>
    <n v="185349003"/>
    <s v="Encounter for check up (procedure)"/>
    <n v="85.55"/>
    <n v="2673.95"/>
    <n v="2623.95"/>
    <n v="103697008"/>
    <x v="3"/>
  </r>
  <r>
    <s v="e503e9b3-d149-653b-0d4e-b23edd3d34be"/>
    <d v="2019-02-11T02:51:22"/>
    <d v="2019-02-11T03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2681.56"/>
    <n v="2631.56"/>
    <n v="389095005"/>
    <x v="15"/>
  </r>
  <r>
    <s v="e503e9b3-d149-653b-0f65-9acbc493a971"/>
    <d v="2019-05-13T03:51:22"/>
    <d v="2019-05-13T04:11:01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924.02"/>
    <n v="1874.02"/>
    <n v="389095005"/>
    <x v="15"/>
  </r>
  <r>
    <s v="e503e9b3-d149-653b-af25-7352fa22f187"/>
    <d v="2019-08-12T03:51:22"/>
    <d v="2019-08-12T04:07:40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e503e9b3-d149-653b-66d0-25729677c5ab"/>
    <d v="2019-11-11T02:51:22"/>
    <d v="2019-11-11T03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4575.68"/>
    <n v="4425.68"/>
    <n v="389095005"/>
    <x v="15"/>
  </r>
  <r>
    <s v="e503e9b3-d149-653b-5b1b-525a141e756e"/>
    <d v="2020-02-10T02:51:22"/>
    <d v="2020-02-10T03:09:34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4575.68"/>
    <n v="4525.68"/>
    <n v="389095005"/>
    <x v="15"/>
  </r>
  <r>
    <s v="e503e9b3-d149-653b-1f6e-7bfc3c14600f"/>
    <d v="2020-05-11T03:51:22"/>
    <d v="2020-05-11T04:10:01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b175-98a10da01e84"/>
    <d v="2020-07-09T04:58:17"/>
    <d v="2020-07-09T05:13:17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503e9b3-d149-653b-c8e5-799cd251064c"/>
    <d v="2020-07-11T13:58:17"/>
    <d v="2020-07-11T14:53:19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4052.91"/>
    <n v="4002.91"/>
    <n v="389095005"/>
    <x v="15"/>
  </r>
  <r>
    <s v="e503e9b3-d149-653b-3136-f48a7caaad79"/>
    <d v="2020-08-10T03:51:22"/>
    <d v="2020-08-10T04:06:22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2870.36"/>
    <n v="2820.36"/>
    <n v="389095005"/>
    <x v="15"/>
  </r>
  <r>
    <s v="e503e9b3-d149-653b-6399-4ebb4d5877a0"/>
    <d v="2020-11-09T02:51:22"/>
    <d v="2020-11-09T03:10:21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2681.92"/>
    <n v="2531.92"/>
    <n v="389095005"/>
    <x v="15"/>
  </r>
  <r>
    <s v="e503e9b3-d149-653b-5aa4-1b7b1df7b606"/>
    <d v="2021-02-08T02:51:22"/>
    <d v="2021-02-08T03:07:17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5245-4e6dc1fb9c36"/>
    <d v="2021-05-10T03:51:22"/>
    <d v="2021-05-10T04:07:59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e7bc-a85f5bcdd9b1"/>
    <d v="2021-06-03T21:51:22"/>
    <d v="2021-06-03T22:06:22"/>
    <s v="e503e9b3-d149-653b-92df-ca4a8cb68e16"/>
    <s v="352f2e3b-0708-3eb4-9f7e-e73a685bf379"/>
    <s v="4ba67eac-a99d-34c8-9055-4cf0013c75cc"/>
    <s v="df166300-5a78-3502-a46a-832842197811"/>
    <x v="1"/>
    <n v="185345009"/>
    <s v="Encounter for symptom (procedure)"/>
    <n v="85.55"/>
    <n v="85.55"/>
    <n v="35.549999999999997"/>
    <n v="444814009"/>
    <x v="2"/>
  </r>
  <r>
    <s v="e503e9b3-d149-653b-8ffa-eb6415477b0e"/>
    <d v="2021-08-09T03:51:22"/>
    <d v="2021-08-09T04:06:22"/>
    <s v="e503e9b3-d149-653b-92df-ca4a8cb68e16"/>
    <s v="352f2e3b-0708-3eb4-9f7e-e73a685bf379"/>
    <s v="4ba67eac-a99d-34c8-9055-4cf0013c75cc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e503e9b3-d149-653b-f301-4409f0ffa260"/>
    <d v="2021-08-09T03:51:22"/>
    <d v="2021-08-09T04:07:24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f31a-683cdadda409"/>
    <d v="2021-08-30T03:51:22"/>
    <d v="2021-08-30T04:06:22"/>
    <s v="e503e9b3-d149-653b-92df-ca4a8cb68e16"/>
    <s v="352f2e3b-0708-3eb4-9f7e-e73a685bf379"/>
    <s v="4ba67eac-a99d-34c8-9055-4cf0013c75cc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e503e9b3-d149-653b-1226-7d518d871b57"/>
    <d v="2021-11-08T02:51:22"/>
    <d v="2021-11-08T03:37:21"/>
    <s v="e503e9b3-d149-653b-92df-ca4a8cb68e16"/>
    <s v="981338c4-287c-3621-bc45-8b0b9f1b8922"/>
    <s v="078ffffe-ec9e-347b-b419-abf3e6077f79"/>
    <s v="df166300-5a78-3502-a46a-832842197811"/>
    <x v="0"/>
    <n v="162673000"/>
    <s v="General examination of patient (procedure)"/>
    <n v="136.80000000000001"/>
    <n v="860.16"/>
    <n v="760.16"/>
    <m/>
    <x v="0"/>
  </r>
  <r>
    <s v="e503e9b3-d149-653b-260a-20d324a07795"/>
    <d v="2021-11-15T02:51:22"/>
    <d v="2021-11-15T03:08:47"/>
    <s v="e503e9b3-d149-653b-92df-ca4a8cb68e16"/>
    <s v="352f2e3b-0708-3eb4-9f7e-e73a685bf379"/>
    <s v="4ba67eac-a99d-34c8-9055-4cf0013c75cc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503e9b3-d149-653b-e95c-303764da10c1"/>
    <d v="2022-02-21T02:51:22"/>
    <d v="2022-02-21T03:06:22"/>
    <s v="e503e9b3-d149-653b-92df-ca4a8cb68e16"/>
    <s v="352f2e3b-0708-3eb4-9f7e-e73a685bf379"/>
    <s v="4ba67eac-a99d-34c8-9055-4cf0013c75cc"/>
    <s v="df166300-5a78-3502-a46a-832842197811"/>
    <x v="1"/>
    <n v="424441002"/>
    <s v="Prenatal initial visit (regime/therapy)"/>
    <n v="142.58000000000001"/>
    <n v="38128.69"/>
    <n v="38078.69"/>
    <n v="72892002"/>
    <x v="4"/>
  </r>
  <r>
    <s v="e503e9b3-d149-653b-28a2-4286144bf89f"/>
    <d v="2022-03-21T03:51:22"/>
    <d v="2022-03-21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7542.35"/>
    <n v="7492.35"/>
    <n v="72892002"/>
    <x v="4"/>
  </r>
  <r>
    <s v="e503e9b3-d149-653b-6ca7-8a42a97884c4"/>
    <d v="2022-04-18T03:51:22"/>
    <d v="2022-04-18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4486.27"/>
    <n v="14436.27"/>
    <n v="72892002"/>
    <x v="4"/>
  </r>
  <r>
    <s v="e503e9b3-d149-653b-5b70-6c3104d96e51"/>
    <d v="2022-05-16T03:51:22"/>
    <d v="2022-05-16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7545.66"/>
    <n v="7495.66"/>
    <n v="72892002"/>
    <x v="4"/>
  </r>
  <r>
    <s v="e503e9b3-d149-653b-0a52-22852df56ee3"/>
    <d v="2022-06-13T03:51:22"/>
    <d v="2022-06-13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7166.86"/>
    <n v="7116.86"/>
    <n v="72892002"/>
    <x v="4"/>
  </r>
  <r>
    <s v="e503e9b3-d149-653b-2836-8b63ed1bd51e"/>
    <d v="2022-07-11T03:51:22"/>
    <d v="2022-07-11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2930.45"/>
    <n v="12880.45"/>
    <n v="72892002"/>
    <x v="4"/>
  </r>
  <r>
    <s v="e503e9b3-d149-653b-43b1-e79e55e7db37"/>
    <d v="2022-08-08T03:51:22"/>
    <d v="2022-08-08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2511.23"/>
    <n v="12461.23"/>
    <n v="72892002"/>
    <x v="4"/>
  </r>
  <r>
    <s v="e503e9b3-d149-653b-5487-835fdc2bdc53"/>
    <d v="2022-09-05T03:51:22"/>
    <d v="2022-09-05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2230.48"/>
    <n v="12180.48"/>
    <n v="72892002"/>
    <x v="4"/>
  </r>
  <r>
    <s v="e503e9b3-d149-653b-fe8d-ef7576ef58e5"/>
    <d v="2022-09-19T03:51:22"/>
    <d v="2022-09-19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5515.65"/>
    <n v="15465.65"/>
    <n v="72892002"/>
    <x v="4"/>
  </r>
  <r>
    <s v="e503e9b3-d149-653b-2f5d-1ef79dff1811"/>
    <d v="2022-09-26T03:51:22"/>
    <d v="2022-09-26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5212.38"/>
    <n v="5162.38"/>
    <n v="72892002"/>
    <x v="4"/>
  </r>
  <r>
    <s v="e503e9b3-d149-653b-cf9b-960ad1d1a27e"/>
    <d v="2022-10-03T03:51:22"/>
    <d v="2022-10-03T04:51:22"/>
    <s v="e503e9b3-d149-653b-92df-ca4a8cb68e16"/>
    <s v="3517aff1-b163-3cd5-8fff-19710fcdc1b7"/>
    <s v="a865312d-1c98-3619-8fa7-c703d5cdb78a"/>
    <s v="df166300-5a78-3502-a46a-832842197811"/>
    <x v="3"/>
    <n v="183460006"/>
    <s v="Obstetric emergency hospital admission (procedure)"/>
    <n v="146.18"/>
    <n v="2333.2399999999998"/>
    <n v="2283.2399999999998"/>
    <n v="72892002"/>
    <x v="4"/>
  </r>
  <r>
    <s v="e503e9b3-d149-653b-d53d-0533bd94c8a9"/>
    <d v="2022-11-14T02:51:22"/>
    <d v="2022-11-14T03:06:22"/>
    <s v="e503e9b3-d149-653b-92df-ca4a8cb68e16"/>
    <s v="352f2e3b-0708-3eb4-9f7e-e73a685bf379"/>
    <s v="4ba67eac-a99d-34c8-9055-4cf0013c75cc"/>
    <s v="df166300-5a78-3502-a46a-832842197811"/>
    <x v="1"/>
    <n v="169762003"/>
    <s v="Postnatal visit (regime/therapy)"/>
    <n v="142.58000000000001"/>
    <n v="1005.38"/>
    <n v="855.38"/>
    <m/>
    <x v="0"/>
  </r>
  <r>
    <s v="e503e9b3-d149-653b-0562-c4421221e644"/>
    <d v="2022-11-21T02:51:22"/>
    <d v="2022-11-21T03:06:22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503e9b3-d149-653b-c81b-1f4212b8780c"/>
    <d v="2023-11-16T02:51:22"/>
    <d v="2023-11-16T03:06:22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503e9b3-d149-653b-a01b-9241bfd8b58d"/>
    <d v="2024-10-14T03:51:22"/>
    <d v="2024-10-14T04:43:15"/>
    <s v="e503e9b3-d149-653b-92df-ca4a8cb68e16"/>
    <s v="981338c4-287c-3621-bc45-8b0b9f1b8922"/>
    <s v="078ffffe-ec9e-347b-b419-abf3e6077f79"/>
    <s v="df166300-5a78-3502-a46a-832842197811"/>
    <x v="0"/>
    <n v="162673000"/>
    <s v="General examination of patient (procedure)"/>
    <n v="136.80000000000001"/>
    <n v="1852.16"/>
    <n v="1752.16"/>
    <m/>
    <x v="0"/>
  </r>
  <r>
    <s v="e503e9b3-d149-653b-f55a-fd8dabbfc570"/>
    <d v="2024-10-28T03:51:22"/>
    <d v="2024-10-28T07:39:15"/>
    <s v="e503e9b3-d149-653b-92df-ca4a8cb68e16"/>
    <s v="352f2e3b-0708-3eb4-9f7e-e73a685bf379"/>
    <s v="4ba67eac-a99d-34c8-9055-4cf0013c75cc"/>
    <s v="df166300-5a78-3502-a46a-832842197811"/>
    <x v="1"/>
    <n v="185349003"/>
    <s v="Encounter for check up (procedure)"/>
    <n v="85.55"/>
    <n v="3536.75"/>
    <n v="3486.75"/>
    <n v="103697008"/>
    <x v="3"/>
  </r>
  <r>
    <s v="e503e9b3-d149-653b-9dee-6592fd4713b5"/>
    <d v="2025-01-13T02:51:22"/>
    <d v="2025-01-13T03:06:22"/>
    <s v="e503e9b3-d149-653b-92df-ca4a8cb68e16"/>
    <s v="352f2e3b-0708-3eb4-9f7e-e73a685bf379"/>
    <s v="4ba67eac-a99d-34c8-9055-4cf0013c75cc"/>
    <s v="df166300-5a78-3502-a46a-832842197811"/>
    <x v="1"/>
    <n v="424441002"/>
    <s v="Prenatal initial visit (regime/therapy)"/>
    <n v="142.58000000000001"/>
    <n v="49612.87"/>
    <n v="49562.87"/>
    <n v="72892002"/>
    <x v="4"/>
  </r>
  <r>
    <s v="e503e9b3-d149-653b-f4c7-19dfe6ddcb8f"/>
    <d v="2025-02-10T02:51:22"/>
    <d v="2025-02-10T03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5660.4"/>
    <n v="5610.4"/>
    <n v="72892002"/>
    <x v="4"/>
  </r>
  <r>
    <s v="e503e9b3-d149-653b-9ffb-42e0388d1112"/>
    <d v="2025-03-10T03:51:22"/>
    <d v="2025-03-10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6689.8"/>
    <n v="6639.8"/>
    <n v="72892002"/>
    <x v="4"/>
  </r>
  <r>
    <s v="e503e9b3-d149-653b-190d-7fe4ee0432df"/>
    <d v="2025-04-07T03:51:22"/>
    <d v="2025-04-07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2704.7"/>
    <n v="12654.7"/>
    <n v="72892002"/>
    <x v="4"/>
  </r>
  <r>
    <s v="e503e9b3-d149-653b-6d73-b9c040acdcab"/>
    <d v="2025-05-05T03:51:22"/>
    <d v="2025-05-05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9034.32"/>
    <n v="8984.32"/>
    <n v="72892002"/>
    <x v="4"/>
  </r>
  <r>
    <s v="e503e9b3-d149-653b-a3c6-d23e37df685f"/>
    <d v="2025-06-02T03:51:22"/>
    <d v="2025-06-02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18285.55"/>
    <n v="18235.55"/>
    <n v="72892002"/>
    <x v="4"/>
  </r>
  <r>
    <s v="e503e9b3-d149-653b-4b90-bf909239a1d8"/>
    <d v="2025-06-30T03:51:22"/>
    <d v="2025-06-30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7104.45"/>
    <n v="7054.45"/>
    <n v="72892002"/>
    <x v="4"/>
  </r>
  <r>
    <s v="e503e9b3-d149-653b-3020-60ffbfbb70d0"/>
    <d v="2025-07-28T03:51:22"/>
    <d v="2025-07-28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5528.76"/>
    <n v="5478.76"/>
    <n v="72892002"/>
    <x v="4"/>
  </r>
  <r>
    <s v="e503e9b3-d149-653b-edcd-d49f8b17df7d"/>
    <d v="2025-08-11T03:51:22"/>
    <d v="2025-08-11T04:06:22"/>
    <s v="e503e9b3-d149-653b-92df-ca4a8cb68e16"/>
    <s v="352f2e3b-0708-3eb4-9f7e-e73a685bf379"/>
    <s v="4ba67eac-a99d-34c8-9055-4cf0013c75cc"/>
    <s v="df166300-5a78-3502-a46a-832842197811"/>
    <x v="1"/>
    <n v="424619006"/>
    <s v="Prenatal visit (regime/therapy)"/>
    <n v="142.58000000000001"/>
    <n v="5743.6"/>
    <n v="5693.6"/>
    <n v="72892002"/>
    <x v="4"/>
  </r>
  <r>
    <s v="e503e9b3-d149-653b-3594-7286bed2eb1e"/>
    <d v="2025-08-18T03:51:22"/>
    <d v="2025-08-18T04:51:22"/>
    <s v="e503e9b3-d149-653b-92df-ca4a8cb68e16"/>
    <s v="3517aff1-b163-3cd5-8fff-19710fcdc1b7"/>
    <s v="a865312d-1c98-3619-8fa7-c703d5cdb78a"/>
    <s v="df166300-5a78-3502-a46a-832842197811"/>
    <x v="3"/>
    <n v="183460006"/>
    <s v="Obstetric emergency hospital admission (procedure)"/>
    <n v="146.18"/>
    <n v="13388.46"/>
    <n v="13338.46"/>
    <n v="72892002"/>
    <x v="4"/>
  </r>
  <r>
    <s v="e503e9b3-d149-653b-7e76-110b2caf7ab0"/>
    <d v="2025-09-29T03:51:22"/>
    <d v="2025-09-29T04:06:22"/>
    <s v="e503e9b3-d149-653b-92df-ca4a8cb68e16"/>
    <s v="352f2e3b-0708-3eb4-9f7e-e73a685bf379"/>
    <s v="4ba67eac-a99d-34c8-9055-4cf0013c75cc"/>
    <s v="df166300-5a78-3502-a46a-832842197811"/>
    <x v="1"/>
    <n v="169762003"/>
    <s v="Postnatal visit (regime/therapy)"/>
    <n v="142.58000000000001"/>
    <n v="1005.38"/>
    <n v="955.38"/>
    <m/>
    <x v="0"/>
  </r>
  <r>
    <s v="e503e9b3-d149-653b-0e17-773b22b5d8e7"/>
    <d v="2025-11-05T02:51:22"/>
    <d v="2025-11-05T03:06:22"/>
    <s v="e503e9b3-d149-653b-92df-ca4a8cb68e16"/>
    <s v="352f2e3b-0708-3eb4-9f7e-e73a685bf379"/>
    <s v="4ba67eac-a99d-34c8-9055-4cf0013c75cc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3fa46c70-b194-f14c-5d3d-886fa9da6786"/>
    <d v="2013-04-26T22:58:30"/>
    <d v="2013-04-26T23:31:50"/>
    <s v="3fa46c70-b194-f14c-3d51-e06cfa4bb9e2"/>
    <s v="811cc811-0061-341c-a719-9ba7ef8dc699"/>
    <s v="68ef7b58-c205-31ff-ae01-d4000d280e27"/>
    <s v="b046940f-1664-3047-bca7-dfa76be352a4"/>
    <x v="0"/>
    <n v="162673000"/>
    <s v="General examination of patient (procedure)"/>
    <n v="136.80000000000001"/>
    <n v="919.9"/>
    <n v="0"/>
    <m/>
    <x v="0"/>
  </r>
  <r>
    <s v="3fa46c70-b194-f14c-530e-7be692f0668d"/>
    <d v="2014-05-02T22:58:30"/>
    <d v="2014-05-02T23:50:32"/>
    <s v="3fa46c70-b194-f14c-3d51-e06cfa4bb9e2"/>
    <s v="811cc811-0061-341c-a719-9ba7ef8dc699"/>
    <s v="68ef7b58-c205-31ff-ae01-d4000d280e27"/>
    <s v="b046940f-1664-3047-bca7-dfa76be352a4"/>
    <x v="0"/>
    <n v="162673000"/>
    <s v="General examination of patient (procedure)"/>
    <n v="136.80000000000001"/>
    <n v="1431"/>
    <n v="0"/>
    <m/>
    <x v="0"/>
  </r>
  <r>
    <s v="3fa46c70-b194-f14c-a0e4-ec253b9de38f"/>
    <d v="2017-05-05T22:58:30"/>
    <d v="2017-05-05T23:40:16"/>
    <s v="3fa46c70-b194-f14c-3d51-e06cfa4bb9e2"/>
    <s v="811cc811-0061-341c-a719-9ba7ef8dc699"/>
    <s v="68ef7b58-c205-31ff-ae01-d4000d280e27"/>
    <s v="b046940f-1664-3047-bca7-dfa76be352a4"/>
    <x v="0"/>
    <n v="162673000"/>
    <s v="General examination of patient (procedure)"/>
    <n v="136.80000000000001"/>
    <n v="1186.78"/>
    <n v="0"/>
    <m/>
    <x v="0"/>
  </r>
  <r>
    <s v="3fa46c70-b194-f14c-4a1c-e5cbaa6a4f9f"/>
    <d v="2019-01-03T22:27:09"/>
    <d v="2019-01-03T22:42:09"/>
    <s v="3fa46c70-b194-f14c-3d51-e06cfa4bb9e2"/>
    <s v="6929d249-cc27-33aa-a871-b6f26059615d"/>
    <s v="fd0a35f6-a6f8-300d-ad10-a3c781cf6bf0"/>
    <s v="b046940f-1664-3047-bca7-dfa76be352a4"/>
    <x v="1"/>
    <n v="185347001"/>
    <s v="Encounter for problem (procedure)"/>
    <n v="85.55"/>
    <n v="85.55"/>
    <n v="0"/>
    <n v="307731004"/>
    <x v="48"/>
  </r>
  <r>
    <s v="3fa46c70-b194-f14c-936c-f5afb94eea60"/>
    <d v="2019-04-01T23:27:09"/>
    <d v="2019-04-01T23:42:09"/>
    <s v="3fa46c70-b194-f14c-3d51-e06cfa4bb9e2"/>
    <s v="6929d249-cc27-33aa-a871-b6f26059615d"/>
    <s v="fd0a35f6-a6f8-300d-ad10-a3c781cf6bf0"/>
    <s v="b046940f-1664-3047-bca7-dfa76be352a4"/>
    <x v="1"/>
    <n v="185349003"/>
    <s v="Encounter for check up (procedure)"/>
    <n v="85.55"/>
    <n v="85.55"/>
    <n v="0"/>
    <n v="307731004"/>
    <x v="48"/>
  </r>
  <r>
    <s v="3fa46c70-b194-f14c-9459-81e05deb3e49"/>
    <d v="2019-12-15T00:58:30"/>
    <d v="2019-12-15T01:13:30"/>
    <s v="3fa46c70-b194-f14c-3d51-e06cfa4bb9e2"/>
    <s v="6929d249-cc27-33aa-a871-b6f26059615d"/>
    <s v="fd0a35f6-a6f8-300d-ad10-a3c781cf6bf0"/>
    <s v="b046940f-1664-3047-bca7-dfa76be352a4"/>
    <x v="1"/>
    <n v="185345009"/>
    <s v="Encounter for symptom (procedure)"/>
    <n v="85.55"/>
    <n v="85.55"/>
    <n v="0"/>
    <n v="43878008"/>
    <x v="18"/>
  </r>
  <r>
    <s v="3fa46c70-b194-f14c-4cb7-1832b9ba6b95"/>
    <d v="2020-05-08T22:58:30"/>
    <d v="2020-05-08T23:54:39"/>
    <s v="3fa46c70-b194-f14c-3d51-e06cfa4bb9e2"/>
    <s v="811cc811-0061-341c-a719-9ba7ef8dc699"/>
    <s v="68ef7b58-c205-31ff-ae01-d4000d280e27"/>
    <s v="b046940f-1664-3047-bca7-dfa76be352a4"/>
    <x v="0"/>
    <n v="162673000"/>
    <s v="General examination of patient (procedure)"/>
    <n v="136.80000000000001"/>
    <n v="704.2"/>
    <n v="0"/>
    <m/>
    <x v="0"/>
  </r>
  <r>
    <s v="3fa46c70-b194-f14c-6d05-922013520839"/>
    <d v="2020-05-22T22:58:30"/>
    <d v="2020-05-23T02:23:41"/>
    <s v="3fa46c70-b194-f14c-3d51-e06cfa4bb9e2"/>
    <s v="6929d249-cc27-33aa-a871-b6f26059615d"/>
    <s v="fd0a35f6-a6f8-300d-ad10-a3c781cf6bf0"/>
    <s v="b046940f-1664-3047-bca7-dfa76be352a4"/>
    <x v="1"/>
    <n v="185349003"/>
    <s v="Encounter for check up (procedure)"/>
    <n v="85.55"/>
    <n v="3105.35"/>
    <n v="0"/>
    <n v="66383009"/>
    <x v="17"/>
  </r>
  <r>
    <s v="3fa46c70-b194-f14c-823e-5cc5de8b30f4"/>
    <d v="2021-08-20T22:58:30"/>
    <d v="2021-08-20T23:13:30"/>
    <s v="3fa46c70-b194-f14c-3d51-e06cfa4bb9e2"/>
    <s v="6929d249-cc27-33aa-a871-b6f26059615d"/>
    <s v="fd0a35f6-a6f8-300d-ad10-a3c781cf6bf0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3fa46c70-b194-f14c-ad1d-c9119919f63a"/>
    <d v="2022-02-27T22:27:09"/>
    <d v="2022-02-27T23:27:09"/>
    <s v="3fa46c70-b194-f14c-3d51-e06cfa4bb9e2"/>
    <s v="6929d249-cc27-33aa-a871-b6f26059615d"/>
    <s v="fd0a35f6-a6f8-300d-ad10-a3c781cf6bf0"/>
    <s v="b046940f-1664-3047-bca7-dfa76be352a4"/>
    <x v="3"/>
    <n v="50849002"/>
    <s v="Emergency room admission (procedure)"/>
    <n v="146.18"/>
    <n v="146.18"/>
    <n v="0"/>
    <n v="384709000"/>
    <x v="13"/>
  </r>
  <r>
    <s v="3fa46c70-b194-f14c-6a33-70724cadd219"/>
    <d v="2023-03-04T21:58:30"/>
    <d v="2023-03-04T22:13:30"/>
    <s v="3fa46c70-b194-f14c-3d51-e06cfa4bb9e2"/>
    <s v="6929d249-cc27-33aa-a871-b6f26059615d"/>
    <s v="fd0a35f6-a6f8-300d-ad10-a3c781cf6bf0"/>
    <s v="b046940f-1664-3047-bca7-dfa76be352a4"/>
    <x v="1"/>
    <n v="185345009"/>
    <s v="Encounter for symptom (procedure)"/>
    <n v="85.55"/>
    <n v="85.55"/>
    <n v="0"/>
    <n v="444814009"/>
    <x v="2"/>
  </r>
  <r>
    <s v="3fa46c70-b194-f14c-a268-e3d19cc89b3d"/>
    <d v="2023-05-12T22:58:30"/>
    <d v="2023-05-12T23:46:38"/>
    <s v="3fa46c70-b194-f14c-3d51-e06cfa4bb9e2"/>
    <s v="811cc811-0061-341c-a719-9ba7ef8dc699"/>
    <s v="68ef7b58-c205-31ff-ae01-d4000d280e27"/>
    <s v="b046940f-1664-3047-bca7-dfa76be352a4"/>
    <x v="0"/>
    <n v="162673000"/>
    <s v="General examination of patient (procedure)"/>
    <n v="136.80000000000001"/>
    <n v="778.78"/>
    <n v="0"/>
    <m/>
    <x v="0"/>
  </r>
  <r>
    <s v="3fa46c70-b194-f14c-5a79-8ae4571a74a5"/>
    <d v="2023-05-26T22:58:30"/>
    <d v="2023-05-27T01:59:07"/>
    <s v="3fa46c70-b194-f14c-3d51-e06cfa4bb9e2"/>
    <s v="6929d249-cc27-33aa-a871-b6f26059615d"/>
    <s v="fd0a35f6-a6f8-300d-ad10-a3c781cf6bf0"/>
    <s v="b046940f-1664-3047-bca7-dfa76be352a4"/>
    <x v="1"/>
    <n v="185349003"/>
    <s v="Encounter for check up (procedure)"/>
    <n v="85.55"/>
    <n v="3105.35"/>
    <n v="0"/>
    <n v="103697008"/>
    <x v="3"/>
  </r>
  <r>
    <s v="3fa46c70-b194-f14c-99e3-3cef1e852ccc"/>
    <d v="2026-05-15T22:58:30"/>
    <d v="2026-05-15T23:47:57"/>
    <s v="3fa46c70-b194-f14c-3d51-e06cfa4bb9e2"/>
    <s v="811cc811-0061-341c-a719-9ba7ef8dc699"/>
    <s v="68ef7b58-c205-31ff-ae01-d4000d280e27"/>
    <s v="b046940f-1664-3047-bca7-dfa76be352a4"/>
    <x v="0"/>
    <n v="162673000"/>
    <s v="General examination of patient (procedure)"/>
    <n v="136.80000000000001"/>
    <n v="1777.58"/>
    <n v="0"/>
    <m/>
    <x v="0"/>
  </r>
  <r>
    <s v="3fa46c70-b194-f14c-54a5-f6c1b32fe1fc"/>
    <d v="2026-05-29T22:58:30"/>
    <d v="2026-05-30T04:41:59"/>
    <s v="3fa46c70-b194-f14c-3d51-e06cfa4bb9e2"/>
    <s v="6929d249-cc27-33aa-a871-b6f26059615d"/>
    <s v="fd0a35f6-a6f8-300d-ad10-a3c781cf6bf0"/>
    <s v="b046940f-1664-3047-bca7-dfa76be352a4"/>
    <x v="1"/>
    <n v="185349003"/>
    <s v="Encounter for check up (procedure)"/>
    <n v="85.55"/>
    <n v="4830.95"/>
    <n v="1475.97"/>
    <n v="66383009"/>
    <x v="17"/>
  </r>
  <r>
    <s v="fd0d7b3a-307d-07b8-c9e3-fec4b403823b"/>
    <d v="1982-08-17T19:29:08"/>
    <d v="1982-08-17T20:21:56"/>
    <s v="fd0d7b3a-307d-07b8-9d7e-2424e1feb9e4"/>
    <s v="72f50aa0-d8c9-34dc-ac58-c428323f3bcd"/>
    <s v="c6fde204-071e-39e4-b582-9f064386b375"/>
    <s v="e03e23c9-4df1-3eb6-a62d-f70f02301496"/>
    <x v="0"/>
    <n v="162673000"/>
    <s v="General examination of patient (procedure)"/>
    <n v="136.80000000000001"/>
    <n v="919.9"/>
    <n v="0"/>
    <m/>
    <x v="0"/>
  </r>
  <r>
    <s v="fd0d7b3a-307d-07b8-f410-afd3aa1d87e6"/>
    <d v="1988-05-23T02:29:08"/>
    <d v="1988-05-23T02:44:08"/>
    <s v="fd0d7b3a-307d-07b8-9d7e-2424e1feb9e4"/>
    <s v="9adfae03-673d-365d-9052-f705098fa3e4"/>
    <s v="28e98af0-d17a-345c-8fc6-6662b16c17c4"/>
    <s v="e03e23c9-4df1-3eb6-a62d-f70f02301496"/>
    <x v="1"/>
    <n v="185345009"/>
    <s v="Encounter for symptom (procedure)"/>
    <n v="85.55"/>
    <n v="92.93"/>
    <n v="0"/>
    <n v="75498004"/>
    <x v="14"/>
  </r>
  <r>
    <s v="fd0d7b3a-307d-07b8-0b9d-094093020b4d"/>
    <d v="1998-09-08T19:29:08"/>
    <d v="1998-09-08T20:08:33"/>
    <s v="fd0d7b3a-307d-07b8-9d7e-2424e1feb9e4"/>
    <s v="72f50aa0-d8c9-34dc-ac58-c428323f3bcd"/>
    <s v="c6fde204-071e-39e4-b582-9f064386b375"/>
    <s v="e03e23c9-4df1-3eb6-a62d-f70f02301496"/>
    <x v="0"/>
    <n v="162673000"/>
    <s v="General examination of patient (procedure)"/>
    <n v="136.80000000000001"/>
    <n v="991.58"/>
    <n v="0"/>
    <m/>
    <x v="0"/>
  </r>
  <r>
    <s v="fd0d7b3a-307d-07b8-15d8-198dfcdbfad8"/>
    <d v="2006-07-04T19:29:08"/>
    <d v="2006-07-04T20:26:09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1347.86"/>
    <n v="0"/>
    <m/>
    <x v="0"/>
  </r>
  <r>
    <s v="fd0d7b3a-307d-07b8-5cd9-228464e91177"/>
    <d v="2010-07-13T19:29:08"/>
    <d v="2010-07-13T20:06:56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934.74"/>
    <n v="0"/>
    <m/>
    <x v="0"/>
  </r>
  <r>
    <s v="fd0d7b3a-307d-07b8-15f0-42ebb9a28280"/>
    <d v="2013-07-19T19:29:08"/>
    <d v="2013-07-19T20:29:08"/>
    <s v="fd0d7b3a-307d-07b8-9d7e-2424e1feb9e4"/>
    <s v="be509ccb-bfb7-3b87-8945-8426b689ef9d"/>
    <s v="a4c2a727-44d2-3281-a1f9-92c68b434a8f"/>
    <s v="0133f751-9229-3cfd-815f-b6d4979bdd6a"/>
    <x v="3"/>
    <n v="50849002"/>
    <s v="Emergency room admission (procedure)"/>
    <n v="146.18"/>
    <n v="5308.14"/>
    <n v="0"/>
    <n v="196416002"/>
    <x v="27"/>
  </r>
  <r>
    <s v="fd0d7b3a-307d-07b8-29f5-8d0b456a46da"/>
    <d v="2014-06-24T19:29:08"/>
    <d v="2014-06-24T20:03:47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996.16"/>
    <n v="0"/>
    <m/>
    <x v="0"/>
  </r>
  <r>
    <s v="fd0d7b3a-307d-07b8-03c4-b470efca14fe"/>
    <d v="2014-07-08T19:29:08"/>
    <d v="2014-07-08T20:33:10"/>
    <s v="fd0d7b3a-307d-07b8-9d7e-2424e1feb9e4"/>
    <s v="9adfae03-673d-365d-9052-f705098fa3e4"/>
    <s v="28e98af0-d17a-345c-8fc6-6662b16c17c4"/>
    <s v="0133f751-9229-3cfd-815f-b6d4979bdd6a"/>
    <x v="1"/>
    <n v="185347001"/>
    <s v="Encounter for problem (procedure)"/>
    <n v="85.55"/>
    <n v="1059.2"/>
    <n v="635.51"/>
    <n v="271737000"/>
    <x v="32"/>
  </r>
  <r>
    <s v="fd0d7b3a-307d-07b8-1961-663ddf7862c1"/>
    <d v="2017-07-11T19:29:08"/>
    <d v="2017-07-11T20:10:40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860.16"/>
    <n v="0"/>
    <m/>
    <x v="0"/>
  </r>
  <r>
    <s v="fd0d7b3a-307d-07b8-25be-b60c4366a854"/>
    <d v="2018-07-17T19:29:08"/>
    <d v="2018-07-17T20:28:41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1001.28"/>
    <n v="0"/>
    <m/>
    <x v="0"/>
  </r>
  <r>
    <s v="fd0d7b3a-307d-07b8-fbf2-26b67e4bfc0f"/>
    <d v="2018-07-31T19:29:08"/>
    <d v="2018-07-31T22:24:16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2673.95"/>
    <n v="0"/>
    <n v="66383009"/>
    <x v="17"/>
  </r>
  <r>
    <s v="fd0d7b3a-307d-07b8-fc09-4dc26aadbcfb"/>
    <d v="2019-02-18T12:29:08"/>
    <d v="2019-02-18T12:44:08"/>
    <s v="fd0d7b3a-307d-07b8-9d7e-2424e1feb9e4"/>
    <s v="9adfae03-673d-365d-9052-f705098fa3e4"/>
    <s v="28e98af0-d17a-345c-8fc6-6662b16c17c4"/>
    <s v="0133f751-9229-3cfd-815f-b6d4979bdd6a"/>
    <x v="1"/>
    <n v="185345009"/>
    <s v="Encounter for symptom (procedure)"/>
    <n v="85.55"/>
    <n v="85.55"/>
    <n v="0"/>
    <n v="444814009"/>
    <x v="2"/>
  </r>
  <r>
    <s v="fd0d7b3a-307d-07b8-c1bd-95f96a7d3d85"/>
    <d v="2019-07-01T20:12:37"/>
    <d v="2019-07-01T20:43:42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9134.6200000000008"/>
    <n v="1824.37"/>
    <n v="275978004"/>
    <x v="29"/>
  </r>
  <r>
    <s v="fd0d7b3a-307d-07b8-8f62-4cc85b5c7f71"/>
    <d v="2019-07-23T19:29:08"/>
    <d v="2019-07-23T20:20:54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785.58"/>
    <n v="471.35"/>
    <m/>
    <x v="0"/>
  </r>
  <r>
    <s v="fd0d7b3a-307d-07b8-60cc-55c9b737a3db"/>
    <d v="2019-08-11T20:34:51"/>
    <d v="2019-08-11T21:34:51"/>
    <s v="fd0d7b3a-307d-07b8-9d7e-2424e1feb9e4"/>
    <s v="be509ccb-bfb7-3b87-8945-8426b689ef9d"/>
    <s v="a4c2a727-44d2-3281-a1f9-92c68b434a8f"/>
    <s v="0133f751-9229-3cfd-815f-b6d4979bdd6a"/>
    <x v="3"/>
    <n v="50849002"/>
    <s v="Emergency room admission (procedure)"/>
    <n v="146.18"/>
    <n v="4140.8900000000003"/>
    <n v="2484.54"/>
    <n v="312608009"/>
    <x v="20"/>
  </r>
  <r>
    <s v="fd0d7b3a-307d-07b8-af18-8540f7bb5a8d"/>
    <d v="2020-05-07T10:29:08"/>
    <d v="2020-05-07T10:44:08"/>
    <s v="fd0d7b3a-307d-07b8-9d7e-2424e1feb9e4"/>
    <s v="9adfae03-673d-365d-9052-f705098fa3e4"/>
    <s v="28e98af0-d17a-345c-8fc6-6662b16c17c4"/>
    <s v="0133f751-9229-3cfd-815f-b6d4979bdd6a"/>
    <x v="1"/>
    <n v="185345009"/>
    <s v="Encounter for symptom (procedure)"/>
    <n v="85.55"/>
    <n v="85.55"/>
    <n v="85.55"/>
    <n v="444814009"/>
    <x v="2"/>
  </r>
  <r>
    <s v="fd0d7b3a-307d-07b8-ec05-e6d8fd3d21b5"/>
    <d v="2020-07-03T19:29:08"/>
    <d v="2020-07-03T20:29:08"/>
    <s v="fd0d7b3a-307d-07b8-9d7e-2424e1feb9e4"/>
    <s v="be509ccb-bfb7-3b87-8945-8426b689ef9d"/>
    <s v="a4c2a727-44d2-3281-a1f9-92c68b434a8f"/>
    <s v="0133f751-9229-3cfd-815f-b6d4979bdd6a"/>
    <x v="3"/>
    <n v="183452005"/>
    <s v="Emergency hospital admission (procedure)"/>
    <n v="87.71"/>
    <n v="87.71"/>
    <n v="0"/>
    <n v="82423001"/>
    <x v="33"/>
  </r>
  <r>
    <s v="fd0d7b3a-307d-07b8-f530-701ddb092d39"/>
    <d v="2020-07-28T19:29:08"/>
    <d v="2020-07-28T20:24:58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860.16"/>
    <n v="0"/>
    <m/>
    <x v="0"/>
  </r>
  <r>
    <s v="fd0d7b3a-307d-07b8-efb0-a643f7c65b8b"/>
    <d v="2020-08-11T19:29:08"/>
    <d v="2020-08-11T23:43:24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3536.75"/>
    <n v="0"/>
    <n v="103697008"/>
    <x v="3"/>
  </r>
  <r>
    <s v="fd0d7b3a-307d-07b8-0c38-6bd5c4b21834"/>
    <d v="2021-05-04T19:29:08"/>
    <d v="2021-05-04T19:44:08"/>
    <s v="fd0d7b3a-307d-07b8-9d7e-2424e1feb9e4"/>
    <s v="9adfae03-673d-365d-9052-f705098fa3e4"/>
    <s v="28e98af0-d17a-345c-8fc6-6662b16c17c4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fd0d7b3a-307d-07b8-b985-5412ded0f2b1"/>
    <d v="2021-06-01T19:29:08"/>
    <d v="2021-06-01T19:44:08"/>
    <s v="fd0d7b3a-307d-07b8-9d7e-2424e1feb9e4"/>
    <s v="9adfae03-673d-365d-9052-f705098fa3e4"/>
    <s v="28e98af0-d17a-345c-8fc6-6662b16c17c4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fd0d7b3a-307d-07b8-e60b-1f3b95413888"/>
    <d v="2021-08-03T19:29:08"/>
    <d v="2021-08-03T20:27:53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860.16"/>
    <n v="0"/>
    <m/>
    <x v="0"/>
  </r>
  <r>
    <s v="fd0d7b3a-307d-07b8-de3f-ec83b765fbb7"/>
    <d v="2021-08-17T19:29:08"/>
    <d v="2021-08-17T21:45:38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2673.95"/>
    <n v="0"/>
    <n v="103697008"/>
    <x v="3"/>
  </r>
  <r>
    <s v="fd0d7b3a-307d-07b8-f357-28a127e57a1b"/>
    <d v="2022-07-08T09:29:08"/>
    <d v="2022-07-08T09:44:08"/>
    <s v="fd0d7b3a-307d-07b8-9d7e-2424e1feb9e4"/>
    <s v="9adfae03-673d-365d-9052-f705098fa3e4"/>
    <s v="28e98af0-d17a-345c-8fc6-6662b16c17c4"/>
    <s v="0133f751-9229-3cfd-815f-b6d4979bdd6a"/>
    <x v="1"/>
    <n v="185345009"/>
    <s v="Encounter for symptom (procedure)"/>
    <n v="85.55"/>
    <n v="85.55"/>
    <n v="0"/>
    <n v="195662009"/>
    <x v="9"/>
  </r>
  <r>
    <s v="fd0d7b3a-307d-07b8-fad7-d8f2f17855aa"/>
    <d v="2022-08-09T19:29:08"/>
    <d v="2022-08-09T20:16:28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1001.28"/>
    <n v="0"/>
    <m/>
    <x v="0"/>
  </r>
  <r>
    <s v="fd0d7b3a-307d-07b8-0496-6c7a4a70d8a4"/>
    <d v="2022-08-23T19:29:08"/>
    <d v="2022-08-24T01:26:31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4830.95"/>
    <n v="0"/>
    <n v="103697008"/>
    <x v="3"/>
  </r>
  <r>
    <s v="fd0d7b3a-307d-07b8-02b0-b1a7ec1b26cb"/>
    <d v="2023-08-15T19:29:08"/>
    <d v="2023-08-15T20:04:27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860.16"/>
    <n v="0"/>
    <m/>
    <x v="0"/>
  </r>
  <r>
    <s v="fd0d7b3a-307d-07b8-591d-615656dd75ad"/>
    <d v="2023-08-29T19:29:08"/>
    <d v="2023-08-29T21:49:06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3105.35"/>
    <n v="0"/>
    <n v="66383009"/>
    <x v="17"/>
  </r>
  <r>
    <s v="fd0d7b3a-307d-07b8-4216-7f40890dd9ac"/>
    <d v="2024-06-30T20:43:42"/>
    <d v="2024-06-30T21:09:10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11402.63"/>
    <n v="3185.18"/>
    <n v="275978004"/>
    <x v="29"/>
  </r>
  <r>
    <s v="fd0d7b3a-307d-07b8-7f2b-50eaa9166986"/>
    <d v="2024-08-20T19:29:08"/>
    <d v="2024-08-20T20:19:32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785.58"/>
    <n v="471.35"/>
    <m/>
    <x v="0"/>
  </r>
  <r>
    <s v="fd0d7b3a-307d-07b8-3526-fb32458456ea"/>
    <d v="2025-08-26T19:29:08"/>
    <d v="2025-08-26T20:04:58"/>
    <s v="fd0d7b3a-307d-07b8-9d7e-2424e1feb9e4"/>
    <s v="72f50aa0-d8c9-34dc-ac58-c428323f3bcd"/>
    <s v="c6fde204-071e-39e4-b582-9f064386b375"/>
    <s v="0133f751-9229-3cfd-815f-b6d4979bdd6a"/>
    <x v="0"/>
    <n v="162673000"/>
    <s v="General examination of patient (procedure)"/>
    <n v="136.80000000000001"/>
    <n v="1137.28"/>
    <n v="0"/>
    <m/>
    <x v="0"/>
  </r>
  <r>
    <s v="fd0d7b3a-307d-07b8-585d-de67df8134b0"/>
    <d v="2025-09-09T19:29:08"/>
    <d v="2025-09-09T22:57:39"/>
    <s v="fd0d7b3a-307d-07b8-9d7e-2424e1feb9e4"/>
    <s v="9adfae03-673d-365d-9052-f705098fa3e4"/>
    <s v="28e98af0-d17a-345c-8fc6-6662b16c17c4"/>
    <s v="0133f751-9229-3cfd-815f-b6d4979bdd6a"/>
    <x v="1"/>
    <n v="185349003"/>
    <s v="Encounter for check up (procedure)"/>
    <n v="85.55"/>
    <n v="3536.75"/>
    <n v="0"/>
    <n v="103697008"/>
    <x v="3"/>
  </r>
  <r>
    <s v="ccaa0537-4e7f-99d8-8030-8e0713557873"/>
    <d v="2004-12-17T23:32:35"/>
    <d v="2004-12-17T23:47:35"/>
    <s v="ccaa0537-4e7f-99d8-8b79-c7c94c749579"/>
    <s v="af8566eb-8918-3ec7-ba44-92b6a2cf8097"/>
    <s v="96f469c4-4c13-30e3-8596-ad7567df2b4c"/>
    <s v="d31fccc3-1767-390d-966a-22a5156f4219"/>
    <x v="1"/>
    <n v="185345009"/>
    <s v="Encounter for symptom (procedure)"/>
    <n v="85.55"/>
    <n v="92.93"/>
    <n v="0"/>
    <n v="75498004"/>
    <x v="14"/>
  </r>
  <r>
    <s v="ccaa0537-4e7f-99d8-0f19-87292b393e21"/>
    <d v="2005-11-01T05:26:35"/>
    <d v="2005-11-01T05:41:35"/>
    <s v="ccaa0537-4e7f-99d8-8b79-c7c94c749579"/>
    <s v="af8566eb-8918-3ec7-ba44-92b6a2cf8097"/>
    <s v="96f469c4-4c13-30e3-8596-ad7567df2b4c"/>
    <s v="d31fccc3-1767-390d-966a-22a5156f4219"/>
    <x v="1"/>
    <n v="185347001"/>
    <s v="Encounter for problem (procedure)"/>
    <n v="85.55"/>
    <n v="85.55"/>
    <n v="0"/>
    <n v="3718001"/>
    <x v="56"/>
  </r>
  <r>
    <s v="ccaa0537-4e7f-99d8-5b00-ea8836fb3d5c"/>
    <d v="2005-11-11T12:32:35"/>
    <d v="2005-11-11T12:59:56"/>
    <s v="ccaa0537-4e7f-99d8-8b79-c7c94c749579"/>
    <s v="af8566eb-8918-3ec7-ba44-92b6a2cf8097"/>
    <s v="96f469c4-4c13-30e3-8596-ad7567df2b4c"/>
    <s v="d31fccc3-1767-390d-966a-22a5156f4219"/>
    <x v="1"/>
    <n v="185347001"/>
    <s v="Encounter for problem (procedure)"/>
    <n v="85.55"/>
    <n v="516.95000000000005"/>
    <n v="413.56"/>
    <n v="609328004"/>
    <x v="11"/>
  </r>
  <r>
    <s v="ccaa0537-4e7f-99d8-622d-58938fae3366"/>
    <d v="2007-10-13T12:32:35"/>
    <d v="2007-10-13T12:47:35"/>
    <s v="ccaa0537-4e7f-99d8-8b79-c7c94c749579"/>
    <s v="af8566eb-8918-3ec7-ba44-92b6a2cf8097"/>
    <s v="96f469c4-4c13-30e3-8596-ad7567df2b4c"/>
    <s v="d31fccc3-1767-390d-966a-22a5156f4219"/>
    <x v="1"/>
    <n v="185347001"/>
    <s v="Encounter for problem (procedure)"/>
    <n v="85.55"/>
    <n v="85.55"/>
    <n v="68.44"/>
    <n v="24079001"/>
    <x v="57"/>
  </r>
  <r>
    <s v="ccaa0537-4e7f-99d8-16ed-742008811cf5"/>
    <d v="2007-12-04T11:32:35"/>
    <d v="2007-12-04T11:47:35"/>
    <s v="ccaa0537-4e7f-99d8-8b79-c7c94c749579"/>
    <s v="af8566eb-8918-3ec7-ba44-92b6a2cf8097"/>
    <s v="96f469c4-4c13-30e3-8596-ad7567df2b4c"/>
    <s v="d31fccc3-1767-390d-966a-22a5156f4219"/>
    <x v="1"/>
    <n v="185345009"/>
    <s v="Encounter for symptom (procedure)"/>
    <n v="85.55"/>
    <n v="85.55"/>
    <n v="0"/>
    <n v="232353008"/>
    <x v="16"/>
  </r>
  <r>
    <s v="ccaa0537-4e7f-99d8-1e1c-1b5866601df1"/>
    <d v="2015-10-27T12:32:35"/>
    <d v="2015-10-27T12:49:14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1186.78"/>
    <n v="763.02"/>
    <m/>
    <x v="0"/>
  </r>
  <r>
    <s v="ccaa0537-4e7f-99d8-44fa-5e07c6c808e6"/>
    <d v="2016-11-01T12:32:35"/>
    <d v="2016-11-01T12:47:35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1236.47"/>
    <n v="802.78"/>
    <m/>
    <x v="0"/>
  </r>
  <r>
    <s v="ccaa0537-4e7f-99d8-a4fd-08357a6db664"/>
    <d v="2017-09-18T03:26:35"/>
    <d v="2017-09-18T03:41:35"/>
    <s v="ccaa0537-4e7f-99d8-8b79-c7c94c749579"/>
    <s v="af8566eb-8918-3ec7-ba44-92b6a2cf8097"/>
    <s v="96f469c4-4c13-30e3-8596-ad7567df2b4c"/>
    <s v="a735bf55-83e9-331a-899d-a82a60b9f60c"/>
    <x v="1"/>
    <n v="185347001"/>
    <s v="Encounter for problem (procedure)"/>
    <n v="85.55"/>
    <n v="85.55"/>
    <n v="68.44"/>
    <n v="3718001"/>
    <x v="56"/>
  </r>
  <r>
    <s v="ccaa0537-4e7f-99d8-3900-807fb3d44af2"/>
    <d v="2017-10-17T12:32:35"/>
    <d v="2017-10-17T12:53:20"/>
    <s v="ccaa0537-4e7f-99d8-8b79-c7c94c749579"/>
    <s v="af8566eb-8918-3ec7-ba44-92b6a2cf8097"/>
    <s v="96f469c4-4c13-30e3-8596-ad7567df2b4c"/>
    <s v="a735bf55-83e9-331a-899d-a82a60b9f60c"/>
    <x v="1"/>
    <n v="170837001"/>
    <s v="Allergic disorder initial assessment (regime/therapy)"/>
    <n v="142.58000000000001"/>
    <n v="573.98"/>
    <n v="272.77999999999997"/>
    <n v="609328004"/>
    <x v="11"/>
  </r>
  <r>
    <s v="ccaa0537-4e7f-99d8-c90c-d4f1987515d3"/>
    <d v="2017-11-07T11:32:35"/>
    <d v="2017-11-07T11:47:35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1135.8699999999999"/>
    <n v="908.7"/>
    <m/>
    <x v="0"/>
  </r>
  <r>
    <s v="ccaa0537-4e7f-99d8-aa5a-ef4d65560473"/>
    <d v="2017-11-10T11:53:20"/>
    <d v="2017-11-10T12:36:48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362.15"/>
    <n v="4289.72"/>
    <n v="609328004"/>
    <x v="11"/>
  </r>
  <r>
    <s v="ccaa0537-4e7f-99d8-d3ab-4cd1e779ca14"/>
    <d v="2017-12-05T12:36:48"/>
    <d v="2017-12-05T13:09:1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7537.21"/>
    <n v="6029.76"/>
    <n v="609328004"/>
    <x v="11"/>
  </r>
  <r>
    <s v="ccaa0537-4e7f-99d8-2a53-c72d4a336087"/>
    <d v="2017-12-30T13:09:19"/>
    <d v="2017-12-30T13:29:57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ccaa0537-4e7f-99d8-fb05-337e96036e86"/>
    <d v="2018-01-23T13:29:57"/>
    <d v="2018-01-23T14:18:5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4413.68"/>
    <n v="11530.94"/>
    <n v="609328004"/>
    <x v="11"/>
  </r>
  <r>
    <s v="ccaa0537-4e7f-99d8-f88d-921722a83541"/>
    <d v="2018-02-14T14:18:51"/>
    <d v="2018-02-14T15:02:4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ef00-8eaea8880f12"/>
    <d v="2018-03-10T15:02:45"/>
    <d v="2018-03-10T15:18:0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20626.96"/>
    <n v="609328004"/>
    <x v="11"/>
  </r>
  <r>
    <s v="ccaa0537-4e7f-99d8-eb41-18c7b2fe5a16"/>
    <d v="2018-04-03T16:18:05"/>
    <d v="2018-04-03T16:35:16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6870.61"/>
    <n v="6870.61"/>
    <n v="609328004"/>
    <x v="11"/>
  </r>
  <r>
    <s v="ccaa0537-4e7f-99d8-5711-2d8a89a1328b"/>
    <d v="2018-04-29T16:35:16"/>
    <d v="2018-04-29T17:16:2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7850.66"/>
    <n v="7850.66"/>
    <n v="609328004"/>
    <x v="11"/>
  </r>
  <r>
    <s v="ccaa0537-4e7f-99d8-a63d-d8172c9d284e"/>
    <d v="2018-05-26T17:16:29"/>
    <d v="2018-05-26T17:49:50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c91e-e2a20556028b"/>
    <d v="2018-06-19T17:49:50"/>
    <d v="2018-06-19T18:30:38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59d9-49914b077c41"/>
    <d v="2018-07-13T18:30:38"/>
    <d v="2018-07-13T18:48:37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20626.96"/>
    <n v="609328004"/>
    <x v="11"/>
  </r>
  <r>
    <s v="ccaa0537-4e7f-99d8-882f-0af0ab72fa9f"/>
    <d v="2018-08-09T18:48:37"/>
    <d v="2018-08-09T19:19:4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6514.01"/>
    <n v="6514.01"/>
    <n v="609328004"/>
    <x v="11"/>
  </r>
  <r>
    <s v="ccaa0537-4e7f-99d8-89dc-32f6b01f6882"/>
    <d v="2018-09-01T19:19:45"/>
    <d v="2018-09-01T19:34:5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7443.34"/>
    <n v="17443.34"/>
    <n v="609328004"/>
    <x v="11"/>
  </r>
  <r>
    <s v="ccaa0537-4e7f-99d8-1e95-e241b9e3371f"/>
    <d v="2018-09-27T19:34:55"/>
    <d v="2018-09-27T19:55:4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20626.96"/>
    <n v="609328004"/>
    <x v="11"/>
  </r>
  <r>
    <s v="ccaa0537-4e7f-99d8-e209-53fc3c227771"/>
    <d v="2018-10-23T19:55:45"/>
    <d v="2018-10-23T20:24:12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16315.17"/>
    <n v="609328004"/>
    <x v="11"/>
  </r>
  <r>
    <s v="ccaa0537-4e7f-99d8-c920-72e3f6ebe81f"/>
    <d v="2018-11-13T11:32:35"/>
    <d v="2018-11-13T11:47:35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1567"/>
    <n v="1253.5999999999999"/>
    <m/>
    <x v="0"/>
  </r>
  <r>
    <s v="ccaa0537-4e7f-99d8-8c1d-43a1a9316276"/>
    <d v="2018-11-14T19:24:12"/>
    <d v="2018-11-14T19:46:52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4b09-d5e12cd1720b"/>
    <d v="2018-12-11T19:46:52"/>
    <d v="2018-12-11T20:17:2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7212.68"/>
    <n v="5770.14"/>
    <n v="609328004"/>
    <x v="11"/>
  </r>
  <r>
    <s v="ccaa0537-4e7f-99d8-0a51-dd67e08471d3"/>
    <d v="2019-01-01T20:17:21"/>
    <d v="2019-01-01T20:52:14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3017.22"/>
    <n v="10413.77"/>
    <n v="609328004"/>
    <x v="11"/>
  </r>
  <r>
    <s v="ccaa0537-4e7f-99d8-be74-99eab04a6e1d"/>
    <d v="2019-01-24T20:52:14"/>
    <d v="2019-01-24T21:30:2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3904.1"/>
    <n v="13904.1"/>
    <n v="609328004"/>
    <x v="11"/>
  </r>
  <r>
    <s v="ccaa0537-4e7f-99d8-3ac9-ca248dedb930"/>
    <d v="2019-02-19T21:30:29"/>
    <d v="2019-02-19T22:26:4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20626.96"/>
    <n v="609328004"/>
    <x v="11"/>
  </r>
  <r>
    <s v="ccaa0537-4e7f-99d8-e634-908e714e8a92"/>
    <d v="2019-03-16T23:26:49"/>
    <d v="2019-03-16T23:47:47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441.82"/>
    <n v="5441.82"/>
    <n v="609328004"/>
    <x v="11"/>
  </r>
  <r>
    <s v="ccaa0537-4e7f-99d8-a03d-9a265be59bdb"/>
    <d v="2019-04-06T23:47:47"/>
    <d v="2019-04-07T00:30:44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1eab-cf7d7fa1dbf4"/>
    <d v="2019-04-28T00:30:44"/>
    <d v="2019-04-28T00:49:44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7907.4"/>
    <n v="7907.4"/>
    <n v="609328004"/>
    <x v="11"/>
  </r>
  <r>
    <s v="ccaa0537-4e7f-99d8-15a2-c2774a57b80e"/>
    <d v="2019-05-24T00:49:44"/>
    <d v="2019-05-24T01:47:34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b61a-abc6905c8bb0"/>
    <d v="2019-06-20T01:47:34"/>
    <d v="2019-06-20T02:34:08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1323-0f3c09e11751"/>
    <d v="2019-07-14T02:34:08"/>
    <d v="2019-07-14T03:13:0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6068.67"/>
    <n v="16068.67"/>
    <n v="609328004"/>
    <x v="11"/>
  </r>
  <r>
    <s v="ccaa0537-4e7f-99d8-cf4b-129b0a23ea02"/>
    <d v="2019-08-10T03:13:09"/>
    <d v="2019-08-10T03:51:4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20626.96"/>
    <n v="609328004"/>
    <x v="11"/>
  </r>
  <r>
    <s v="ccaa0537-4e7f-99d8-bfa4-fc26d396ae64"/>
    <d v="2019-09-05T03:51:49"/>
    <d v="2019-09-05T04:30:2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5263.67"/>
    <n v="609328004"/>
    <x v="11"/>
  </r>
  <r>
    <s v="ccaa0537-4e7f-99d8-4e04-c9d8e2a0bd77"/>
    <d v="2019-09-26T04:30:25"/>
    <d v="2019-09-26T05:28:10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8938.0499999999993"/>
    <n v="8938.0499999999993"/>
    <n v="609328004"/>
    <x v="11"/>
  </r>
  <r>
    <s v="ccaa0537-4e7f-99d8-b3ba-564091d0a01a"/>
    <d v="2019-10-19T05:28:10"/>
    <d v="2019-10-19T06:06:2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2623.83"/>
    <n v="9912.66"/>
    <n v="609328004"/>
    <x v="11"/>
  </r>
  <r>
    <s v="ccaa0537-4e7f-99d8-ebb1-32267870e964"/>
    <d v="2019-11-09T05:06:21"/>
    <d v="2019-11-09T05:21:30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baee-301f69e6c082"/>
    <d v="2019-11-19T11:32:35"/>
    <d v="2019-11-19T11:47:35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704.2"/>
    <n v="563.36"/>
    <m/>
    <x v="0"/>
  </r>
  <r>
    <s v="ccaa0537-4e7f-99d8-a675-e79a781ea527"/>
    <d v="2019-12-03T11:32:35"/>
    <d v="2019-12-03T16:47:52"/>
    <s v="ccaa0537-4e7f-99d8-8b79-c7c94c749579"/>
    <s v="af8566eb-8918-3ec7-ba44-92b6a2cf8097"/>
    <s v="96f469c4-4c13-30e3-8596-ad7567df2b4c"/>
    <s v="a735bf55-83e9-331a-899d-a82a60b9f60c"/>
    <x v="1"/>
    <n v="185349003"/>
    <s v="Encounter for check up (procedure)"/>
    <n v="85.55"/>
    <n v="5262.35"/>
    <n v="4209.88"/>
    <n v="66383009"/>
    <x v="17"/>
  </r>
  <r>
    <s v="ccaa0537-4e7f-99d8-b272-c51381457b6d"/>
    <d v="2019-12-17T11:32:35"/>
    <d v="2019-12-17T12:14:4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0e10-3a10daa554f9"/>
    <d v="2020-01-12T12:14:45"/>
    <d v="2020-01-12T12:45:10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ba6e-ddbe797041bd"/>
    <d v="2020-02-04T12:45:10"/>
    <d v="2020-02-04T13:12:06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492.66"/>
    <n v="4394.12"/>
    <n v="609328004"/>
    <x v="11"/>
  </r>
  <r>
    <s v="ccaa0537-4e7f-99d8-b122-44b9d65bbdb8"/>
    <d v="2020-02-29T13:12:06"/>
    <d v="2020-02-29T14:04:17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c329-9dc289c9ed22"/>
    <d v="2020-03-25T15:04:17"/>
    <d v="2020-03-25T15:35:10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8d92-e259a252f7ae"/>
    <d v="2020-04-19T15:35:10"/>
    <d v="2020-04-19T15:57:3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8363.23"/>
    <n v="6690.58"/>
    <n v="609328004"/>
    <x v="11"/>
  </r>
  <r>
    <s v="ccaa0537-4e7f-99d8-85ab-1011930d86ff"/>
    <d v="2020-05-15T15:57:31"/>
    <d v="2020-05-15T16:26:43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7160-7afe5c2cc9d2"/>
    <d v="2020-06-09T16:26:43"/>
    <d v="2020-06-09T17:23:0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9310.5300000000007"/>
    <n v="7448.42"/>
    <n v="609328004"/>
    <x v="11"/>
  </r>
  <r>
    <s v="ccaa0537-4e7f-99d8-8511-0b6e5822d290"/>
    <d v="2020-07-01T17:23:01"/>
    <d v="2020-07-01T17:46:53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ed1e-4da06402b4f2"/>
    <d v="2020-07-28T17:46:53"/>
    <d v="2020-07-28T18:11:0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9781.5300000000007"/>
    <n v="7825.22"/>
    <n v="609328004"/>
    <x v="11"/>
  </r>
  <r>
    <s v="ccaa0537-4e7f-99d8-77d6-683868a06584"/>
    <d v="2020-08-20T18:11:01"/>
    <d v="2020-08-20T19:01:23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6587.88"/>
    <n v="5270.3"/>
    <n v="609328004"/>
    <x v="11"/>
  </r>
  <r>
    <s v="ccaa0537-4e7f-99d8-1187-aeba875d49ea"/>
    <d v="2020-09-16T19:01:23"/>
    <d v="2020-09-16T19:55:13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3257.93"/>
    <n v="10606.34"/>
    <n v="609328004"/>
    <x v="11"/>
  </r>
  <r>
    <s v="ccaa0537-4e7f-99d8-cf19-d0880784f413"/>
    <d v="2020-10-01T12:32:35"/>
    <d v="2020-10-01T12:47:35"/>
    <s v="ccaa0537-4e7f-99d8-8b79-c7c94c749579"/>
    <s v="af8566eb-8918-3ec7-ba44-92b6a2cf8097"/>
    <s v="96f469c4-4c13-30e3-8596-ad7567df2b4c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ccaa0537-4e7f-99d8-0cb3-f0ec82621bb6"/>
    <d v="2020-10-07T19:55:13"/>
    <d v="2020-10-07T20:43:58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9163.9699999999993"/>
    <n v="7331.17"/>
    <n v="609328004"/>
    <x v="11"/>
  </r>
  <r>
    <s v="ccaa0537-4e7f-99d8-37ff-3cb24be6a85f"/>
    <d v="2020-11-03T19:43:58"/>
    <d v="2020-11-03T20:12:57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8039.24"/>
    <n v="6244.99"/>
    <n v="609328004"/>
    <x v="11"/>
  </r>
  <r>
    <s v="ccaa0537-4e7f-99d8-1bec-5e64b286e62d"/>
    <d v="2020-11-24T11:32:35"/>
    <d v="2020-11-24T11:47:35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914.78"/>
    <n v="731.82"/>
    <m/>
    <x v="0"/>
  </r>
  <r>
    <s v="ccaa0537-4e7f-99d8-7d2c-f17d3afc4d2f"/>
    <d v="2020-11-28T20:12:57"/>
    <d v="2020-11-28T20:52:13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3025.97"/>
    <n v="10420.77"/>
    <n v="609328004"/>
    <x v="11"/>
  </r>
  <r>
    <s v="ccaa0537-4e7f-99d8-9580-33b998cff01f"/>
    <d v="2020-12-24T20:52:13"/>
    <d v="2020-12-24T21:22:30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e304-d8501dbd464e"/>
    <d v="2021-01-16T21:22:30"/>
    <d v="2021-01-16T22:11:24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ccaa0537-4e7f-99d8-0e8c-57e1a3fbf68a"/>
    <d v="2021-02-11T22:11:24"/>
    <d v="2021-02-11T22:58:33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0545.73"/>
    <n v="8436.58"/>
    <n v="609328004"/>
    <x v="11"/>
  </r>
  <r>
    <s v="ccaa0537-4e7f-99d8-313d-80b685e7caef"/>
    <d v="2021-02-28T13:32:35"/>
    <d v="2021-02-28T13:47:35"/>
    <s v="ccaa0537-4e7f-99d8-8b79-c7c94c749579"/>
    <s v="af8566eb-8918-3ec7-ba44-92b6a2cf8097"/>
    <s v="96f469c4-4c13-30e3-8596-ad7567df2b4c"/>
    <s v="a735bf55-83e9-331a-899d-a82a60b9f60c"/>
    <x v="1"/>
    <n v="185347001"/>
    <s v="Encounter for problem (procedure)"/>
    <n v="85.55"/>
    <n v="85.55"/>
    <n v="68.44"/>
    <n v="24079001"/>
    <x v="57"/>
  </r>
  <r>
    <s v="ccaa0537-4e7f-99d8-7b88-898d6b63b75e"/>
    <d v="2021-03-04T22:58:33"/>
    <d v="2021-03-04T23:16:02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9708.74"/>
    <n v="7766.99"/>
    <n v="609328004"/>
    <x v="11"/>
  </r>
  <r>
    <s v="ccaa0537-4e7f-99d8-11aa-da14b285b487"/>
    <d v="2021-04-01T00:16:02"/>
    <d v="2021-04-01T00:45:0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0503.72"/>
    <n v="8402.9699999999993"/>
    <n v="609328004"/>
    <x v="11"/>
  </r>
  <r>
    <s v="ccaa0537-4e7f-99d8-06ff-4afc1aaee8dc"/>
    <d v="2021-04-28T00:45:09"/>
    <d v="2021-04-28T01:33:28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e7b9-6a598fbfb45d"/>
    <d v="2021-05-25T01:33:28"/>
    <d v="2021-05-25T02:32:26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0624-1a97fb619f23"/>
    <d v="2021-06-19T02:32:26"/>
    <d v="2021-06-19T03:04:15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bb0e-7c9c9db7d724"/>
    <d v="2021-07-11T03:04:15"/>
    <d v="2021-07-11T03:27:18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324c-b18a4d81bd7b"/>
    <d v="2021-08-07T03:27:18"/>
    <d v="2021-08-07T04:07:5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ccaa0537-4e7f-99d8-75ce-c83b04fcb716"/>
    <d v="2021-09-01T04:07:59"/>
    <d v="2021-09-01T05:07:34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6954.44"/>
    <n v="5563.55"/>
    <n v="609328004"/>
    <x v="11"/>
  </r>
  <r>
    <s v="ccaa0537-4e7f-99d8-8609-6428f0804391"/>
    <d v="2021-09-22T05:07:34"/>
    <d v="2021-09-22T05:41:51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5263.67"/>
    <n v="4210.93"/>
    <n v="609328004"/>
    <x v="11"/>
  </r>
  <r>
    <s v="ccaa0537-4e7f-99d8-a9dc-372abce0a22e"/>
    <d v="2021-10-19T05:41:51"/>
    <d v="2021-10-19T06:25:16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8642.82"/>
    <n v="6727.86"/>
    <n v="609328004"/>
    <x v="11"/>
  </r>
  <r>
    <s v="ccaa0537-4e7f-99d8-d618-fb646ec71682"/>
    <d v="2021-11-12T05:25:16"/>
    <d v="2021-11-12T06:01:09"/>
    <s v="ccaa0537-4e7f-99d8-8b79-c7c94c749579"/>
    <s v="af8566eb-8918-3ec7-ba44-92b6a2cf8097"/>
    <s v="96f469c4-4c13-30e3-8596-ad7567df2b4c"/>
    <s v="a735bf55-83e9-331a-899d-a82a60b9f60c"/>
    <x v="1"/>
    <n v="371883000"/>
    <s v="Outpatient procedure (procedure)"/>
    <n v="142.58000000000001"/>
    <n v="11407.19"/>
    <n v="9125.75"/>
    <n v="609328004"/>
    <x v="11"/>
  </r>
  <r>
    <s v="ccaa0537-4e7f-99d8-4458-9e69a79a80c3"/>
    <d v="2021-11-30T11:32:35"/>
    <d v="2021-11-30T11:47:35"/>
    <s v="ccaa0537-4e7f-99d8-8b79-c7c94c749579"/>
    <s v="84abfbd5-41c1-3df4-9b31-7ca93cb2309a"/>
    <s v="cf7e8d3d-221a-376f-a83c-51f97f0fe62d"/>
    <s v="a735bf55-83e9-331a-899d-a82a60b9f60c"/>
    <x v="0"/>
    <n v="410620009"/>
    <s v="Well child visit (procedure)"/>
    <n v="136.80000000000001"/>
    <n v="919.9"/>
    <n v="735.92"/>
    <m/>
    <x v="0"/>
  </r>
  <r>
    <s v="ccaa0537-4e7f-99d8-2def-cbbd4d3bc2e2"/>
    <d v="2021-12-09T06:01:09"/>
    <d v="2021-12-09T06:24:26"/>
    <s v="ccaa0537-4e7f-99d8-8b79-c7c94c749579"/>
    <s v="af8566eb-8918-3ec7-ba44-92b6a2cf8097"/>
    <s v="96f469c4-4c13-30e3-8596-ad7567df2b4c"/>
    <s v="a735bf55-83e9-331a-899d-a82a60b9f60c"/>
    <x v="1"/>
    <n v="170838006"/>
    <s v="Allergic disorder follow-up assessment (regime/therapy)"/>
    <n v="142.58000000000001"/>
    <n v="573.98"/>
    <n v="459.18"/>
    <n v="609328004"/>
    <x v="11"/>
  </r>
  <r>
    <s v="ccaa0537-4e7f-99d8-1dcb-cb68d9b377d1"/>
    <d v="2021-12-14T11:32:35"/>
    <d v="2021-12-14T14:50:14"/>
    <s v="ccaa0537-4e7f-99d8-8b79-c7c94c749579"/>
    <s v="af8566eb-8918-3ec7-ba44-92b6a2cf8097"/>
    <s v="96f469c4-4c13-30e3-8596-ad7567df2b4c"/>
    <s v="a735bf55-83e9-331a-899d-a82a60b9f60c"/>
    <x v="1"/>
    <n v="185349003"/>
    <s v="Encounter for check up (procedure)"/>
    <n v="85.55"/>
    <n v="3105.35"/>
    <n v="2484.2800000000002"/>
    <n v="66383009"/>
    <x v="17"/>
  </r>
  <r>
    <s v="ccaa0537-4e7f-99d8-ba4c-5353334782f8"/>
    <d v="2022-12-06T11:32:35"/>
    <d v="2022-12-06T12:17:21"/>
    <s v="ccaa0537-4e7f-99d8-8b79-c7c94c749579"/>
    <s v="84abfbd5-41c1-3df4-9b31-7ca93cb2309a"/>
    <s v="cf7e8d3d-221a-376f-a83c-51f97f0fe62d"/>
    <s v="b046940f-1664-3047-bca7-dfa76be352a4"/>
    <x v="0"/>
    <n v="162673000"/>
    <s v="General examination of patient (procedure)"/>
    <n v="136.80000000000001"/>
    <n v="941.13"/>
    <n v="0"/>
    <m/>
    <x v="0"/>
  </r>
  <r>
    <s v="ccaa0537-4e7f-99d8-1f94-9dbc9d2560e5"/>
    <d v="2022-12-20T11:32:35"/>
    <d v="2022-12-20T18:06:42"/>
    <s v="ccaa0537-4e7f-99d8-8b79-c7c94c749579"/>
    <s v="af8566eb-8918-3ec7-ba44-92b6a2cf8097"/>
    <s v="96f469c4-4c13-30e3-8596-ad7567df2b4c"/>
    <s v="b046940f-1664-3047-bca7-dfa76be352a4"/>
    <x v="1"/>
    <n v="185349003"/>
    <s v="Encounter for check up (procedure)"/>
    <n v="85.55"/>
    <n v="4830.95"/>
    <n v="890.46"/>
    <n v="66383009"/>
    <x v="17"/>
  </r>
  <r>
    <s v="ccaa0537-4e7f-99d8-0806-06fca44d9c4b"/>
    <d v="2023-12-12T11:32:35"/>
    <d v="2023-12-12T12:26:02"/>
    <s v="ccaa0537-4e7f-99d8-8b79-c7c94c749579"/>
    <s v="84abfbd5-41c1-3df4-9b31-7ca93cb2309a"/>
    <s v="cf7e8d3d-221a-376f-a83c-51f97f0fe62d"/>
    <s v="b046940f-1664-3047-bca7-dfa76be352a4"/>
    <x v="0"/>
    <n v="162673000"/>
    <s v="General examination of patient (procedure)"/>
    <n v="136.80000000000001"/>
    <n v="1049.56"/>
    <n v="0"/>
    <m/>
    <x v="0"/>
  </r>
  <r>
    <s v="ccaa0537-4e7f-99d8-ca55-ad8b349a39ae"/>
    <d v="2024-04-02T12:32:35"/>
    <d v="2024-04-02T12:47:35"/>
    <s v="ccaa0537-4e7f-99d8-8b79-c7c94c749579"/>
    <s v="af8566eb-8918-3ec7-ba44-92b6a2cf8097"/>
    <s v="96f469c4-4c13-30e3-8596-ad7567df2b4c"/>
    <s v="b046940f-1664-3047-bca7-dfa76be352a4"/>
    <x v="1"/>
    <n v="424441002"/>
    <s v="Prenatal initial visit (regime/therapy)"/>
    <n v="142.58000000000001"/>
    <n v="48141.82"/>
    <n v="31283.96"/>
    <n v="72892002"/>
    <x v="4"/>
  </r>
  <r>
    <s v="ccaa0537-4e7f-99d8-af43-dc2f0ab0aa97"/>
    <d v="2024-04-30T12:32:35"/>
    <d v="2024-04-30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5528.76"/>
    <n v="5528.76"/>
    <n v="72892002"/>
    <x v="4"/>
  </r>
  <r>
    <s v="ccaa0537-4e7f-99d8-f25f-15dd47206088"/>
    <d v="2024-05-28T12:32:35"/>
    <d v="2024-05-28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8768.64"/>
    <n v="8768.64"/>
    <n v="72892002"/>
    <x v="4"/>
  </r>
  <r>
    <s v="ccaa0537-4e7f-99d8-6d92-e2d0ad96d25e"/>
    <d v="2024-06-25T12:32:35"/>
    <d v="2024-06-25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15700.74"/>
    <n v="15700.74"/>
    <n v="72892002"/>
    <x v="4"/>
  </r>
  <r>
    <s v="ccaa0537-4e7f-99d8-3749-ae04c6584ac3"/>
    <d v="2024-07-23T12:32:35"/>
    <d v="2024-07-23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4665.96"/>
    <n v="4665.96"/>
    <n v="72892002"/>
    <x v="4"/>
  </r>
  <r>
    <s v="ccaa0537-4e7f-99d8-9c2c-88570b444419"/>
    <d v="2024-08-20T12:32:35"/>
    <d v="2024-08-20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8148.56"/>
    <n v="8148.56"/>
    <n v="72892002"/>
    <x v="4"/>
  </r>
  <r>
    <s v="ccaa0537-4e7f-99d8-7a0c-3297fa6b8b65"/>
    <d v="2024-09-17T12:32:35"/>
    <d v="2024-09-17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4665.96"/>
    <n v="4665.96"/>
    <n v="72892002"/>
    <x v="4"/>
  </r>
  <r>
    <s v="ccaa0537-4e7f-99d8-a44e-0be795149c84"/>
    <d v="2024-10-15T12:32:35"/>
    <d v="2024-10-15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17966.02"/>
    <n v="9426.2099999999991"/>
    <n v="72892002"/>
    <x v="4"/>
  </r>
  <r>
    <s v="ccaa0537-4e7f-99d8-e23c-16f36a83bdff"/>
    <d v="2024-10-29T12:32:35"/>
    <d v="2024-10-29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15993.01"/>
    <n v="11195.11"/>
    <n v="72892002"/>
    <x v="4"/>
  </r>
  <r>
    <s v="ccaa0537-4e7f-99d8-70c7-000d75096ea0"/>
    <d v="2024-11-05T11:32:35"/>
    <d v="2024-11-05T12:32:35"/>
    <s v="ccaa0537-4e7f-99d8-8b79-c7c94c749579"/>
    <s v="ee7fab6f-6438-394f-b1f2-3e452f8f055a"/>
    <s v="4e505a6b-e43c-3325-bc14-bc7f7744e1dd"/>
    <s v="b046940f-1664-3047-bca7-dfa76be352a4"/>
    <x v="3"/>
    <n v="183460006"/>
    <s v="Obstetric emergency hospital admission (procedure)"/>
    <n v="146.18"/>
    <n v="577.58000000000004"/>
    <n v="577.58000000000004"/>
    <n v="72892002"/>
    <x v="4"/>
  </r>
  <r>
    <s v="ccaa0537-4e7f-99d8-6d36-52411ae7433e"/>
    <d v="2024-12-17T11:32:35"/>
    <d v="2024-12-17T11:47:35"/>
    <s v="ccaa0537-4e7f-99d8-8b79-c7c94c749579"/>
    <s v="af8566eb-8918-3ec7-ba44-92b6a2cf8097"/>
    <s v="96f469c4-4c13-30e3-8596-ad7567df2b4c"/>
    <s v="b046940f-1664-3047-bca7-dfa76be352a4"/>
    <x v="1"/>
    <n v="169762003"/>
    <s v="Postnatal visit (regime/therapy)"/>
    <n v="142.58000000000001"/>
    <n v="1005.38"/>
    <n v="1005.38"/>
    <m/>
    <x v="0"/>
  </r>
  <r>
    <s v="ccaa0537-4e7f-99d8-e8fc-24bc363ae726"/>
    <d v="2024-12-24T11:32:35"/>
    <d v="2024-12-24T11:47:35"/>
    <s v="ccaa0537-4e7f-99d8-8b79-c7c94c749579"/>
    <s v="af8566eb-8918-3ec7-ba44-92b6a2cf8097"/>
    <s v="96f469c4-4c13-30e3-8596-ad7567df2b4c"/>
    <s v="b046940f-1664-3047-bca7-dfa76be352a4"/>
    <x v="2"/>
    <n v="698314001"/>
    <s v="Consultation for treatment (procedure)"/>
    <n v="142.58000000000001"/>
    <n v="142.58000000000001"/>
    <n v="142.58000000000001"/>
    <n v="389095005"/>
    <x v="15"/>
  </r>
  <r>
    <s v="ccaa0537-4e7f-99d8-8ac0-b0288842e021"/>
    <d v="2025-03-04T11:32:35"/>
    <d v="2025-03-04T12:27:13"/>
    <s v="ccaa0537-4e7f-99d8-8b79-c7c94c749579"/>
    <s v="0e6c3ad1-24c1-34cb-bb6d-e8438fa319e2"/>
    <s v="071107be-b730-3952-9b92-5b6139b27a66"/>
    <s v="b046940f-1664-3047-bca7-dfa76be352a4"/>
    <x v="4"/>
    <n v="702927004"/>
    <s v="Urgent care clinic (environment)"/>
    <n v="142.58000000000001"/>
    <n v="1061.68"/>
    <n v="1061.68"/>
    <m/>
    <x v="0"/>
  </r>
  <r>
    <s v="ccaa0537-4e7f-99d8-2965-c19493cd90be"/>
    <d v="2025-03-11T12:32:35"/>
    <d v="2025-03-11T12:47:35"/>
    <s v="ccaa0537-4e7f-99d8-8b79-c7c94c749579"/>
    <s v="af8566eb-8918-3ec7-ba44-92b6a2cf8097"/>
    <s v="96f469c4-4c13-30e3-8596-ad7567df2b4c"/>
    <s v="b046940f-1664-3047-bca7-dfa76be352a4"/>
    <x v="2"/>
    <n v="185349003"/>
    <s v="Encounter for check up (procedure)"/>
    <n v="85.55"/>
    <n v="696.25"/>
    <n v="696.25"/>
    <m/>
    <x v="0"/>
  </r>
  <r>
    <s v="ccaa0537-4e7f-99d8-d15e-a7e7dd110c72"/>
    <d v="2025-03-18T12:32:35"/>
    <d v="2025-03-18T12:47:35"/>
    <s v="ccaa0537-4e7f-99d8-8b79-c7c94c749579"/>
    <s v="af8566eb-8918-3ec7-ba44-92b6a2cf8097"/>
    <s v="96f469c4-4c13-30e3-8596-ad7567df2b4c"/>
    <s v="b046940f-1664-3047-bca7-dfa76be352a4"/>
    <x v="1"/>
    <n v="185345009"/>
    <s v="Encounter for symptom (procedure)"/>
    <n v="85.55"/>
    <n v="4861.46"/>
    <n v="4861.46"/>
    <n v="10509002"/>
    <x v="1"/>
  </r>
  <r>
    <s v="ccaa0537-4e7f-99d8-ca8a-2573d2458647"/>
    <d v="2025-03-25T12:32:35"/>
    <d v="2025-03-25T15:27:11"/>
    <s v="ccaa0537-4e7f-99d8-8b79-c7c94c749579"/>
    <s v="af8566eb-8918-3ec7-ba44-92b6a2cf8097"/>
    <s v="96f469c4-4c13-30e3-8596-ad7567df2b4c"/>
    <s v="b046940f-1664-3047-bca7-dfa76be352a4"/>
    <x v="1"/>
    <n v="185349003"/>
    <s v="Encounter for check up (procedure)"/>
    <n v="85.55"/>
    <n v="3536.75"/>
    <n v="3536.75"/>
    <n v="103697008"/>
    <x v="3"/>
  </r>
  <r>
    <s v="ccaa0537-4e7f-99d8-842c-89f47ea77085"/>
    <d v="2025-05-16T12:32:35"/>
    <d v="2025-05-16T13:53:45"/>
    <s v="ccaa0537-4e7f-99d8-8b79-c7c94c749579"/>
    <s v="af8566eb-8918-3ec7-ba44-92b6a2cf8097"/>
    <s v="96f469c4-4c13-30e3-8596-ad7567df2b4c"/>
    <s v="b046940f-1664-3047-bca7-dfa76be352a4"/>
    <x v="1"/>
    <n v="185345009"/>
    <s v="Encounter for symptom (procedure)"/>
    <n v="85.55"/>
    <n v="3179.93"/>
    <n v="3179.93"/>
    <n v="307426000"/>
    <x v="5"/>
  </r>
  <r>
    <s v="ccaa0537-4e7f-99d8-7a05-07ff1552a8ae"/>
    <d v="2026-03-31T12:32:35"/>
    <d v="2026-03-31T12:47:35"/>
    <s v="ccaa0537-4e7f-99d8-8b79-c7c94c749579"/>
    <s v="af8566eb-8918-3ec7-ba44-92b6a2cf8097"/>
    <s v="96f469c4-4c13-30e3-8596-ad7567df2b4c"/>
    <s v="b046940f-1664-3047-bca7-dfa76be352a4"/>
    <x v="1"/>
    <n v="424441002"/>
    <s v="Prenatal initial visit (regime/therapy)"/>
    <n v="142.58000000000001"/>
    <n v="41308.83"/>
    <n v="25766.18"/>
    <n v="72892002"/>
    <x v="4"/>
  </r>
  <r>
    <s v="ccaa0537-4e7f-99d8-5ba3-0ea826d62c81"/>
    <d v="2026-04-28T12:32:35"/>
    <d v="2026-04-28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7690.65"/>
    <n v="7690.65"/>
    <n v="72892002"/>
    <x v="4"/>
  </r>
  <r>
    <s v="ccaa0537-4e7f-99d8-7371-f5ecbd0002b5"/>
    <d v="2026-05-26T12:32:35"/>
    <d v="2026-05-26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9127.35"/>
    <n v="9127.35"/>
    <n v="72892002"/>
    <x v="4"/>
  </r>
  <r>
    <s v="ccaa0537-4e7f-99d8-f969-a7cfb9712090"/>
    <d v="2026-06-23T12:32:35"/>
    <d v="2026-06-23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9747.49"/>
    <n v="9747.49"/>
    <n v="72892002"/>
    <x v="4"/>
  </r>
  <r>
    <s v="ccaa0537-4e7f-99d8-f3a2-2073938c48b0"/>
    <d v="2026-07-21T12:32:35"/>
    <d v="2026-07-21T12:47:35"/>
    <s v="ccaa0537-4e7f-99d8-8b79-c7c94c749579"/>
    <s v="af8566eb-8918-3ec7-ba44-92b6a2cf8097"/>
    <s v="96f469c4-4c13-30e3-8596-ad7567df2b4c"/>
    <s v="b046940f-1664-3047-bca7-dfa76be352a4"/>
    <x v="1"/>
    <n v="424619006"/>
    <s v="Prenatal visit (regime/therapy)"/>
    <n v="142.58000000000001"/>
    <n v="7337.83"/>
    <n v="7337.83"/>
    <n v="72892002"/>
    <x v="4"/>
  </r>
  <r>
    <s v="6b687f11-0721-ccaf-70df-6a720571c711"/>
    <d v="1987-10-17T06:46:29"/>
    <d v="1987-10-21T02:43:24"/>
    <s v="6b687f11-0721-ccaf-8796-5e929f37b755"/>
    <s v="901c2d40-1ca3-3879-9a20-c663b8adc0a9"/>
    <s v="48b16ca9-484f-32b6-8ef7-96fe15ce872e"/>
    <s v="26aab0cd-6aba-3e1b-ac5b-05c8867e762c"/>
    <x v="6"/>
    <n v="185347001"/>
    <s v="Encounter for problem (procedure)"/>
    <n v="87.71"/>
    <n v="5423.98"/>
    <n v="0"/>
    <n v="74400008"/>
    <x v="28"/>
  </r>
  <r>
    <s v="6b687f11-0721-ccaf-15ef-c92376252182"/>
    <d v="1989-10-07T06:46:29"/>
    <d v="1989-10-07T07:01:29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704.2"/>
    <n v="0"/>
    <m/>
    <x v="0"/>
  </r>
  <r>
    <s v="6b687f11-0721-ccaf-eee9-6982359345cd"/>
    <d v="1989-10-14T06:46:29"/>
    <d v="1989-10-14T09:10:57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3105.35"/>
    <n v="0"/>
    <n v="66383009"/>
    <x v="17"/>
  </r>
  <r>
    <s v="6b687f11-0721-ccaf-4629-050041e3f16c"/>
    <d v="1990-10-13T06:46:29"/>
    <d v="1990-10-13T07:01:29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704.2"/>
    <n v="0"/>
    <m/>
    <x v="0"/>
  </r>
  <r>
    <s v="6b687f11-0721-ccaf-1044-24ffbb575b34"/>
    <d v="1990-10-20T06:46:29"/>
    <d v="1990-10-20T12:17:55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4399.55"/>
    <n v="0"/>
    <n v="103697008"/>
    <x v="3"/>
  </r>
  <r>
    <s v="6b687f11-0721-ccaf-c2b7-31d376e4dd97"/>
    <d v="1991-10-19T06:46:29"/>
    <d v="1991-10-19T07:01:29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1125.22"/>
    <n v="0"/>
    <m/>
    <x v="0"/>
  </r>
  <r>
    <s v="6b687f11-0721-ccaf-f1ee-1cd6247be04d"/>
    <d v="1992-10-24T06:46:29"/>
    <d v="1992-10-24T07:07:17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1567"/>
    <n v="0"/>
    <m/>
    <x v="0"/>
  </r>
  <r>
    <s v="6b687f11-0721-ccaf-cd75-906c09a45984"/>
    <d v="1992-11-07T05:46:29"/>
    <d v="1992-11-07T08:36:43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3105.35"/>
    <n v="0"/>
    <n v="66383009"/>
    <x v="17"/>
  </r>
  <r>
    <s v="6b687f11-0721-ccaf-28ee-46d7dc8cc98f"/>
    <d v="1993-10-30T06:46:29"/>
    <d v="1993-10-30T07:10:51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704.2"/>
    <n v="0"/>
    <m/>
    <x v="0"/>
  </r>
  <r>
    <s v="6b687f11-0721-ccaf-d515-dcc733d24f0e"/>
    <d v="1993-11-13T05:46:29"/>
    <d v="1993-11-13T08:56:15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3105.35"/>
    <n v="0"/>
    <n v="103697008"/>
    <x v="3"/>
  </r>
  <r>
    <s v="6b687f11-0721-ccaf-60b3-178a73b27787"/>
    <d v="1994-09-16T06:46:29"/>
    <d v="1994-09-16T07:46:29"/>
    <s v="6b687f11-0721-ccaf-8796-5e929f37b755"/>
    <s v="1ef8d603-bec1-35f5-a830-2a0b919cf47f"/>
    <s v="ceef0c79-51c0-3fbc-995f-4eba373718da"/>
    <s v="26aab0cd-6aba-3e1b-ac5b-05c8867e762c"/>
    <x v="3"/>
    <n v="50849002"/>
    <s v="Emergency room admission (procedure)"/>
    <n v="146.18"/>
    <n v="146.18"/>
    <n v="0"/>
    <n v="110030002"/>
    <x v="69"/>
  </r>
  <r>
    <s v="6b687f11-0721-ccaf-c174-d2294cd05d88"/>
    <d v="1994-11-05T05:46:29"/>
    <d v="1994-11-05T06:01:29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704.2"/>
    <n v="0"/>
    <m/>
    <x v="0"/>
  </r>
  <r>
    <s v="6b687f11-0721-ccaf-2653-1e9e5b94f377"/>
    <d v="1994-11-30T05:46:29"/>
    <d v="1994-11-30T06:01:29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85.55"/>
    <n v="0"/>
    <n v="62106007"/>
    <x v="83"/>
  </r>
  <r>
    <s v="6b687f11-0721-ccaf-ad34-c99bdf909c45"/>
    <d v="1995-11-11T05:46:29"/>
    <d v="1995-11-11T06:03:25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704.2"/>
    <n v="0"/>
    <m/>
    <x v="0"/>
  </r>
  <r>
    <s v="6b687f11-0721-ccaf-c410-a2a0f3b79f5f"/>
    <d v="1995-11-25T05:46:29"/>
    <d v="1995-11-25T08:54:16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3105.35"/>
    <n v="0"/>
    <n v="103697008"/>
    <x v="3"/>
  </r>
  <r>
    <s v="6b687f11-0721-ccaf-36bd-174752e10552"/>
    <d v="1996-11-16T05:46:29"/>
    <d v="1996-11-16T06:01:29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996.84"/>
    <n v="0"/>
    <m/>
    <x v="0"/>
  </r>
  <r>
    <s v="6b687f11-0721-ccaf-d480-695dfddefb31"/>
    <d v="1996-11-30T05:46:29"/>
    <d v="1996-11-30T09:26:55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3105.35"/>
    <n v="0"/>
    <n v="103697008"/>
    <x v="3"/>
  </r>
  <r>
    <s v="6b687f11-0721-ccaf-2517-a9fbca99e343"/>
    <d v="1997-04-20T17:46:29"/>
    <d v="1997-04-20T18:01:29"/>
    <s v="6b687f11-0721-ccaf-8796-5e929f37b755"/>
    <s v="901c2d40-1ca3-3879-9a20-c663b8adc0a9"/>
    <s v="48b16ca9-484f-32b6-8ef7-96fe15ce872e"/>
    <s v="26aab0cd-6aba-3e1b-ac5b-05c8867e762c"/>
    <x v="1"/>
    <n v="185345009"/>
    <s v="Encounter for symptom (procedure)"/>
    <n v="85.55"/>
    <n v="85.55"/>
    <n v="0"/>
    <n v="195662009"/>
    <x v="9"/>
  </r>
  <r>
    <s v="6b687f11-0721-ccaf-7eef-be59bf7710e0"/>
    <d v="1997-11-22T05:46:29"/>
    <d v="1997-11-22T06:01:29"/>
    <s v="6b687f11-0721-ccaf-8796-5e929f37b755"/>
    <s v="655f2a4f-419c-39d3-8ed6-6c4117eb7e32"/>
    <s v="4cbda0da-7e40-3232-827d-abb75be40ff7"/>
    <s v="26aab0cd-6aba-3e1b-ac5b-05c8867e762c"/>
    <x v="0"/>
    <n v="410620009"/>
    <s v="Well child visit (procedure)"/>
    <n v="136.80000000000001"/>
    <n v="944.76"/>
    <n v="0"/>
    <m/>
    <x v="0"/>
  </r>
  <r>
    <s v="6b687f11-0721-ccaf-0bc5-beb37eae1d9b"/>
    <d v="1997-11-29T05:46:29"/>
    <d v="1997-11-29T11:44:16"/>
    <s v="6b687f11-0721-ccaf-8796-5e929f37b755"/>
    <s v="901c2d40-1ca3-3879-9a20-c663b8adc0a9"/>
    <s v="48b16ca9-484f-32b6-8ef7-96fe15ce872e"/>
    <s v="26aab0cd-6aba-3e1b-ac5b-05c8867e762c"/>
    <x v="1"/>
    <n v="185349003"/>
    <s v="Encounter for check up (procedure)"/>
    <n v="85.55"/>
    <n v="5262.35"/>
    <n v="67.87"/>
    <n v="103697008"/>
    <x v="3"/>
  </r>
  <r>
    <s v="6b687f11-0721-ccaf-2eb8-693c36e09cf4"/>
    <d v="1997-12-06T05:46:29"/>
    <d v="1997-12-06T06:01:29"/>
    <s v="6b687f11-0721-ccaf-8796-5e929f37b755"/>
    <s v="901c2d40-1ca3-3879-9a20-c663b8adc0a9"/>
    <s v="48b16ca9-484f-32b6-8ef7-96fe15ce872e"/>
    <s v="26aab0cd-6aba-3e1b-ac5b-05c8867e762c"/>
    <x v="1"/>
    <n v="185345009"/>
    <s v="Encounter for symptom (procedure)"/>
    <n v="85.55"/>
    <n v="85.55"/>
    <n v="51.33"/>
    <n v="444814009"/>
    <x v="2"/>
  </r>
  <r>
    <s v="6b687f11-0721-ccaf-daa4-523d0beedb7d"/>
    <d v="1998-10-08T06:46:29"/>
    <d v="1998-10-08T07:46:29"/>
    <s v="6b687f11-0721-ccaf-8796-5e929f37b755"/>
    <s v="1ef8d603-bec1-35f5-a830-2a0b919cf47f"/>
    <s v="ceef0c79-51c0-3fbc-995f-4eba373718da"/>
    <s v="26aab0cd-6aba-3e1b-ac5b-05c8867e762c"/>
    <x v="3"/>
    <n v="50849002"/>
    <s v="Emergency room admission (procedure)"/>
    <n v="146.18"/>
    <n v="146.18"/>
    <n v="87.71"/>
    <n v="110030002"/>
    <x v="69"/>
  </r>
  <r>
    <s v="6b687f11-0721-ccaf-c6bc-e72561afb13f"/>
    <d v="1998-10-17T06:46:29"/>
    <d v="1998-10-17T07:01:29"/>
    <s v="6b687f11-0721-ccaf-8796-5e929f37b755"/>
    <s v="655f2a4f-419c-39d3-8ed6-6c4117eb7e32"/>
    <s v="4cbda0da-7e40-3232-827d-abb75be40ff7"/>
    <s v="26aab0cd-6aba-3e1b-ac5b-05c8867e762c"/>
    <x v="0"/>
    <n v="308646001"/>
    <s v="Death Certification"/>
    <n v="136.80000000000001"/>
    <n v="211.38"/>
    <n v="0"/>
    <n v="110030002"/>
    <x v="69"/>
  </r>
  <r>
    <s v="a5816bea-ad10-431f-05b7-acd51fce6a6e"/>
    <d v="2009-03-15T16:25:29"/>
    <d v="2009-03-15T16:40:29"/>
    <s v="a5816bea-ad10-431f-1281-47baa2cf249b"/>
    <s v="217cb6f6-e822-3831-9d9d-ffa104971042"/>
    <s v="de263922-8964-3036-a192-c9528767cdc7"/>
    <s v="26aab0cd-6aba-3e1b-ac5b-05c8867e762c"/>
    <x v="1"/>
    <n v="185347001"/>
    <s v="Encounter for problem (procedure)"/>
    <n v="85.55"/>
    <n v="85.55"/>
    <n v="0"/>
    <n v="24079001"/>
    <x v="57"/>
  </r>
  <r>
    <s v="a5816bea-ad10-431f-4602-285e3fade212"/>
    <d v="2010-01-31T23:10:29"/>
    <d v="2010-01-31T23:25:29"/>
    <s v="a5816bea-ad10-431f-1281-47baa2cf249b"/>
    <s v="217cb6f6-e822-3831-9d9d-ffa104971042"/>
    <s v="de263922-8964-3036-a192-c9528767cdc7"/>
    <s v="26aab0cd-6aba-3e1b-ac5b-05c8867e762c"/>
    <x v="1"/>
    <n v="185347001"/>
    <s v="Encounter for problem (procedure)"/>
    <n v="85.55"/>
    <n v="85.55"/>
    <n v="51.33"/>
    <n v="102263004"/>
    <x v="62"/>
  </r>
  <r>
    <s v="a5816bea-ad10-431f-6cd4-9e367b41a769"/>
    <d v="2010-02-19T12:25:29"/>
    <d v="2010-02-19T12:52:35"/>
    <s v="a5816bea-ad10-431f-1281-47baa2cf249b"/>
    <s v="217cb6f6-e822-3831-9d9d-ffa104971042"/>
    <s v="de263922-8964-3036-a192-c9528767cdc7"/>
    <s v="26aab0cd-6aba-3e1b-ac5b-05c8867e762c"/>
    <x v="1"/>
    <n v="185347001"/>
    <s v="Encounter for problem (procedure)"/>
    <n v="85.55"/>
    <n v="516.95000000000005"/>
    <n v="310.17"/>
    <n v="609328004"/>
    <x v="11"/>
  </r>
  <r>
    <s v="a5816bea-ad10-431f-4ac3-5c69888cbebd"/>
    <d v="2013-10-28T16:25:29"/>
    <d v="2013-10-28T16:40:29"/>
    <s v="a5816bea-ad10-431f-1281-47baa2cf249b"/>
    <s v="217cb6f6-e822-3831-9d9d-ffa104971042"/>
    <s v="de263922-8964-3036-a192-c9528767cdc7"/>
    <s v="a735bf55-83e9-331a-899d-a82a60b9f60c"/>
    <x v="1"/>
    <n v="185345009"/>
    <s v="Encounter for symptom (procedure)"/>
    <n v="85.55"/>
    <n v="85.55"/>
    <n v="24.22"/>
    <n v="232353008"/>
    <x v="16"/>
  </r>
  <r>
    <s v="a5816bea-ad10-431f-6047-1b62aadd4ea2"/>
    <d v="2014-02-16T15:25:29"/>
    <d v="2014-02-16T15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248.2"/>
    <n v="998.56"/>
    <m/>
    <x v="0"/>
  </r>
  <r>
    <s v="a5816bea-ad10-431f-6613-a2797bf6385a"/>
    <d v="2017-03-05T15:25:29"/>
    <d v="2017-03-05T15:47:3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121.6300000000001"/>
    <n v="710.9"/>
    <m/>
    <x v="0"/>
  </r>
  <r>
    <s v="a5816bea-ad10-431f-8a9d-08105baa6521"/>
    <d v="2017-03-12T16:25:29"/>
    <d v="2017-03-12T19:31:32"/>
    <s v="a5816bea-ad10-431f-1281-47baa2cf249b"/>
    <s v="217cb6f6-e822-3831-9d9d-ffa104971042"/>
    <s v="de263922-8964-3036-a192-c9528767cdc7"/>
    <s v="a735bf55-83e9-331a-899d-a82a60b9f60c"/>
    <x v="1"/>
    <n v="185349003"/>
    <s v="Encounter for check up (procedure)"/>
    <n v="85.55"/>
    <n v="2673.95"/>
    <n v="1952.76"/>
    <n v="103697008"/>
    <x v="3"/>
  </r>
  <r>
    <s v="a5816bea-ad10-431f-8df2-bf2551ef4d3b"/>
    <d v="2018-02-18T15:25:29"/>
    <d v="2018-02-18T15:40:29"/>
    <s v="a5816bea-ad10-431f-1281-47baa2cf249b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78.58"/>
    <n v="222.86"/>
    <m/>
    <x v="0"/>
  </r>
  <r>
    <s v="a5816bea-ad10-431f-032d-53dd1e563d76"/>
    <d v="2018-02-25T15:25:29"/>
    <d v="2018-02-25T15:40:29"/>
    <s v="a5816bea-ad10-431f-1281-47baa2cf249b"/>
    <s v="217cb6f6-e822-3831-9d9d-ffa104971042"/>
    <s v="de263922-8964-3036-a192-c9528767cdc7"/>
    <s v="a735bf55-83e9-331a-899d-a82a60b9f60c"/>
    <x v="2"/>
    <n v="185349003"/>
    <s v="Encounter for check up (procedure)"/>
    <n v="85.55"/>
    <n v="516.95000000000005"/>
    <n v="413.56"/>
    <m/>
    <x v="0"/>
  </r>
  <r>
    <s v="a5816bea-ad10-431f-e315-b96b26a585d6"/>
    <d v="2018-03-04T15:25:29"/>
    <d v="2018-03-04T18:54:40"/>
    <s v="a5816bea-ad10-431f-1281-47baa2cf249b"/>
    <s v="217cb6f6-e822-3831-9d9d-ffa104971042"/>
    <s v="de263922-8964-3036-a192-c9528767cdc7"/>
    <s v="a735bf55-83e9-331a-899d-a82a60b9f60c"/>
    <x v="1"/>
    <n v="185349003"/>
    <s v="Encounter for check up (procedure)"/>
    <n v="85.55"/>
    <n v="3105.35"/>
    <n v="2484.2800000000002"/>
    <n v="66383009"/>
    <x v="17"/>
  </r>
  <r>
    <s v="a5816bea-ad10-431f-828c-6ee257676ef6"/>
    <d v="2018-03-11T16:25:29"/>
    <d v="2018-03-11T16:40:29"/>
    <s v="a5816bea-ad10-431f-1281-47baa2cf249b"/>
    <s v="217cb6f6-e822-3831-9d9d-ffa104971042"/>
    <s v="de263922-8964-3036-a192-c9528767cdc7"/>
    <s v="a735bf55-83e9-331a-899d-a82a60b9f60c"/>
    <x v="1"/>
    <n v="185345009"/>
    <s v="Encounter for symptom (procedure)"/>
    <n v="85.55"/>
    <n v="1130.95"/>
    <n v="718.36"/>
    <n v="195662009"/>
    <x v="9"/>
  </r>
  <r>
    <s v="a5816bea-ad10-431f-960e-09f179436e97"/>
    <d v="2018-03-18T16:25:29"/>
    <d v="2018-03-18T16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798.91"/>
    <n v="639.13"/>
    <m/>
    <x v="0"/>
  </r>
  <r>
    <s v="a5816bea-ad10-431f-1d58-a903bc1315c4"/>
    <d v="2018-03-25T16:25:29"/>
    <d v="2018-03-25T19:29:20"/>
    <s v="a5816bea-ad10-431f-1281-47baa2cf249b"/>
    <s v="217cb6f6-e822-3831-9d9d-ffa104971042"/>
    <s v="de263922-8964-3036-a192-c9528767cdc7"/>
    <s v="a735bf55-83e9-331a-899d-a82a60b9f60c"/>
    <x v="1"/>
    <n v="185349003"/>
    <s v="Encounter for check up (procedure)"/>
    <n v="85.55"/>
    <n v="3536.75"/>
    <n v="2829.4"/>
    <n v="103697008"/>
    <x v="3"/>
  </r>
  <r>
    <s v="a5816bea-ad10-431f-8349-ab659083a96b"/>
    <d v="2019-03-24T16:25:29"/>
    <d v="2019-03-24T16:41:45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919.9"/>
    <n v="549.52"/>
    <m/>
    <x v="0"/>
  </r>
  <r>
    <s v="a5816bea-ad10-431f-1912-0368974d40bd"/>
    <d v="2019-03-31T16:25:29"/>
    <d v="2019-03-31T19:20:14"/>
    <s v="a5816bea-ad10-431f-1281-47baa2cf249b"/>
    <s v="217cb6f6-e822-3831-9d9d-ffa104971042"/>
    <s v="de263922-8964-3036-a192-c9528767cdc7"/>
    <s v="a735bf55-83e9-331a-899d-a82a60b9f60c"/>
    <x v="1"/>
    <n v="185349003"/>
    <s v="Encounter for check up (procedure)"/>
    <n v="85.55"/>
    <n v="3105.35"/>
    <n v="2484.2800000000002"/>
    <n v="103697008"/>
    <x v="3"/>
  </r>
  <r>
    <s v="a5816bea-ad10-431f-5ea4-5863bdb673d0"/>
    <d v="2019-09-23T16:58:06"/>
    <d v="2019-09-23T17:58:06"/>
    <s v="a5816bea-ad10-431f-1281-47baa2cf249b"/>
    <s v="47fb5a56-bee5-3ecd-9958-706b20831c82"/>
    <s v="3da3901b-7832-347b-9e39-9fbecc1dc330"/>
    <s v="a735bf55-83e9-331a-899d-a82a60b9f60c"/>
    <x v="3"/>
    <n v="50849002"/>
    <s v="Emergency room admission (procedure)"/>
    <n v="146.18"/>
    <n v="146.18"/>
    <n v="116.94"/>
    <n v="384709000"/>
    <x v="13"/>
  </r>
  <r>
    <s v="a5816bea-ad10-431f-8f4b-6a3e9ab69ee0"/>
    <d v="2020-03-29T16:25:29"/>
    <d v="2020-03-29T16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755.38"/>
    <n v="417.9"/>
    <m/>
    <x v="0"/>
  </r>
  <r>
    <s v="a5816bea-ad10-431f-43ff-5002b226395e"/>
    <d v="2021-04-04T16:25:29"/>
    <d v="2021-04-04T16:51:07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278.78"/>
    <n v="836.62"/>
    <m/>
    <x v="0"/>
  </r>
  <r>
    <s v="a5816bea-ad10-431f-be0d-1ebd7c1ca24f"/>
    <d v="2021-04-18T16:25:29"/>
    <d v="2021-04-18T19:50:18"/>
    <s v="a5816bea-ad10-431f-1281-47baa2cf249b"/>
    <s v="217cb6f6-e822-3831-9d9d-ffa104971042"/>
    <s v="de263922-8964-3036-a192-c9528767cdc7"/>
    <s v="a735bf55-83e9-331a-899d-a82a60b9f60c"/>
    <x v="1"/>
    <n v="185349003"/>
    <s v="Encounter for check up (procedure)"/>
    <n v="85.55"/>
    <n v="3536.75"/>
    <n v="2829.4"/>
    <n v="103697008"/>
    <x v="3"/>
  </r>
  <r>
    <s v="a5816bea-ad10-431f-1500-4ec3838aa85c"/>
    <d v="2021-11-07T15:25:29"/>
    <d v="2021-11-07T15:40:29"/>
    <s v="a5816bea-ad10-431f-1281-47baa2cf249b"/>
    <s v="217cb6f6-e822-3831-9d9d-ffa104971042"/>
    <s v="de263922-8964-3036-a192-c9528767cdc7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a5816bea-ad10-431f-34d7-b6a45ae18269"/>
    <d v="2021-11-28T15:25:29"/>
    <d v="2021-11-28T15:40:29"/>
    <s v="a5816bea-ad10-431f-1281-47baa2cf249b"/>
    <s v="217cb6f6-e822-3831-9d9d-ffa104971042"/>
    <s v="de263922-8964-3036-a192-c9528767cdc7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a5816bea-ad10-431f-443b-4fd31daccbd1"/>
    <d v="2022-03-13T16:25:29"/>
    <d v="2022-03-13T16:44:42"/>
    <s v="a5816bea-ad10-431f-1281-47baa2cf249b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62.9000000000001"/>
    <n v="743.92"/>
    <m/>
    <x v="0"/>
  </r>
  <r>
    <s v="a5816bea-ad10-431f-279f-4df9e6e3f3ab"/>
    <d v="2022-03-20T16:25:29"/>
    <d v="2022-03-20T16:40:29"/>
    <s v="a5816bea-ad10-431f-1281-47baa2cf249b"/>
    <s v="217cb6f6-e822-3831-9d9d-ffa104971042"/>
    <s v="de263922-8964-3036-a192-c9528767cdc7"/>
    <s v="a735bf55-83e9-331a-899d-a82a60b9f60c"/>
    <x v="2"/>
    <n v="185349003"/>
    <s v="Encounter for check up (procedure)"/>
    <n v="85.55"/>
    <n v="697.68"/>
    <n v="558.14"/>
    <m/>
    <x v="0"/>
  </r>
  <r>
    <s v="a5816bea-ad10-431f-540c-328954e2b7d3"/>
    <d v="2022-03-27T16:25:29"/>
    <d v="2022-03-27T16:46:02"/>
    <s v="a5816bea-ad10-431f-1281-47baa2cf249b"/>
    <s v="217cb6f6-e822-3831-9d9d-ffa104971042"/>
    <s v="de263922-8964-3036-a192-c9528767cdc7"/>
    <s v="a735bf55-83e9-331a-899d-a82a60b9f60c"/>
    <x v="1"/>
    <n v="170837001"/>
    <s v="Allergic disorder initial assessment (regime/therapy)"/>
    <n v="142.58000000000001"/>
    <n v="573.98"/>
    <n v="459.18"/>
    <n v="609328004"/>
    <x v="11"/>
  </r>
  <r>
    <s v="a5816bea-ad10-431f-f88d-ed7fb59c9876"/>
    <d v="2022-04-03T16:25:29"/>
    <d v="2022-04-03T16:40:29"/>
    <s v="a5816bea-ad10-431f-1281-47baa2cf249b"/>
    <s v="217cb6f6-e822-3831-9d9d-ffa104971042"/>
    <s v="de263922-8964-3036-a192-c9528767cdc7"/>
    <s v="a735bf55-83e9-331a-899d-a82a60b9f60c"/>
    <x v="1"/>
    <n v="185345009"/>
    <s v="Encounter for symptom (procedure)"/>
    <n v="85.55"/>
    <n v="85.55"/>
    <n v="68.44"/>
    <n v="444814009"/>
    <x v="2"/>
  </r>
  <r>
    <s v="a5816bea-ad10-431f-f980-2b29e06412fd"/>
    <d v="2022-04-10T16:25:29"/>
    <d v="2022-04-10T16:43:34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783.9"/>
    <n v="627.12"/>
    <m/>
    <x v="0"/>
  </r>
  <r>
    <s v="a5816bea-ad10-431f-8bc1-52904e75c5a0"/>
    <d v="2022-04-21T16:46:02"/>
    <d v="2022-04-21T17:13:46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93f3-30f648ec913a"/>
    <d v="2022-05-15T17:13:46"/>
    <d v="2022-05-15T17:29:39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5d82-def3b04da629"/>
    <d v="2022-06-09T17:29:39"/>
    <d v="2022-06-09T18:28:3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9434.52"/>
    <n v="7547.61"/>
    <n v="609328004"/>
    <x v="11"/>
  </r>
  <r>
    <s v="a5816bea-ad10-431f-15de-ead2fdb09498"/>
    <d v="2022-07-05T18:28:35"/>
    <d v="2022-07-05T19:10:00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4ec7-b7046325136f"/>
    <d v="2022-08-01T19:10:00"/>
    <d v="2022-08-01T19:51:47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6943.48"/>
    <n v="5554.78"/>
    <n v="609328004"/>
    <x v="11"/>
  </r>
  <r>
    <s v="a5816bea-ad10-431f-3eaf-c964da2b67cb"/>
    <d v="2022-08-25T19:51:47"/>
    <d v="2022-08-25T20:12:1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a5816bea-ad10-431f-7c8c-cb2827a0628c"/>
    <d v="2022-09-20T20:12:13"/>
    <d v="2022-09-20T21:09:3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821.92"/>
    <n v="4657.53"/>
    <n v="609328004"/>
    <x v="11"/>
  </r>
  <r>
    <s v="a5816bea-ad10-431f-ad37-c3d4e3668a0a"/>
    <d v="2022-10-17T21:09:35"/>
    <d v="2022-10-17T21:24:5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0805.89"/>
    <n v="8644.7099999999991"/>
    <n v="609328004"/>
    <x v="11"/>
  </r>
  <r>
    <s v="a5816bea-ad10-431f-8dd0-126c6c2cf8d5"/>
    <d v="2022-11-09T20:24:55"/>
    <d v="2022-11-09T21:08:46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9477.9699999999993"/>
    <n v="7582.37"/>
    <n v="609328004"/>
    <x v="11"/>
  </r>
  <r>
    <s v="a5816bea-ad10-431f-8209-21a0d852a0a3"/>
    <d v="2022-12-04T21:08:46"/>
    <d v="2022-12-04T21:51:4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7442.23"/>
    <n v="5953.78"/>
    <n v="609328004"/>
    <x v="11"/>
  </r>
  <r>
    <s v="a5816bea-ad10-431f-da06-941aeaa2c176"/>
    <d v="2022-12-27T21:51:45"/>
    <d v="2022-12-27T22:51:17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3bd5-ae5634f6014c"/>
    <d v="2023-01-23T22:51:17"/>
    <d v="2023-01-23T23:48:29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5547-c998e863d828"/>
    <d v="2023-02-18T23:48:29"/>
    <d v="2023-02-19T00:35:19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9be5-e9e7ede9d972"/>
    <d v="2023-03-08T15:25:29"/>
    <d v="2023-03-08T15:40:29"/>
    <s v="a5816bea-ad10-431f-1281-47baa2cf249b"/>
    <s v="217cb6f6-e822-3831-9d9d-ffa104971042"/>
    <s v="de263922-8964-3036-a192-c9528767cdc7"/>
    <s v="a735bf55-83e9-331a-899d-a82a60b9f60c"/>
    <x v="2"/>
    <n v="698314001"/>
    <s v="Consultation for treatment (procedure)"/>
    <n v="142.58000000000001"/>
    <n v="1250.8499999999999"/>
    <n v="1000.68"/>
    <n v="389095005"/>
    <x v="15"/>
  </r>
  <r>
    <s v="a5816bea-ad10-431f-39fa-6525a77fd19a"/>
    <d v="2023-03-13T01:35:19"/>
    <d v="2023-03-13T02:26:2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1839.89"/>
    <n v="9285.51"/>
    <n v="609328004"/>
    <x v="11"/>
  </r>
  <r>
    <s v="a5816bea-ad10-431f-bfb8-c87dc3541a54"/>
    <d v="2023-04-09T02:26:23"/>
    <d v="2023-04-09T02:53:0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092f-20470db33b46"/>
    <d v="2023-04-16T16:25:29"/>
    <d v="2023-04-16T16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157.2"/>
    <n v="925.76"/>
    <m/>
    <x v="0"/>
  </r>
  <r>
    <s v="a5816bea-ad10-431f-270c-bacef17d2b18"/>
    <d v="2023-05-04T02:53:04"/>
    <d v="2023-05-04T03:42:1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3406-c446db0b4f14"/>
    <d v="2023-05-30T03:42:14"/>
    <d v="2023-05-30T04:12:57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b4f8-87bb00c0dbdb"/>
    <d v="2023-06-18T16:25:29"/>
    <d v="2023-06-18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2636.75"/>
    <n v="2109.4"/>
    <n v="389095005"/>
    <x v="15"/>
  </r>
  <r>
    <s v="a5816bea-ad10-431f-d04c-97f15abc583f"/>
    <d v="2023-06-26T04:12:57"/>
    <d v="2023-06-26T04:51:2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9335.8700000000008"/>
    <n v="7468.69"/>
    <n v="609328004"/>
    <x v="11"/>
  </r>
  <r>
    <s v="a5816bea-ad10-431f-3f5c-8b0fe6a994c2"/>
    <d v="2023-07-20T04:51:25"/>
    <d v="2023-07-20T05:13:3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6277.65"/>
    <n v="5022.12"/>
    <n v="609328004"/>
    <x v="11"/>
  </r>
  <r>
    <s v="a5816bea-ad10-431f-e567-d7b8fbd7bb0e"/>
    <d v="2023-08-10T05:13:33"/>
    <d v="2023-08-10T06:03:2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2914.18"/>
    <n v="10331.34"/>
    <n v="609328004"/>
    <x v="11"/>
  </r>
  <r>
    <s v="a5816bea-ad10-431f-db79-1cbb47bb4c39"/>
    <d v="2023-09-02T06:03:23"/>
    <d v="2023-09-02T06:23:16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3cfc-25d27a4f1820"/>
    <d v="2023-09-17T16:25:29"/>
    <d v="2023-09-17T16:44:53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5a2b-93bbb9e8c7f4"/>
    <d v="2023-09-25T06:23:16"/>
    <d v="2023-09-25T07:03:4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87b5-92f387820b13"/>
    <d v="2023-10-20T07:03:45"/>
    <d v="2023-10-20T07:55:19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9682.939999999999"/>
    <n v="15746.35"/>
    <n v="609328004"/>
    <x v="11"/>
  </r>
  <r>
    <s v="a5816bea-ad10-431f-b4ac-03aa9160c938"/>
    <d v="2023-11-10T06:55:19"/>
    <d v="2023-11-10T07:22:01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5492.23"/>
    <n v="12393.78"/>
    <n v="609328004"/>
    <x v="11"/>
  </r>
  <r>
    <s v="a5816bea-ad10-431f-d235-69793c96f3b1"/>
    <d v="2023-12-01T07:22:01"/>
    <d v="2023-12-01T07:53:5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a5816bea-ad10-431f-0b19-134eff8232ec"/>
    <d v="2023-12-17T15:25:29"/>
    <d v="2023-12-17T15:40:41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19f6-05c997f41861"/>
    <d v="2023-12-25T07:53:52"/>
    <d v="2023-12-25T08:15:51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8790.2800000000007"/>
    <n v="7032.22"/>
    <n v="609328004"/>
    <x v="11"/>
  </r>
  <r>
    <s v="a5816bea-ad10-431f-1d06-c382c093d31a"/>
    <d v="2024-01-18T08:15:51"/>
    <d v="2024-01-18T08:47:19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e183-c8c0e1b9bfdd"/>
    <d v="2024-02-10T08:47:19"/>
    <d v="2024-02-10T09:22:30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a5816bea-ad10-431f-7d58-98000a6fe67b"/>
    <d v="2024-03-02T15:38:02"/>
    <d v="2024-03-02T15:53:02"/>
    <s v="a5816bea-ad10-431f-1281-47baa2cf249b"/>
    <s v="217cb6f6-e822-3831-9d9d-ffa104971042"/>
    <s v="de263922-8964-3036-a192-c9528767cdc7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a5816bea-ad10-431f-d67f-b247caa77d57"/>
    <d v="2024-03-06T09:22:30"/>
    <d v="2024-03-06T10:13:0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56ef-2646ac2a30ce"/>
    <d v="2024-03-17T16:25:29"/>
    <d v="2024-03-17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2304.71"/>
    <n v="1657.37"/>
    <n v="389095005"/>
    <x v="15"/>
  </r>
  <r>
    <s v="a5816bea-ad10-431f-3f67-bd62b15c62bc"/>
    <d v="2024-04-01T11:13:02"/>
    <d v="2024-04-01T11:28:0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6bbb-cac935c662b6"/>
    <d v="2024-04-21T16:25:29"/>
    <d v="2024-04-21T16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567"/>
    <n v="1253.5999999999999"/>
    <m/>
    <x v="0"/>
  </r>
  <r>
    <s v="a5816bea-ad10-431f-ae95-4ca8531e52e0"/>
    <d v="2024-04-26T11:28:02"/>
    <d v="2024-04-26T11:53:5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4700.22"/>
    <n v="11760.17"/>
    <n v="609328004"/>
    <x v="11"/>
  </r>
  <r>
    <s v="a5816bea-ad10-431f-0da2-c89576242b59"/>
    <d v="2024-05-22T11:53:54"/>
    <d v="2024-05-22T12:44:17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a9dc-824ffee043cb"/>
    <d v="2024-06-16T16:25:29"/>
    <d v="2024-06-16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4575.68"/>
    <n v="3660.54"/>
    <n v="389095005"/>
    <x v="15"/>
  </r>
  <r>
    <s v="a5816bea-ad10-431f-b923-479d0de6bf77"/>
    <d v="2024-06-30T16:25:29"/>
    <d v="2024-06-30T17:07:3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a5816bea-ad10-431f-690d-7fb87ec4f860"/>
    <d v="2024-07-27T17:07:35"/>
    <d v="2024-07-27T17:59:0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6e59-7f009feb3309"/>
    <d v="2024-08-18T17:59:03"/>
    <d v="2024-08-18T18:50:4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8952.2800000000007"/>
    <n v="7161.82"/>
    <n v="609328004"/>
    <x v="11"/>
  </r>
  <r>
    <s v="a5816bea-ad10-431f-3d0a-4f431a094ba7"/>
    <d v="2024-09-13T18:50:45"/>
    <d v="2024-09-13T19:44:20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cd88-41c949b5d5f5"/>
    <d v="2024-09-15T16:25:29"/>
    <d v="2024-09-15T16:41:4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2778.22"/>
    <n v="2222.5700000000002"/>
    <n v="389095005"/>
    <x v="15"/>
  </r>
  <r>
    <s v="a5816bea-ad10-431f-8214-57fc54187639"/>
    <d v="2024-10-07T19:44:20"/>
    <d v="2024-10-07T20:11:09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72e6-08aded69ea97"/>
    <d v="2024-11-01T20:11:09"/>
    <d v="2024-11-01T20:45:3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da0f-ffbc4746e7d7"/>
    <d v="2024-11-22T19:45:34"/>
    <d v="2024-11-22T20:36:4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7817.26"/>
    <n v="6253.8"/>
    <n v="609328004"/>
    <x v="11"/>
  </r>
  <r>
    <s v="a5816bea-ad10-431f-d9ca-732e8a12439d"/>
    <d v="2024-12-15T15:25:29"/>
    <d v="2024-12-15T15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fe19-d75b5ad7c058"/>
    <d v="2024-12-29T15:25:29"/>
    <d v="2024-12-29T16:14:3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1605.94"/>
    <n v="9284.75"/>
    <n v="609328004"/>
    <x v="11"/>
  </r>
  <r>
    <s v="a5816bea-ad10-431f-fa2e-6cc96de9d7a0"/>
    <d v="2025-01-25T16:14:34"/>
    <d v="2025-01-25T16:54:00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8749.42"/>
    <n v="6999.53"/>
    <n v="609328004"/>
    <x v="11"/>
  </r>
  <r>
    <s v="a5816bea-ad10-431f-a2c6-6124b14700de"/>
    <d v="2025-02-18T16:54:00"/>
    <d v="2025-02-18T17:39:47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6574.83"/>
    <n v="5259.86"/>
    <n v="609328004"/>
    <x v="11"/>
  </r>
  <r>
    <s v="a5816bea-ad10-431f-39db-2e8303885e4d"/>
    <d v="2025-03-15T18:39:47"/>
    <d v="2025-03-15T18:56:5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5169.23"/>
    <n v="11948.98"/>
    <n v="609328004"/>
    <x v="11"/>
  </r>
  <r>
    <s v="a5816bea-ad10-431f-16f9-8273dc5d404c"/>
    <d v="2025-03-16T16:25:29"/>
    <d v="2025-03-16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3fd2-73421bfcc459"/>
    <d v="2025-04-10T18:56:53"/>
    <d v="2025-04-10T19:33:41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fab9-3bf476003f23"/>
    <d v="2025-04-27T16:25:29"/>
    <d v="2025-04-27T16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130.48"/>
    <n v="904.38"/>
    <m/>
    <x v="0"/>
  </r>
  <r>
    <s v="a5816bea-ad10-431f-1f94-3f2b55f6fdb6"/>
    <d v="2025-05-03T19:33:41"/>
    <d v="2025-05-03T19:57:2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a5816bea-ad10-431f-cbfd-3cbe950c9c7e"/>
    <d v="2025-05-29T19:57:23"/>
    <d v="2025-05-29T20:17:5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20626.96"/>
    <n v="16501.560000000001"/>
    <n v="609328004"/>
    <x v="11"/>
  </r>
  <r>
    <s v="a5816bea-ad10-431f-8525-c2d9c32e68ba"/>
    <d v="2025-06-15T16:25:29"/>
    <d v="2025-06-15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0d7a-062f6695a7de"/>
    <d v="2025-06-23T20:17:52"/>
    <d v="2025-06-23T21:03:53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0712.31"/>
    <n v="8569.84"/>
    <n v="609328004"/>
    <x v="11"/>
  </r>
  <r>
    <s v="a5816bea-ad10-431f-4bdc-94c1dc419d59"/>
    <d v="2025-07-20T21:03:53"/>
    <d v="2025-07-20T22:00:18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464.81"/>
    <n v="4371.84"/>
    <n v="609328004"/>
    <x v="11"/>
  </r>
  <r>
    <s v="a5816bea-ad10-431f-e663-26a8588323d4"/>
    <d v="2025-08-13T22:00:18"/>
    <d v="2025-08-13T22:55:28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ebab-0e440671f697"/>
    <d v="2025-09-06T22:55:28"/>
    <d v="2025-09-06T23:29:4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0199.6"/>
    <n v="8159.68"/>
    <n v="609328004"/>
    <x v="11"/>
  </r>
  <r>
    <s v="a5816bea-ad10-431f-debb-e339cb13994e"/>
    <d v="2025-09-14T16:25:29"/>
    <d v="2025-09-14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898.12"/>
    <n v="1518.49"/>
    <n v="389095005"/>
    <x v="15"/>
  </r>
  <r>
    <s v="a5816bea-ad10-431f-e616-835f7349d0e3"/>
    <d v="2025-09-28T23:29:44"/>
    <d v="2025-09-28T23:55:4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c87b-0741f53eb006"/>
    <d v="2025-10-22T23:55:45"/>
    <d v="2025-10-23T00:13:1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8657.53"/>
    <n v="14926.02"/>
    <n v="609328004"/>
    <x v="11"/>
  </r>
  <r>
    <s v="a5816bea-ad10-431f-2b9b-74a34606c606"/>
    <d v="2025-11-14T23:13:12"/>
    <d v="2025-11-15T00:12:56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64ec-d09482dbf641"/>
    <d v="2025-12-09T00:12:56"/>
    <d v="2025-12-09T01:03:38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2565-bf78fc97df59"/>
    <d v="2025-12-14T15:25:29"/>
    <d v="2025-12-14T15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a671-bd3c80b0a423"/>
    <d v="2025-12-30T01:03:38"/>
    <d v="2025-12-30T01:44:5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9213-9fd33005813c"/>
    <d v="2026-01-26T01:44:52"/>
    <d v="2026-01-26T02:06:54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7037.39"/>
    <n v="13629.91"/>
    <n v="609328004"/>
    <x v="11"/>
  </r>
  <r>
    <s v="a5816bea-ad10-431f-2f3e-5900c8d82323"/>
    <d v="2026-02-16T02:06:54"/>
    <d v="2026-02-16T02:54:0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5263.67"/>
    <n v="4210.93"/>
    <n v="609328004"/>
    <x v="11"/>
  </r>
  <r>
    <s v="a5816bea-ad10-431f-3b00-f32245df35ab"/>
    <d v="2026-03-13T03:54:02"/>
    <d v="2026-03-13T04:12:22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4013.3"/>
    <n v="11024.24"/>
    <n v="609328004"/>
    <x v="11"/>
  </r>
  <r>
    <s v="a5816bea-ad10-431f-a8a3-f9256cf865ed"/>
    <d v="2026-03-15T16:25:29"/>
    <d v="2026-03-15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50.8499999999999"/>
    <n v="1000.68"/>
    <n v="389095005"/>
    <x v="15"/>
  </r>
  <r>
    <s v="a5816bea-ad10-431f-4637-f1adcff4bbf4"/>
    <d v="2026-04-03T04:12:22"/>
    <d v="2026-04-03T05:03:25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7193.52"/>
    <n v="5754.81"/>
    <n v="609328004"/>
    <x v="11"/>
  </r>
  <r>
    <s v="a5816bea-ad10-431f-4b02-c3b470906f16"/>
    <d v="2026-04-25T05:03:25"/>
    <d v="2026-04-25T05:49:08"/>
    <s v="a5816bea-ad10-431f-1281-47baa2cf249b"/>
    <s v="217cb6f6-e822-3831-9d9d-ffa104971042"/>
    <s v="de263922-8964-3036-a192-c9528767cdc7"/>
    <s v="a735bf55-83e9-331a-899d-a82a60b9f60c"/>
    <x v="1"/>
    <n v="371883000"/>
    <s v="Outpatient procedure (procedure)"/>
    <n v="142.58000000000001"/>
    <n v="14311.78"/>
    <n v="11449.42"/>
    <n v="609328004"/>
    <x v="11"/>
  </r>
  <r>
    <s v="a5816bea-ad10-431f-4932-5153e2c4ffdf"/>
    <d v="2026-05-03T16:25:29"/>
    <d v="2026-05-03T16:40:29"/>
    <s v="a5816bea-ad10-431f-1281-47baa2cf249b"/>
    <s v="980d9bfa-a344-3bff-8c02-232dd0e8fd34"/>
    <s v="3dc9b3d2-07f5-3abd-9e5b-40923fb40ac2"/>
    <s v="a735bf55-83e9-331a-899d-a82a60b9f60c"/>
    <x v="0"/>
    <n v="410620009"/>
    <s v="Well child visit (procedure)"/>
    <n v="136.80000000000001"/>
    <n v="1544.25"/>
    <n v="1235.4000000000001"/>
    <m/>
    <x v="0"/>
  </r>
  <r>
    <s v="a5816bea-ad10-431f-5541-91f0d4eeb13c"/>
    <d v="2026-05-21T05:49:08"/>
    <d v="2026-05-21T06:26:41"/>
    <s v="a5816bea-ad10-431f-1281-47baa2cf249b"/>
    <s v="217cb6f6-e822-3831-9d9d-ffa104971042"/>
    <s v="de263922-8964-3036-a192-c9528767cdc7"/>
    <s v="a735bf55-83e9-331a-899d-a82a60b9f60c"/>
    <x v="1"/>
    <n v="170838006"/>
    <s v="Allergic disorder follow-up assessment (regime/therapy)"/>
    <n v="142.58000000000001"/>
    <n v="573.98"/>
    <n v="459.18"/>
    <n v="609328004"/>
    <x v="11"/>
  </r>
  <r>
    <s v="a5816bea-ad10-431f-2a10-3e174a5a40b8"/>
    <d v="2026-06-14T16:25:29"/>
    <d v="2026-06-14T16:40:29"/>
    <s v="a5816bea-ad10-431f-1281-47baa2cf249b"/>
    <s v="217cb6f6-e822-3831-9d9d-ffa104971042"/>
    <s v="de263922-8964-3036-a192-c9528767cdc7"/>
    <s v="a735bf55-83e9-331a-899d-a82a60b9f60c"/>
    <x v="2"/>
    <n v="308335008"/>
    <s v="Patient encounter procedure (procedure)"/>
    <n v="142.58000000000001"/>
    <n v="1274.57"/>
    <n v="1019.65"/>
    <n v="389095005"/>
    <x v="15"/>
  </r>
  <r>
    <s v="1e32a1a3-3638-cb8c-5787-7cf71d3f820f"/>
    <d v="2017-07-23T08:11:43"/>
    <d v="2017-07-23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816.8"/>
    <n v="0"/>
    <m/>
    <x v="0"/>
  </r>
  <r>
    <s v="1e32a1a3-3638-cb8c-1274-fda233b661b9"/>
    <d v="2018-07-02T03:11:43"/>
    <d v="2018-07-02T03:26:43"/>
    <s v="1e32a1a3-3638-cb8c-7253-ff98a97dc0fe"/>
    <s v="20df65a4-7567-3066-b680-0f71b0c31d38"/>
    <s v="9a73a8af-46ec-3eeb-844d-5effdce3223b"/>
    <s v="d31fccc3-1767-390d-966a-22a5156f4219"/>
    <x v="1"/>
    <n v="185345009"/>
    <s v="Encounter for symptom (procedure)"/>
    <n v="85.55"/>
    <n v="1691.34"/>
    <n v="186.67"/>
    <n v="195662009"/>
    <x v="9"/>
  </r>
  <r>
    <s v="1e32a1a3-3638-cb8c-6db1-474aa7cbc240"/>
    <d v="2018-07-29T08:11:43"/>
    <d v="2018-07-29T08:30:27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1425.26"/>
    <n v="1140.2"/>
    <m/>
    <x v="0"/>
  </r>
  <r>
    <s v="1e32a1a3-3638-cb8c-3bf3-e25cb03c3c51"/>
    <d v="2018-08-05T08:11:43"/>
    <d v="2018-08-05T12:12:07"/>
    <s v="1e32a1a3-3638-cb8c-7253-ff98a97dc0fe"/>
    <s v="20df65a4-7567-3066-b680-0f71b0c31d38"/>
    <s v="9a73a8af-46ec-3eeb-844d-5effdce3223b"/>
    <s v="d31fccc3-1767-390d-966a-22a5156f4219"/>
    <x v="1"/>
    <n v="185349003"/>
    <s v="Encounter for check up (procedure)"/>
    <n v="85.55"/>
    <n v="3536.75"/>
    <n v="2829.4"/>
    <n v="103697008"/>
    <x v="3"/>
  </r>
  <r>
    <s v="1e32a1a3-3638-cb8c-991a-1c67a5b8417b"/>
    <d v="2018-08-17T12:11:43"/>
    <d v="2018-08-17T12:26:43"/>
    <s v="1e32a1a3-3638-cb8c-7253-ff98a97dc0fe"/>
    <s v="20df65a4-7567-3066-b680-0f71b0c31d38"/>
    <s v="9a73a8af-46ec-3eeb-844d-5effdce3223b"/>
    <s v="d31fccc3-1767-390d-966a-22a5156f4219"/>
    <x v="1"/>
    <n v="185345009"/>
    <s v="Encounter for symptom (procedure)"/>
    <n v="85.55"/>
    <n v="85.55"/>
    <n v="68.44"/>
    <n v="444814009"/>
    <x v="2"/>
  </r>
  <r>
    <s v="1e32a1a3-3638-cb8c-b17e-bc6eedcd36ff"/>
    <d v="2019-08-04T08:11:43"/>
    <d v="2019-08-04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488.5"/>
    <n v="390.8"/>
    <m/>
    <x v="0"/>
  </r>
  <r>
    <s v="1e32a1a3-3638-cb8c-de71-1a3764835653"/>
    <d v="2019-08-11T08:11:43"/>
    <d v="2019-08-11T08:26:43"/>
    <s v="1e32a1a3-3638-cb8c-7253-ff98a97dc0fe"/>
    <s v="20df65a4-7567-3066-b680-0f71b0c31d38"/>
    <s v="9a73a8af-46ec-3eeb-844d-5effdce3223b"/>
    <s v="d31fccc3-1767-390d-966a-22a5156f4219"/>
    <x v="1"/>
    <n v="185345009"/>
    <s v="Encounter for symptom (procedure)"/>
    <n v="85.55"/>
    <n v="85.55"/>
    <n v="68.44"/>
    <n v="444814009"/>
    <x v="2"/>
  </r>
  <r>
    <s v="1e32a1a3-3638-cb8c-9246-e1d48a9360d0"/>
    <d v="2020-08-09T08:11:43"/>
    <d v="2020-08-09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272.8"/>
    <n v="0"/>
    <m/>
    <x v="0"/>
  </r>
  <r>
    <s v="1e32a1a3-3638-cb8c-9e34-1718b69faaba"/>
    <d v="2021-03-28T22:11:43"/>
    <d v="2021-03-28T22:26:43"/>
    <s v="1e32a1a3-3638-cb8c-7253-ff98a97dc0fe"/>
    <s v="20df65a4-7567-3066-b680-0f71b0c31d38"/>
    <s v="9a73a8af-46ec-3eeb-844d-5effdce3223b"/>
    <s v="d31fccc3-1767-390d-966a-22a5156f4219"/>
    <x v="1"/>
    <n v="185345009"/>
    <s v="Encounter for symptom (procedure)"/>
    <n v="85.55"/>
    <n v="85.55"/>
    <n v="0"/>
    <n v="444814009"/>
    <x v="2"/>
  </r>
  <r>
    <s v="1e32a1a3-3638-cb8c-768d-c05bef427754"/>
    <d v="2021-08-15T08:11:43"/>
    <d v="2021-08-15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488.5"/>
    <n v="0"/>
    <m/>
    <x v="0"/>
  </r>
  <r>
    <s v="1e32a1a3-3638-cb8c-f45a-e036a6fd0936"/>
    <d v="2022-08-21T08:11:43"/>
    <d v="2022-08-21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488.5"/>
    <n v="0"/>
    <m/>
    <x v="0"/>
  </r>
  <r>
    <s v="1e32a1a3-3638-cb8c-c959-1a5efa8a5b13"/>
    <d v="2023-08-14T21:11:43"/>
    <d v="2023-08-14T21:26:43"/>
    <s v="1e32a1a3-3638-cb8c-7253-ff98a97dc0fe"/>
    <s v="20df65a4-7567-3066-b680-0f71b0c31d38"/>
    <s v="9a73a8af-46ec-3eeb-844d-5effdce3223b"/>
    <s v="d31fccc3-1767-390d-966a-22a5156f4219"/>
    <x v="1"/>
    <n v="185345009"/>
    <s v="Encounter for symptom (procedure)"/>
    <n v="85.55"/>
    <n v="85.55"/>
    <n v="0"/>
    <n v="444814009"/>
    <x v="2"/>
  </r>
  <r>
    <s v="1e32a1a3-3638-cb8c-8333-1b9a103db7c6"/>
    <d v="2023-08-27T08:11:43"/>
    <d v="2023-08-27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1186.78"/>
    <n v="0"/>
    <m/>
    <x v="0"/>
  </r>
  <r>
    <s v="1e32a1a3-3638-cb8c-18c8-22a2678d59df"/>
    <d v="2023-09-03T08:11:43"/>
    <d v="2023-09-03T11:10:03"/>
    <s v="1e32a1a3-3638-cb8c-7253-ff98a97dc0fe"/>
    <s v="20df65a4-7567-3066-b680-0f71b0c31d38"/>
    <s v="9a73a8af-46ec-3eeb-844d-5effdce3223b"/>
    <s v="d31fccc3-1767-390d-966a-22a5156f4219"/>
    <x v="1"/>
    <n v="185349003"/>
    <s v="Encounter for check up (procedure)"/>
    <n v="85.55"/>
    <n v="2673.95"/>
    <n v="1990.62"/>
    <n v="66383009"/>
    <x v="17"/>
  </r>
  <r>
    <s v="1e32a1a3-3638-cb8c-d864-c5d4fee1904e"/>
    <d v="2024-03-16T01:11:43"/>
    <d v="2024-03-16T01:26:43"/>
    <s v="1e32a1a3-3638-cb8c-7253-ff98a97dc0fe"/>
    <s v="20df65a4-7567-3066-b680-0f71b0c31d38"/>
    <s v="9a73a8af-46ec-3eeb-844d-5effdce3223b"/>
    <s v="d31fccc3-1767-390d-966a-22a5156f4219"/>
    <x v="1"/>
    <n v="185345009"/>
    <s v="Encounter for symptom (procedure)"/>
    <n v="85.55"/>
    <n v="2398.58"/>
    <n v="1918.86"/>
    <n v="195662009"/>
    <x v="9"/>
  </r>
  <r>
    <s v="1e32a1a3-3638-cb8c-85b0-6807baa6a927"/>
    <d v="2024-08-25T08:11:43"/>
    <d v="2024-08-25T08:26:43"/>
    <s v="1e32a1a3-3638-cb8c-7253-ff98a97dc0fe"/>
    <s v="20df65a4-7567-3066-b680-0f71b0c31d38"/>
    <s v="9a73a8af-46ec-3eeb-844d-5effdce3223b"/>
    <s v="d31fccc3-1767-390d-966a-22a5156f4219"/>
    <x v="2"/>
    <n v="33879002"/>
    <s v="Administration of vaccine to produce active immunity (procedure)"/>
    <n v="142.58000000000001"/>
    <n v="278.58"/>
    <n v="0"/>
    <m/>
    <x v="0"/>
  </r>
  <r>
    <s v="1e32a1a3-3638-cb8c-3a45-d683923b4572"/>
    <d v="2024-09-01T08:11:43"/>
    <d v="2024-09-01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1132.78"/>
    <n v="0"/>
    <m/>
    <x v="0"/>
  </r>
  <r>
    <s v="1e32a1a3-3638-cb8c-5eac-aba6dfeb8cf4"/>
    <d v="2024-09-15T08:11:43"/>
    <d v="2024-09-15T08:26:43"/>
    <s v="1e32a1a3-3638-cb8c-7253-ff98a97dc0fe"/>
    <s v="20df65a4-7567-3066-b680-0f71b0c31d38"/>
    <s v="9a73a8af-46ec-3eeb-844d-5effdce3223b"/>
    <s v="d31fccc3-1767-390d-966a-22a5156f4219"/>
    <x v="2"/>
    <n v="33879002"/>
    <s v="Administration of vaccine to produce active immunity (procedure)"/>
    <n v="142.58000000000001"/>
    <n v="278.58"/>
    <n v="185.55"/>
    <m/>
    <x v="0"/>
  </r>
  <r>
    <s v="1e32a1a3-3638-cb8c-2e82-7a7f53df174c"/>
    <d v="2025-09-07T08:11:43"/>
    <d v="2025-09-07T08:26:43"/>
    <s v="1e32a1a3-3638-cb8c-7253-ff98a97dc0fe"/>
    <s v="545dcda5-7471-374e-9251-b4b685197d3c"/>
    <s v="46c29449-4e5d-305e-8fe3-95afba1f5cea"/>
    <s v="d31fccc3-1767-390d-966a-22a5156f4219"/>
    <x v="0"/>
    <n v="410620009"/>
    <s v="Well child visit (procedure)"/>
    <n v="136.80000000000001"/>
    <n v="1370.02"/>
    <n v="0"/>
    <m/>
    <x v="0"/>
  </r>
  <r>
    <s v="1e32a1a3-3638-cb8c-ced1-520547e8458e"/>
    <d v="2025-09-21T08:11:43"/>
    <d v="2025-09-21T11:14:09"/>
    <s v="1e32a1a3-3638-cb8c-7253-ff98a97dc0fe"/>
    <s v="20df65a4-7567-3066-b680-0f71b0c31d38"/>
    <s v="9a73a8af-46ec-3eeb-844d-5effdce3223b"/>
    <s v="d31fccc3-1767-390d-966a-22a5156f4219"/>
    <x v="1"/>
    <n v="185349003"/>
    <s v="Encounter for check up (procedure)"/>
    <n v="85.55"/>
    <n v="3105.35"/>
    <n v="2413.9"/>
    <n v="103697008"/>
    <x v="3"/>
  </r>
  <r>
    <s v="197ec76f-0730-2587-431f-931a6906c5f9"/>
    <d v="2012-06-06T21:11:59"/>
    <d v="2012-06-06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816.8"/>
    <n v="0"/>
    <m/>
    <x v="0"/>
  </r>
  <r>
    <s v="197ec76f-0730-2587-99a4-0cd3962d2d88"/>
    <d v="2017-07-05T21:11:59"/>
    <d v="2017-07-05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272.8"/>
    <n v="0"/>
    <m/>
    <x v="0"/>
  </r>
  <r>
    <s v="197ec76f-0730-2587-eb46-f3b320a0bcc3"/>
    <d v="2018-07-11T21:11:59"/>
    <d v="2018-07-11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971.08"/>
    <n v="0"/>
    <m/>
    <x v="0"/>
  </r>
  <r>
    <s v="197ec76f-0730-2587-e903-4e549149ec81"/>
    <d v="2019-07-17T21:11:59"/>
    <d v="2019-07-17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1055.9000000000001"/>
    <n v="0"/>
    <m/>
    <x v="0"/>
  </r>
  <r>
    <s v="197ec76f-0730-2587-d933-020381652a2b"/>
    <d v="2020-07-22T21:11:59"/>
    <d v="2020-07-22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1284.98"/>
    <n v="0"/>
    <m/>
    <x v="0"/>
  </r>
  <r>
    <s v="197ec76f-0730-2587-0723-f135a210228f"/>
    <d v="2021-06-23T21:11:59"/>
    <d v="2021-06-23T21:26:59"/>
    <s v="197ec76f-0730-2587-9ff9-a0f60104a782"/>
    <s v="18df2721-3f76-3f83-94d5-63597cedd298"/>
    <s v="cb4dc47a-a7f2-3191-a0c9-2973b1304fa7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197ec76f-0730-2587-aa85-041089b90257"/>
    <d v="2021-07-14T21:11:59"/>
    <d v="2021-07-14T21:26:59"/>
    <s v="197ec76f-0730-2587-9ff9-a0f60104a782"/>
    <s v="18df2721-3f76-3f83-94d5-63597cedd298"/>
    <s v="cb4dc47a-a7f2-3191-a0c9-2973b1304fa7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197ec76f-0730-2587-61db-ec1076983e0f"/>
    <d v="2021-07-28T21:11:59"/>
    <d v="2021-07-28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272.8"/>
    <n v="0"/>
    <m/>
    <x v="0"/>
  </r>
  <r>
    <s v="197ec76f-0730-2587-33db-8131d0caad63"/>
    <d v="2021-09-17T21:11:59"/>
    <d v="2021-09-17T22:11:59"/>
    <s v="197ec76f-0730-2587-9ff9-a0f60104a782"/>
    <s v="6b9c5830-a278-38ff-887f-ccefd74cf8e8"/>
    <s v="cc231454-8c12-32c7-bbd4-a1ae234ebf40"/>
    <s v="e03e23c9-4df1-3eb6-a62d-f70f02301496"/>
    <x v="3"/>
    <n v="50849002"/>
    <s v="Emergency room admission (procedure)"/>
    <n v="146.18"/>
    <n v="1008.98"/>
    <n v="0"/>
    <n v="125605004"/>
    <x v="36"/>
  </r>
  <r>
    <s v="197ec76f-0730-2587-4d98-4d24438ad448"/>
    <d v="2021-11-08T20:47:30"/>
    <d v="2021-11-08T21:02:30"/>
    <s v="197ec76f-0730-2587-9ff9-a0f60104a782"/>
    <s v="18df2721-3f76-3f83-94d5-63597cedd298"/>
    <s v="cb4dc47a-a7f2-3191-a0c9-2973b1304fa7"/>
    <s v="e03e23c9-4df1-3eb6-a62d-f70f02301496"/>
    <x v="1"/>
    <n v="185349003"/>
    <s v="Encounter for check up (procedure)"/>
    <n v="85.55"/>
    <n v="85.55"/>
    <n v="0"/>
    <n v="16114001"/>
    <x v="47"/>
  </r>
  <r>
    <s v="197ec76f-0730-2587-08d9-3c5bf0e66e27"/>
    <d v="2022-06-21T21:11:59"/>
    <d v="2022-06-21T21:26:59"/>
    <s v="197ec76f-0730-2587-9ff9-a0f60104a782"/>
    <s v="18df2721-3f76-3f83-94d5-63597cedd298"/>
    <s v="cb4dc47a-a7f2-3191-a0c9-2973b1304fa7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197ec76f-0730-2587-3b15-0bac5d16c0d4"/>
    <d v="2022-08-03T21:11:59"/>
    <d v="2022-08-03T21:37:12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1028.8900000000001"/>
    <n v="0"/>
    <m/>
    <x v="0"/>
  </r>
  <r>
    <s v="197ec76f-0730-2587-948f-de16c095b492"/>
    <d v="2022-10-14T13:11:59"/>
    <d v="2022-10-14T13:26:59"/>
    <s v="197ec76f-0730-2587-9ff9-a0f60104a782"/>
    <s v="18df2721-3f76-3f83-94d5-63597cedd298"/>
    <s v="cb4dc47a-a7f2-3191-a0c9-2973b1304fa7"/>
    <s v="e03e23c9-4df1-3eb6-a62d-f70f02301496"/>
    <x v="1"/>
    <n v="185345009"/>
    <s v="Encounter for symptom (procedure)"/>
    <n v="85.55"/>
    <n v="85.55"/>
    <n v="0"/>
    <n v="444814009"/>
    <x v="2"/>
  </r>
  <r>
    <s v="197ec76f-0730-2587-62a7-17ae1f234a55"/>
    <d v="2023-06-16T21:11:59"/>
    <d v="2023-06-16T21:26:59"/>
    <s v="197ec76f-0730-2587-9ff9-a0f60104a782"/>
    <s v="18df2721-3f76-3f83-94d5-63597cedd298"/>
    <s v="cb4dc47a-a7f2-3191-a0c9-2973b1304fa7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197ec76f-0730-2587-673e-70c01b4cb343"/>
    <d v="2023-08-09T21:11:59"/>
    <d v="2023-08-09T21:29:08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914.78"/>
    <n v="0"/>
    <m/>
    <x v="0"/>
  </r>
  <r>
    <s v="197ec76f-0730-2587-b4dd-647b565ae74b"/>
    <d v="2023-09-22T21:11:59"/>
    <d v="2023-09-22T22:40:47"/>
    <s v="197ec76f-0730-2587-9ff9-a0f60104a782"/>
    <s v="18df2721-3f76-3f83-94d5-63597cedd298"/>
    <s v="cb4dc47a-a7f2-3191-a0c9-2973b1304fa7"/>
    <s v="e03e23c9-4df1-3eb6-a62d-f70f02301496"/>
    <x v="1"/>
    <n v="185345009"/>
    <s v="Encounter for symptom (procedure)"/>
    <n v="85.55"/>
    <n v="3611.33"/>
    <n v="0"/>
    <n v="307426000"/>
    <x v="5"/>
  </r>
  <r>
    <s v="197ec76f-0730-2587-f6b9-e67da9f5e252"/>
    <d v="2024-08-14T21:11:59"/>
    <d v="2024-08-14T21:26:59"/>
    <s v="197ec76f-0730-2587-9ff9-a0f60104a782"/>
    <s v="e9a24be5-b0a3-3fd2-a606-dd13498024ea"/>
    <s v="98a1397a-6fa0-3cb6-a667-84971834129d"/>
    <s v="e03e23c9-4df1-3eb6-a62d-f70f02301496"/>
    <x v="0"/>
    <n v="410620009"/>
    <s v="Well child visit (procedure)"/>
    <n v="136.80000000000001"/>
    <n v="1134.31"/>
    <n v="0"/>
    <m/>
    <x v="0"/>
  </r>
  <r>
    <s v="197ec76f-0730-2587-c104-a261e520014b"/>
    <d v="2024-08-28T21:11:59"/>
    <d v="2024-08-29T06:40:27"/>
    <s v="197ec76f-0730-2587-9ff9-a0f60104a782"/>
    <s v="18df2721-3f76-3f83-94d5-63597cedd298"/>
    <s v="cb4dc47a-a7f2-3191-a0c9-2973b1304fa7"/>
    <s v="e03e23c9-4df1-3eb6-a62d-f70f02301496"/>
    <x v="1"/>
    <n v="185349003"/>
    <s v="Encounter for check up (procedure)"/>
    <n v="85.55"/>
    <n v="6556.55"/>
    <n v="0"/>
    <n v="103697008"/>
    <x v="3"/>
  </r>
  <r>
    <s v="197ec76f-0730-2587-9f22-96ceea1e58d8"/>
    <d v="2025-08-20T21:11:59"/>
    <d v="2025-08-20T21:48:43"/>
    <s v="197ec76f-0730-2587-9ff9-a0f60104a782"/>
    <s v="e9a24be5-b0a3-3fd2-a606-dd13498024ea"/>
    <s v="98a1397a-6fa0-3cb6-a667-84971834129d"/>
    <s v="e03e23c9-4df1-3eb6-a62d-f70f02301496"/>
    <x v="0"/>
    <n v="162673000"/>
    <s v="General examination of patient (procedure)"/>
    <n v="136.80000000000001"/>
    <n v="919.9"/>
    <n v="0"/>
    <m/>
    <x v="0"/>
  </r>
  <r>
    <s v="197ec76f-0730-2587-df52-75b4c1ba2162"/>
    <d v="2026-05-31T21:11:59"/>
    <d v="2026-05-31T21:26:59"/>
    <s v="197ec76f-0730-2587-9ff9-a0f60104a782"/>
    <s v="18df2721-3f76-3f83-94d5-63597cedd298"/>
    <s v="cb4dc47a-a7f2-3191-a0c9-2973b1304fa7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82623afe-e51c-e02e-489b-38187503b81b"/>
    <d v="2000-12-22T16:32:02"/>
    <d v="2000-12-22T16:47:02"/>
    <s v="82623afe-e51c-e02e-1dd7-15a4394d0e92"/>
    <s v="5fcff9db-16e4-3e56-aa78-abbc16338097"/>
    <s v="ef159c90-21f2-34a3-ab95-4c0598b5fedf"/>
    <s v="df166300-5a78-3502-a46a-832842197811"/>
    <x v="1"/>
    <n v="185347001"/>
    <s v="Encounter for problem (procedure)"/>
    <n v="85.55"/>
    <n v="85.55"/>
    <n v="0"/>
    <n v="102263004"/>
    <x v="62"/>
  </r>
  <r>
    <s v="82623afe-e51c-e02e-9fa0-5b2cd8d72efe"/>
    <d v="2001-01-03T02:32:02"/>
    <d v="2001-01-03T02:54:00"/>
    <s v="82623afe-e51c-e02e-1dd7-15a4394d0e92"/>
    <s v="5fcff9db-16e4-3e56-aa78-abbc16338097"/>
    <s v="ef159c90-21f2-34a3-ab95-4c0598b5fedf"/>
    <s v="df166300-5a78-3502-a46a-832842197811"/>
    <x v="1"/>
    <n v="185347001"/>
    <s v="Encounter for problem (procedure)"/>
    <n v="85.55"/>
    <n v="516.95000000000005"/>
    <n v="466.95"/>
    <n v="609328004"/>
    <x v="11"/>
  </r>
  <r>
    <s v="82623afe-e51c-e02e-f0b3-f0900610212e"/>
    <d v="2002-09-06T20:32:02"/>
    <d v="2002-09-06T20:47:02"/>
    <s v="82623afe-e51c-e02e-1dd7-15a4394d0e92"/>
    <s v="5fcff9db-16e4-3e56-aa78-abbc16338097"/>
    <s v="ef159c90-21f2-34a3-ab95-4c0598b5fedf"/>
    <s v="df166300-5a78-3502-a46a-832842197811"/>
    <x v="1"/>
    <n v="185345009"/>
    <s v="Encounter for symptom (procedure)"/>
    <n v="85.55"/>
    <n v="516.95000000000005"/>
    <n v="466.95"/>
    <n v="233678006"/>
    <x v="12"/>
  </r>
  <r>
    <s v="82623afe-e51c-e02e-6f70-5548bbc9db1a"/>
    <d v="2005-04-04T20:32:02"/>
    <d v="2005-04-04T20:47:02"/>
    <s v="82623afe-e51c-e02e-1dd7-15a4394d0e92"/>
    <s v="5fcff9db-16e4-3e56-aa78-abbc16338097"/>
    <s v="ef159c90-21f2-34a3-ab95-4c0598b5fedf"/>
    <s v="df166300-5a78-3502-a46a-832842197811"/>
    <x v="1"/>
    <n v="185345009"/>
    <s v="Encounter for symptom (procedure)"/>
    <n v="85.55"/>
    <n v="85.55"/>
    <n v="28.13"/>
    <n v="367498001"/>
    <x v="59"/>
  </r>
  <r>
    <s v="82623afe-e51c-e02e-121d-23cd199b3bef"/>
    <d v="2012-11-10T19:32:02"/>
    <d v="2012-11-10T20:00:14"/>
    <s v="82623afe-e51c-e02e-1dd7-15a4394d0e92"/>
    <s v="5fcff9db-16e4-3e56-aa78-abbc16338097"/>
    <s v="ef159c90-21f2-34a3-ab95-4c0598b5fedf"/>
    <s v="df166300-5a78-3502-a46a-832842197811"/>
    <x v="1"/>
    <n v="170837001"/>
    <s v="Allergic disorder initial assessment (regime/therapy)"/>
    <n v="142.58000000000001"/>
    <n v="573.98"/>
    <n v="423.98"/>
    <n v="609328004"/>
    <x v="11"/>
  </r>
  <r>
    <s v="82623afe-e51c-e02e-0cb3-b28c7cac5886"/>
    <d v="2015-12-19T19:32:02"/>
    <d v="2015-12-19T19:47:02"/>
    <s v="82623afe-e51c-e02e-1dd7-15a4394d0e92"/>
    <s v="b5e6f1bd-c744-3556-9775-5ff8399eea33"/>
    <s v="3367d933-1fe2-3895-b49f-87da1122a2e5"/>
    <s v="df166300-5a78-3502-a46a-832842197811"/>
    <x v="0"/>
    <n v="410620009"/>
    <s v="Well child visit (procedure)"/>
    <n v="136.80000000000001"/>
    <n v="914.78"/>
    <n v="914.78"/>
    <m/>
    <x v="0"/>
  </r>
  <r>
    <s v="82623afe-e51c-e02e-43c8-b8e6de275c23"/>
    <d v="2016-08-30T01:36:50"/>
    <d v="2016-08-30T01:57:44"/>
    <s v="82623afe-e51c-e02e-1dd7-15a4394d0e92"/>
    <s v="5fcff9db-16e4-3e56-aa78-abbc16338097"/>
    <s v="ef159c90-21f2-34a3-ab95-4c0598b5fedf"/>
    <s v="df166300-5a78-3502-a46a-832842197811"/>
    <x v="1"/>
    <n v="371883000"/>
    <s v="Outpatient procedure (procedure)"/>
    <n v="142.58000000000001"/>
    <n v="12317.57"/>
    <n v="12267.57"/>
    <n v="609328004"/>
    <x v="11"/>
  </r>
  <r>
    <s v="82623afe-e51c-e02e-890d-ced3b59ccd02"/>
    <d v="2016-09-26T01:57:44"/>
    <d v="2016-09-26T02:36:06"/>
    <s v="82623afe-e51c-e02e-1dd7-15a4394d0e92"/>
    <s v="5fcff9db-16e4-3e56-aa78-abbc16338097"/>
    <s v="ef159c90-21f2-34a3-ab95-4c0598b5fedf"/>
    <s v="df166300-5a78-3502-a46a-832842197811"/>
    <x v="1"/>
    <n v="371883000"/>
    <s v="Outpatient procedure (procedure)"/>
    <n v="142.58000000000001"/>
    <n v="20626.96"/>
    <n v="20576.96"/>
    <n v="609328004"/>
    <x v="11"/>
  </r>
  <r>
    <s v="82623afe-e51c-e02e-4693-55e5715057b8"/>
    <d v="2016-10-21T02:36:06"/>
    <d v="2016-10-21T03:04:59"/>
    <s v="82623afe-e51c-e02e-1dd7-15a4394d0e92"/>
    <s v="5fcff9db-16e4-3e56-aa78-abbc16338097"/>
    <s v="ef159c90-21f2-34a3-ab95-4c0598b5fedf"/>
    <s v="df166300-5a78-3502-a46a-832842197811"/>
    <x v="1"/>
    <n v="371883000"/>
    <s v="Outpatient procedure (procedure)"/>
    <n v="142.58000000000001"/>
    <n v="9674.26"/>
    <n v="9624.26"/>
    <n v="609328004"/>
    <x v="11"/>
  </r>
  <r>
    <s v="82623afe-e51c-e02e-d617-5326c746b07d"/>
    <d v="2016-11-14T02:04:59"/>
    <d v="2016-11-14T02:33:10"/>
    <s v="82623afe-e51c-e02e-1dd7-15a4394d0e92"/>
    <s v="5fcff9db-16e4-3e56-aa78-abbc16338097"/>
    <s v="ef159c90-21f2-34a3-ab95-4c0598b5fedf"/>
    <s v="df166300-5a78-3502-a46a-832842197811"/>
    <x v="1"/>
    <n v="170838006"/>
    <s v="Allergic disorder follow-up assessment (regime/therapy)"/>
    <n v="142.58000000000001"/>
    <n v="573.98"/>
    <n v="423.98"/>
    <n v="609328004"/>
    <x v="11"/>
  </r>
  <r>
    <s v="82623afe-e51c-e02e-951b-742e3d75b81a"/>
    <d v="2016-12-24T19:32:02"/>
    <d v="2016-12-24T19:47:02"/>
    <s v="82623afe-e51c-e02e-1dd7-15a4394d0e92"/>
    <s v="b5e6f1bd-c744-3556-9775-5ff8399eea33"/>
    <s v="3367d933-1fe2-3895-b49f-87da1122a2e5"/>
    <s v="df166300-5a78-3502-a46a-832842197811"/>
    <x v="0"/>
    <n v="410620009"/>
    <s v="Well child visit (procedure)"/>
    <n v="136.80000000000001"/>
    <n v="1134.43"/>
    <n v="1134.43"/>
    <m/>
    <x v="0"/>
  </r>
  <r>
    <s v="82623afe-e51c-e02e-ad5c-56e0ed756bb6"/>
    <d v="2017-01-07T19:32:02"/>
    <d v="2017-01-07T22:31:28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3105.35"/>
    <n v="3055.35"/>
    <n v="103697008"/>
    <x v="3"/>
  </r>
  <r>
    <s v="82623afe-e51c-e02e-9ee6-ea135635af06"/>
    <d v="2017-12-16T19:32:02"/>
    <d v="2017-12-16T19:47:02"/>
    <s v="82623afe-e51c-e02e-1dd7-15a4394d0e92"/>
    <s v="5fcff9db-16e4-3e56-aa78-abbc16338097"/>
    <s v="ef159c90-21f2-34a3-ab95-4c0598b5fedf"/>
    <s v="df166300-5a78-3502-a46a-832842197811"/>
    <x v="1"/>
    <n v="394701000"/>
    <s v="Asthma follow-up (regime/therapy)"/>
    <n v="142.58000000000001"/>
    <n v="142.58000000000001"/>
    <n v="0"/>
    <n v="233678006"/>
    <x v="12"/>
  </r>
  <r>
    <s v="82623afe-e51c-e02e-50a5-a61df30f297d"/>
    <d v="2017-12-11T19:32:02"/>
    <d v="2017-12-11T19:47:02"/>
    <s v="82623afe-e51c-e02e-1dd7-15a4394d0e92"/>
    <s v="5fcff9db-16e4-3e56-aa78-abbc16338097"/>
    <s v="ef159c90-21f2-34a3-ab95-4c0598b5fedf"/>
    <s v="df166300-5a78-3502-a46a-832842197811"/>
    <x v="2"/>
    <n v="185347001"/>
    <s v="Encounter for problem (procedure)"/>
    <n v="85.55"/>
    <n v="85.55"/>
    <n v="28.13"/>
    <n v="82423001"/>
    <x v="33"/>
  </r>
  <r>
    <s v="82623afe-e51c-e02e-ec45-5907ffcd90c8"/>
    <d v="2017-12-14T19:32:02"/>
    <d v="2017-12-14T20:23:42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7b7e-6eeae7efc71a"/>
    <d v="2017-12-17T20:23:42"/>
    <d v="2017-12-17T21:19:40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e633-33a113cd107d"/>
    <d v="2017-12-20T21:19:40"/>
    <d v="2017-12-20T22:14:16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c81f-82e3d0155690"/>
    <d v="2017-12-30T19:32:02"/>
    <d v="2017-12-30T20:21:14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1430.51"/>
    <n v="1430.51"/>
    <m/>
    <x v="0"/>
  </r>
  <r>
    <s v="82623afe-e51c-e02e-6a01-ea0ec85a1d53"/>
    <d v="2018-01-06T19:32:02"/>
    <d v="2018-01-06T20:22:13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4423-69428b6b3c8f"/>
    <d v="2018-01-09T20:22:13"/>
    <d v="2018-01-09T21:17:47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1b9e-7c382fe96f42"/>
    <d v="2018-01-12T21:17:47"/>
    <d v="2018-01-12T22:07:02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3aa2-fdbbf1445328"/>
    <d v="2018-01-20T19:32:02"/>
    <d v="2018-01-20T22:16:28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3105.35"/>
    <n v="3055.35"/>
    <n v="66383009"/>
    <x v="17"/>
  </r>
  <r>
    <s v="82623afe-e51c-e02e-696c-849f4b8f9400"/>
    <d v="2018-01-27T19:32:02"/>
    <d v="2018-01-27T20:31:08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a5ee-2f10ca04c560"/>
    <d v="2018-01-30T20:31:08"/>
    <d v="2018-01-30T21:28:26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4167-7b021d4ff53d"/>
    <d v="2018-02-02T21:28:26"/>
    <d v="2018-02-02T22:27:15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effe-6bcedeee22bb"/>
    <d v="2018-02-05T22:27:15"/>
    <d v="2018-02-05T23:21:10"/>
    <s v="82623afe-e51c-e02e-1dd7-15a4394d0e92"/>
    <s v="5fcff9db-16e4-3e56-aa78-abbc16338097"/>
    <s v="ef159c90-21f2-34a3-ab95-4c0598b5fedf"/>
    <s v="df166300-5a78-3502-a46a-832842197811"/>
    <x v="1"/>
    <n v="308335008"/>
    <s v="Patient encounter procedure (procedure)"/>
    <n v="142.58000000000001"/>
    <n v="573.98"/>
    <n v="523.98"/>
    <n v="82423001"/>
    <x v="33"/>
  </r>
  <r>
    <s v="82623afe-e51c-e02e-be02-f544e661d4b2"/>
    <d v="2018-06-14T20:32:02"/>
    <d v="2018-06-14T20:47:02"/>
    <s v="82623afe-e51c-e02e-1dd7-15a4394d0e92"/>
    <s v="5fcff9db-16e4-3e56-aa78-abbc16338097"/>
    <s v="ef159c90-21f2-34a3-ab95-4c0598b5fedf"/>
    <s v="df166300-5a78-3502-a46a-832842197811"/>
    <x v="1"/>
    <n v="394701000"/>
    <s v="Asthma follow-up (regime/therapy)"/>
    <n v="142.58000000000001"/>
    <n v="142.58000000000001"/>
    <n v="92.58"/>
    <n v="233678006"/>
    <x v="12"/>
  </r>
  <r>
    <s v="82623afe-e51c-e02e-57e8-10a8b750cac9"/>
    <d v="2019-01-05T19:32:02"/>
    <d v="2019-01-05T20:02:19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704.2"/>
    <n v="704.2"/>
    <m/>
    <x v="0"/>
  </r>
  <r>
    <s v="82623afe-e51c-e02e-827f-70c092e0dffa"/>
    <d v="2019-01-19T19:32:02"/>
    <d v="2019-01-19T22:06:35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3536.75"/>
    <n v="3486.75"/>
    <n v="66383009"/>
    <x v="17"/>
  </r>
  <r>
    <s v="82623afe-e51c-e02e-6ba4-526e6f5ed82d"/>
    <d v="2020-01-11T19:32:02"/>
    <d v="2020-01-11T20:06:38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840.2"/>
    <n v="840.2"/>
    <m/>
    <x v="0"/>
  </r>
  <r>
    <s v="82623afe-e51c-e02e-b054-a0a4ba49bd05"/>
    <d v="2020-09-29T20:32:02"/>
    <d v="2020-09-29T20:47:02"/>
    <s v="82623afe-e51c-e02e-1dd7-15a4394d0e92"/>
    <s v="5fcff9db-16e4-3e56-aa78-abbc16338097"/>
    <s v="ef159c90-21f2-34a3-ab95-4c0598b5fedf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82623afe-e51c-e02e-a8c6-d9d6018d74ef"/>
    <d v="2020-12-15T21:41:57"/>
    <d v="2020-12-15T22:41:57"/>
    <s v="82623afe-e51c-e02e-1dd7-15a4394d0e92"/>
    <s v="b3ada130-6443-3a8e-98c7-4ec127a2b0c4"/>
    <s v="97845c8f-ac04-3882-b5e3-710cb7f09385"/>
    <s v="df166300-5a78-3502-a46a-832842197811"/>
    <x v="3"/>
    <n v="50849002"/>
    <s v="Emergency room admission (procedure)"/>
    <n v="146.18"/>
    <n v="146.18"/>
    <n v="37.9"/>
    <n v="384709000"/>
    <x v="13"/>
  </r>
  <r>
    <s v="82623afe-e51c-e02e-265d-7e24a56c65a7"/>
    <d v="2021-01-16T19:32:02"/>
    <d v="2021-01-16T20:25:28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1186.78"/>
    <n v="1186.78"/>
    <m/>
    <x v="0"/>
  </r>
  <r>
    <s v="82623afe-e51c-e02e-ef2f-bd7263ad5be6"/>
    <d v="2021-05-29T20:32:02"/>
    <d v="2021-05-29T20:47:02"/>
    <s v="82623afe-e51c-e02e-1dd7-15a4394d0e92"/>
    <s v="5fcff9db-16e4-3e56-aa78-abbc16338097"/>
    <s v="ef159c90-21f2-34a3-ab95-4c0598b5fedf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2623afe-e51c-e02e-e13d-e4751d080485"/>
    <d v="2021-06-19T20:32:02"/>
    <d v="2021-06-19T20:47:02"/>
    <s v="82623afe-e51c-e02e-1dd7-15a4394d0e92"/>
    <s v="5fcff9db-16e4-3e56-aa78-abbc16338097"/>
    <s v="ef159c90-21f2-34a3-ab95-4c0598b5fedf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2623afe-e51c-e02e-cbd9-11ba59c70bb8"/>
    <d v="2022-01-22T19:32:02"/>
    <d v="2022-01-22T20:25:06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1075.79"/>
    <n v="1075.79"/>
    <m/>
    <x v="0"/>
  </r>
  <r>
    <s v="82623afe-e51c-e02e-9995-5c34cdb367c8"/>
    <d v="2022-02-05T19:32:02"/>
    <d v="2022-02-05T23:31:30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3105.35"/>
    <n v="3055.35"/>
    <n v="103697008"/>
    <x v="3"/>
  </r>
  <r>
    <s v="82623afe-e51c-e02e-6fd9-324021abf32c"/>
    <d v="2022-04-02T20:32:02"/>
    <d v="2022-04-02T20:47:02"/>
    <s v="82623afe-e51c-e02e-1dd7-15a4394d0e92"/>
    <s v="5fcff9db-16e4-3e56-aa78-abbc16338097"/>
    <s v="ef159c90-21f2-34a3-ab95-4c0598b5fedf"/>
    <s v="df166300-5a78-3502-a46a-832842197811"/>
    <x v="1"/>
    <n v="424441002"/>
    <s v="Prenatal initial visit (regime/therapy)"/>
    <n v="142.58000000000001"/>
    <n v="54685.03"/>
    <n v="54635.03"/>
    <n v="72892002"/>
    <x v="4"/>
  </r>
  <r>
    <s v="82623afe-e51c-e02e-be33-3ef1f1acf854"/>
    <d v="2022-04-30T20:32:02"/>
    <d v="2022-04-30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1819.01"/>
    <n v="11769.01"/>
    <n v="72892002"/>
    <x v="4"/>
  </r>
  <r>
    <s v="82623afe-e51c-e02e-967a-35afa35b1228"/>
    <d v="2022-05-28T20:32:02"/>
    <d v="2022-05-28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8247.14"/>
    <n v="8197.14"/>
    <n v="72892002"/>
    <x v="4"/>
  </r>
  <r>
    <s v="82623afe-e51c-e02e-cfd3-63e4f130b180"/>
    <d v="2022-06-18T20:32:02"/>
    <d v="2022-06-18T20:47:02"/>
    <s v="82623afe-e51c-e02e-1dd7-15a4394d0e92"/>
    <s v="5fcff9db-16e4-3e56-aa78-abbc16338097"/>
    <s v="ef159c90-21f2-34a3-ab95-4c0598b5fedf"/>
    <s v="df166300-5a78-3502-a46a-832842197811"/>
    <x v="1"/>
    <n v="394701000"/>
    <s v="Asthma follow-up (regime/therapy)"/>
    <n v="142.58000000000001"/>
    <n v="142.58000000000001"/>
    <n v="92.58"/>
    <n v="195967001"/>
    <x v="38"/>
  </r>
  <r>
    <s v="82623afe-e51c-e02e-0730-e6eb8c67dc33"/>
    <d v="2022-06-25T20:32:02"/>
    <d v="2022-06-25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1451.02"/>
    <n v="11401.02"/>
    <n v="72892002"/>
    <x v="4"/>
  </r>
  <r>
    <s v="82623afe-e51c-e02e-ac50-1ca53b62c365"/>
    <d v="2022-07-23T20:32:02"/>
    <d v="2022-07-23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4857.3900000000003"/>
    <n v="4807.3900000000003"/>
    <n v="72892002"/>
    <x v="4"/>
  </r>
  <r>
    <s v="82623afe-e51c-e02e-d4f6-ad02d8b2ea2e"/>
    <d v="2022-08-20T20:32:02"/>
    <d v="2022-08-20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4312.79"/>
    <n v="14262.79"/>
    <n v="72892002"/>
    <x v="4"/>
  </r>
  <r>
    <s v="82623afe-e51c-e02e-712a-8325d2196c22"/>
    <d v="2022-09-17T20:32:02"/>
    <d v="2022-09-17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4665.96"/>
    <n v="4615.96"/>
    <n v="72892002"/>
    <x v="4"/>
  </r>
  <r>
    <s v="82623afe-e51c-e02e-895a-1aa5958d0ee0"/>
    <d v="2022-10-15T20:32:02"/>
    <d v="2022-10-15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6737.4"/>
    <n v="6687.4"/>
    <n v="72892002"/>
    <x v="4"/>
  </r>
  <r>
    <s v="82623afe-e51c-e02e-61c0-d181f9634113"/>
    <d v="2022-10-29T20:32:02"/>
    <d v="2022-10-29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2987.42"/>
    <n v="12937.42"/>
    <n v="72892002"/>
    <x v="4"/>
  </r>
  <r>
    <s v="82623afe-e51c-e02e-23d8-5e4116a153bb"/>
    <d v="2022-11-05T20:32:02"/>
    <d v="2022-11-05T21:32:02"/>
    <s v="82623afe-e51c-e02e-1dd7-15a4394d0e92"/>
    <s v="b3ada130-6443-3a8e-98c7-4ec127a2b0c4"/>
    <s v="97845c8f-ac04-3882-b5e3-710cb7f09385"/>
    <s v="df166300-5a78-3502-a46a-832842197811"/>
    <x v="3"/>
    <n v="183460006"/>
    <s v="Obstetric emergency hospital admission (procedure)"/>
    <n v="146.18"/>
    <n v="577.58000000000004"/>
    <n v="527.58000000000004"/>
    <n v="72892002"/>
    <x v="4"/>
  </r>
  <r>
    <s v="82623afe-e51c-e02e-d04f-6ed5f1040e0e"/>
    <d v="2022-12-17T19:32:02"/>
    <d v="2022-12-17T19:47:02"/>
    <s v="82623afe-e51c-e02e-1dd7-15a4394d0e92"/>
    <s v="5fcff9db-16e4-3e56-aa78-abbc16338097"/>
    <s v="ef159c90-21f2-34a3-ab95-4c0598b5fedf"/>
    <s v="df166300-5a78-3502-a46a-832842197811"/>
    <x v="1"/>
    <n v="169762003"/>
    <s v="Postnatal visit (regime/therapy)"/>
    <n v="142.58000000000001"/>
    <n v="1005.38"/>
    <n v="855.38"/>
    <m/>
    <x v="0"/>
  </r>
  <r>
    <s v="82623afe-e51c-e02e-63ff-d419d11c0bcf"/>
    <d v="2022-12-24T19:32:02"/>
    <d v="2022-12-24T19:47:02"/>
    <s v="82623afe-e51c-e02e-1dd7-15a4394d0e92"/>
    <s v="5fcff9db-16e4-3e56-aa78-abbc16338097"/>
    <s v="ef159c90-21f2-34a3-ab95-4c0598b5fedf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82623afe-e51c-e02e-1670-3b9a7c76e22f"/>
    <d v="2023-01-28T19:32:02"/>
    <d v="2023-01-28T20:17:07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919.9"/>
    <n v="919.9"/>
    <m/>
    <x v="0"/>
  </r>
  <r>
    <s v="82623afe-e51c-e02e-3166-f7a90226cf72"/>
    <d v="2023-02-11T19:32:02"/>
    <d v="2023-02-12T01:35:37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4830.95"/>
    <n v="4780.95"/>
    <n v="66383009"/>
    <x v="17"/>
  </r>
  <r>
    <s v="82623afe-e51c-e02e-723c-cf9d5c953aa5"/>
    <d v="2023-12-19T19:32:02"/>
    <d v="2023-12-19T19:47:02"/>
    <s v="82623afe-e51c-e02e-1dd7-15a4394d0e92"/>
    <s v="5fcff9db-16e4-3e56-aa78-abbc16338097"/>
    <s v="ef159c90-21f2-34a3-ab95-4c0598b5fedf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82623afe-e51c-e02e-1036-158a3bf7a88f"/>
    <d v="2024-02-03T19:32:02"/>
    <d v="2024-02-03T20:20:04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704.2"/>
    <n v="704.2"/>
    <m/>
    <x v="0"/>
  </r>
  <r>
    <s v="82623afe-e51c-e02e-55c9-bb532d09f8c9"/>
    <d v="2024-02-17T19:32:02"/>
    <d v="2024-02-17T22:31:51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2673.95"/>
    <n v="2623.95"/>
    <n v="103697008"/>
    <x v="3"/>
  </r>
  <r>
    <s v="82623afe-e51c-e02e-da81-92c81bfa0e1b"/>
    <d v="2024-03-04T19:32:02"/>
    <d v="2024-03-04T19:47:02"/>
    <s v="82623afe-e51c-e02e-1dd7-15a4394d0e92"/>
    <s v="5fcff9db-16e4-3e56-aa78-abbc16338097"/>
    <s v="ef159c90-21f2-34a3-ab95-4c0598b5fedf"/>
    <s v="df166300-5a78-3502-a46a-832842197811"/>
    <x v="8"/>
    <n v="390906007"/>
    <s v="Follow-up encounter (procedure)"/>
    <n v="75"/>
    <n v="75"/>
    <n v="25"/>
    <n v="59621000"/>
    <x v="31"/>
  </r>
  <r>
    <s v="82623afe-e51c-e02e-dc6e-f42553468d57"/>
    <d v="2024-05-03T20:32:02"/>
    <d v="2024-05-03T20:47:02"/>
    <s v="82623afe-e51c-e02e-1dd7-15a4394d0e92"/>
    <s v="5fcff9db-16e4-3e56-aa78-abbc16338097"/>
    <s v="ef159c90-21f2-34a3-ab95-4c0598b5fedf"/>
    <s v="df166300-5a78-3502-a46a-832842197811"/>
    <x v="8"/>
    <n v="390906007"/>
    <s v="Follow-up encounter (procedure)"/>
    <n v="75"/>
    <n v="75"/>
    <n v="25"/>
    <n v="59621000"/>
    <x v="31"/>
  </r>
  <r>
    <s v="82623afe-e51c-e02e-5583-e9793c0f5d3c"/>
    <d v="2024-07-02T20:32:02"/>
    <d v="2024-07-02T20:47:02"/>
    <s v="82623afe-e51c-e02e-1dd7-15a4394d0e92"/>
    <s v="5fcff9db-16e4-3e56-aa78-abbc16338097"/>
    <s v="ef159c90-21f2-34a3-ab95-4c0598b5fedf"/>
    <s v="df166300-5a78-3502-a46a-832842197811"/>
    <x v="1"/>
    <n v="390906007"/>
    <s v="Follow-up encounter (procedure)"/>
    <n v="85.55"/>
    <n v="516.95000000000005"/>
    <n v="466.95"/>
    <n v="59621000"/>
    <x v="31"/>
  </r>
  <r>
    <s v="82623afe-e51c-e02e-a5e8-40b727529037"/>
    <d v="2024-11-16T19:32:02"/>
    <d v="2024-11-16T19:47:02"/>
    <s v="82623afe-e51c-e02e-1dd7-15a4394d0e92"/>
    <s v="5fcff9db-16e4-3e56-aa78-abbc16338097"/>
    <s v="ef159c90-21f2-34a3-ab95-4c0598b5fedf"/>
    <s v="df166300-5a78-3502-a46a-832842197811"/>
    <x v="1"/>
    <n v="424441002"/>
    <s v="Prenatal initial visit (regime/therapy)"/>
    <n v="142.58000000000001"/>
    <n v="40426.53"/>
    <n v="40276.53"/>
    <n v="72892002"/>
    <x v="4"/>
  </r>
  <r>
    <s v="82623afe-e51c-e02e-87a4-3fca56df856a"/>
    <d v="2024-12-14T19:32:02"/>
    <d v="2024-12-14T19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8772.2"/>
    <n v="18722.2"/>
    <n v="72892002"/>
    <x v="4"/>
  </r>
  <r>
    <s v="82623afe-e51c-e02e-e292-c69380c0b276"/>
    <d v="2025-01-11T19:32:02"/>
    <d v="2025-01-11T19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2745.22"/>
    <n v="12695.22"/>
    <n v="72892002"/>
    <x v="4"/>
  </r>
  <r>
    <s v="82623afe-e51c-e02e-d700-e0e85f508954"/>
    <d v="2025-02-08T19:32:02"/>
    <d v="2025-02-08T20:20:24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938.72"/>
    <n v="938.72"/>
    <m/>
    <x v="0"/>
  </r>
  <r>
    <s v="82623afe-e51c-e02e-577b-b587d8bfbab3"/>
    <d v="2025-02-15T19:32:02"/>
    <d v="2025-02-15T19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7218.27"/>
    <n v="7168.27"/>
    <n v="72892002"/>
    <x v="4"/>
  </r>
  <r>
    <s v="82623afe-e51c-e02e-1747-76a4a1b9f9b5"/>
    <d v="2025-02-22T19:32:02"/>
    <d v="2025-02-23T01:59:18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5693.75"/>
    <n v="5643.75"/>
    <n v="66383009"/>
    <x v="17"/>
  </r>
  <r>
    <s v="82623afe-e51c-e02e-667f-8930c99419bb"/>
    <d v="2025-03-15T20:32:02"/>
    <d v="2025-03-15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5907.24"/>
    <n v="5857.24"/>
    <n v="72892002"/>
    <x v="4"/>
  </r>
  <r>
    <s v="82623afe-e51c-e02e-85de-9c0704f0d4dd"/>
    <d v="2025-04-12T20:32:02"/>
    <d v="2025-04-12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15732.53"/>
    <n v="15682.53"/>
    <n v="72892002"/>
    <x v="4"/>
  </r>
  <r>
    <s v="82623afe-e51c-e02e-6382-935863095721"/>
    <d v="2025-05-10T20:32:02"/>
    <d v="2025-05-10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6029.94"/>
    <n v="5979.94"/>
    <n v="72892002"/>
    <x v="4"/>
  </r>
  <r>
    <s v="82623afe-e51c-e02e-9dd4-92c7dc1f9bb8"/>
    <d v="2025-06-07T20:32:02"/>
    <d v="2025-06-07T20:47:02"/>
    <s v="82623afe-e51c-e02e-1dd7-15a4394d0e92"/>
    <s v="5fcff9db-16e4-3e56-aa78-abbc16338097"/>
    <s v="ef159c90-21f2-34a3-ab95-4c0598b5fedf"/>
    <s v="df166300-5a78-3502-a46a-832842197811"/>
    <x v="1"/>
    <n v="424619006"/>
    <s v="Prenatal visit (regime/therapy)"/>
    <n v="142.58000000000001"/>
    <n v="5528.76"/>
    <n v="5478.76"/>
    <n v="72892002"/>
    <x v="4"/>
  </r>
  <r>
    <s v="82623afe-e51c-e02e-d36f-650f95794f9f"/>
    <d v="2025-06-21T20:32:02"/>
    <d v="2025-06-21T21:32:02"/>
    <s v="82623afe-e51c-e02e-1dd7-15a4394d0e92"/>
    <s v="b3ada130-6443-3a8e-98c7-4ec127a2b0c4"/>
    <s v="97845c8f-ac04-3882-b5e3-710cb7f09385"/>
    <s v="df166300-5a78-3502-a46a-832842197811"/>
    <x v="3"/>
    <n v="183460006"/>
    <s v="Obstetric emergency hospital admission (procedure)"/>
    <n v="146.18"/>
    <n v="2925.6"/>
    <n v="2875.6"/>
    <n v="72892002"/>
    <x v="4"/>
  </r>
  <r>
    <s v="82623afe-e51c-e02e-a7ce-673be70eecc0"/>
    <d v="2025-08-02T20:32:02"/>
    <d v="2025-08-02T20:47:02"/>
    <s v="82623afe-e51c-e02e-1dd7-15a4394d0e92"/>
    <s v="5fcff9db-16e4-3e56-aa78-abbc16338097"/>
    <s v="ef159c90-21f2-34a3-ab95-4c0598b5fedf"/>
    <s v="df166300-5a78-3502-a46a-832842197811"/>
    <x v="1"/>
    <n v="169762003"/>
    <s v="Postnatal visit (regime/therapy)"/>
    <n v="142.58000000000001"/>
    <n v="1005.38"/>
    <n v="955.38"/>
    <m/>
    <x v="0"/>
  </r>
  <r>
    <s v="82623afe-e51c-e02e-dfc5-6aebf96be97d"/>
    <d v="2025-08-09T20:32:02"/>
    <d v="2025-08-09T21:25:54"/>
    <s v="82623afe-e51c-e02e-1dd7-15a4394d0e92"/>
    <s v="5fcff9db-16e4-3e56-aa78-abbc16338097"/>
    <s v="ef159c90-21f2-34a3-ab95-4c0598b5fedf"/>
    <s v="df166300-5a78-3502-a46a-832842197811"/>
    <x v="2"/>
    <n v="698314001"/>
    <s v="Consultation for treatment (procedure)"/>
    <n v="142.58000000000001"/>
    <n v="573.98"/>
    <n v="523.98"/>
    <n v="183996000"/>
    <x v="35"/>
  </r>
  <r>
    <s v="82623afe-e51c-e02e-7838-78fab592a0da"/>
    <d v="2025-08-21T21:25:54"/>
    <d v="2025-08-22T21:25:54"/>
    <s v="82623afe-e51c-e02e-1dd7-15a4394d0e92"/>
    <s v="06cc2462-430f-3322-9c87-7e971125f510"/>
    <s v="747fcccb-8c6a-3956-87a6-436687727f5c"/>
    <s v="df166300-5a78-3502-a46a-832842197811"/>
    <x v="6"/>
    <n v="305408004"/>
    <s v="Admission to surgical department (procedure)"/>
    <n v="146.18"/>
    <n v="3817.64"/>
    <n v="3767.64"/>
    <n v="183996000"/>
    <x v="35"/>
  </r>
  <r>
    <s v="82623afe-e51c-e02e-32af-9f11d587a9ee"/>
    <d v="2026-02-14T19:32:02"/>
    <d v="2026-02-14T20:23:02"/>
    <s v="82623afe-e51c-e02e-1dd7-15a4394d0e92"/>
    <s v="b5e6f1bd-c744-3556-9775-5ff8399eea33"/>
    <s v="3367d933-1fe2-3895-b49f-87da1122a2e5"/>
    <s v="df166300-5a78-3502-a46a-832842197811"/>
    <x v="0"/>
    <n v="162673000"/>
    <s v="General examination of patient (procedure)"/>
    <n v="136.80000000000001"/>
    <n v="778.78"/>
    <n v="778.78"/>
    <m/>
    <x v="0"/>
  </r>
  <r>
    <s v="82623afe-e51c-e02e-f8f3-6c3f237e0144"/>
    <d v="2026-02-28T19:32:02"/>
    <d v="2026-02-28T21:55:59"/>
    <s v="82623afe-e51c-e02e-1dd7-15a4394d0e92"/>
    <s v="5fcff9db-16e4-3e56-aa78-abbc16338097"/>
    <s v="ef159c90-21f2-34a3-ab95-4c0598b5fedf"/>
    <s v="df166300-5a78-3502-a46a-832842197811"/>
    <x v="1"/>
    <n v="185349003"/>
    <s v="Encounter for check up (procedure)"/>
    <n v="85.55"/>
    <n v="2673.95"/>
    <n v="2623.95"/>
    <n v="66383009"/>
    <x v="17"/>
  </r>
  <r>
    <s v="8d91c36a-1f7e-3842-3ef0-c8ea74f38139"/>
    <d v="1994-09-12T10:46:29"/>
    <d v="1994-09-12T11:01:29"/>
    <s v="8d91c36a-1f7e-3842-9f14-8d567ed9cdcd"/>
    <s v="901c2d40-1ca3-3879-9a20-c663b8adc0a9"/>
    <s v="48b16ca9-484f-32b6-8ef7-96fe15ce872e"/>
    <s v="26aab0cd-6aba-3e1b-ac5b-05c8867e762c"/>
    <x v="1"/>
    <n v="185345009"/>
    <s v="Encounter for symptom (procedure)"/>
    <n v="85.55"/>
    <n v="92.93"/>
    <n v="0"/>
    <n v="75498004"/>
    <x v="14"/>
  </r>
  <r>
    <s v="8d91c36a-1f7e-3842-a3be-9fcb324db7b5"/>
    <d v="1996-11-16T05:46:29"/>
    <d v="1996-11-16T06:05:10"/>
    <s v="8d91c36a-1f7e-3842-9f14-8d567ed9cdcd"/>
    <s v="655f2a4f-419c-39d3-8ed6-6c4117eb7e32"/>
    <s v="4cbda0da-7e40-3232-827d-abb75be40ff7"/>
    <s v="26aab0cd-6aba-3e1b-ac5b-05c8867e762c"/>
    <x v="0"/>
    <n v="410620009"/>
    <s v="Well child visit (procedure)"/>
    <n v="136.80000000000001"/>
    <n v="778.78"/>
    <n v="0"/>
    <m/>
    <x v="0"/>
  </r>
  <r>
    <s v="8d91c36a-1f7e-3842-078e-e1c43dbf54a0"/>
    <d v="1998-11-28T05:46:29"/>
    <d v="1998-11-28T06:39:23"/>
    <s v="8d91c36a-1f7e-3842-9f14-8d567ed9cdcd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704.2"/>
    <n v="0"/>
    <m/>
    <x v="0"/>
  </r>
  <r>
    <s v="8d91c36a-1f7e-3842-3306-c3b08239344f"/>
    <d v="2002-12-07T05:46:29"/>
    <d v="2002-12-07T06:41:32"/>
    <s v="8d91c36a-1f7e-3842-9f14-8d567ed9cdcd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1050.78"/>
    <n v="0"/>
    <m/>
    <x v="0"/>
  </r>
  <r>
    <s v="8d91c36a-1f7e-3842-e2fc-80d329261a31"/>
    <d v="2005-12-10T05:46:29"/>
    <d v="2005-12-10T06:32:35"/>
    <s v="8d91c36a-1f7e-3842-9f14-8d567ed9cdcd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704.2"/>
    <n v="0"/>
    <m/>
    <x v="0"/>
  </r>
  <r>
    <s v="8d91c36a-1f7e-3842-722d-37145f2f1be0"/>
    <d v="2007-10-30T18:46:29"/>
    <d v="2007-10-30T19:01:29"/>
    <s v="8d91c36a-1f7e-3842-9f14-8d567ed9cdcd"/>
    <s v="901c2d40-1ca3-3879-9a20-c663b8adc0a9"/>
    <s v="48b16ca9-484f-32b6-8ef7-96fe15ce872e"/>
    <s v="26aab0cd-6aba-3e1b-ac5b-05c8867e762c"/>
    <x v="1"/>
    <n v="185345009"/>
    <s v="Encounter for symptom (procedure)"/>
    <n v="85.55"/>
    <n v="2224.38"/>
    <n v="0"/>
    <n v="195662009"/>
    <x v="9"/>
  </r>
  <r>
    <s v="8d91c36a-1f7e-3842-48ee-0b986de96d92"/>
    <d v="2008-02-04T06:12:20"/>
    <d v="2008-02-04T07:12:20"/>
    <s v="8d91c36a-1f7e-3842-9f14-8d567ed9cdcd"/>
    <s v="1ef8d603-bec1-35f5-a830-2a0b919cf47f"/>
    <s v="ceef0c79-51c0-3fbc-995f-4eba373718da"/>
    <s v="26aab0cd-6aba-3e1b-ac5b-05c8867e762c"/>
    <x v="3"/>
    <n v="50849002"/>
    <s v="Emergency room admission (procedure)"/>
    <n v="146.18"/>
    <n v="17233.310000000001"/>
    <n v="8097.63"/>
    <n v="312608009"/>
    <x v="20"/>
  </r>
  <r>
    <s v="8d91c36a-1f7e-3842-6143-8e49a0031abc"/>
    <d v="2008-12-13T05:46:29"/>
    <d v="2008-12-13T06:33:12"/>
    <s v="8d91c36a-1f7e-3842-9f14-8d567ed9cdcd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1050.01"/>
    <n v="0"/>
    <m/>
    <x v="0"/>
  </r>
  <r>
    <s v="8d91c36a-1f7e-3842-3933-cd15255296be"/>
    <d v="2008-12-27T05:46:29"/>
    <d v="2008-12-27T09:07:06"/>
    <s v="8d91c36a-1f7e-3842-9f14-8d567ed9cdcd"/>
    <s v="901c2d40-1ca3-3879-9a20-c663b8adc0a9"/>
    <s v="48b16ca9-484f-32b6-8ef7-96fe15ce872e"/>
    <s v="26aab0cd-6aba-3e1b-ac5b-05c8867e762c"/>
    <x v="1"/>
    <n v="185349003"/>
    <s v="Encounter for check up (procedure)"/>
    <n v="85.55"/>
    <n v="3536.75"/>
    <n v="0"/>
    <n v="103697008"/>
    <x v="3"/>
  </r>
  <r>
    <s v="8d91c36a-1f7e-3842-ef80-ec7eedbdf948"/>
    <d v="2011-04-19T17:46:29"/>
    <d v="2011-04-19T18:01:29"/>
    <s v="8d91c36a-1f7e-3842-9f14-8d567ed9cdcd"/>
    <s v="901c2d40-1ca3-3879-9a20-c663b8adc0a9"/>
    <s v="48b16ca9-484f-32b6-8ef7-96fe15ce872e"/>
    <s v="26aab0cd-6aba-3e1b-ac5b-05c8867e762c"/>
    <x v="1"/>
    <n v="185345009"/>
    <s v="Encounter for symptom (procedure)"/>
    <n v="85.55"/>
    <n v="85.55"/>
    <n v="0"/>
    <n v="444814009"/>
    <x v="2"/>
  </r>
  <r>
    <s v="8d91c36a-1f7e-3842-8a33-32c7fb1bb3a1"/>
    <d v="2011-12-17T05:46:29"/>
    <d v="2011-12-17T06:29:04"/>
    <s v="8d91c36a-1f7e-3842-9f14-8d567ed9cdcd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914.78"/>
    <n v="0"/>
    <m/>
    <x v="0"/>
  </r>
  <r>
    <s v="8d91c36a-1f7e-3842-cb1b-5d9f53982bba"/>
    <d v="2011-12-31T05:46:29"/>
    <d v="2011-12-31T08:45:55"/>
    <s v="8d91c36a-1f7e-3842-9f14-8d567ed9cdcd"/>
    <s v="901c2d40-1ca3-3879-9a20-c663b8adc0a9"/>
    <s v="48b16ca9-484f-32b6-8ef7-96fe15ce872e"/>
    <s v="26aab0cd-6aba-3e1b-ac5b-05c8867e762c"/>
    <x v="1"/>
    <n v="185349003"/>
    <s v="Encounter for check up (procedure)"/>
    <n v="85.55"/>
    <n v="2673.95"/>
    <n v="0"/>
    <n v="103697008"/>
    <x v="3"/>
  </r>
  <r>
    <s v="8d91c36a-1f7e-3842-f5b7-782497615051"/>
    <d v="2013-03-30T06:46:29"/>
    <d v="2013-03-30T07:20:51"/>
    <s v="8d91c36a-1f7e-3842-9f14-8d567ed9cdcd"/>
    <s v="74ab949d-17ac-3309-83a0-13b4405c66aa"/>
    <s v="35fedf4a-4da7-315e-a103-dbcfea0540fa"/>
    <s v="26aab0cd-6aba-3e1b-ac5b-05c8867e762c"/>
    <x v="1"/>
    <n v="185347001"/>
    <s v="Encounter for problem (procedure)"/>
    <n v="85.55"/>
    <n v="2880.88"/>
    <n v="0"/>
    <n v="88805009"/>
    <x v="64"/>
  </r>
  <r>
    <s v="8d91c36a-1f7e-3842-575d-65a3e0886eae"/>
    <d v="2013-04-14T07:20:51"/>
    <d v="2013-04-14T07:50:51"/>
    <s v="8d91c36a-1f7e-3842-9f14-8d567ed9cdcd"/>
    <s v="74ab949d-17ac-3309-83a0-13b4405c66aa"/>
    <s v="35fedf4a-4da7-315e-a103-dbcfea0540fa"/>
    <s v="26aab0cd-6aba-3e1b-ac5b-05c8867e762c"/>
    <x v="1"/>
    <n v="185347001"/>
    <s v="Encounter for problem (procedure)"/>
    <n v="85.55"/>
    <n v="795.53"/>
    <n v="0"/>
    <n v="88805009"/>
    <x v="64"/>
  </r>
  <r>
    <s v="8d91c36a-1f7e-3842-c5a8-3d51f8bb0e72"/>
    <d v="2013-04-27T06:46:29"/>
    <d v="2013-04-27T07:45:42"/>
    <s v="8d91c36a-1f7e-3842-9f14-8d567ed9cdcd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704.2"/>
    <n v="0"/>
    <m/>
    <x v="0"/>
  </r>
  <r>
    <s v="8d91c36a-1f7e-3842-0d15-6e0ad5cd7064"/>
    <d v="2013-05-11T06:46:29"/>
    <d v="2013-05-11T10:11:27"/>
    <s v="8d91c36a-1f7e-3842-9f14-8d567ed9cdcd"/>
    <s v="901c2d40-1ca3-3879-9a20-c663b8adc0a9"/>
    <s v="48b16ca9-484f-32b6-8ef7-96fe15ce872e"/>
    <s v="26aab0cd-6aba-3e1b-ac5b-05c8867e762c"/>
    <x v="1"/>
    <n v="185349003"/>
    <s v="Encounter for check up (procedure)"/>
    <n v="85.55"/>
    <n v="2673.95"/>
    <n v="889.66"/>
    <n v="103697008"/>
    <x v="3"/>
  </r>
  <r>
    <s v="8d91c36a-1f7e-3842-70a0-84aec9185843"/>
    <d v="2013-10-11T07:20:51"/>
    <d v="2013-10-11T07:50:51"/>
    <s v="8d91c36a-1f7e-3842-9f14-8d567ed9cdcd"/>
    <s v="74ab949d-17ac-3309-83a0-13b4405c66aa"/>
    <s v="35fedf4a-4da7-315e-a103-dbcfea0540fa"/>
    <s v="a735bf55-83e9-331a-899d-a82a60b9f60c"/>
    <x v="1"/>
    <n v="185347001"/>
    <s v="Encounter for problem (procedure)"/>
    <n v="85.55"/>
    <n v="1450.05"/>
    <n v="1077.58"/>
    <n v="88805009"/>
    <x v="64"/>
  </r>
  <r>
    <s v="8d91c36a-1f7e-3842-9702-3fc00670c71b"/>
    <d v="2014-04-09T07:20:51"/>
    <d v="2014-04-09T08:20:51"/>
    <s v="8d91c36a-1f7e-3842-9f14-8d567ed9cdcd"/>
    <s v="74ab949d-17ac-3309-83a0-13b4405c66aa"/>
    <s v="35fedf4a-4da7-315e-a103-dbcfea0540fa"/>
    <s v="a735bf55-83e9-331a-899d-a82a60b9f60c"/>
    <x v="3"/>
    <n v="185347001"/>
    <s v="Encounter for problem (procedure)"/>
    <n v="87.71"/>
    <n v="4681.1899999999996"/>
    <n v="3744.93"/>
    <n v="88805009"/>
    <x v="64"/>
  </r>
  <r>
    <s v="8d91c36a-1f7e-3842-d307-5261e3640dcd"/>
    <d v="2014-04-09T07:20:51"/>
    <d v="2014-04-17T08:05:42"/>
    <s v="8d91c36a-1f7e-3842-9f14-8d567ed9cdcd"/>
    <s v="74ab949d-17ac-3309-83a0-13b4405c66aa"/>
    <s v="35fedf4a-4da7-315e-a103-dbcfea0540fa"/>
    <s v="a735bf55-83e9-331a-899d-a82a60b9f60c"/>
    <x v="6"/>
    <n v="305351004"/>
    <s v="Admission to intensive care unit (procedure)"/>
    <n v="146.18"/>
    <n v="11861.52"/>
    <n v="9489.02"/>
    <n v="88805009"/>
    <x v="64"/>
  </r>
  <r>
    <s v="8d91c36a-1f7e-3842-51df-a078dbcc6054"/>
    <d v="2014-04-20T08:05:42"/>
    <d v="2014-04-20T08:20:42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81be-5a06e5ecd05e"/>
    <d v="2014-04-24T08:05:42"/>
    <d v="2014-04-24T08:20:42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f145-ead7c5c00ed9"/>
    <d v="2014-05-03T06:46:29"/>
    <d v="2014-05-03T07:34:28"/>
    <s v="8d91c36a-1f7e-3842-9f14-8d567ed9cdcd"/>
    <s v="655f2a4f-419c-39d3-8ed6-6c4117eb7e32"/>
    <s v="4cbda0da-7e40-3232-827d-abb75be40ff7"/>
    <s v="a735bf55-83e9-331a-899d-a82a60b9f60c"/>
    <x v="0"/>
    <n v="162673000"/>
    <s v="General examination of patient (procedure)"/>
    <n v="136.80000000000001"/>
    <n v="778.78"/>
    <n v="623.02"/>
    <m/>
    <x v="0"/>
  </r>
  <r>
    <s v="8d91c36a-1f7e-3842-66df-4e55eed9316d"/>
    <d v="2014-05-10T06:46:29"/>
    <d v="2014-05-10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b558-0eb18f54cf68"/>
    <d v="2014-05-11T06:46:29"/>
    <d v="2014-05-11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99d0-cd6c962f654a"/>
    <d v="2014-05-12T06:46:29"/>
    <d v="2014-05-12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184a-13b3e3d80788"/>
    <d v="2014-05-13T06:46:29"/>
    <d v="2014-05-13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733c-237d7965af54"/>
    <d v="2014-05-14T06:46:29"/>
    <d v="2014-05-14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97f3-523a17a8350a"/>
    <d v="2014-05-16T06:46:29"/>
    <d v="2014-05-16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9953-92c953636d21"/>
    <d v="2014-05-17T06:46:29"/>
    <d v="2014-05-17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b043-9c5d2143f6eb"/>
    <d v="2014-05-18T06:46:29"/>
    <d v="2014-05-18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000a-0a1878539b91"/>
    <d v="2014-05-19T06:46:29"/>
    <d v="2014-05-19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22d2-d732bf48847b"/>
    <d v="2014-05-21T06:46:29"/>
    <d v="2014-05-21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d7eb-2e5b76200bcc"/>
    <d v="2014-05-22T06:46:29"/>
    <d v="2014-05-22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13b6-028e93336a42"/>
    <d v="2014-05-24T06:46:29"/>
    <d v="2014-05-24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5f00-bbf82da74762"/>
    <d v="2014-05-25T06:46:29"/>
    <d v="2014-05-25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ccf9-404986ea1941"/>
    <d v="2014-05-26T06:46:29"/>
    <d v="2014-05-26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6b24-f77d56662970"/>
    <d v="2014-05-27T06:46:29"/>
    <d v="2014-05-27T07:01:29"/>
    <s v="8d91c36a-1f7e-3842-9f14-8d567ed9cdcd"/>
    <s v="74ab949d-17ac-3309-83a0-13b4405c66aa"/>
    <s v="35fedf4a-4da7-315e-a103-dbcfea0540fa"/>
    <s v="a735bf55-83e9-331a-899d-a82a60b9f60c"/>
    <x v="1"/>
    <n v="448337001"/>
    <s v="Telemedicine consultation with patient (procedure)"/>
    <n v="142.58000000000001"/>
    <n v="142.58000000000001"/>
    <n v="114.06"/>
    <n v="88805009"/>
    <x v="64"/>
  </r>
  <r>
    <s v="8d91c36a-1f7e-3842-1ea9-e670f17555b5"/>
    <d v="2014-05-28T06:46:29"/>
    <d v="2014-05-28T07:46:29"/>
    <s v="8d91c36a-1f7e-3842-9f14-8d567ed9cdcd"/>
    <s v="74ab949d-17ac-3309-83a0-13b4405c66aa"/>
    <s v="35fedf4a-4da7-315e-a103-dbcfea0540fa"/>
    <s v="a735bf55-83e9-331a-899d-a82a60b9f60c"/>
    <x v="3"/>
    <n v="185347001"/>
    <s v="Encounter for problem (procedure)"/>
    <n v="87.71"/>
    <n v="14530.8"/>
    <n v="11624.62"/>
    <n v="88805009"/>
    <x v="64"/>
  </r>
  <r>
    <s v="8d91c36a-1f7e-3842-6df3-3edb7c6a9575"/>
    <d v="2014-05-28T06:46:29"/>
    <d v="2014-05-31T07:50:28"/>
    <s v="8d91c36a-1f7e-3842-9f14-8d567ed9cdcd"/>
    <s v="74ab949d-17ac-3309-83a0-13b4405c66aa"/>
    <s v="35fedf4a-4da7-315e-a103-dbcfea0540fa"/>
    <s v="a735bf55-83e9-331a-899d-a82a60b9f60c"/>
    <x v="6"/>
    <n v="305351004"/>
    <s v="Admission to intensive care unit (procedure)"/>
    <n v="146.18"/>
    <n v="8289.34"/>
    <n v="6631.39"/>
    <n v="88805009"/>
    <x v="64"/>
  </r>
  <r>
    <s v="8d91c36a-1f7e-3842-cbc3-901e9cda29d4"/>
    <d v="2014-11-27T06:50:28"/>
    <d v="2014-11-27T07:50:28"/>
    <s v="8d91c36a-1f7e-3842-9f14-8d567ed9cdcd"/>
    <s v="74ab949d-17ac-3309-83a0-13b4405c66aa"/>
    <s v="35fedf4a-4da7-315e-a103-dbcfea0540fa"/>
    <s v="a735bf55-83e9-331a-899d-a82a60b9f60c"/>
    <x v="3"/>
    <n v="185347001"/>
    <s v="Encounter for problem (procedure)"/>
    <n v="87.71"/>
    <n v="4681.1899999999996"/>
    <n v="3558.53"/>
    <n v="88805009"/>
    <x v="64"/>
  </r>
  <r>
    <s v="8d91c36a-1f7e-3842-7f3d-db5ca00f4d98"/>
    <d v="2014-11-27T06:50:28"/>
    <d v="2014-11-29T07:56:57"/>
    <s v="8d91c36a-1f7e-3842-9f14-8d567ed9cdcd"/>
    <s v="74ab949d-17ac-3309-83a0-13b4405c66aa"/>
    <s v="35fedf4a-4da7-315e-a103-dbcfea0540fa"/>
    <s v="a735bf55-83e9-331a-899d-a82a60b9f60c"/>
    <x v="6"/>
    <n v="305351004"/>
    <s v="Admission to intensive care unit (procedure)"/>
    <n v="146.18"/>
    <n v="5253.59"/>
    <n v="4202.82"/>
    <n v="88805009"/>
    <x v="64"/>
  </r>
  <r>
    <s v="8d91c36a-1f7e-3842-f2ee-063081772107"/>
    <d v="2015-05-09T06:46:29"/>
    <d v="2015-05-09T07:16:53"/>
    <s v="8d91c36a-1f7e-3842-9f14-8d567ed9cdcd"/>
    <s v="655f2a4f-419c-39d3-8ed6-6c4117eb7e32"/>
    <s v="4cbda0da-7e40-3232-827d-abb75be40ff7"/>
    <s v="a735bf55-83e9-331a-899d-a82a60b9f60c"/>
    <x v="0"/>
    <n v="162673000"/>
    <s v="General examination of patient (procedure)"/>
    <n v="136.80000000000001"/>
    <n v="994.48"/>
    <n v="795.58"/>
    <m/>
    <x v="0"/>
  </r>
  <r>
    <s v="8d91c36a-1f7e-3842-bf3a-4332ed63a53d"/>
    <d v="2015-05-23T06:46:29"/>
    <d v="2015-05-23T10:07:08"/>
    <s v="8d91c36a-1f7e-3842-9f14-8d567ed9cdcd"/>
    <s v="901c2d40-1ca3-3879-9a20-c663b8adc0a9"/>
    <s v="48b16ca9-484f-32b6-8ef7-96fe15ce872e"/>
    <s v="a735bf55-83e9-331a-899d-a82a60b9f60c"/>
    <x v="1"/>
    <n v="185349003"/>
    <s v="Encounter for check up (procedure)"/>
    <n v="85.55"/>
    <n v="2673.95"/>
    <n v="2139.16"/>
    <n v="103697008"/>
    <x v="3"/>
  </r>
  <r>
    <s v="8d91c36a-1f7e-3842-1b80-351adcb13ca0"/>
    <d v="2015-06-06T06:46:29"/>
    <d v="2015-06-06T07:16:29"/>
    <s v="8d91c36a-1f7e-3842-9f14-8d567ed9cdcd"/>
    <s v="74ab949d-17ac-3309-83a0-13b4405c66aa"/>
    <s v="35fedf4a-4da7-315e-a103-dbcfea0540fa"/>
    <s v="a735bf55-83e9-331a-899d-a82a60b9f60c"/>
    <x v="1"/>
    <n v="185347001"/>
    <s v="Encounter for problem (procedure)"/>
    <n v="85.55"/>
    <n v="795.53"/>
    <n v="636.41999999999996"/>
    <n v="88805009"/>
    <x v="64"/>
  </r>
  <r>
    <s v="8d91c36a-1f7e-3842-3c8b-9f8a2437d1e9"/>
    <d v="2015-08-29T06:46:29"/>
    <d v="2015-09-24T15:56:57"/>
    <s v="8d91c36a-1f7e-3842-9f14-8d567ed9cdcd"/>
    <s v="200746fc-5d0f-3ec7-a2a9-3d9a219ee139"/>
    <s v="3cf7b1f9-2524-33ae-8fde-71ac89316d79"/>
    <s v="a735bf55-83e9-331a-899d-a82a60b9f60c"/>
    <x v="5"/>
    <n v="305336008"/>
    <s v="Admission to hospice (procedure)"/>
    <n v="137.53"/>
    <n v="11353.93"/>
    <n v="9083.14"/>
    <n v="88805009"/>
    <x v="64"/>
  </r>
  <r>
    <s v="8d91c36a-1f7e-3842-ecec-fec2b9831667"/>
    <d v="2015-09-26T06:46:29"/>
    <d v="2015-09-26T07:01:29"/>
    <s v="8d91c36a-1f7e-3842-9f14-8d567ed9cdcd"/>
    <s v="655f2a4f-419c-39d3-8ed6-6c4117eb7e32"/>
    <s v="4cbda0da-7e40-3232-827d-abb75be40ff7"/>
    <s v="a735bf55-83e9-331a-899d-a82a60b9f60c"/>
    <x v="0"/>
    <n v="308646001"/>
    <s v="Death Certification"/>
    <n v="136.80000000000001"/>
    <n v="211.38"/>
    <n v="169.1"/>
    <n v="88805009"/>
    <x v="64"/>
  </r>
  <r>
    <s v="c1453af6-5763-f853-5b41-bbc09afc7a72"/>
    <d v="2015-03-15T08:44:34"/>
    <d v="2015-03-15T08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816.8"/>
    <n v="0"/>
    <m/>
    <x v="0"/>
  </r>
  <r>
    <s v="c1453af6-5763-f853-a1f4-3cdfe4cfd8da"/>
    <d v="2016-12-04T07:44:34"/>
    <d v="2016-12-04T07:59:34"/>
    <s v="c1453af6-5763-f853-7da2-a16adee55469"/>
    <s v="ac0fde88-b0ad-3388-a4a8-b8fc2a4f4af2"/>
    <s v="3a43e601-a5bc-3cb1-a910-fd095c58c91b"/>
    <s v="734afbd6-4794-363b-9bc0-6a3981533ed5"/>
    <x v="2"/>
    <n v="185345009"/>
    <s v="Encounter for symptom (procedure)"/>
    <n v="85.55"/>
    <n v="85.55"/>
    <n v="0"/>
    <n v="65363002"/>
    <x v="25"/>
  </r>
  <r>
    <s v="c1453af6-5763-f853-5bee-4f2d31f99660"/>
    <d v="2016-12-11T07:44:34"/>
    <d v="2016-12-11T07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488.5"/>
    <n v="0"/>
    <m/>
    <x v="0"/>
  </r>
  <r>
    <s v="c1453af6-5763-f853-37a3-372970fd9ed2"/>
    <d v="2017-06-11T08:44:34"/>
    <d v="2017-06-11T08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136.80000000000001"/>
    <n v="0"/>
    <m/>
    <x v="0"/>
  </r>
  <r>
    <s v="c1453af6-5763-f853-43aa-c06a564b1a91"/>
    <d v="2017-12-10T07:44:34"/>
    <d v="2017-12-10T07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704.2"/>
    <n v="0"/>
    <m/>
    <x v="0"/>
  </r>
  <r>
    <s v="c1453af6-5763-f853-9d5d-c939f211685c"/>
    <d v="2017-12-17T07:44:34"/>
    <d v="2017-12-17T11:20:05"/>
    <s v="c1453af6-5763-f853-7da2-a16adee55469"/>
    <s v="ac0fde88-b0ad-3388-a4a8-b8fc2a4f4af2"/>
    <s v="3a43e601-a5bc-3cb1-a910-fd095c58c91b"/>
    <s v="734afbd6-4794-363b-9bc0-6a3981533ed5"/>
    <x v="1"/>
    <n v="185349003"/>
    <s v="Encounter for check up (procedure)"/>
    <n v="85.55"/>
    <n v="3105.35"/>
    <n v="2094.63"/>
    <n v="103697008"/>
    <x v="3"/>
  </r>
  <r>
    <s v="c1453af6-5763-f853-2ed2-8d2bd1e91c56"/>
    <d v="2018-12-16T07:44:34"/>
    <d v="2018-12-16T07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1595.39"/>
    <n v="109.91"/>
    <m/>
    <x v="0"/>
  </r>
  <r>
    <s v="c1453af6-5763-f853-8b62-2daca046764d"/>
    <d v="2018-12-23T07:44:34"/>
    <d v="2018-12-23T10:56:19"/>
    <s v="c1453af6-5763-f853-7da2-a16adee55469"/>
    <s v="ac0fde88-b0ad-3388-a4a8-b8fc2a4f4af2"/>
    <s v="3a43e601-a5bc-3cb1-a910-fd095c58c91b"/>
    <s v="734afbd6-4794-363b-9bc0-6a3981533ed5"/>
    <x v="1"/>
    <n v="185349003"/>
    <s v="Encounter for check up (procedure)"/>
    <n v="85.55"/>
    <n v="3105.35"/>
    <n v="2484.2800000000002"/>
    <n v="103697008"/>
    <x v="3"/>
  </r>
  <r>
    <s v="c1453af6-5763-f853-0b03-fc05d7df86b3"/>
    <d v="2019-12-22T07:44:34"/>
    <d v="2019-12-22T07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563.08000000000004"/>
    <n v="0"/>
    <m/>
    <x v="0"/>
  </r>
  <r>
    <s v="c1453af6-5763-f853-834b-1885a58e9840"/>
    <d v="2020-12-27T07:44:34"/>
    <d v="2020-12-27T07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1135.5999999999999"/>
    <n v="0"/>
    <m/>
    <x v="0"/>
  </r>
  <r>
    <s v="c1453af6-5763-f853-f430-702892ec8ab5"/>
    <d v="2022-01-02T07:44:34"/>
    <d v="2022-01-02T07:59:34"/>
    <s v="c1453af6-5763-f853-7da2-a16adee55469"/>
    <s v="faffaf6a-ee1a-3673-b0b0-421a9c249244"/>
    <s v="de3dc7a7-3bca-38d8-997d-43d7b0656ee9"/>
    <s v="734afbd6-4794-363b-9bc0-6a3981533ed5"/>
    <x v="0"/>
    <n v="410620009"/>
    <s v="Well child visit (procedure)"/>
    <n v="136.80000000000001"/>
    <n v="1204.94"/>
    <n v="0"/>
    <m/>
    <x v="0"/>
  </r>
  <r>
    <s v="c1453af6-5763-f853-8dea-7e8707934ef9"/>
    <d v="2022-01-09T07:44:34"/>
    <d v="2022-01-09T15:01:21"/>
    <s v="c1453af6-5763-f853-7da2-a16adee55469"/>
    <s v="ac0fde88-b0ad-3388-a4a8-b8fc2a4f4af2"/>
    <s v="3a43e601-a5bc-3cb1-a910-fd095c58c91b"/>
    <s v="8fa6c185-e44e-3e34-8bd8-39be8694f4ce"/>
    <x v="1"/>
    <n v="185349003"/>
    <s v="Encounter for check up (procedure)"/>
    <n v="85.55"/>
    <n v="5262.35"/>
    <n v="624.6"/>
    <n v="66383009"/>
    <x v="17"/>
  </r>
  <r>
    <s v="c1453af6-5763-f853-9cf2-dd41cb6544ff"/>
    <d v="2023-01-08T07:44:34"/>
    <d v="2023-01-08T07:59:34"/>
    <s v="c1453af6-5763-f853-7da2-a16adee55469"/>
    <s v="faffaf6a-ee1a-3673-b0b0-421a9c249244"/>
    <s v="de3dc7a7-3bca-38d8-997d-43d7b0656ee9"/>
    <s v="8fa6c185-e44e-3e34-8bd8-39be8694f4ce"/>
    <x v="0"/>
    <n v="410620009"/>
    <s v="Well child visit (procedure)"/>
    <n v="136.80000000000001"/>
    <n v="704.2"/>
    <n v="0"/>
    <m/>
    <x v="0"/>
  </r>
  <r>
    <s v="c1453af6-5763-f853-d050-dbc8994095fe"/>
    <d v="2023-01-15T07:44:34"/>
    <d v="2023-01-15T11:50:09"/>
    <s v="c1453af6-5763-f853-7da2-a16adee55469"/>
    <s v="ac0fde88-b0ad-3388-a4a8-b8fc2a4f4af2"/>
    <s v="3a43e601-a5bc-3cb1-a910-fd095c58c91b"/>
    <s v="8fa6c185-e44e-3e34-8bd8-39be8694f4ce"/>
    <x v="1"/>
    <n v="185349003"/>
    <s v="Encounter for check up (procedure)"/>
    <n v="85.55"/>
    <n v="3105.35"/>
    <n v="0"/>
    <n v="103697008"/>
    <x v="3"/>
  </r>
  <r>
    <s v="c1453af6-5763-f853-205a-d6af5d96fe97"/>
    <d v="2023-12-07T07:44:34"/>
    <d v="2023-12-07T08:44:34"/>
    <s v="c1453af6-5763-f853-7da2-a16adee55469"/>
    <s v="1ce0d1a3-b507-3ad1-afc5-b25bfe48b8dc"/>
    <s v="cb04fbb5-a1db-3c86-b415-a99bac8c6060"/>
    <s v="8fa6c185-e44e-3e34-8bd8-39be8694f4ce"/>
    <x v="3"/>
    <n v="50849002"/>
    <s v="Emergency room admission (procedure)"/>
    <n v="146.18"/>
    <n v="146.18"/>
    <n v="0"/>
    <n v="110030002"/>
    <x v="69"/>
  </r>
  <r>
    <s v="c1453af6-5763-f853-5798-1ce6e7ea4027"/>
    <d v="2024-01-14T07:44:34"/>
    <d v="2024-01-14T07:59:34"/>
    <s v="c1453af6-5763-f853-7da2-a16adee55469"/>
    <s v="faffaf6a-ee1a-3673-b0b0-421a9c249244"/>
    <s v="de3dc7a7-3bca-38d8-997d-43d7b0656ee9"/>
    <s v="0133f751-9229-3cfd-815f-b6d4979bdd6a"/>
    <x v="0"/>
    <n v="410620009"/>
    <s v="Well child visit (procedure)"/>
    <n v="136.80000000000001"/>
    <n v="704.2"/>
    <n v="0"/>
    <m/>
    <x v="0"/>
  </r>
  <r>
    <s v="c1453af6-5763-f853-0dd7-ac5abe2e5806"/>
    <d v="2024-01-21T07:44:34"/>
    <d v="2024-01-21T11:11:40"/>
    <s v="c1453af6-5763-f853-7da2-a16adee55469"/>
    <s v="ac0fde88-b0ad-3388-a4a8-b8fc2a4f4af2"/>
    <s v="3a43e601-a5bc-3cb1-a910-fd095c58c91b"/>
    <s v="0133f751-9229-3cfd-815f-b6d4979bdd6a"/>
    <x v="1"/>
    <n v="185349003"/>
    <s v="Encounter for check up (procedure)"/>
    <n v="85.55"/>
    <n v="3105.35"/>
    <n v="0"/>
    <n v="66383009"/>
    <x v="17"/>
  </r>
  <r>
    <s v="c1453af6-5763-f853-aaea-a2b891cb94f8"/>
    <d v="2024-02-16T07:44:34"/>
    <d v="2024-02-16T07:59:34"/>
    <s v="c1453af6-5763-f853-7da2-a16adee55469"/>
    <s v="ac0fde88-b0ad-3388-a4a8-b8fc2a4f4af2"/>
    <s v="3a43e601-a5bc-3cb1-a910-fd095c58c91b"/>
    <s v="0133f751-9229-3cfd-815f-b6d4979bdd6a"/>
    <x v="1"/>
    <n v="185349003"/>
    <s v="Encounter for check up (procedure)"/>
    <n v="85.55"/>
    <n v="85.55"/>
    <n v="0"/>
    <n v="62106007"/>
    <x v="83"/>
  </r>
  <r>
    <s v="c1453af6-5763-f853-2b4f-c8feb4d4f6ec"/>
    <d v="2025-01-19T07:44:34"/>
    <d v="2025-01-19T07:59:34"/>
    <s v="c1453af6-5763-f853-7da2-a16adee55469"/>
    <s v="faffaf6a-ee1a-3673-b0b0-421a9c249244"/>
    <s v="de3dc7a7-3bca-38d8-997d-43d7b0656ee9"/>
    <s v="0133f751-9229-3cfd-815f-b6d4979bdd6a"/>
    <x v="0"/>
    <n v="410620009"/>
    <s v="Well child visit (procedure)"/>
    <n v="136.80000000000001"/>
    <n v="755.38"/>
    <n v="0"/>
    <m/>
    <x v="0"/>
  </r>
  <r>
    <s v="c1453af6-5763-f853-f0cd-242cdf0e2c42"/>
    <d v="2025-05-07T14:44:34"/>
    <d v="2025-05-07T14:59:34"/>
    <s v="c1453af6-5763-f853-7da2-a16adee55469"/>
    <s v="ac0fde88-b0ad-3388-a4a8-b8fc2a4f4af2"/>
    <s v="3a43e601-a5bc-3cb1-a910-fd095c58c91b"/>
    <s v="0133f751-9229-3cfd-815f-b6d4979bdd6a"/>
    <x v="1"/>
    <n v="185345009"/>
    <s v="Encounter for symptom (procedure)"/>
    <n v="85.55"/>
    <n v="2946.9"/>
    <n v="0"/>
    <n v="195662009"/>
    <x v="9"/>
  </r>
  <r>
    <s v="c1453af6-5763-f853-700f-cf7cb1d05e7b"/>
    <d v="2026-01-18T07:44:34"/>
    <d v="2026-01-18T07:59:34"/>
    <s v="c1453af6-5763-f853-7da2-a16adee55469"/>
    <s v="ac0fde88-b0ad-3388-a4a8-b8fc2a4f4af2"/>
    <s v="3a43e601-a5bc-3cb1-a910-fd095c58c91b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c1453af6-5763-f853-badc-0fa62b04d97b"/>
    <d v="2026-01-25T07:44:34"/>
    <d v="2026-01-25T08:13:14"/>
    <s v="c1453af6-5763-f853-7da2-a16adee55469"/>
    <s v="faffaf6a-ee1a-3673-b0b0-421a9c249244"/>
    <s v="de3dc7a7-3bca-38d8-997d-43d7b0656ee9"/>
    <s v="0133f751-9229-3cfd-815f-b6d4979bdd6a"/>
    <x v="0"/>
    <n v="410620009"/>
    <s v="Well child visit (procedure)"/>
    <n v="136.80000000000001"/>
    <n v="1102.94"/>
    <n v="0"/>
    <m/>
    <x v="0"/>
  </r>
  <r>
    <s v="c1453af6-5763-f853-19e9-b76275275525"/>
    <d v="2026-02-08T07:44:34"/>
    <d v="2026-02-08T07:59:34"/>
    <s v="c1453af6-5763-f853-7da2-a16adee55469"/>
    <s v="ac0fde88-b0ad-3388-a4a8-b8fc2a4f4af2"/>
    <s v="3a43e601-a5bc-3cb1-a910-fd095c58c91b"/>
    <s v="0133f751-9229-3cfd-815f-b6d4979bdd6a"/>
    <x v="2"/>
    <n v="33879002"/>
    <s v="Administration of vaccine to produce active immunity (procedure)"/>
    <n v="142.58000000000001"/>
    <n v="278.58"/>
    <n v="0"/>
    <m/>
    <x v="0"/>
  </r>
  <r>
    <s v="c1453af6-5763-f853-103f-00bf51d2ff48"/>
    <d v="2026-02-08T07:44:34"/>
    <d v="2026-02-08T10:32:16"/>
    <s v="c1453af6-5763-f853-7da2-a16adee55469"/>
    <s v="ac0fde88-b0ad-3388-a4a8-b8fc2a4f4af2"/>
    <s v="3a43e601-a5bc-3cb1-a910-fd095c58c91b"/>
    <s v="0133f751-9229-3cfd-815f-b6d4979bdd6a"/>
    <x v="1"/>
    <n v="185349003"/>
    <s v="Encounter for check up (procedure)"/>
    <n v="85.55"/>
    <n v="3105.35"/>
    <n v="0"/>
    <n v="66383009"/>
    <x v="17"/>
  </r>
  <r>
    <s v="57efda89-b582-bb08-1845-a233d9ef1b64"/>
    <d v="1991-12-04T01:49:34"/>
    <d v="1991-12-04T02:07:08"/>
    <s v="57efda89-b582-bb08-8a2d-e06b2c184bfc"/>
    <s v="471f7ca2-38f8-3080-8109-187c73ec0b1f"/>
    <s v="f86d82f7-4700-3a32-b779-24d93cbe786a"/>
    <s v="e03e23c9-4df1-3eb6-a62d-f70f02301496"/>
    <x v="0"/>
    <n v="410620009"/>
    <s v="Well child visit (procedure)"/>
    <n v="136.80000000000001"/>
    <n v="994.48"/>
    <n v="0"/>
    <m/>
    <x v="0"/>
  </r>
  <r>
    <s v="57efda89-b582-bb08-896b-cf75a8b67d3f"/>
    <d v="1993-12-15T01:49:34"/>
    <d v="1993-12-15T02:37:28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849.22"/>
    <n v="0"/>
    <m/>
    <x v="0"/>
  </r>
  <r>
    <s v="57efda89-b582-bb08-860d-80e116aff96a"/>
    <d v="1994-12-21T01:49:34"/>
    <d v="1994-12-21T02:31:42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785.58"/>
    <n v="0"/>
    <m/>
    <x v="0"/>
  </r>
  <r>
    <s v="57efda89-b582-bb08-2a76-fb4c96db7a79"/>
    <d v="2000-12-27T01:49:34"/>
    <d v="2000-12-27T02:36:49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860.16"/>
    <n v="0"/>
    <m/>
    <x v="0"/>
  </r>
  <r>
    <s v="57efda89-b582-bb08-2b03-a02d15664c30"/>
    <d v="2003-12-31T01:49:34"/>
    <d v="2003-12-31T02:39:25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607.74"/>
    <n v="0"/>
    <m/>
    <x v="0"/>
  </r>
  <r>
    <s v="57efda89-b582-bb08-d4c2-a60dfd28161c"/>
    <d v="2007-01-13T22:49:34"/>
    <d v="2007-01-13T23:0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5.55"/>
    <n v="0"/>
    <n v="40275004"/>
    <x v="42"/>
  </r>
  <r>
    <s v="57efda89-b582-bb08-45fc-2fbce654236e"/>
    <d v="2007-01-28T10:49:34"/>
    <d v="2007-01-28T11:28:10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16.95000000000005"/>
    <n v="0"/>
    <n v="609328004"/>
    <x v="11"/>
  </r>
  <r>
    <s v="57efda89-b582-bb08-6ff9-5006c9f9a320"/>
    <d v="2008-11-01T14:49:34"/>
    <d v="2008-11-01T15:04:34"/>
    <s v="57efda89-b582-bb08-8a2d-e06b2c184bfc"/>
    <s v="af8566eb-8918-3ec7-ba44-92b6a2cf8097"/>
    <s v="96f469c4-4c13-30e3-8596-ad7567df2b4c"/>
    <s v="e03e23c9-4df1-3eb6-a62d-f70f02301496"/>
    <x v="1"/>
    <n v="185345009"/>
    <s v="Encounter for symptom (procedure)"/>
    <n v="85.55"/>
    <n v="92.93"/>
    <n v="0"/>
    <n v="75498004"/>
    <x v="14"/>
  </r>
  <r>
    <s v="57efda89-b582-bb08-7fbb-b28837e09104"/>
    <d v="2010-01-06T01:49:34"/>
    <d v="2010-01-06T02:34:48"/>
    <s v="57efda89-b582-bb08-8a2d-e06b2c184bfc"/>
    <s v="471f7ca2-38f8-3080-8109-187c73ec0b1f"/>
    <s v="f86d82f7-4700-3a32-b779-24d93cbe786a"/>
    <s v="df166300-5a78-3502-a46a-832842197811"/>
    <x v="0"/>
    <n v="162673000"/>
    <s v="General examination of patient (procedure)"/>
    <n v="136.80000000000001"/>
    <n v="934.74"/>
    <n v="934.74"/>
    <m/>
    <x v="0"/>
  </r>
  <r>
    <s v="57efda89-b582-bb08-af4b-c8101719e409"/>
    <d v="2011-04-27T02:49:34"/>
    <d v="2011-04-27T03:20:11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1015.1"/>
    <n v="0"/>
    <m/>
    <x v="0"/>
  </r>
  <r>
    <s v="57efda89-b582-bb08-4864-36ecd4fa9c56"/>
    <d v="2014-05-21T02:49:34"/>
    <d v="2014-05-21T03:42:08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002.52"/>
    <n v="0"/>
    <m/>
    <x v="0"/>
  </r>
  <r>
    <s v="57efda89-b582-bb08-e9ac-55bb1b965b6a"/>
    <d v="2016-04-20T02:49:34"/>
    <d v="2016-04-20T03:04:34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291.74"/>
    <n v="0"/>
    <m/>
    <x v="0"/>
  </r>
  <r>
    <s v="57efda89-b582-bb08-57b7-ea62855aa368"/>
    <d v="2016-06-01T02:49:34"/>
    <d v="2016-06-01T03:34:42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866.52"/>
    <n v="0"/>
    <m/>
    <x v="0"/>
  </r>
  <r>
    <s v="57efda89-b582-bb08-3b50-2b561fef03dc"/>
    <d v="2017-03-15T02:49:34"/>
    <d v="2017-03-15T03:24:27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951.27"/>
    <n v="0"/>
    <m/>
    <x v="0"/>
  </r>
  <r>
    <s v="57efda89-b582-bb08-969c-54b5615b3e61"/>
    <d v="2017-03-29T02:49:34"/>
    <d v="2017-03-29T06:06:11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2673.95"/>
    <n v="0"/>
    <n v="66383009"/>
    <x v="17"/>
  </r>
  <r>
    <s v="57efda89-b582-bb08-ec07-8adcafe76814"/>
    <d v="2017-06-07T02:49:34"/>
    <d v="2017-06-07T03:28:47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544.85"/>
    <n v="0"/>
    <m/>
    <x v="0"/>
  </r>
  <r>
    <s v="57efda89-b582-bb08-32d9-36f98d9ad720"/>
    <d v="2017-06-21T02:49:34"/>
    <d v="2017-06-21T05:34:37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2673.95"/>
    <n v="0"/>
    <n v="66383009"/>
    <x v="17"/>
  </r>
  <r>
    <s v="57efda89-b582-bb08-5cd7-93a9486aab7c"/>
    <d v="2017-09-16T02:12:03"/>
    <d v="2017-09-16T02:27:03"/>
    <s v="57efda89-b582-bb08-8a2d-e06b2c184bfc"/>
    <s v="af8566eb-8918-3ec7-ba44-92b6a2cf8097"/>
    <s v="96f469c4-4c13-30e3-8596-ad7567df2b4c"/>
    <s v="e03e23c9-4df1-3eb6-a62d-f70f02301496"/>
    <x v="1"/>
    <n v="185345009"/>
    <s v="Encounter for symptom (procedure)"/>
    <n v="85.55"/>
    <n v="2715.8"/>
    <n v="0"/>
    <n v="10509002"/>
    <x v="1"/>
  </r>
  <r>
    <s v="57efda89-b582-bb08-43f0-2416145eb223"/>
    <d v="2017-09-27T02:49:34"/>
    <d v="2017-09-27T03:49:34"/>
    <s v="57efda89-b582-bb08-8a2d-e06b2c184bfc"/>
    <s v="440fa4b8-c731-3cf5-81d9-aa3f30a37b95"/>
    <s v="bd0d9d9d-ef57-383d-85c7-4eb4c49f6473"/>
    <s v="e03e23c9-4df1-3eb6-a62d-f70f02301496"/>
    <x v="3"/>
    <n v="50849002"/>
    <s v="Emergency room admission (procedure)"/>
    <n v="146.18"/>
    <n v="875.9"/>
    <n v="0"/>
    <m/>
    <x v="0"/>
  </r>
  <r>
    <s v="57efda89-b582-bb08-422d-097d8ebec7e7"/>
    <d v="2017-10-04T02:49:34"/>
    <d v="2017-10-04T03:49:34"/>
    <s v="57efda89-b582-bb08-8a2d-e06b2c184bfc"/>
    <s v="440fa4b8-c731-3cf5-81d9-aa3f30a37b95"/>
    <s v="bd0d9d9d-ef57-383d-85c7-4eb4c49f6473"/>
    <s v="e03e23c9-4df1-3eb6-a62d-f70f02301496"/>
    <x v="3"/>
    <n v="50849002"/>
    <s v="Emergency room admission (procedure)"/>
    <n v="146.18"/>
    <n v="295.33999999999997"/>
    <n v="0"/>
    <m/>
    <x v="0"/>
  </r>
  <r>
    <s v="57efda89-b582-bb08-2759-bef47addbe80"/>
    <d v="2017-10-11T02:49:34"/>
    <d v="2017-10-11T03:49:34"/>
    <s v="57efda89-b582-bb08-8a2d-e06b2c184bfc"/>
    <s v="440fa4b8-c731-3cf5-81d9-aa3f30a37b95"/>
    <s v="bd0d9d9d-ef57-383d-85c7-4eb4c49f6473"/>
    <s v="e03e23c9-4df1-3eb6-a62d-f70f02301496"/>
    <x v="3"/>
    <n v="50849002"/>
    <s v="Emergency room admission (procedure)"/>
    <n v="146.18"/>
    <n v="1726.96"/>
    <n v="0"/>
    <m/>
    <x v="0"/>
  </r>
  <r>
    <s v="57efda89-b582-bb08-586a-e10af7650f68"/>
    <d v="2017-10-18T02:49:34"/>
    <d v="2017-10-18T03:04:34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291.74"/>
    <n v="0"/>
    <m/>
    <x v="0"/>
  </r>
  <r>
    <s v="57efda89-b582-bb08-528e-8e19281953df"/>
    <d v="2017-10-25T02:49:34"/>
    <d v="2017-10-25T03:36:02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77db-d2451e757783"/>
    <d v="2017-11-01T02:49:34"/>
    <d v="2017-11-01T03:04:3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450.41"/>
    <n v="0"/>
    <m/>
    <x v="0"/>
  </r>
  <r>
    <s v="57efda89-b582-bb08-daa0-f7cff043c1a7"/>
    <d v="2017-11-08T01:49:34"/>
    <d v="2017-11-08T02:25:36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1735.1"/>
    <n v="0"/>
    <m/>
    <x v="0"/>
  </r>
  <r>
    <s v="57efda89-b582-bb08-301c-166fd3fc0fb2"/>
    <d v="2017-11-15T01:49:34"/>
    <d v="2017-11-15T02:04:34"/>
    <s v="57efda89-b582-bb08-8a2d-e06b2c184bfc"/>
    <s v="af8566eb-8918-3ec7-ba44-92b6a2cf8097"/>
    <s v="96f469c4-4c13-30e3-8596-ad7567df2b4c"/>
    <s v="e03e23c9-4df1-3eb6-a62d-f70f02301496"/>
    <x v="1"/>
    <n v="185345009"/>
    <s v="Encounter for symptom (procedure)"/>
    <n v="85.55"/>
    <n v="85.55"/>
    <n v="0"/>
    <n v="195662009"/>
    <x v="9"/>
  </r>
  <r>
    <s v="57efda89-b582-bb08-8bc1-79081acbd2d9"/>
    <d v="2017-12-27T01:49:34"/>
    <d v="2017-12-27T02:24:2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125.42"/>
    <n v="0"/>
    <m/>
    <x v="0"/>
  </r>
  <r>
    <s v="57efda89-b582-bb08-3bc8-90e8edcb5b3e"/>
    <d v="2018-01-10T01:49:34"/>
    <d v="2018-01-10T02:46:58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d96c-d20f3d0c1c8b"/>
    <d v="2018-01-17T01:49:34"/>
    <d v="2018-01-17T04:07:15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103697008"/>
    <x v="3"/>
  </r>
  <r>
    <s v="57efda89-b582-bb08-bc42-807e0caee4eb"/>
    <d v="2018-02-07T01:49:34"/>
    <d v="2018-02-07T02:24:57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1735.1"/>
    <n v="0"/>
    <m/>
    <x v="0"/>
  </r>
  <r>
    <s v="57efda89-b582-bb08-4137-0b48a3a8c5ef"/>
    <d v="2018-04-04T02:49:34"/>
    <d v="2018-04-04T03:30:52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152.9000000000001"/>
    <n v="0"/>
    <m/>
    <x v="0"/>
  </r>
  <r>
    <s v="57efda89-b582-bb08-69cc-36125d73b863"/>
    <d v="2018-04-18T02:49:34"/>
    <d v="2018-04-18T09:39:34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4399.55"/>
    <n v="0"/>
    <n v="66383009"/>
    <x v="17"/>
  </r>
  <r>
    <s v="57efda89-b582-bb08-c21f-a0018e61be22"/>
    <d v="2018-06-13T02:49:34"/>
    <d v="2018-06-13T03:37:22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731.03"/>
    <n v="0"/>
    <m/>
    <x v="0"/>
  </r>
  <r>
    <s v="57efda89-b582-bb08-c58e-59677362fd07"/>
    <d v="2018-06-27T02:49:34"/>
    <d v="2018-06-27T06:48:02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968.15"/>
    <n v="0"/>
    <n v="66383009"/>
    <x v="17"/>
  </r>
  <r>
    <s v="57efda89-b582-bb08-2da0-b3fa3672de0f"/>
    <d v="2018-10-03T02:49:34"/>
    <d v="2018-10-03T03:19:53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872.3"/>
    <n v="0"/>
    <m/>
    <x v="0"/>
  </r>
  <r>
    <s v="57efda89-b582-bb08-950f-44046ada09f9"/>
    <d v="2018-10-10T02:49:34"/>
    <d v="2018-10-10T03:04:3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234.71"/>
    <n v="0"/>
    <m/>
    <x v="0"/>
  </r>
  <r>
    <s v="57efda89-b582-bb08-966a-7ff22a59e40e"/>
    <d v="2018-10-17T02:49:34"/>
    <d v="2018-10-17T06:07:23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4218-d9957fce1922"/>
    <d v="2018-10-31T02:49:34"/>
    <d v="2018-10-31T03:28:47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117e-8f5de0118c16"/>
    <d v="2019-03-27T02:49:34"/>
    <d v="2019-03-27T03:29:37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3e55-549ff5624476"/>
    <d v="2019-04-03T02:49:34"/>
    <d v="2019-04-03T03:04:34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666.02"/>
    <n v="0"/>
    <m/>
    <x v="0"/>
  </r>
  <r>
    <s v="57efda89-b582-bb08-9f45-7bc3845b01d2"/>
    <d v="2019-04-10T02:49:34"/>
    <d v="2019-04-10T06:18:17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6056-b13567030251"/>
    <d v="2019-06-19T02:49:34"/>
    <d v="2019-06-19T03:25:47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002.52"/>
    <n v="0"/>
    <m/>
    <x v="0"/>
  </r>
  <r>
    <s v="57efda89-b582-bb08-8e78-e47d96d7cc38"/>
    <d v="2019-07-31T02:49:34"/>
    <d v="2019-07-31T03:44:0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57ab-a55366f3324b"/>
    <d v="2019-08-14T02:49:34"/>
    <d v="2019-08-14T07:05:16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968.15"/>
    <n v="0"/>
    <n v="103697008"/>
    <x v="3"/>
  </r>
  <r>
    <s v="57efda89-b582-bb08-fad5-50cf7e51f6cd"/>
    <d v="2019-08-28T02:49:34"/>
    <d v="2019-08-28T03:44:14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1453.22"/>
    <n v="0"/>
    <m/>
    <x v="0"/>
  </r>
  <r>
    <s v="57efda89-b582-bb08-f9d1-ea9e4672bd89"/>
    <d v="2019-09-11T02:49:34"/>
    <d v="2019-09-11T06:16:22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536.75"/>
    <n v="0"/>
    <n v="66383009"/>
    <x v="17"/>
  </r>
  <r>
    <s v="57efda89-b582-bb08-4d30-b1f686c795cb"/>
    <d v="2019-10-30T02:49:34"/>
    <d v="2019-10-30T03:27:1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6661-c23b46bdd3e5"/>
    <d v="2019-11-27T01:49:34"/>
    <d v="2019-11-27T02:38:09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678.07"/>
    <n v="0"/>
    <m/>
    <x v="0"/>
  </r>
  <r>
    <s v="57efda89-b582-bb08-5bdf-2c919cea1aff"/>
    <d v="2019-12-11T01:49:34"/>
    <d v="2019-12-11T09:08:55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4830.95"/>
    <n v="0"/>
    <n v="66383009"/>
    <x v="17"/>
  </r>
  <r>
    <s v="57efda89-b582-bb08-447b-d02615e20e0f"/>
    <d v="2019-12-25T01:49:34"/>
    <d v="2019-12-25T02:39:24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1380.71"/>
    <n v="0"/>
    <m/>
    <x v="0"/>
  </r>
  <r>
    <s v="57efda89-b582-bb08-df85-ab420bf99dc3"/>
    <d v="2020-01-08T01:49:34"/>
    <d v="2020-01-08T05:11:41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d35a-6d7c19cff1c7"/>
    <d v="2020-02-19T01:49:34"/>
    <d v="2020-02-19T02:44:37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ba69-230ada412c9b"/>
    <d v="2020-02-26T01:49:34"/>
    <d v="2020-02-26T02:04:3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234.71"/>
    <n v="0"/>
    <m/>
    <x v="0"/>
  </r>
  <r>
    <s v="57efda89-b582-bb08-9ae0-cef2fa730e94"/>
    <d v="2020-03-04T01:49:34"/>
    <d v="2020-03-04T05:19:10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536.75"/>
    <n v="0"/>
    <n v="103697008"/>
    <x v="3"/>
  </r>
  <r>
    <s v="57efda89-b582-bb08-17ae-f6b8e81c9738"/>
    <d v="2020-04-29T02:49:34"/>
    <d v="2020-04-29T03:19:48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166.97"/>
    <n v="0"/>
    <m/>
    <x v="0"/>
  </r>
  <r>
    <s v="57efda89-b582-bb08-22f8-74270d8952cb"/>
    <d v="2020-06-24T02:49:34"/>
    <d v="2020-06-24T03:19:40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941.1"/>
    <n v="0"/>
    <m/>
    <x v="0"/>
  </r>
  <r>
    <s v="57efda89-b582-bb08-ffb6-7931ff8b182e"/>
    <d v="2020-10-14T02:49:34"/>
    <d v="2020-10-14T03:41:50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0c3d-8d460a65a819"/>
    <d v="2020-10-21T02:49:34"/>
    <d v="2020-10-21T03:04:3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234.71"/>
    <n v="0"/>
    <m/>
    <x v="0"/>
  </r>
  <r>
    <s v="57efda89-b582-bb08-caa4-d86856d366a5"/>
    <d v="2020-11-25T01:49:34"/>
    <d v="2020-11-25T02:47:38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872.3"/>
    <n v="0"/>
    <m/>
    <x v="0"/>
  </r>
  <r>
    <s v="57efda89-b582-bb08-f9a7-0ddbe451bb7a"/>
    <d v="2021-01-13T01:49:34"/>
    <d v="2021-01-13T02:28:58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4367-91b38b2c41b7"/>
    <d v="2021-01-20T01:49:34"/>
    <d v="2021-01-20T02:04:34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603.48"/>
    <n v="0"/>
    <m/>
    <x v="0"/>
  </r>
  <r>
    <s v="57efda89-b582-bb08-bd21-bb28c41975ab"/>
    <d v="2021-02-17T01:49:34"/>
    <d v="2021-02-17T02:29:32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273.79"/>
    <n v="0"/>
    <m/>
    <x v="0"/>
  </r>
  <r>
    <s v="57efda89-b582-bb08-8187-560328b438bf"/>
    <d v="2021-03-03T01:49:34"/>
    <d v="2021-03-03T05:11:49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dc50-65a8b2f55059"/>
    <d v="2021-04-21T02:49:34"/>
    <d v="2021-04-21T03:28:03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316.4"/>
    <n v="0"/>
    <m/>
    <x v="0"/>
  </r>
  <r>
    <s v="57efda89-b582-bb08-94a9-04145389042c"/>
    <d v="2021-05-05T02:49:34"/>
    <d v="2021-05-05T06:32:08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853b-3a7ce1090d82"/>
    <d v="2021-05-19T02:49:34"/>
    <d v="2021-05-19T03:45:00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511.13"/>
    <n v="0"/>
    <m/>
    <x v="0"/>
  </r>
  <r>
    <s v="57efda89-b582-bb08-9751-bdf7ded430ec"/>
    <d v="2021-05-26T02:49:34"/>
    <d v="2021-05-26T05:2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209.76"/>
    <n v="0"/>
    <n v="431857002"/>
    <x v="84"/>
  </r>
  <r>
    <s v="57efda89-b582-bb08-26e8-4f0e6f493f75"/>
    <d v="2021-05-26T05:24:34"/>
    <d v="2021-05-26T05:3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c1fc-669e8872c61b"/>
    <d v="2021-05-29T05:24:34"/>
    <d v="2021-05-29T07:3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0a4e-2c9d3c7d20ef"/>
    <d v="2021-06-01T07:35:34"/>
    <d v="2021-06-01T11:0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e438-19477eae6dae"/>
    <d v="2021-06-04T11:03:34"/>
    <d v="2021-06-04T14:3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38.67"/>
    <n v="0"/>
    <n v="431857002"/>
    <x v="84"/>
  </r>
  <r>
    <s v="57efda89-b582-bb08-d645-9d2c2e804763"/>
    <d v="2021-06-07T14:33:34"/>
    <d v="2021-06-07T17:5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da09-3d3a06d1d648"/>
    <d v="2021-06-10T17:55:34"/>
    <d v="2021-06-10T21:0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d1f6-8abec831161c"/>
    <d v="2021-06-13T21:02:34"/>
    <d v="2021-06-14T00:2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aef6-779e0f1a7639"/>
    <d v="2021-06-23T02:49:34"/>
    <d v="2021-06-23T03:39:41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298.8800000000001"/>
    <n v="0"/>
    <m/>
    <x v="0"/>
  </r>
  <r>
    <s v="57efda89-b582-bb08-446f-bd7047023129"/>
    <d v="2021-06-30T02:49:34"/>
    <d v="2021-06-30T03:04:34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285.95999999999998"/>
    <n v="0"/>
    <m/>
    <x v="0"/>
  </r>
  <r>
    <s v="57efda89-b582-bb08-b5fb-8da1275521fa"/>
    <d v="2021-07-07T02:49:34"/>
    <d v="2021-07-07T05:3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6.88"/>
    <n v="0"/>
    <n v="431857002"/>
    <x v="84"/>
  </r>
  <r>
    <s v="57efda89-b582-bb08-b6bd-c1f4efb53017"/>
    <d v="2021-07-07T05:30:34"/>
    <d v="2021-07-07T05:4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a099-5ea3bfd00a75"/>
    <d v="2021-07-10T05:30:34"/>
    <d v="2021-07-10T08:4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31.24"/>
    <n v="0"/>
    <n v="431857002"/>
    <x v="84"/>
  </r>
  <r>
    <s v="57efda89-b582-bb08-adbd-8af176554a7f"/>
    <d v="2021-07-13T08:46:34"/>
    <d v="2021-07-13T12:3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37.13"/>
    <n v="0"/>
    <n v="431857002"/>
    <x v="84"/>
  </r>
  <r>
    <s v="57efda89-b582-bb08-a50b-a8041006c1a8"/>
    <d v="2021-07-16T12:30:34"/>
    <d v="2021-07-16T14:3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e2e0-bdda6b5934e5"/>
    <d v="2021-07-19T14:37:34"/>
    <d v="2021-07-19T17:0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63.37"/>
    <n v="0"/>
    <n v="431857002"/>
    <x v="84"/>
  </r>
  <r>
    <s v="57efda89-b582-bb08-6991-98bcb86dab1a"/>
    <d v="2021-07-22T17:06:34"/>
    <d v="2021-07-22T19:3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73.16"/>
    <n v="0"/>
    <n v="431857002"/>
    <x v="84"/>
  </r>
  <r>
    <s v="57efda89-b582-bb08-6278-dfc54f90754a"/>
    <d v="2021-07-25T19:32:34"/>
    <d v="2021-07-25T21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392.99"/>
    <n v="0"/>
    <n v="431857002"/>
    <x v="84"/>
  </r>
  <r>
    <s v="57efda89-b582-bb08-f28f-fb2dcf635a6e"/>
    <d v="2021-07-28T21:52:34"/>
    <d v="2021-07-29T01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211.92"/>
    <n v="0"/>
    <n v="431857002"/>
    <x v="84"/>
  </r>
  <r>
    <s v="57efda89-b582-bb08-7208-14e9a3ad0b1f"/>
    <d v="2021-08-01T01:07:34"/>
    <d v="2021-08-01T03:4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78.27"/>
    <n v="0"/>
    <n v="431857002"/>
    <x v="84"/>
  </r>
  <r>
    <s v="57efda89-b582-bb08-51c2-ca4f0b4a5b9c"/>
    <d v="2021-08-11T02:49:34"/>
    <d v="2021-08-11T03:04:34"/>
    <s v="57efda89-b582-bb08-8a2d-e06b2c184bfc"/>
    <s v="af8566eb-8918-3ec7-ba44-92b6a2cf8097"/>
    <s v="96f469c4-4c13-30e3-8596-ad7567df2b4c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57efda89-b582-bb08-33d7-4964ef6ee440"/>
    <d v="2021-08-04T03:47:34"/>
    <d v="2021-08-04T07:0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82.46"/>
    <n v="0"/>
    <n v="431857002"/>
    <x v="84"/>
  </r>
  <r>
    <s v="57efda89-b582-bb08-858b-d77e7a4456c5"/>
    <d v="2021-08-07T07:05:34"/>
    <d v="2021-08-07T10:5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082.97"/>
    <n v="0"/>
    <n v="431857002"/>
    <x v="84"/>
  </r>
  <r>
    <s v="57efda89-b582-bb08-ea6c-c10d8b8a8a72"/>
    <d v="2021-08-07T10:57:34"/>
    <d v="2021-08-07T11:1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d778-17e982e913a6"/>
    <d v="2021-08-10T10:57:34"/>
    <d v="2021-08-10T14:0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7009-40777a062b7c"/>
    <d v="2021-08-10T02:49:34"/>
    <d v="2021-08-10T03:40:1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66.11"/>
    <n v="0"/>
    <n v="431857002"/>
    <x v="84"/>
  </r>
  <r>
    <s v="57efda89-b582-bb08-8c31-c75e3cb7a1ac"/>
    <d v="2021-08-18T02:49:34"/>
    <d v="2021-08-18T03:37:48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26d3-3bd28a7bfb56"/>
    <d v="2021-08-25T02:49:34"/>
    <d v="2021-08-25T06:4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a7a-e7b0bc76d849"/>
    <d v="2021-08-28T06:44:34"/>
    <d v="2021-08-28T09:1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96.26"/>
    <n v="0"/>
    <n v="431857002"/>
    <x v="84"/>
  </r>
  <r>
    <s v="57efda89-b582-bb08-3202-c77f24a81e15"/>
    <d v="2021-08-31T09:16:34"/>
    <d v="2021-08-31T11:2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d16b-29e75747c36a"/>
    <d v="2021-09-08T02:49:34"/>
    <d v="2021-09-08T03:04:34"/>
    <s v="57efda89-b582-bb08-8a2d-e06b2c184bfc"/>
    <s v="af8566eb-8918-3ec7-ba44-92b6a2cf8097"/>
    <s v="96f469c4-4c13-30e3-8596-ad7567df2b4c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57efda89-b582-bb08-db8d-6bb9d66a2712"/>
    <d v="2021-09-03T11:24:34"/>
    <d v="2021-09-03T14:1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1715-3bc66d3b5e36"/>
    <d v="2021-09-06T14:17:34"/>
    <d v="2021-09-06T16:5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683f-52e40367cd4f"/>
    <d v="2021-09-06T16:53:34"/>
    <d v="2021-09-06T17:0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d0ce-2d0b21557d3e"/>
    <d v="2021-09-15T02:49:34"/>
    <d v="2021-09-15T03:31:47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b215-2b7766fc2f3a"/>
    <d v="2021-09-22T02:49:34"/>
    <d v="2021-09-22T06:0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e2d-29484afbf10f"/>
    <d v="2021-09-25T06:02:34"/>
    <d v="2021-09-25T09:1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43.05"/>
    <n v="0"/>
    <n v="431857002"/>
    <x v="84"/>
  </r>
  <r>
    <s v="57efda89-b582-bb08-d322-d2b87a32b26d"/>
    <d v="2021-09-28T09:13:34"/>
    <d v="2021-09-28T13:0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a85e-5cd1fe97450b"/>
    <d v="2021-10-06T02:49:34"/>
    <d v="2021-10-06T06:32:41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536.75"/>
    <n v="0"/>
    <n v="103697008"/>
    <x v="3"/>
  </r>
  <r>
    <s v="57efda89-b582-bb08-7efc-737670ba5e1e"/>
    <d v="2021-10-13T02:49:34"/>
    <d v="2021-10-13T05:3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c44d-a63e4c361e93"/>
    <d v="2021-10-13T05:38:34"/>
    <d v="2021-10-13T05:5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6433-d06b51a7ea24"/>
    <d v="2021-10-16T05:38:34"/>
    <d v="2021-10-16T08:2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9bf7-073c177473cd"/>
    <d v="2021-10-19T08:20:34"/>
    <d v="2021-10-19T10:2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105.94"/>
    <n v="0"/>
    <n v="431857002"/>
    <x v="84"/>
  </r>
  <r>
    <s v="57efda89-b582-bb08-2773-3f186493fa68"/>
    <d v="2021-10-27T02:49:34"/>
    <d v="2021-10-27T03:44:39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129.98"/>
    <n v="1056.8699999999999"/>
    <m/>
    <x v="0"/>
  </r>
  <r>
    <s v="57efda89-b582-bb08-22fb-ce9ee5610132"/>
    <d v="2021-11-03T02:49:34"/>
    <d v="2021-11-03T05:5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81.35"/>
    <n v="531.35"/>
    <n v="431857002"/>
    <x v="84"/>
  </r>
  <r>
    <s v="57efda89-b582-bb08-520c-e783daa9ad70"/>
    <d v="2021-11-06T05:52:34"/>
    <d v="2021-11-06T08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502.84"/>
    <n v="1452.84"/>
    <n v="431857002"/>
    <x v="84"/>
  </r>
  <r>
    <s v="57efda89-b582-bb08-0b3d-b6a086c62597"/>
    <d v="2021-11-09T07:12:34"/>
    <d v="2021-11-09T09:3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fc49-b98d624ad980"/>
    <d v="2021-11-12T09:37:34"/>
    <d v="2021-11-12T13:3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056f-6042c1305dcc"/>
    <d v="2021-11-12T13:36:34"/>
    <d v="2021-11-12T13:5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4d50-95f3c689682e"/>
    <d v="2021-11-15T13:36:34"/>
    <d v="2021-11-15T16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81.88"/>
    <n v="531.88"/>
    <n v="431857002"/>
    <x v="84"/>
  </r>
  <r>
    <s v="57efda89-b582-bb08-5864-997b87c5596b"/>
    <d v="2021-11-18T16:23:34"/>
    <d v="2021-11-18T19:0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6d33-ad0b5e712b8a"/>
    <d v="2021-11-21T19:04:34"/>
    <d v="2021-11-21T22:2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76.12"/>
    <n v="526.12"/>
    <n v="431857002"/>
    <x v="84"/>
  </r>
  <r>
    <s v="57efda89-b582-bb08-093a-f7e94797a82e"/>
    <d v="2021-11-24T22:27:34"/>
    <d v="2021-11-25T00:5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42.85"/>
    <n v="492.85"/>
    <n v="431857002"/>
    <x v="84"/>
  </r>
  <r>
    <s v="57efda89-b582-bb08-a77c-009eea2c4672"/>
    <d v="2021-11-28T00:58:34"/>
    <d v="2021-11-28T04:0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664-674ce062e334"/>
    <d v="2021-12-08T01:49:34"/>
    <d v="2021-12-08T02:43:47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3267-1a5d47b84dc6"/>
    <d v="2021-12-15T01:49:34"/>
    <d v="2021-12-15T05:1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60.74"/>
    <n v="810.74"/>
    <n v="431857002"/>
    <x v="84"/>
  </r>
  <r>
    <s v="57efda89-b582-bb08-61b4-4f12facdd997"/>
    <d v="2021-12-15T05:19:34"/>
    <d v="2021-12-15T05:3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e7bb-b8ac7bec128a"/>
    <d v="2021-12-18T05:19:34"/>
    <d v="2021-12-18T07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84.09"/>
    <n v="834.09"/>
    <n v="431857002"/>
    <x v="84"/>
  </r>
  <r>
    <s v="57efda89-b582-bb08-7ed4-48f4fbfbb348"/>
    <d v="2021-12-21T07:35:34"/>
    <d v="2021-12-21T10:3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56.47"/>
    <n v="506.47"/>
    <n v="431857002"/>
    <x v="84"/>
  </r>
  <r>
    <s v="57efda89-b582-bb08-2c3e-74320fb76c94"/>
    <d v="2021-12-29T01:49:34"/>
    <d v="2021-12-29T06:01:27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968.15"/>
    <n v="3918.15"/>
    <n v="103697008"/>
    <x v="3"/>
  </r>
  <r>
    <s v="57efda89-b582-bb08-af19-2471d8ece6e1"/>
    <d v="2022-01-05T01:49:34"/>
    <d v="2022-01-05T05:1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82.3499999999999"/>
    <n v="1032.3499999999999"/>
    <n v="431857002"/>
    <x v="84"/>
  </r>
  <r>
    <s v="57efda89-b582-bb08-6a42-f8b9104a5b5d"/>
    <d v="2022-01-08T05:15:34"/>
    <d v="2022-01-08T08:0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59.88"/>
    <n v="509.88"/>
    <n v="431857002"/>
    <x v="84"/>
  </r>
  <r>
    <s v="57efda89-b582-bb08-c2e3-e0d9717163af"/>
    <d v="2022-01-11T08:04:34"/>
    <d v="2022-01-11T11:3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45.67"/>
    <n v="995.67"/>
    <n v="431857002"/>
    <x v="84"/>
  </r>
  <r>
    <s v="57efda89-b582-bb08-0c10-09f18649c158"/>
    <d v="2022-01-14T11:31:34"/>
    <d v="2022-01-14T13:5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bb6-9224b136e3c9"/>
    <d v="2022-01-14T13:55:34"/>
    <d v="2022-01-14T14:1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51fc-bbc196c8c44f"/>
    <d v="2022-01-17T13:55:34"/>
    <d v="2022-01-17T17:2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ed6-ce91ac80ec0e"/>
    <d v="2022-01-20T17:25:34"/>
    <d v="2022-01-20T19:5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93d-fbe939953c0e"/>
    <d v="2022-01-23T19:52:34"/>
    <d v="2022-01-23T22:3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5553-02c5490bd333"/>
    <d v="2022-01-26T22:32:34"/>
    <d v="2022-01-27T01:5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5045-134161f261e0"/>
    <d v="2022-01-30T01:57:34"/>
    <d v="2022-01-30T05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02.31"/>
    <n v="1352.31"/>
    <n v="431857002"/>
    <x v="84"/>
  </r>
  <r>
    <s v="57efda89-b582-bb08-9ab7-e3193847d89e"/>
    <d v="2022-02-02T05:35:34"/>
    <d v="2022-02-02T08:3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dfe4-8a4c8091c777"/>
    <d v="2022-02-05T08:39:34"/>
    <d v="2022-02-05T11:1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37.34"/>
    <n v="787.34"/>
    <n v="431857002"/>
    <x v="84"/>
  </r>
  <r>
    <s v="57efda89-b582-bb08-ade0-4603c458908b"/>
    <d v="2022-02-08T11:13:34"/>
    <d v="2022-02-08T14:2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0f8f-738f82b2c3cb"/>
    <d v="2022-02-16T01:49:34"/>
    <d v="2022-02-16T02:32:33"/>
    <s v="57efda89-b582-bb08-8a2d-e06b2c184bfc"/>
    <s v="0e6c3ad1-24c1-34cb-bb6d-e8438fa319e2"/>
    <s v="071107be-b730-3952-9b92-5b6139b27a66"/>
    <s v="df166300-5a78-3502-a46a-832842197811"/>
    <x v="4"/>
    <n v="702927004"/>
    <s v="Urgent care clinic (environment)"/>
    <n v="142.58000000000001"/>
    <n v="1240.23"/>
    <n v="1190.23"/>
    <m/>
    <x v="0"/>
  </r>
  <r>
    <s v="57efda89-b582-bb08-c369-65cf13d2bb57"/>
    <d v="2022-02-23T01:49:34"/>
    <d v="2022-02-23T05:2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f53b-49bd426d92fa"/>
    <d v="2022-02-23T05:26:34"/>
    <d v="2022-02-23T05:4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3ebc-a8635555ba21"/>
    <d v="2022-02-26T05:26:34"/>
    <d v="2022-02-26T09:1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70.1500000000001"/>
    <n v="1120.1500000000001"/>
    <n v="431857002"/>
    <x v="84"/>
  </r>
  <r>
    <s v="57efda89-b582-bb08-c1e9-189eaf317491"/>
    <d v="2022-03-01T09:18:34"/>
    <d v="2022-03-01T11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748-4b62b9e32f5c"/>
    <d v="2022-03-09T01:49:34"/>
    <d v="2022-03-09T05:06:14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536.75"/>
    <n v="3486.75"/>
    <n v="103697008"/>
    <x v="3"/>
  </r>
  <r>
    <s v="57efda89-b582-bb08-3d3a-2e6c9c805de7"/>
    <d v="2022-03-16T02:49:34"/>
    <d v="2022-03-16T06:0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25a4-a50b40f5367e"/>
    <d v="2022-03-19T06:09:34"/>
    <d v="2022-03-19T08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90c6-27c5acadea1e"/>
    <d v="2022-03-22T08:35:34"/>
    <d v="2022-03-22T10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a3e8-4665c4745377"/>
    <d v="2022-03-25T10:44:34"/>
    <d v="2022-03-25T13:3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389.85"/>
    <n v="1339.85"/>
    <n v="431857002"/>
    <x v="84"/>
  </r>
  <r>
    <s v="57efda89-b582-bb08-9ca8-41a47385c10c"/>
    <d v="2022-03-25T13:33:34"/>
    <d v="2022-03-25T13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fd53-122b7d812e39"/>
    <d v="2022-03-28T13:33:34"/>
    <d v="2022-03-28T16:3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295.25"/>
    <n v="1245.25"/>
    <n v="431857002"/>
    <x v="84"/>
  </r>
  <r>
    <s v="57efda89-b582-bb08-bfe5-d8572337ef40"/>
    <d v="2022-03-31T16:36:34"/>
    <d v="2022-03-31T19:5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9d1e-44338c968e05"/>
    <d v="2022-04-03T19:52:34"/>
    <d v="2022-04-03T22:4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a9d8-c8f6822d9f1a"/>
    <d v="2022-04-06T22:45:34"/>
    <d v="2022-04-07T02:4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461-1859a3a6486b"/>
    <d v="2022-04-10T02:41:34"/>
    <d v="2022-04-10T05:1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657.73"/>
    <n v="1607.73"/>
    <n v="431857002"/>
    <x v="84"/>
  </r>
  <r>
    <s v="57efda89-b582-bb08-4092-ea6cf7a2064d"/>
    <d v="2022-04-13T05:19:34"/>
    <d v="2022-04-13T07:5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82.94"/>
    <n v="732.94"/>
    <n v="431857002"/>
    <x v="84"/>
  </r>
  <r>
    <s v="57efda89-b582-bb08-3b66-3bdc7a15aafe"/>
    <d v="2022-04-16T07:52:34"/>
    <d v="2022-04-16T11:0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624d-f33c3d1d5a1e"/>
    <d v="2022-04-19T11:03:34"/>
    <d v="2022-04-19T14:5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ad2-08044c993625"/>
    <d v="2022-04-22T14:53:34"/>
    <d v="2022-04-22T17:1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38.46"/>
    <n v="888.46"/>
    <n v="431857002"/>
    <x v="84"/>
  </r>
  <r>
    <s v="57efda89-b582-bb08-2e86-da58caa245d8"/>
    <d v="2022-04-25T17:11:34"/>
    <d v="2022-04-25T21:0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746-0680c341a538"/>
    <d v="2022-04-25T21:00:34"/>
    <d v="2022-04-25T21:1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f8fa-2d3e37ca17b6"/>
    <d v="2022-04-28T21:00:34"/>
    <d v="2022-04-29T00:4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44.88"/>
    <n v="694.88"/>
    <n v="431857002"/>
    <x v="84"/>
  </r>
  <r>
    <s v="57efda89-b582-bb08-24e8-7ee12b4b642e"/>
    <d v="2022-05-02T00:45:34"/>
    <d v="2022-05-02T04:4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45f2-9cfd54dec085"/>
    <d v="2022-05-05T04:40:34"/>
    <d v="2022-05-05T06:5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15a-116e981f09b6"/>
    <d v="2022-05-08T06:57:34"/>
    <d v="2022-05-08T09:5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223-c16d748000d8"/>
    <d v="2022-05-18T02:49:34"/>
    <d v="2022-05-18T03:44:00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951.27"/>
    <n v="901.27"/>
    <m/>
    <x v="0"/>
  </r>
  <r>
    <s v="57efda89-b582-bb08-b401-441160839552"/>
    <d v="2022-05-25T02:49:34"/>
    <d v="2022-05-25T05:0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6e9d-435d6d6079df"/>
    <d v="2022-05-28T05:01:34"/>
    <d v="2022-05-28T07:3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8258-37cd46b1b4e2"/>
    <d v="2022-05-28T07:33:34"/>
    <d v="2022-05-28T07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8118-ace86936d126"/>
    <d v="2022-05-31T07:33:34"/>
    <d v="2022-05-31T10:3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69.61"/>
    <n v="819.61"/>
    <n v="431857002"/>
    <x v="84"/>
  </r>
  <r>
    <s v="57efda89-b582-bb08-093b-b19c594b6d4f"/>
    <d v="2022-06-08T02:49:34"/>
    <d v="2022-06-08T05:38:15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105.35"/>
    <n v="3055.35"/>
    <n v="66383009"/>
    <x v="17"/>
  </r>
  <r>
    <s v="57efda89-b582-bb08-89f0-03279d352baa"/>
    <d v="2022-06-15T02:49:34"/>
    <d v="2022-06-15T05:2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c6d-4a1d54d88713"/>
    <d v="2022-06-18T05:27:34"/>
    <d v="2022-06-18T08:5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99.39"/>
    <n v="849.39"/>
    <n v="431857002"/>
    <x v="84"/>
  </r>
  <r>
    <s v="57efda89-b582-bb08-1b5e-a65aef265e6c"/>
    <d v="2022-06-21T08:59:34"/>
    <d v="2022-06-21T11:3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1ab-6967da1e37b8"/>
    <d v="2022-06-29T02:49:34"/>
    <d v="2022-06-29T03:35:49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678.07"/>
    <n v="1628.07"/>
    <m/>
    <x v="0"/>
  </r>
  <r>
    <s v="57efda89-b582-bb08-1b02-eb5575672191"/>
    <d v="2022-07-06T02:49:34"/>
    <d v="2022-07-06T03:04:34"/>
    <s v="57efda89-b582-bb08-8a2d-e06b2c184bfc"/>
    <s v="471f7ca2-38f8-3080-8109-187c73ec0b1f"/>
    <s v="f86d82f7-4700-3a32-b779-24d93cbe786a"/>
    <s v="df166300-5a78-3502-a46a-832842197811"/>
    <x v="0"/>
    <n v="162673000"/>
    <s v="General examination of patient (procedure)"/>
    <n v="136.80000000000001"/>
    <n v="285.95999999999998"/>
    <n v="285.95999999999998"/>
    <m/>
    <x v="0"/>
  </r>
  <r>
    <s v="57efda89-b582-bb08-47a3-eaba256909c0"/>
    <d v="2022-07-13T02:49:34"/>
    <d v="2022-07-13T06:2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95.39"/>
    <n v="1445.39"/>
    <n v="431857002"/>
    <x v="84"/>
  </r>
  <r>
    <s v="57efda89-b582-bb08-49e4-291dbf0ea91d"/>
    <d v="2022-07-13T06:20:34"/>
    <d v="2022-07-13T06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6ae3-be12257f19b3"/>
    <d v="2022-07-16T06:20:34"/>
    <d v="2022-07-16T08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04.72"/>
    <n v="554.72"/>
    <n v="431857002"/>
    <x v="84"/>
  </r>
  <r>
    <s v="57efda89-b582-bb08-2dc1-91a777b06704"/>
    <d v="2022-07-19T08:48:34"/>
    <d v="2022-07-19T11:5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dbb-f0d405f5207b"/>
    <d v="2022-07-22T11:56:34"/>
    <d v="2022-07-22T14:4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0e3e-6efa99757e77"/>
    <d v="2022-07-25T14:49:34"/>
    <d v="2022-07-25T17:2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08da-202b69894b0f"/>
    <d v="2022-07-28T17:25:34"/>
    <d v="2022-07-28T21:1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99.83"/>
    <n v="1149.83"/>
    <n v="431857002"/>
    <x v="84"/>
  </r>
  <r>
    <s v="57efda89-b582-bb08-b80f-3ceb2e2a3a0d"/>
    <d v="2022-07-31T21:15:34"/>
    <d v="2022-08-01T01:0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c2d-4d643f52b68a"/>
    <d v="2022-08-04T01:00:34"/>
    <d v="2022-08-04T03:3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ebcb-7f6c4c91045c"/>
    <d v="2022-08-07T03:32:34"/>
    <d v="2022-08-07T07:0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c7c-5cfdc5c2cb89"/>
    <d v="2022-08-10T07:06:34"/>
    <d v="2022-08-10T10:0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345.36"/>
    <n v="1295.3599999999999"/>
    <n v="431857002"/>
    <x v="84"/>
  </r>
  <r>
    <s v="57efda89-b582-bb08-dc2f-a92fb7251d91"/>
    <d v="2022-08-13T10:04:34"/>
    <d v="2022-08-13T12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319-484648897159"/>
    <d v="2022-08-13T12:35:34"/>
    <d v="2022-08-13T12:5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f382-d8b3568f1994"/>
    <d v="2022-08-16T12:35:34"/>
    <d v="2022-08-16T15:0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11.12"/>
    <n v="861.12"/>
    <n v="431857002"/>
    <x v="84"/>
  </r>
  <r>
    <s v="57efda89-b582-bb08-ab9b-968dd0a9dae2"/>
    <d v="2022-08-19T15:09:34"/>
    <d v="2022-08-19T18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cfe-495e82d9b3de"/>
    <d v="2022-08-22T18:08:34"/>
    <d v="2022-08-22T21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49.62"/>
    <n v="1399.62"/>
    <n v="431857002"/>
    <x v="84"/>
  </r>
  <r>
    <s v="57efda89-b582-bb08-75c7-ae0507e744c3"/>
    <d v="2022-08-25T21:08:34"/>
    <d v="2022-08-25T23:2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9cc-d7d05d003e07"/>
    <d v="2022-08-28T23:24:34"/>
    <d v="2022-08-29T01:2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76.1"/>
    <n v="726.1"/>
    <n v="431857002"/>
    <x v="84"/>
  </r>
  <r>
    <s v="57efda89-b582-bb08-c9e1-c43d405d850f"/>
    <d v="2022-09-01T01:29:34"/>
    <d v="2022-09-01T05:1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38.09"/>
    <n v="688.09"/>
    <n v="431857002"/>
    <x v="84"/>
  </r>
  <r>
    <s v="57efda89-b582-bb08-4645-14ca220eef20"/>
    <d v="2022-09-04T05:16:34"/>
    <d v="2022-09-04T07:3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623a-f859d6dbfa0c"/>
    <d v="2022-09-07T07:38:34"/>
    <d v="2022-09-07T11:0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8dde-6dfd10d836ab"/>
    <d v="2022-09-10T11:01:34"/>
    <d v="2022-09-10T13:1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42e9-ae1d0258aa15"/>
    <d v="2022-09-13T13:18:34"/>
    <d v="2022-09-13T17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6737-76969f5c4c78"/>
    <d v="2022-09-13T17:08:34"/>
    <d v="2022-09-13T17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3975-4a9cd7b2eb43"/>
    <d v="2022-09-16T17:08:34"/>
    <d v="2022-09-16T19:1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68ef-3b7399ea6dc3"/>
    <d v="2022-09-19T19:19:34"/>
    <d v="2022-09-19T22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8.77"/>
    <n v="488.77"/>
    <n v="431857002"/>
    <x v="84"/>
  </r>
  <r>
    <s v="57efda89-b582-bb08-a1c6-fca7ab3f9adb"/>
    <d v="2022-09-22T22:35:34"/>
    <d v="2022-09-23T02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c9a2-9272527f84bd"/>
    <d v="2022-09-26T02:08:34"/>
    <d v="2022-09-26T05:0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6a28-7ed6315ad9ac"/>
    <d v="2022-09-29T05:00:34"/>
    <d v="2022-09-29T07:0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a3a6-e2a0de7e55cf"/>
    <d v="2022-10-02T07:04:34"/>
    <d v="2022-10-02T10:2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62.95"/>
    <n v="1412.95"/>
    <n v="431857002"/>
    <x v="84"/>
  </r>
  <r>
    <s v="57efda89-b582-bb08-d890-c18983c28db3"/>
    <d v="2022-10-05T10:26:34"/>
    <d v="2022-10-05T12:3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47ff-fe2b0db23f7c"/>
    <d v="2022-10-08T12:37:34"/>
    <d v="2022-10-08T15:1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b732-2f3c0119bcb1"/>
    <d v="2022-10-11T15:16:34"/>
    <d v="2022-10-11T18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aee-9886aafe5ded"/>
    <d v="2022-10-14T18:44:34"/>
    <d v="2022-10-14T20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40.24"/>
    <n v="890.24"/>
    <n v="431857002"/>
    <x v="84"/>
  </r>
  <r>
    <s v="57efda89-b582-bb08-6a5d-883b2f178c74"/>
    <d v="2022-10-14T20:48:34"/>
    <d v="2022-10-14T21:0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44e0-54b6293819d3"/>
    <d v="2022-10-17T20:48:34"/>
    <d v="2022-10-17T23:5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42b-8956309bfe73"/>
    <d v="2022-10-20T23:51:34"/>
    <d v="2022-10-21T02:3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93.3"/>
    <n v="743.3"/>
    <n v="431857002"/>
    <x v="84"/>
  </r>
  <r>
    <s v="57efda89-b582-bb08-3b0e-831d7ddfd233"/>
    <d v="2022-10-24T02:32:34"/>
    <d v="2022-10-24T06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54.3900000000001"/>
    <n v="1004.39"/>
    <n v="431857002"/>
    <x v="84"/>
  </r>
  <r>
    <s v="57efda89-b582-bb08-39b7-39bccd8de4ec"/>
    <d v="2022-11-02T02:49:34"/>
    <d v="2022-11-02T03:46:18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394.09"/>
    <n v="0"/>
    <m/>
    <x v="0"/>
  </r>
  <r>
    <s v="57efda89-b582-bb08-ca2b-33fa545f99bb"/>
    <d v="2022-11-09T01:49:34"/>
    <d v="2022-11-09T02:04:34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637.5"/>
    <n v="0"/>
    <m/>
    <x v="0"/>
  </r>
  <r>
    <s v="57efda89-b582-bb08-bd52-87739e162953"/>
    <d v="2022-11-16T01:49:34"/>
    <d v="2022-11-16T04:5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525.21"/>
    <n v="0"/>
    <n v="431857002"/>
    <x v="84"/>
  </r>
  <r>
    <s v="57efda89-b582-bb08-cd93-d962d0cb11bf"/>
    <d v="2022-11-16T04:53:34"/>
    <d v="2022-11-16T05:0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8e52-209cbfaaa556"/>
    <d v="2022-11-19T04:53:34"/>
    <d v="2022-11-19T08:1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ad6d-824dd5d8bda1"/>
    <d v="2022-11-22T08:19:34"/>
    <d v="2022-11-22T11:2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25.24"/>
    <n v="0"/>
    <n v="431857002"/>
    <x v="84"/>
  </r>
  <r>
    <s v="57efda89-b582-bb08-d83e-9d372db62eeb"/>
    <d v="2022-11-25T11:26:34"/>
    <d v="2022-11-25T14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f7f9-d24da2b14e83"/>
    <d v="2022-11-28T14:52:34"/>
    <d v="2022-11-28T16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75fd-cc3af05a8199"/>
    <d v="2022-12-01T16:52:34"/>
    <d v="2022-12-01T19:3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97.41"/>
    <n v="0"/>
    <n v="431857002"/>
    <x v="84"/>
  </r>
  <r>
    <s v="57efda89-b582-bb08-d773-a7f9f758ff31"/>
    <d v="2022-12-04T19:31:34"/>
    <d v="2022-12-04T22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2c43-70887a168d5d"/>
    <d v="2022-12-14T01:49:34"/>
    <d v="2022-12-14T02:46:25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409.25"/>
    <n v="0"/>
    <m/>
    <x v="0"/>
  </r>
  <r>
    <s v="57efda89-b582-bb08-ef6d-9e447388acd1"/>
    <d v="2022-12-21T01:49:34"/>
    <d v="2022-12-21T04:4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7.23"/>
    <n v="0"/>
    <n v="431857002"/>
    <x v="84"/>
  </r>
  <r>
    <s v="57efda89-b582-bb08-f461-9b0636ffceb3"/>
    <d v="2022-12-21T04:48:34"/>
    <d v="2022-12-21T05:0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b962-18649dd0bb91"/>
    <d v="2022-12-24T04:48:34"/>
    <d v="2022-12-24T07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49.44000000000005"/>
    <n v="0"/>
    <n v="431857002"/>
    <x v="84"/>
  </r>
  <r>
    <s v="57efda89-b582-bb08-5d60-1ee03cb1834e"/>
    <d v="2022-12-27T07:07:34"/>
    <d v="2022-12-27T09:0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39df-fd75c1316a34"/>
    <d v="2023-01-04T01:49:34"/>
    <d v="2023-01-04T05:11:26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536.75"/>
    <n v="0"/>
    <n v="66383009"/>
    <x v="17"/>
  </r>
  <r>
    <s v="57efda89-b582-bb08-234c-be1113e80e0d"/>
    <d v="2023-01-11T01:49:34"/>
    <d v="2023-01-11T04:4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305.96"/>
    <n v="0"/>
    <n v="431857002"/>
    <x v="84"/>
  </r>
  <r>
    <s v="57efda89-b582-bb08-cadc-83447b139428"/>
    <d v="2023-01-14T04:40:34"/>
    <d v="2023-01-14T06:4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4b27-fcf651f3442e"/>
    <d v="2023-01-17T06:44:34"/>
    <d v="2023-01-17T09:5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033a-7b37ebb26d06"/>
    <d v="2023-01-25T01:49:34"/>
    <d v="2023-01-25T02:34:27"/>
    <s v="57efda89-b582-bb08-8a2d-e06b2c184bfc"/>
    <s v="0e6c3ad1-24c1-34cb-bb6d-e8438fa319e2"/>
    <s v="071107be-b730-3952-9b92-5b6139b27a66"/>
    <s v="e03e23c9-4df1-3eb6-a62d-f70f02301496"/>
    <x v="4"/>
    <n v="702927004"/>
    <s v="Urgent care clinic (environment)"/>
    <n v="142.58000000000001"/>
    <n v="872.3"/>
    <n v="0"/>
    <m/>
    <x v="0"/>
  </r>
  <r>
    <s v="57efda89-b582-bb08-125e-beb527e441d5"/>
    <d v="2023-02-01T01:49:34"/>
    <d v="2023-02-01T05:0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65.1"/>
    <n v="0"/>
    <n v="431857002"/>
    <x v="84"/>
  </r>
  <r>
    <s v="57efda89-b582-bb08-7351-1e69daa83abd"/>
    <d v="2023-02-01T05:05:34"/>
    <d v="2023-02-01T05:2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9aa5-b6969eeef824"/>
    <d v="2023-02-04T05:05:34"/>
    <d v="2023-02-04T08:4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fcb1-f8833d6f4bbd"/>
    <d v="2023-02-07T08:40:34"/>
    <d v="2023-02-07T11:4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42.54"/>
    <n v="0"/>
    <n v="431857002"/>
    <x v="84"/>
  </r>
  <r>
    <s v="57efda89-b582-bb08-1423-9d3820d3fc47"/>
    <d v="2023-02-15T01:49:34"/>
    <d v="2023-02-15T02:36:22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6856-ab7a424b1bfa"/>
    <d v="2023-02-22T01:49:34"/>
    <d v="2023-02-22T04:0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60.87"/>
    <n v="0"/>
    <n v="431857002"/>
    <x v="84"/>
  </r>
  <r>
    <s v="57efda89-b582-bb08-70f9-a03d47b50906"/>
    <d v="2023-02-25T04:01:34"/>
    <d v="2023-02-25T06:3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e00a-1f1ff260dd54"/>
    <d v="2023-02-28T06:36:34"/>
    <d v="2023-02-28T10:2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995e-10d06973c276"/>
    <d v="2023-03-08T01:49:34"/>
    <d v="2023-03-08T08:10:20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5262.35"/>
    <n v="0"/>
    <n v="66383009"/>
    <x v="17"/>
  </r>
  <r>
    <s v="57efda89-b582-bb08-b988-9d104289a237"/>
    <d v="2023-03-15T02:49:34"/>
    <d v="2023-03-15T05:5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02.62"/>
    <n v="0"/>
    <n v="431857002"/>
    <x v="84"/>
  </r>
  <r>
    <s v="57efda89-b582-bb08-f8bb-95f0b1fed4d3"/>
    <d v="2023-03-15T05:56:34"/>
    <d v="2023-03-15T06:1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4074-408277d1c4bd"/>
    <d v="2023-03-18T05:56:34"/>
    <d v="2023-03-18T09:1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36.45"/>
    <n v="0"/>
    <n v="431857002"/>
    <x v="84"/>
  </r>
  <r>
    <s v="57efda89-b582-bb08-11cc-457429cb9bb6"/>
    <d v="2023-03-21T09:14:34"/>
    <d v="2023-03-21T11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a5a3-e2b93fd7d41d"/>
    <d v="2023-03-29T02:49:34"/>
    <d v="2023-03-29T03:47:32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030.97"/>
    <n v="0"/>
    <m/>
    <x v="0"/>
  </r>
  <r>
    <s v="57efda89-b582-bb08-4f33-4e192eb50936"/>
    <d v="2023-04-05T02:49:34"/>
    <d v="2023-04-05T06:1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6658-3a284eb92db1"/>
    <d v="2023-04-08T06:18:34"/>
    <d v="2023-04-08T08:3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c817-4f467c61b471"/>
    <d v="2023-04-11T08:32:34"/>
    <d v="2023-04-11T12:1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d7c6-0a8028ed0b8b"/>
    <d v="2023-04-19T02:49:34"/>
    <d v="2023-04-19T03:31:09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030.97"/>
    <n v="0"/>
    <m/>
    <x v="0"/>
  </r>
  <r>
    <s v="57efda89-b582-bb08-ec0c-f5d310c867b0"/>
    <d v="2023-04-26T02:49:34"/>
    <d v="2023-04-26T05:4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136c-f6e8b006d9e2"/>
    <d v="2023-04-26T05:47:34"/>
    <d v="2023-04-26T06:0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d5e0-4a9458819324"/>
    <d v="2023-04-29T05:47:34"/>
    <d v="2023-04-29T09:4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09.94"/>
    <n v="0"/>
    <n v="431857002"/>
    <x v="84"/>
  </r>
  <r>
    <s v="57efda89-b582-bb08-762e-bc5f181d45c3"/>
    <d v="2023-05-02T09:41:34"/>
    <d v="2023-05-02T12:4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643c-166047a18a17"/>
    <d v="2023-05-05T12:46:34"/>
    <d v="2023-05-05T16:1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e6c-87cb57669e62"/>
    <d v="2023-05-08T16:12:34"/>
    <d v="2023-05-08T19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7d5c-d6a4bc27e65a"/>
    <d v="2023-05-11T19:07:34"/>
    <d v="2023-05-11T22:0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789e-d691e4a17283"/>
    <d v="2023-05-14T22:03:34"/>
    <d v="2023-05-15T01:3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185.1300000000001"/>
    <n v="0"/>
    <n v="431857002"/>
    <x v="84"/>
  </r>
  <r>
    <s v="57efda89-b582-bb08-b934-1dae2edc1478"/>
    <d v="2023-05-18T01:32:34"/>
    <d v="2023-05-18T04:5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0440-200ddfd8185c"/>
    <d v="2023-05-21T04:50:34"/>
    <d v="2023-05-21T08:1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691.93"/>
    <n v="0"/>
    <n v="431857002"/>
    <x v="84"/>
  </r>
  <r>
    <s v="57efda89-b582-bb08-4e91-8f0337b050db"/>
    <d v="2023-05-24T08:14:34"/>
    <d v="2023-05-24T10:2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fab6-0732adab67f4"/>
    <d v="2023-05-27T10:29:34"/>
    <d v="2023-05-27T14:0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50.33000000000004"/>
    <n v="0"/>
    <n v="431857002"/>
    <x v="84"/>
  </r>
  <r>
    <s v="57efda89-b582-bb08-e8a8-3f1ca730d5ed"/>
    <d v="2023-05-27T14:09:34"/>
    <d v="2023-05-27T14:2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0726-e90036530d29"/>
    <d v="2023-05-30T14:09:34"/>
    <d v="2023-05-30T17:2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191.57"/>
    <n v="0"/>
    <n v="431857002"/>
    <x v="84"/>
  </r>
  <r>
    <s v="57efda89-b582-bb08-5080-f8c8364d9b39"/>
    <d v="2023-06-02T17:20:34"/>
    <d v="2023-06-02T20:5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47.78"/>
    <n v="0"/>
    <n v="431857002"/>
    <x v="84"/>
  </r>
  <r>
    <s v="57efda89-b582-bb08-fb9c-f941c4e0748b"/>
    <d v="2023-06-05T20:55:34"/>
    <d v="2023-06-05T23:4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16.81"/>
    <n v="0"/>
    <n v="431857002"/>
    <x v="84"/>
  </r>
  <r>
    <s v="57efda89-b582-bb08-79bf-ae55a263e194"/>
    <d v="2023-06-08T23:49:34"/>
    <d v="2023-06-09T01:5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a132-7821f108337f"/>
    <d v="2023-06-12T01:58:34"/>
    <d v="2023-06-12T05:4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7aee-2b63a7705f64"/>
    <d v="2023-06-15T05:42:34"/>
    <d v="2023-06-15T09:1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66.75"/>
    <n v="0"/>
    <n v="431857002"/>
    <x v="84"/>
  </r>
  <r>
    <s v="57efda89-b582-bb08-b70c-49fa899bb805"/>
    <d v="2023-06-18T09:19:34"/>
    <d v="2023-06-18T11:3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022.92"/>
    <n v="0"/>
    <n v="431857002"/>
    <x v="84"/>
  </r>
  <r>
    <s v="57efda89-b582-bb08-8cb7-d99dc1af3a7d"/>
    <d v="2023-06-21T11:35:34"/>
    <d v="2023-06-21T14:5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44.04"/>
    <n v="0"/>
    <n v="431857002"/>
    <x v="84"/>
  </r>
  <r>
    <s v="57efda89-b582-bb08-58df-a2d882e2b2e4"/>
    <d v="2023-06-24T14:53:34"/>
    <d v="2023-06-24T18:4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b388-bd019233eab0"/>
    <d v="2023-06-27T18:43:34"/>
    <d v="2023-06-27T21:4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7ea1-ae3aed9414e5"/>
    <d v="2023-06-27T21:45:34"/>
    <d v="2023-06-27T22:0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e725-964f71b916c5"/>
    <d v="2023-06-30T21:45:34"/>
    <d v="2023-07-01T01:3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ec33-65d076eafc2b"/>
    <d v="2023-07-04T01:31:34"/>
    <d v="2023-07-04T03:4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83.87"/>
    <n v="0"/>
    <n v="431857002"/>
    <x v="84"/>
  </r>
  <r>
    <s v="57efda89-b582-bb08-cd59-4eb631707a6c"/>
    <d v="2023-07-12T02:49:34"/>
    <d v="2023-07-12T03:38:15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002.52"/>
    <n v="0"/>
    <m/>
    <x v="0"/>
  </r>
  <r>
    <s v="57efda89-b582-bb08-15ad-cc28ad2c4273"/>
    <d v="2023-07-19T02:49:34"/>
    <d v="2023-07-19T04:5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2d7d-88ac3014ee11"/>
    <d v="2023-07-22T04:58:34"/>
    <d v="2023-07-22T08:4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fe59-eb19afeb4b45"/>
    <d v="2023-07-25T08:49:34"/>
    <d v="2023-07-25T11:3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a297-7c714e13ee95"/>
    <d v="2023-08-02T02:49:34"/>
    <d v="2023-08-02T06:17:50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00b1-e56e3217100c"/>
    <d v="2023-08-09T02:49:34"/>
    <d v="2023-08-09T06:3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434.24"/>
    <n v="0"/>
    <n v="431857002"/>
    <x v="84"/>
  </r>
  <r>
    <s v="57efda89-b582-bb08-2a68-284d5b91ee8c"/>
    <d v="2023-08-09T06:33:34"/>
    <d v="2023-08-09T06:4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4b75-e1f79c57eb36"/>
    <d v="2023-08-12T06:33:34"/>
    <d v="2023-08-12T09:0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d57a-3ad86154fc52"/>
    <d v="2023-08-15T09:04:34"/>
    <d v="2023-08-15T12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521.45"/>
    <n v="0"/>
    <n v="431857002"/>
    <x v="84"/>
  </r>
  <r>
    <s v="57efda89-b582-bb08-bb6a-43ff46ea90ea"/>
    <d v="2023-08-18T12:52:34"/>
    <d v="2023-08-18T15:4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287a-4113f0cf243b"/>
    <d v="2023-08-21T15:41:34"/>
    <d v="2023-08-21T17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b37-0e796c0bd90b"/>
    <d v="2023-08-24T17:52:34"/>
    <d v="2023-08-24T21:2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56d1-54da366e7143"/>
    <d v="2023-08-27T21:21:34"/>
    <d v="2023-08-27T23:3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fc8-9f16d5f845cc"/>
    <d v="2023-09-06T02:49:34"/>
    <d v="2023-09-06T03:22:46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55b0-cf25f206742c"/>
    <d v="2023-09-13T02:49:34"/>
    <d v="2023-09-13T05:4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69.03"/>
    <n v="0"/>
    <n v="431857002"/>
    <x v="84"/>
  </r>
  <r>
    <s v="57efda89-b582-bb08-7783-4da27d3835ea"/>
    <d v="2023-09-13T05:41:34"/>
    <d v="2023-09-13T05:5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2093-fc423a7e5cbe"/>
    <d v="2023-09-16T05:41:34"/>
    <d v="2023-09-16T08:2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730d-7fe9fffb12b9"/>
    <d v="2023-09-19T08:26:34"/>
    <d v="2023-09-19T11:5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079.9100000000001"/>
    <n v="0"/>
    <n v="431857002"/>
    <x v="84"/>
  </r>
  <r>
    <s v="57efda89-b582-bb08-6c40-4c5d4507e54b"/>
    <d v="2023-09-27T02:49:34"/>
    <d v="2023-09-27T06:06:54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103697008"/>
    <x v="3"/>
  </r>
  <r>
    <s v="57efda89-b582-bb08-833a-3d39f99a6d07"/>
    <d v="2023-10-04T02:49:34"/>
    <d v="2023-10-04T05:4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f3f5-387c977627b4"/>
    <d v="2023-10-07T05:49:34"/>
    <d v="2023-10-07T08:3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32.5"/>
    <n v="0"/>
    <n v="431857002"/>
    <x v="84"/>
  </r>
  <r>
    <s v="57efda89-b582-bb08-ebfd-56c01a5ce385"/>
    <d v="2023-10-10T08:35:34"/>
    <d v="2023-10-10T12:1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e66e-5c70b7bd4f7f"/>
    <d v="2023-10-13T12:16:34"/>
    <d v="2023-10-13T14:4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11.33000000000004"/>
    <n v="0"/>
    <n v="431857002"/>
    <x v="84"/>
  </r>
  <r>
    <s v="57efda89-b582-bb08-93d2-5528523c5049"/>
    <d v="2023-10-13T14:46:34"/>
    <d v="2023-10-13T15:0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cf82-f15d61b926c8"/>
    <d v="2023-10-16T14:46:34"/>
    <d v="2023-10-16T18:2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2dc9-34a9c6060de7"/>
    <d v="2023-10-19T18:23:34"/>
    <d v="2023-10-19T21:5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63.64"/>
    <n v="0"/>
    <n v="431857002"/>
    <x v="84"/>
  </r>
  <r>
    <s v="57efda89-b582-bb08-cecf-ef36c94389c5"/>
    <d v="2023-10-22T21:53:34"/>
    <d v="2023-10-23T00:4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659.8"/>
    <n v="0"/>
    <n v="431857002"/>
    <x v="84"/>
  </r>
  <r>
    <s v="57efda89-b582-bb08-3a3d-a8434558128f"/>
    <d v="2023-10-26T00:45:34"/>
    <d v="2023-10-26T03:2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88.67"/>
    <n v="638.66999999999996"/>
    <n v="431857002"/>
    <x v="84"/>
  </r>
  <r>
    <s v="57efda89-b582-bb08-2d48-960726023edb"/>
    <d v="2023-10-29T03:29:34"/>
    <d v="2023-10-29T05:5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41e4-809fc54ba23b"/>
    <d v="2023-11-08T01:49:34"/>
    <d v="2023-11-08T02:48:21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b04a-34da6042baa5"/>
    <d v="2023-11-15T01:49:34"/>
    <d v="2023-11-15T05:1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e9eb-d01274b7c0cb"/>
    <d v="2023-11-15T05:19:34"/>
    <d v="2023-11-15T05:3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0842-af1c86bb2b24"/>
    <d v="2023-11-18T05:19:34"/>
    <d v="2023-11-18T08:5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55.45"/>
    <n v="705.45"/>
    <n v="431857002"/>
    <x v="84"/>
  </r>
  <r>
    <s v="57efda89-b582-bb08-6d39-86808b8bf979"/>
    <d v="2023-11-21T08:50:34"/>
    <d v="2023-11-21T11:5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040d-d249685db8ef"/>
    <d v="2023-11-29T01:49:34"/>
    <d v="2023-11-29T04:59:57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2673.95"/>
    <n v="2623.95"/>
    <n v="103697008"/>
    <x v="3"/>
  </r>
  <r>
    <s v="57efda89-b582-bb08-3dc7-5a7a00d8392f"/>
    <d v="2023-12-06T01:49:34"/>
    <d v="2023-12-06T04:3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e2f-737fe84d1fcb"/>
    <d v="2023-12-09T04:32:34"/>
    <d v="2023-12-09T06:3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27.57"/>
    <n v="977.57"/>
    <n v="431857002"/>
    <x v="84"/>
  </r>
  <r>
    <s v="57efda89-b582-bb08-6e27-e17adf7d9c17"/>
    <d v="2023-12-12T06:33:34"/>
    <d v="2023-12-12T08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57.59"/>
    <n v="607.59"/>
    <n v="431857002"/>
    <x v="84"/>
  </r>
  <r>
    <s v="57efda89-b582-bb08-eee5-cefa8673e72e"/>
    <d v="2023-12-15T08:44:34"/>
    <d v="2023-12-15T10:4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05f-0d439a31db51"/>
    <d v="2023-12-15T10:46:34"/>
    <d v="2023-12-15T11:0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203d-04c569f083e5"/>
    <d v="2023-12-18T10:46:34"/>
    <d v="2023-12-18T12:5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0aa9-f4144f8b5e92"/>
    <d v="2023-12-21T12:58:34"/>
    <d v="2023-12-21T15:5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30c-3c03be836b80"/>
    <d v="2023-12-24T15:53:34"/>
    <d v="2023-12-24T18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97.82"/>
    <n v="1147.82"/>
    <n v="431857002"/>
    <x v="84"/>
  </r>
  <r>
    <s v="57efda89-b582-bb08-6429-21dd81696d5e"/>
    <d v="2023-12-27T18:12:34"/>
    <d v="2023-12-27T21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d6d5-f3b1d9674675"/>
    <d v="2023-12-30T21:08:34"/>
    <d v="2023-12-30T23:3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82.17"/>
    <n v="632.16999999999996"/>
    <n v="431857002"/>
    <x v="84"/>
  </r>
  <r>
    <s v="57efda89-b582-bb08-e0e5-1a549a5ff92c"/>
    <d v="2024-01-02T23:30:34"/>
    <d v="2024-01-03T03:0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50.71"/>
    <n v="900.71"/>
    <n v="431857002"/>
    <x v="84"/>
  </r>
  <r>
    <s v="57efda89-b582-bb08-6f95-a410b5731d18"/>
    <d v="2024-01-06T03:05:34"/>
    <d v="2024-01-06T06:0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d65-009db2c10797"/>
    <d v="2024-01-09T06:07:34"/>
    <d v="2024-01-09T09:5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34.27"/>
    <n v="1384.27"/>
    <n v="431857002"/>
    <x v="84"/>
  </r>
  <r>
    <s v="57efda89-b582-bb08-45e7-7d69d16a8558"/>
    <d v="2024-01-12T09:55:34"/>
    <d v="2024-01-12T12:0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5aa-f3c609f7730b"/>
    <d v="2024-01-15T12:06:34"/>
    <d v="2024-01-15T15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b46-5b827ddff766"/>
    <d v="2024-01-15T15:08:34"/>
    <d v="2024-01-15T15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d6f5-b7d52f70cb0a"/>
    <d v="2024-01-18T15:08:34"/>
    <d v="2024-01-18T18:4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10.9"/>
    <n v="860.9"/>
    <n v="431857002"/>
    <x v="84"/>
  </r>
  <r>
    <s v="57efda89-b582-bb08-45aa-5005fdbd83b8"/>
    <d v="2024-01-21T18:47:34"/>
    <d v="2024-01-21T20:4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9f7-c09124a9a7b3"/>
    <d v="2024-01-31T01:49:34"/>
    <d v="2024-01-31T02:22:50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030.97"/>
    <n v="980.97"/>
    <m/>
    <x v="0"/>
  </r>
  <r>
    <s v="57efda89-b582-bb08-0859-a3c9d56e8f22"/>
    <d v="2024-02-07T01:49:34"/>
    <d v="2024-02-07T04:5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04.48"/>
    <n v="954.48"/>
    <n v="431857002"/>
    <x v="84"/>
  </r>
  <r>
    <s v="57efda89-b582-bb08-3eca-e66da49f977c"/>
    <d v="2024-02-10T04:59:34"/>
    <d v="2024-02-10T07:1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11.18"/>
    <n v="1061.18"/>
    <n v="431857002"/>
    <x v="84"/>
  </r>
  <r>
    <s v="57efda89-b582-bb08-862b-4eb16fe02b19"/>
    <d v="2024-02-13T07:18:34"/>
    <d v="2024-02-13T09:2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2f9-6037d1b1474f"/>
    <d v="2024-02-16T09:26:34"/>
    <d v="2024-02-16T11:2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55.04"/>
    <n v="1005.04"/>
    <n v="431857002"/>
    <x v="84"/>
  </r>
  <r>
    <s v="57efda89-b582-bb08-07c4-d89049cc5b01"/>
    <d v="2024-02-16T11:28:34"/>
    <d v="2024-02-16T11:4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550d-80f3dc2f2d45"/>
    <d v="2024-02-19T11:28:34"/>
    <d v="2024-02-19T14:5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9d6e-88396fbed065"/>
    <d v="2024-02-22T14:59:34"/>
    <d v="2024-02-22T18:3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21.88"/>
    <n v="771.88"/>
    <n v="431857002"/>
    <x v="84"/>
  </r>
  <r>
    <s v="57efda89-b582-bb08-8070-dcad3806a5a0"/>
    <d v="2024-02-25T18:38:34"/>
    <d v="2024-02-25T21:5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96.87"/>
    <n v="846.87"/>
    <n v="431857002"/>
    <x v="84"/>
  </r>
  <r>
    <s v="57efda89-b582-bb08-9a19-c9251a1aebfd"/>
    <d v="2024-02-28T21:59:34"/>
    <d v="2024-02-29T00:0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19.45"/>
    <n v="969.45"/>
    <n v="431857002"/>
    <x v="84"/>
  </r>
  <r>
    <s v="57efda89-b582-bb08-55ce-d03c027c13ac"/>
    <d v="2024-03-03T00:09:34"/>
    <d v="2024-03-03T02:2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258.95"/>
    <n v="1208.95"/>
    <n v="431857002"/>
    <x v="84"/>
  </r>
  <r>
    <s v="57efda89-b582-bb08-def7-a8e25fb46353"/>
    <d v="2024-03-06T02:29:34"/>
    <d v="2024-03-06T06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0e4-fd0d8f0b22e8"/>
    <d v="2024-03-09T06:12:34"/>
    <d v="2024-03-09T09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81.86"/>
    <n v="731.86"/>
    <n v="431857002"/>
    <x v="84"/>
  </r>
  <r>
    <s v="57efda89-b582-bb08-daad-4c76c90fb4a1"/>
    <d v="2024-03-12T10:08:34"/>
    <d v="2024-03-12T12:1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295.25"/>
    <n v="1245.25"/>
    <n v="431857002"/>
    <x v="84"/>
  </r>
  <r>
    <s v="57efda89-b582-bb08-199c-10aecbd217a5"/>
    <d v="2024-03-15T12:18:34"/>
    <d v="2024-03-15T16:0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89fd-d6815792a622"/>
    <d v="2024-03-18T16:02:34"/>
    <d v="2024-03-18T18:2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232d-afa60b68bd97"/>
    <d v="2024-03-18T18:29:34"/>
    <d v="2024-03-18T18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0498-a78f5c1f20cf"/>
    <d v="2024-03-21T18:29:34"/>
    <d v="2024-03-21T22:0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68.38"/>
    <n v="718.38"/>
    <n v="431857002"/>
    <x v="84"/>
  </r>
  <r>
    <s v="57efda89-b582-bb08-749d-6f4131a7f19a"/>
    <d v="2024-03-24T22:05:34"/>
    <d v="2024-03-25T01:3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bc8-0547553f0424"/>
    <d v="2024-04-03T02:49:34"/>
    <d v="2024-04-03T03:42:43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9772-ca11f70fd96b"/>
    <d v="2024-04-10T02:49:34"/>
    <d v="2024-04-10T04:4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750a-62705a501d0e"/>
    <d v="2024-04-13T04:49:34"/>
    <d v="2024-04-13T07:1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dcdc-d8e3a1513e83"/>
    <d v="2024-04-16T07:15:34"/>
    <d v="2024-04-16T09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212-b4b82455cc7e"/>
    <d v="2024-04-24T02:49:34"/>
    <d v="2024-04-24T06:28:28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105.35"/>
    <n v="3055.35"/>
    <n v="66383009"/>
    <x v="17"/>
  </r>
  <r>
    <s v="57efda89-b582-bb08-6631-bb9c209fe5f0"/>
    <d v="2024-05-01T02:49:34"/>
    <d v="2024-05-01T06:2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842-8e4b1d68ca29"/>
    <d v="2024-05-01T06:26:34"/>
    <d v="2024-05-01T06:4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87a4-beab47da2876"/>
    <d v="2024-05-04T06:26:34"/>
    <d v="2024-05-04T08:4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357.6"/>
    <n v="1307.5999999999999"/>
    <n v="431857002"/>
    <x v="84"/>
  </r>
  <r>
    <s v="57efda89-b582-bb08-f976-51146187daa5"/>
    <d v="2024-05-07T08:43:34"/>
    <d v="2024-05-07T10:5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9e9-f4cd309eead1"/>
    <d v="2024-05-15T02:49:34"/>
    <d v="2024-05-15T03:42:43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286.18"/>
    <n v="1236.18"/>
    <m/>
    <x v="0"/>
  </r>
  <r>
    <s v="57efda89-b582-bb08-2cad-cf46e9e2c0c7"/>
    <d v="2024-05-22T02:49:34"/>
    <d v="2024-05-22T06:0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69.35"/>
    <n v="719.35"/>
    <n v="431857002"/>
    <x v="84"/>
  </r>
  <r>
    <s v="57efda89-b582-bb08-dc93-b25b9f31476b"/>
    <d v="2024-05-25T06:04:34"/>
    <d v="2024-05-25T09:1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c779-325efd606240"/>
    <d v="2024-05-28T09:19:34"/>
    <d v="2024-05-28T11:3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618-a7aa089c491e"/>
    <d v="2024-06-05T02:49:34"/>
    <d v="2024-06-05T03:32:39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e601-8176b7c2a85f"/>
    <d v="2024-06-12T02:49:34"/>
    <d v="2024-06-12T05:3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06.0899999999999"/>
    <n v="1056.0899999999999"/>
    <n v="431857002"/>
    <x v="84"/>
  </r>
  <r>
    <s v="57efda89-b582-bb08-727b-c1e90b339498"/>
    <d v="2024-06-12T05:38:34"/>
    <d v="2024-06-12T05:5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0f91-c664c7407f57"/>
    <d v="2024-06-15T05:38:34"/>
    <d v="2024-06-15T08:5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849-e7eebae0f99e"/>
    <d v="2024-06-18T08:54:34"/>
    <d v="2024-06-18T11:0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30.99"/>
    <n v="580.99"/>
    <n v="431857002"/>
    <x v="84"/>
  </r>
  <r>
    <s v="57efda89-b582-bb08-55dd-ab2bcc2e2171"/>
    <d v="2024-06-21T11:03:34"/>
    <d v="2024-06-21T14:4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32.42"/>
    <n v="682.42"/>
    <n v="431857002"/>
    <x v="84"/>
  </r>
  <r>
    <s v="57efda89-b582-bb08-2632-9dcf3b16d1af"/>
    <d v="2024-06-24T14:41:34"/>
    <d v="2024-06-24T18:2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8ad0-75aa888b85a3"/>
    <d v="2024-06-27T18:24:34"/>
    <d v="2024-06-27T21:4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96.67"/>
    <n v="1146.67"/>
    <n v="431857002"/>
    <x v="84"/>
  </r>
  <r>
    <s v="57efda89-b582-bb08-895e-b4515d38fec8"/>
    <d v="2024-06-30T21:45:34"/>
    <d v="2024-07-01T00:0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4360-f5c356778fcb"/>
    <d v="2024-07-04T00:06:34"/>
    <d v="2024-07-04T02:2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14.98"/>
    <n v="964.98"/>
    <n v="431857002"/>
    <x v="84"/>
  </r>
  <r>
    <s v="57efda89-b582-bb08-b381-b89715c87cd7"/>
    <d v="2024-07-07T02:22:34"/>
    <d v="2024-07-07T04:3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f3bd-48b46ccee7eb"/>
    <d v="2024-07-17T02:49:34"/>
    <d v="2024-07-17T03:25:07"/>
    <s v="57efda89-b582-bb08-8a2d-e06b2c184bfc"/>
    <s v="471f7ca2-38f8-3080-8109-187c73ec0b1f"/>
    <s v="f86d82f7-4700-3a32-b779-24d93cbe786a"/>
    <s v="df166300-5a78-3502-a46a-832842197811"/>
    <x v="0"/>
    <n v="162673000"/>
    <s v="General examination of patient (procedure)"/>
    <n v="136.80000000000001"/>
    <n v="866.52"/>
    <n v="866.52"/>
    <m/>
    <x v="0"/>
  </r>
  <r>
    <s v="57efda89-b582-bb08-1206-30f0b56cef79"/>
    <d v="2024-07-24T02:49:34"/>
    <d v="2024-07-24T04:5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ff7-d1ec97dd1914"/>
    <d v="2024-07-24T04:53:34"/>
    <d v="2024-07-24T05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67f1-5aeb99398ff7"/>
    <d v="2024-07-27T04:53:34"/>
    <d v="2024-07-27T07:5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8c04-4992e60756d9"/>
    <d v="2024-07-30T07:56:34"/>
    <d v="2024-07-30T11:2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01.01"/>
    <n v="1351.01"/>
    <n v="431857002"/>
    <x v="84"/>
  </r>
  <r>
    <s v="57efda89-b582-bb08-2166-1b84158cb4d6"/>
    <d v="2024-08-02T11:21:34"/>
    <d v="2024-08-02T14:0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8d10-4d137cc109b4"/>
    <d v="2024-08-05T14:02:34"/>
    <d v="2024-08-05T16:3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4333-6056cb1ce713"/>
    <d v="2024-08-08T16:34:34"/>
    <d v="2024-08-08T20:2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f9ba-68bea8607f79"/>
    <d v="2024-08-11T20:26:34"/>
    <d v="2024-08-11T23:3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1c08-71e4c1fbad59"/>
    <d v="2024-08-14T23:31:34"/>
    <d v="2024-08-15T02:5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b9a-56961c77de1c"/>
    <d v="2024-08-18T02:58:34"/>
    <d v="2024-08-18T05:5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13.33"/>
    <n v="963.33"/>
    <n v="431857002"/>
    <x v="84"/>
  </r>
  <r>
    <s v="57efda89-b582-bb08-d02c-41aec997bd63"/>
    <d v="2024-08-28T02:49:34"/>
    <d v="2024-08-28T03:48:16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f98c-64e43be63214"/>
    <d v="2024-09-04T02:49:34"/>
    <d v="2024-09-04T05:5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00.41"/>
    <n v="650.41"/>
    <n v="431857002"/>
    <x v="84"/>
  </r>
  <r>
    <s v="57efda89-b582-bb08-2d2c-a6a8f3d119d9"/>
    <d v="2024-09-04T05:54:34"/>
    <d v="2024-09-04T06:0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769e-1c5038d3b5dc"/>
    <d v="2024-09-07T05:54:34"/>
    <d v="2024-09-07T08:1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87.75"/>
    <n v="837.75"/>
    <n v="431857002"/>
    <x v="84"/>
  </r>
  <r>
    <s v="57efda89-b582-bb08-2328-c475489414f4"/>
    <d v="2024-09-10T08:16:34"/>
    <d v="2024-09-10T10:4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59.28"/>
    <n v="709.28"/>
    <n v="431857002"/>
    <x v="84"/>
  </r>
  <r>
    <s v="57efda89-b582-bb08-24a4-e51cb027260c"/>
    <d v="2024-09-18T02:49:34"/>
    <d v="2024-09-18T06:11:11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536.75"/>
    <n v="3486.75"/>
    <n v="66383009"/>
    <x v="17"/>
  </r>
  <r>
    <s v="57efda89-b582-bb08-73f5-7d385cce6836"/>
    <d v="2024-09-25T02:49:34"/>
    <d v="2024-09-25T05:4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9217-713b2a635586"/>
    <d v="2024-09-28T05:49:34"/>
    <d v="2024-09-28T09:3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620.35"/>
    <n v="1570.35"/>
    <n v="431857002"/>
    <x v="84"/>
  </r>
  <r>
    <s v="57efda89-b582-bb08-89d2-519262075811"/>
    <d v="2024-10-01T09:30:34"/>
    <d v="2024-10-01T13:2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c487-8f87444a6e9a"/>
    <d v="2024-10-04T13:28:34"/>
    <d v="2024-10-04T16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89.51"/>
    <n v="1439.51"/>
    <n v="431857002"/>
    <x v="84"/>
  </r>
  <r>
    <s v="57efda89-b582-bb08-2dab-621c7dda5a02"/>
    <d v="2024-10-04T16:44:34"/>
    <d v="2024-10-04T16:5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af72-01d0ef85678c"/>
    <d v="2024-10-07T16:44:34"/>
    <d v="2024-10-07T19:4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a034-8840e9515224"/>
    <d v="2024-10-10T19:42:34"/>
    <d v="2024-10-10T22:2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52.76"/>
    <n v="702.76"/>
    <n v="431857002"/>
    <x v="84"/>
  </r>
  <r>
    <s v="57efda89-b582-bb08-f5aa-9051b6aee657"/>
    <d v="2024-10-13T22:21:34"/>
    <d v="2024-10-14T00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f93a-4a6861464c5b"/>
    <d v="2024-10-23T02:49:34"/>
    <d v="2024-10-23T03:19:41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030.97"/>
    <n v="0"/>
    <m/>
    <x v="0"/>
  </r>
  <r>
    <s v="57efda89-b582-bb08-9ef3-1c570ca3ac3c"/>
    <d v="2024-10-30T02:49:34"/>
    <d v="2024-10-30T05:3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b487-62aec306c270"/>
    <d v="2024-11-02T05:39:34"/>
    <d v="2024-11-02T08:4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49d6-a3af21de9990"/>
    <d v="2024-11-05T07:44:34"/>
    <d v="2024-11-05T10:2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97b-cf3ded1662b5"/>
    <d v="2024-11-05T10:20:34"/>
    <d v="2024-11-05T10:3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1ccc-e636c88d22e7"/>
    <d v="2024-11-13T01:49:34"/>
    <d v="2024-11-13T04:33:12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2673.95"/>
    <n v="0"/>
    <n v="103697008"/>
    <x v="3"/>
  </r>
  <r>
    <s v="57efda89-b582-bb08-49c1-48468494b198"/>
    <d v="2024-11-20T01:49:34"/>
    <d v="2024-11-20T04:3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475.6"/>
    <n v="0"/>
    <n v="431857002"/>
    <x v="84"/>
  </r>
  <r>
    <s v="57efda89-b582-bb08-75b3-c35742cd9103"/>
    <d v="2024-11-23T04:37:34"/>
    <d v="2024-11-23T08:2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c12e-cb5c0419eb8f"/>
    <d v="2024-11-26T08:28:34"/>
    <d v="2024-11-26T12:1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63.77"/>
    <n v="0"/>
    <n v="431857002"/>
    <x v="84"/>
  </r>
  <r>
    <s v="57efda89-b582-bb08-3f1a-71e6ecd8d3b3"/>
    <d v="2024-11-29T12:10:34"/>
    <d v="2024-11-29T15:2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257.69"/>
    <n v="0"/>
    <n v="431857002"/>
    <x v="84"/>
  </r>
  <r>
    <s v="57efda89-b582-bb08-8cdc-a0aff146152a"/>
    <d v="2024-12-02T15:22:34"/>
    <d v="2024-12-02T18:3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1366-6e926cd260c2"/>
    <d v="2024-12-05T18:37:34"/>
    <d v="2024-12-05T21:1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b0cd-d4b8ec7fa95d"/>
    <d v="2024-12-05T21:13:34"/>
    <d v="2024-12-05T21:2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4b8c-e3a46aa54507"/>
    <d v="2024-12-08T21:13:34"/>
    <d v="2024-12-09T00:4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79.83"/>
    <n v="0"/>
    <n v="431857002"/>
    <x v="84"/>
  </r>
  <r>
    <s v="57efda89-b582-bb08-e3c6-72c0725f4138"/>
    <d v="2024-12-12T00:41:34"/>
    <d v="2024-12-12T04:1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527.47"/>
    <n v="0"/>
    <n v="431857002"/>
    <x v="84"/>
  </r>
  <r>
    <s v="57efda89-b582-bb08-d6fa-a228ce545db0"/>
    <d v="2024-12-15T04:11:34"/>
    <d v="2024-12-15T07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85.72"/>
    <n v="0"/>
    <n v="431857002"/>
    <x v="84"/>
  </r>
  <r>
    <s v="57efda89-b582-bb08-11e7-f131bbaad048"/>
    <d v="2024-12-18T07:07:34"/>
    <d v="2024-12-18T09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80.62"/>
    <n v="0"/>
    <n v="431857002"/>
    <x v="84"/>
  </r>
  <r>
    <s v="57efda89-b582-bb08-1bc6-d33f795a9f60"/>
    <d v="2024-12-21T09:52:34"/>
    <d v="2024-12-21T13:2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1a85-b84dca66ec24"/>
    <d v="2024-12-24T13:25:34"/>
    <d v="2024-12-24T15:4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27.91"/>
    <n v="0"/>
    <n v="431857002"/>
    <x v="84"/>
  </r>
  <r>
    <s v="57efda89-b582-bb08-c678-2b1610360ac6"/>
    <d v="2024-12-27T15:41:34"/>
    <d v="2024-12-27T19:3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90c9-737cfa43c115"/>
    <d v="2024-12-30T19:31:34"/>
    <d v="2024-12-30T22:3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33.48"/>
    <n v="0"/>
    <n v="431857002"/>
    <x v="84"/>
  </r>
  <r>
    <s v="57efda89-b582-bb08-7ee1-b5b6a032369c"/>
    <d v="2025-01-02T22:30:34"/>
    <d v="2025-01-03T01:2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8577-a39ac170a054"/>
    <d v="2025-01-06T01:21:34"/>
    <d v="2025-01-06T04:4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9e3a-e927c64369be"/>
    <d v="2025-01-06T04:41:34"/>
    <d v="2025-01-06T04:5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b673-2a7efce2ef31"/>
    <d v="2025-01-09T04:41:34"/>
    <d v="2025-01-09T07:2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33.75"/>
    <n v="0"/>
    <n v="431857002"/>
    <x v="84"/>
  </r>
  <r>
    <s v="57efda89-b582-bb08-4e51-d3a7f65bf47b"/>
    <d v="2025-01-12T07:24:34"/>
    <d v="2025-01-12T10:5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5b1-c78c7c2c70de"/>
    <d v="2025-01-22T01:49:34"/>
    <d v="2025-01-22T02:48:18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062.83"/>
    <n v="0"/>
    <m/>
    <x v="0"/>
  </r>
  <r>
    <s v="57efda89-b582-bb08-3ac2-80efa44c2635"/>
    <d v="2025-01-29T01:49:34"/>
    <d v="2025-01-29T05:3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64.29"/>
    <n v="0"/>
    <n v="431857002"/>
    <x v="84"/>
  </r>
  <r>
    <s v="57efda89-b582-bb08-10f8-4d15a86a67d7"/>
    <d v="2025-02-01T05:39:34"/>
    <d v="2025-02-01T08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31.87"/>
    <n v="0"/>
    <n v="431857002"/>
    <x v="84"/>
  </r>
  <r>
    <s v="57efda89-b582-bb08-0d38-4e5e0c7f951a"/>
    <d v="2025-02-04T08:52:34"/>
    <d v="2025-02-04T11:5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7e56-f3dad2e46f99"/>
    <d v="2025-02-12T01:49:34"/>
    <d v="2025-02-12T04:42:36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79cd-903539b442ee"/>
    <d v="2025-02-19T01:49:34"/>
    <d v="2025-02-19T04:1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40d-f2ae5a882e8b"/>
    <d v="2025-02-19T04:13:34"/>
    <d v="2025-02-19T04:2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4ff8-746507899848"/>
    <d v="2025-02-22T04:13:34"/>
    <d v="2025-02-22T07:5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d967-757fd9e4da40"/>
    <d v="2025-02-25T07:57:34"/>
    <d v="2025-02-25T11:4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591.96"/>
    <n v="0"/>
    <n v="431857002"/>
    <x v="84"/>
  </r>
  <r>
    <s v="57efda89-b582-bb08-a2ba-165b71285b92"/>
    <d v="2025-03-05T01:49:34"/>
    <d v="2025-03-05T02:47:10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030.97"/>
    <n v="0"/>
    <m/>
    <x v="0"/>
  </r>
  <r>
    <s v="57efda89-b582-bb08-73e0-eb61081a7dec"/>
    <d v="2025-03-12T02:49:34"/>
    <d v="2025-03-12T05:3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47.79999999999995"/>
    <n v="0"/>
    <n v="431857002"/>
    <x v="84"/>
  </r>
  <r>
    <s v="57efda89-b582-bb08-b9f4-77c20344c65f"/>
    <d v="2025-03-15T05:38:34"/>
    <d v="2025-03-15T08:5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b59e-c7aa4d0b45b7"/>
    <d v="2025-03-18T08:59:34"/>
    <d v="2025-03-18T12:5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52.62"/>
    <n v="0"/>
    <n v="431857002"/>
    <x v="84"/>
  </r>
  <r>
    <s v="57efda89-b582-bb08-584b-ee7d4dd8bcf8"/>
    <d v="2025-03-26T02:49:34"/>
    <d v="2025-03-26T08:14:18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4399.55"/>
    <n v="0"/>
    <n v="66383009"/>
    <x v="17"/>
  </r>
  <r>
    <s v="57efda89-b582-bb08-c76e-cb02808d5d8f"/>
    <d v="2025-04-02T02:49:34"/>
    <d v="2025-04-02T06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df98-506d6e0840e4"/>
    <d v="2025-04-02T06:07:34"/>
    <d v="2025-04-02T06:2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b255-2f45d55b5e18"/>
    <d v="2025-04-05T06:07:34"/>
    <d v="2025-04-05T09:0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a4f-aace56130af9"/>
    <d v="2025-04-08T09:08:34"/>
    <d v="2025-04-08T13:0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18.61"/>
    <n v="0"/>
    <n v="431857002"/>
    <x v="84"/>
  </r>
  <r>
    <s v="57efda89-b582-bb08-c13e-48f4696d5305"/>
    <d v="2025-04-11T13:02:34"/>
    <d v="2025-04-11T16:4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f20a-dbd55da8bd80"/>
    <d v="2025-04-14T16:44:34"/>
    <d v="2025-04-14T19:0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4710-26aa117670c2"/>
    <d v="2025-04-17T19:02:34"/>
    <d v="2025-04-17T21:5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05.91"/>
    <n v="0"/>
    <n v="431857002"/>
    <x v="84"/>
  </r>
  <r>
    <s v="57efda89-b582-bb08-b8e4-94d2ba4b3fef"/>
    <d v="2025-04-20T21:56:34"/>
    <d v="2025-04-21T01:4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96e-90c16c33c66c"/>
    <d v="2025-04-30T02:49:34"/>
    <d v="2025-04-30T03:33:57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499.08"/>
    <n v="0"/>
    <m/>
    <x v="0"/>
  </r>
  <r>
    <s v="57efda89-b582-bb08-b8cf-d62bbe88ebb5"/>
    <d v="2025-05-07T02:49:34"/>
    <d v="2025-05-07T05:5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44.79"/>
    <n v="0"/>
    <n v="431857002"/>
    <x v="84"/>
  </r>
  <r>
    <s v="57efda89-b582-bb08-ce36-7bbdc9331493"/>
    <d v="2025-05-07T05:51:34"/>
    <d v="2025-05-07T06:0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1b59-a398b3d2c795"/>
    <d v="2025-05-10T05:51:34"/>
    <d v="2025-05-10T09:1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49d7-764c34467ed8"/>
    <d v="2025-05-13T09:16:34"/>
    <d v="2025-05-13T11:4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b65e-f5724b8b94aa"/>
    <d v="2025-05-16T11:47:34"/>
    <d v="2025-05-16T13:5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264.56"/>
    <n v="0"/>
    <n v="431857002"/>
    <x v="84"/>
  </r>
  <r>
    <s v="57efda89-b582-bb08-0c49-fb294c789958"/>
    <d v="2025-05-19T13:50:34"/>
    <d v="2025-05-19T16:0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cedd-82fd8f6c66ef"/>
    <d v="2025-05-22T16:00:34"/>
    <d v="2025-05-22T19:3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232-a881277dab80"/>
    <d v="2025-05-25T19:34:34"/>
    <d v="2025-05-25T23:0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4d43-407d53a5b9e7"/>
    <d v="2025-05-28T23:06:34"/>
    <d v="2025-05-29T02:5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22.24"/>
    <n v="0"/>
    <n v="431857002"/>
    <x v="84"/>
  </r>
  <r>
    <s v="57efda89-b582-bb08-4d22-39add32967b3"/>
    <d v="2025-06-01T02:55:34"/>
    <d v="2025-06-01T05:1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e959-458ca7d837cb"/>
    <d v="2025-06-04T05:17:34"/>
    <d v="2025-06-04T08:38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c9f2-9daf425bca53"/>
    <d v="2025-06-07T08:38:34"/>
    <d v="2025-06-07T11:3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159.48"/>
    <n v="0"/>
    <n v="431857002"/>
    <x v="84"/>
  </r>
  <r>
    <s v="57efda89-b582-bb08-336c-f54831d62eac"/>
    <d v="2025-06-07T11:35:34"/>
    <d v="2025-06-07T11:5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182d-74c82c96e84f"/>
    <d v="2025-06-10T11:35:34"/>
    <d v="2025-06-10T13:39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414.53"/>
    <n v="0"/>
    <n v="431857002"/>
    <x v="84"/>
  </r>
  <r>
    <s v="57efda89-b582-bb08-4a39-bc1721a17f24"/>
    <d v="2025-06-13T13:39:34"/>
    <d v="2025-06-13T16:2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bfc0-27752fe5166a"/>
    <d v="2025-06-16T16:22:34"/>
    <d v="2025-06-16T18:2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937.82"/>
    <n v="0"/>
    <n v="431857002"/>
    <x v="84"/>
  </r>
  <r>
    <s v="57efda89-b582-bb08-66c5-ce23ab6df123"/>
    <d v="2025-06-19T18:25:34"/>
    <d v="2025-06-19T21:3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099.08"/>
    <n v="0"/>
    <n v="431857002"/>
    <x v="84"/>
  </r>
  <r>
    <s v="57efda89-b582-bb08-e266-137771ad80cd"/>
    <d v="2025-06-22T21:36:34"/>
    <d v="2025-06-23T00:2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e8d-ebc96f72283c"/>
    <d v="2025-07-02T02:49:34"/>
    <d v="2025-07-02T03:43:13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1168.06"/>
    <n v="0"/>
    <m/>
    <x v="0"/>
  </r>
  <r>
    <s v="57efda89-b582-bb08-ebce-f28395491042"/>
    <d v="2025-07-09T02:49:34"/>
    <d v="2025-07-09T06:1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ffa6-0096cfcdc426"/>
    <d v="2025-07-09T06:16:34"/>
    <d v="2025-07-09T06:3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b42f-c1c900cd2a05"/>
    <d v="2025-07-12T06:16:34"/>
    <d v="2025-07-12T09:52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074.08"/>
    <n v="0"/>
    <n v="431857002"/>
    <x v="84"/>
  </r>
  <r>
    <s v="57efda89-b582-bb08-5d69-e53768f1bc78"/>
    <d v="2025-07-15T09:52:34"/>
    <d v="2025-07-15T13:2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293.33"/>
    <n v="0"/>
    <n v="431857002"/>
    <x v="84"/>
  </r>
  <r>
    <s v="57efda89-b582-bb08-7a3f-7f98c2169ad0"/>
    <d v="2025-07-23T02:49:34"/>
    <d v="2025-07-23T03:28:05"/>
    <s v="57efda89-b582-bb08-8a2d-e06b2c184bfc"/>
    <s v="471f7ca2-38f8-3080-8109-187c73ec0b1f"/>
    <s v="f86d82f7-4700-3a32-b779-24d93cbe786a"/>
    <s v="e03e23c9-4df1-3eb6-a62d-f70f02301496"/>
    <x v="0"/>
    <n v="162673000"/>
    <s v="General examination of patient (procedure)"/>
    <n v="136.80000000000001"/>
    <n v="1082.22"/>
    <n v="0"/>
    <m/>
    <x v="0"/>
  </r>
  <r>
    <s v="57efda89-b582-bb08-8789-fd897f0ae0ab"/>
    <d v="2025-07-30T02:49:34"/>
    <d v="2025-07-30T06:4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681.31"/>
    <n v="0"/>
    <n v="431857002"/>
    <x v="84"/>
  </r>
  <r>
    <s v="57efda89-b582-bb08-290a-ceddedb85c21"/>
    <d v="2025-08-02T06:45:34"/>
    <d v="2025-08-02T09:5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27.02"/>
    <n v="0"/>
    <n v="431857002"/>
    <x v="84"/>
  </r>
  <r>
    <s v="57efda89-b582-bb08-d225-eaa1e5456d70"/>
    <d v="2025-08-05T09:56:34"/>
    <d v="2025-08-05T13:5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27f-7260ac4fa3ca"/>
    <d v="2025-08-13T02:49:34"/>
    <d v="2025-08-13T05:54:22"/>
    <s v="57efda89-b582-bb08-8a2d-e06b2c184bfc"/>
    <s v="af8566eb-8918-3ec7-ba44-92b6a2cf8097"/>
    <s v="96f469c4-4c13-30e3-8596-ad7567df2b4c"/>
    <s v="e03e23c9-4df1-3eb6-a62d-f70f02301496"/>
    <x v="1"/>
    <n v="185349003"/>
    <s v="Encounter for check up (procedure)"/>
    <n v="85.55"/>
    <n v="3105.35"/>
    <n v="0"/>
    <n v="66383009"/>
    <x v="17"/>
  </r>
  <r>
    <s v="57efda89-b582-bb08-a8d6-b8525c37f8e4"/>
    <d v="2025-08-20T02:49:34"/>
    <d v="2025-08-20T05:1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5626-5a7d7b0f994f"/>
    <d v="2025-08-20T05:15:34"/>
    <d v="2025-08-20T05:3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c0a0-6f25419b9e5b"/>
    <d v="2025-08-23T05:15:34"/>
    <d v="2025-08-23T07:4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642.16"/>
    <n v="0"/>
    <n v="431857002"/>
    <x v="84"/>
  </r>
  <r>
    <s v="57efda89-b582-bb08-2e3f-3f53de7e39a8"/>
    <d v="2025-08-26T07:44:34"/>
    <d v="2025-08-26T10:24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92bc-2d0648eda687"/>
    <d v="2025-08-29T10:24:34"/>
    <d v="2025-08-29T12:3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d49f-be7d09057961"/>
    <d v="2025-09-01T12:33:34"/>
    <d v="2025-09-01T16:2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824.16"/>
    <n v="0"/>
    <n v="431857002"/>
    <x v="84"/>
  </r>
  <r>
    <s v="57efda89-b582-bb08-3791-0ac952a46534"/>
    <d v="2025-09-04T16:25:34"/>
    <d v="2025-09-04T18:4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3e99-e4f86bf01b51"/>
    <d v="2025-09-07T18:46:34"/>
    <d v="2025-09-07T22:0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791.03"/>
    <n v="0"/>
    <n v="431857002"/>
    <x v="84"/>
  </r>
  <r>
    <s v="57efda89-b582-bb08-1524-67155821ca56"/>
    <d v="2025-09-10T22:01:34"/>
    <d v="2025-09-11T00:4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085.79"/>
    <n v="0"/>
    <n v="431857002"/>
    <x v="84"/>
  </r>
  <r>
    <s v="57efda89-b582-bb08-af54-41cf60aa47b4"/>
    <d v="2025-09-14T00:43:34"/>
    <d v="2025-09-14T04:1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183.96"/>
    <n v="0"/>
    <n v="431857002"/>
    <x v="84"/>
  </r>
  <r>
    <s v="57efda89-b582-bb08-17f7-73abf9d67d94"/>
    <d v="2025-09-24T02:49:34"/>
    <d v="2025-09-24T03:47:23"/>
    <s v="57efda89-b582-bb08-8a2d-e06b2c184bfc"/>
    <s v="af8566eb-8918-3ec7-ba44-92b6a2cf8097"/>
    <s v="96f469c4-4c13-30e3-8596-ad7567df2b4c"/>
    <s v="e03e23c9-4df1-3eb6-a62d-f70f02301496"/>
    <x v="2"/>
    <n v="185349003"/>
    <s v="Encounter for check up (procedure)"/>
    <n v="85.55"/>
    <n v="815.27"/>
    <n v="0"/>
    <m/>
    <x v="0"/>
  </r>
  <r>
    <s v="57efda89-b582-bb08-7a1b-a8433174a2c6"/>
    <d v="2025-10-01T02:49:34"/>
    <d v="2025-10-01T05:51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6971-abe4b878ea41"/>
    <d v="2025-10-01T05:51:34"/>
    <d v="2025-10-01T06:06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234.71"/>
    <n v="0"/>
    <n v="431857002"/>
    <x v="84"/>
  </r>
  <r>
    <s v="57efda89-b582-bb08-4bae-a5ff904cb417"/>
    <d v="2025-10-04T05:51:34"/>
    <d v="2025-10-04T08:23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535.87"/>
    <n v="0"/>
    <n v="431857002"/>
    <x v="84"/>
  </r>
  <r>
    <s v="57efda89-b582-bb08-09fd-64652f8f43f4"/>
    <d v="2025-10-07T08:23:34"/>
    <d v="2025-10-07T11:20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590.62"/>
    <n v="0"/>
    <n v="431857002"/>
    <x v="84"/>
  </r>
  <r>
    <s v="57efda89-b582-bb08-8134-cc313ba1918b"/>
    <d v="2025-10-10T11:20:34"/>
    <d v="2025-10-10T15:07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1275.3"/>
    <n v="0"/>
    <n v="431857002"/>
    <x v="84"/>
  </r>
  <r>
    <s v="57efda89-b582-bb08-d160-0388787c6f9b"/>
    <d v="2025-10-13T15:07:34"/>
    <d v="2025-10-13T18:35:34"/>
    <s v="57efda89-b582-bb08-8a2d-e06b2c184bfc"/>
    <s v="af8566eb-8918-3ec7-ba44-92b6a2cf8097"/>
    <s v="96f469c4-4c13-30e3-8596-ad7567df2b4c"/>
    <s v="e03e23c9-4df1-3eb6-a62d-f70f02301496"/>
    <x v="1"/>
    <n v="185347001"/>
    <s v="Encounter for problem (procedure)"/>
    <n v="85.55"/>
    <n v="779.87"/>
    <n v="0"/>
    <n v="431857002"/>
    <x v="84"/>
  </r>
  <r>
    <s v="57efda89-b582-bb08-e34c-7aa0e1f03b24"/>
    <d v="2025-10-22T02:49:34"/>
    <d v="2025-10-22T03:29:26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8307.35"/>
    <n v="8157.35"/>
    <n v="275978004"/>
    <x v="29"/>
  </r>
  <r>
    <s v="57efda89-b582-bb08-d305-a9bab52c8847"/>
    <d v="2025-10-29T02:49:34"/>
    <d v="2025-10-29T05:3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60.13"/>
    <n v="610.13"/>
    <n v="431857002"/>
    <x v="84"/>
  </r>
  <r>
    <s v="57efda89-b582-bb08-1810-d91553aae9a3"/>
    <d v="2025-11-01T05:31:34"/>
    <d v="2025-11-01T08:3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518-6c6a5f252fb7"/>
    <d v="2025-11-01T08:31:34"/>
    <d v="2025-11-01T08:4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6979-2bb98211e502"/>
    <d v="2025-11-04T07:31:34"/>
    <d v="2025-11-04T11:3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14.49"/>
    <n v="964.49"/>
    <n v="431857002"/>
    <x v="84"/>
  </r>
  <r>
    <s v="57efda89-b582-bb08-93ea-e52d51fa646e"/>
    <d v="2025-11-12T01:49:34"/>
    <d v="2025-11-12T02:26:28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814.07"/>
    <n v="1764.07"/>
    <m/>
    <x v="0"/>
  </r>
  <r>
    <s v="57efda89-b582-bb08-0e78-cee9a983e4ef"/>
    <d v="2025-11-19T01:49:34"/>
    <d v="2025-11-19T05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a33-ef97dacae6bc"/>
    <d v="2025-11-22T05:12:34"/>
    <d v="2025-11-22T08:4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cf1d-b68714fa678b"/>
    <d v="2025-11-25T08:44:34"/>
    <d v="2025-11-25T11:1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75.87"/>
    <n v="825.87"/>
    <n v="431857002"/>
    <x v="84"/>
  </r>
  <r>
    <s v="57efda89-b582-bb08-b60e-ec1d3b07cf0a"/>
    <d v="2025-11-28T11:17:34"/>
    <d v="2025-11-28T14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fec-a8111f06bb9c"/>
    <d v="2025-12-01T14:12:34"/>
    <d v="2025-12-01T17:4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642.36"/>
    <n v="1592.36"/>
    <n v="431857002"/>
    <x v="84"/>
  </r>
  <r>
    <s v="57efda89-b582-bb08-8360-5813cb9a7552"/>
    <d v="2025-12-01T17:43:34"/>
    <d v="2025-12-01T17:5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68aa-be57b55d8979"/>
    <d v="2025-12-04T17:43:34"/>
    <d v="2025-12-04T19:5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385.45"/>
    <n v="1335.45"/>
    <n v="431857002"/>
    <x v="84"/>
  </r>
  <r>
    <s v="57efda89-b582-bb08-c2d0-406d32e95306"/>
    <d v="2025-12-07T19:57:34"/>
    <d v="2025-12-07T22:0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dd4-cb61cb417b45"/>
    <d v="2025-12-10T22:06:34"/>
    <d v="2025-12-11T00:1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073-76c8369d0d87"/>
    <d v="2025-12-14T00:15:34"/>
    <d v="2025-12-14T03:1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81.62"/>
    <n v="531.62"/>
    <n v="431857002"/>
    <x v="84"/>
  </r>
  <r>
    <s v="57efda89-b582-bb08-69b1-d09c34380a6e"/>
    <d v="2025-12-24T01:49:34"/>
    <d v="2025-12-24T02:49:02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374.04"/>
    <n v="1324.04"/>
    <m/>
    <x v="0"/>
  </r>
  <r>
    <s v="57efda89-b582-bb08-0f6d-e71dfdd26d86"/>
    <d v="2025-12-31T01:49:34"/>
    <d v="2025-12-31T04:4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f40-6fd47943b823"/>
    <d v="2026-01-03T04:41:34"/>
    <d v="2026-01-03T08:2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688.13"/>
    <n v="1638.13"/>
    <n v="431857002"/>
    <x v="84"/>
  </r>
  <r>
    <s v="57efda89-b582-bb08-fe42-d260eeafcf95"/>
    <d v="2026-01-03T08:20:34"/>
    <d v="2026-01-03T08:3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e680-d7a03de599b7"/>
    <d v="2026-01-06T08:20:34"/>
    <d v="2026-01-06T12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570.43"/>
    <n v="1520.43"/>
    <n v="431857002"/>
    <x v="84"/>
  </r>
  <r>
    <s v="57efda89-b582-bb08-209f-3938e6c908e0"/>
    <d v="2026-01-09T12:12:34"/>
    <d v="2026-01-09T15:0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72.9"/>
    <n v="522.9"/>
    <n v="431857002"/>
    <x v="84"/>
  </r>
  <r>
    <s v="57efda89-b582-bb08-a4f6-763264ac6fba"/>
    <d v="2026-01-12T15:02:34"/>
    <d v="2026-01-12T18:4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a73f-15e081f34b5d"/>
    <d v="2026-01-15T18:40:34"/>
    <d v="2026-01-15T20:5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725d-04a8f67c2ab9"/>
    <d v="2026-01-18T20:50:34"/>
    <d v="2026-01-18T23:1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59.49"/>
    <n v="609.49"/>
    <n v="431857002"/>
    <x v="84"/>
  </r>
  <r>
    <s v="57efda89-b582-bb08-311c-d313d7544aae"/>
    <d v="2026-01-28T01:49:34"/>
    <d v="2026-01-28T02:20:48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398.67"/>
    <n v="1348.67"/>
    <m/>
    <x v="0"/>
  </r>
  <r>
    <s v="57efda89-b582-bb08-3074-a5efbf1bd0e6"/>
    <d v="2026-02-04T01:49:34"/>
    <d v="2026-02-04T04:3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60.2"/>
    <n v="610.20000000000005"/>
    <n v="431857002"/>
    <x v="84"/>
  </r>
  <r>
    <s v="57efda89-b582-bb08-afdb-b82a8204a8ff"/>
    <d v="2026-02-04T04:30:34"/>
    <d v="2026-02-04T04:4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f995-3c57bbbe4a09"/>
    <d v="2026-02-07T04:30:34"/>
    <d v="2026-02-07T06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31.78"/>
    <n v="881.78"/>
    <n v="431857002"/>
    <x v="84"/>
  </r>
  <r>
    <s v="57efda89-b582-bb08-a2dd-5588d7640cdf"/>
    <d v="2026-02-10T06:48:34"/>
    <d v="2026-02-10T10:0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cf28-bff653fc958e"/>
    <d v="2026-02-18T01:49:34"/>
    <d v="2026-02-18T04:57:40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105.35"/>
    <n v="3055.35"/>
    <n v="103697008"/>
    <x v="3"/>
  </r>
  <r>
    <s v="57efda89-b582-bb08-5ede-e942bacc5f37"/>
    <d v="2026-02-25T01:49:34"/>
    <d v="2026-02-25T04:1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a521-05ede2152ae7"/>
    <d v="2026-02-28T04:17:34"/>
    <d v="2026-02-28T06:4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11.3900000000001"/>
    <n v="1061.3900000000001"/>
    <n v="431857002"/>
    <x v="84"/>
  </r>
  <r>
    <s v="57efda89-b582-bb08-34dd-43a8893eb947"/>
    <d v="2026-03-03T06:48:34"/>
    <d v="2026-03-03T09:1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24e6-954d1566e3c3"/>
    <d v="2026-03-11T02:49:34"/>
    <d v="2026-03-11T03:20:16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4710-5c1c92cfbb28"/>
    <d v="2026-03-18T02:49:34"/>
    <d v="2026-03-18T05:0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6c72-9d974626dfbb"/>
    <d v="2026-03-18T05:07:34"/>
    <d v="2026-03-18T05:2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e201-88aae3a08db7"/>
    <d v="2026-03-21T05:07:34"/>
    <d v="2026-03-21T07:5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da2c-df8a8fc96935"/>
    <d v="2026-03-24T07:54:34"/>
    <d v="2026-03-24T11:0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43f-766c618325f5"/>
    <d v="2026-03-27T11:01:34"/>
    <d v="2026-03-27T13:0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fa36-74d9abbcc8c5"/>
    <d v="2026-03-30T13:05:34"/>
    <d v="2026-03-30T16:0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4f8-0e10232ff8d1"/>
    <d v="2026-04-02T16:05:34"/>
    <d v="2026-04-02T19:3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c60d-c379947ab084"/>
    <d v="2026-04-05T19:30:34"/>
    <d v="2026-04-05T23:0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b382-f6009a6add28"/>
    <d v="2026-04-15T02:49:34"/>
    <d v="2026-04-15T03:42:39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030.97"/>
    <n v="980.97"/>
    <m/>
    <x v="0"/>
  </r>
  <r>
    <s v="57efda89-b582-bb08-c0bd-af58ab643cfa"/>
    <d v="2026-04-22T02:49:34"/>
    <d v="2026-04-22T05:34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677"/>
    <n v="627"/>
    <n v="431857002"/>
    <x v="84"/>
  </r>
  <r>
    <s v="57efda89-b582-bb08-7bb8-e437945ff0aa"/>
    <d v="2026-04-22T05:34:34"/>
    <d v="2026-04-22T05:49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ad1c-9e5d77217578"/>
    <d v="2026-04-25T05:34:34"/>
    <d v="2026-04-25T08:2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846-5ddd9f710aba"/>
    <d v="2026-04-28T08:28:34"/>
    <d v="2026-04-28T10:4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791.03"/>
    <n v="1741.03"/>
    <n v="431857002"/>
    <x v="84"/>
  </r>
  <r>
    <s v="57efda89-b582-bb08-22e8-b7f462359bbd"/>
    <d v="2026-05-01T10:43:34"/>
    <d v="2026-05-01T13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51.98"/>
    <n v="1001.98"/>
    <n v="431857002"/>
    <x v="84"/>
  </r>
  <r>
    <s v="57efda89-b582-bb08-e337-a4d559ffa500"/>
    <d v="2026-05-04T13:23:34"/>
    <d v="2026-05-04T15:5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c5d2-ea52131e9a1d"/>
    <d v="2026-05-07T15:56:34"/>
    <d v="2026-05-07T18:3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22cb-eaef2180fba5"/>
    <d v="2026-05-10T18:37:34"/>
    <d v="2026-05-10T21:5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71.11"/>
    <n v="521.11"/>
    <n v="431857002"/>
    <x v="84"/>
  </r>
  <r>
    <s v="57efda89-b582-bb08-3a94-324268b7a551"/>
    <d v="2026-05-20T02:49:34"/>
    <d v="2026-05-20T03:32:15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1302.97"/>
    <n v="1252.97"/>
    <m/>
    <x v="0"/>
  </r>
  <r>
    <s v="57efda89-b582-bb08-1e62-65af1a0bb86e"/>
    <d v="2026-05-27T02:49:34"/>
    <d v="2026-05-27T06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027.6099999999999"/>
    <n v="977.61"/>
    <n v="431857002"/>
    <x v="84"/>
  </r>
  <r>
    <s v="57efda89-b582-bb08-7b26-57783596ff88"/>
    <d v="2026-05-27T06:08:34"/>
    <d v="2026-05-27T06:2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e43e-77e8609af771"/>
    <d v="2026-05-30T06:08:34"/>
    <d v="2026-05-30T09:22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266-73c861259686"/>
    <d v="2026-06-02T09:22:34"/>
    <d v="2026-06-02T11:3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743.77"/>
    <n v="693.77"/>
    <n v="431857002"/>
    <x v="84"/>
  </r>
  <r>
    <s v="57efda89-b582-bb08-0085-bc6dfa049350"/>
    <d v="2026-06-10T02:49:34"/>
    <d v="2026-06-10T06:08:03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3105.35"/>
    <n v="3055.35"/>
    <n v="103697008"/>
    <x v="3"/>
  </r>
  <r>
    <s v="57efda89-b582-bb08-7bcf-27bafea9e3bd"/>
    <d v="2026-06-17T02:49:34"/>
    <d v="2026-06-17T06:0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71.1"/>
    <n v="921.1"/>
    <n v="431857002"/>
    <x v="84"/>
  </r>
  <r>
    <s v="57efda89-b582-bb08-c7a0-f2f3611fbd27"/>
    <d v="2026-06-20T06:01:34"/>
    <d v="2026-06-20T08:3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3c32-5b3bf865f4ae"/>
    <d v="2026-06-23T08:30:34"/>
    <d v="2026-06-23T12:1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444.55"/>
    <n v="1394.55"/>
    <n v="431857002"/>
    <x v="84"/>
  </r>
  <r>
    <s v="57efda89-b582-bb08-fbaf-260ce36f9ccd"/>
    <d v="2026-06-26T12:18:34"/>
    <d v="2026-06-26T16:00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97.69"/>
    <n v="947.69"/>
    <n v="431857002"/>
    <x v="84"/>
  </r>
  <r>
    <s v="57efda89-b582-bb08-9d87-3c2655a77968"/>
    <d v="2026-06-26T16:00:34"/>
    <d v="2026-06-26T16:15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234.71"/>
    <n v="184.71"/>
    <n v="431857002"/>
    <x v="84"/>
  </r>
  <r>
    <s v="57efda89-b582-bb08-12a9-49e367c73dc8"/>
    <d v="2026-06-29T16:00:34"/>
    <d v="2026-06-29T18:08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959.23"/>
    <n v="909.23"/>
    <n v="431857002"/>
    <x v="84"/>
  </r>
  <r>
    <s v="57efda89-b582-bb08-8d96-aec222bdf445"/>
    <d v="2026-07-02T18:08:34"/>
    <d v="2026-07-02T21:5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1c09-b9f2254c9028"/>
    <d v="2026-07-05T21:57:34"/>
    <d v="2026-07-06T00:47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535.87"/>
    <n v="485.87"/>
    <n v="431857002"/>
    <x v="84"/>
  </r>
  <r>
    <s v="57efda89-b582-bb08-e5ee-05b089d074e2"/>
    <d v="2026-07-09T00:47:34"/>
    <d v="2026-07-09T04:03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197.6300000000001"/>
    <n v="1147.6300000000001"/>
    <n v="431857002"/>
    <x v="84"/>
  </r>
  <r>
    <s v="57efda89-b582-bb08-1fd2-0f7a6094ed4d"/>
    <d v="2026-07-12T04:03:34"/>
    <d v="2026-07-12T06:06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1379.29"/>
    <n v="1329.29"/>
    <n v="431857002"/>
    <x v="84"/>
  </r>
  <r>
    <s v="57efda89-b582-bb08-f6c9-ffc0cb5ff62d"/>
    <d v="2026-07-22T02:49:34"/>
    <d v="2026-07-22T03:35:41"/>
    <s v="57efda89-b582-bb08-8a2d-e06b2c184bfc"/>
    <s v="af8566eb-8918-3ec7-ba44-92b6a2cf8097"/>
    <s v="96f469c4-4c13-30e3-8596-ad7567df2b4c"/>
    <s v="df166300-5a78-3502-a46a-832842197811"/>
    <x v="2"/>
    <n v="185349003"/>
    <s v="Encounter for check up (procedure)"/>
    <n v="85.55"/>
    <n v="815.27"/>
    <n v="765.27"/>
    <m/>
    <x v="0"/>
  </r>
  <r>
    <s v="57efda89-b582-bb08-2d1f-2e409dc43337"/>
    <d v="2026-07-29T02:49:34"/>
    <d v="2026-07-29T03:04:34"/>
    <s v="57efda89-b582-bb08-8a2d-e06b2c184bfc"/>
    <s v="471f7ca2-38f8-3080-8109-187c73ec0b1f"/>
    <s v="f86d82f7-4700-3a32-b779-24d93cbe786a"/>
    <s v="df166300-5a78-3502-a46a-832842197811"/>
    <x v="0"/>
    <n v="162673000"/>
    <s v="General examination of patient (procedure)"/>
    <n v="136.80000000000001"/>
    <n v="285.95999999999998"/>
    <n v="285.95999999999998"/>
    <m/>
    <x v="0"/>
  </r>
  <r>
    <s v="57efda89-b582-bb08-1db6-83f7d6cb6445"/>
    <d v="2026-08-05T02:49:34"/>
    <d v="2026-08-05T09:02:18"/>
    <s v="57efda89-b582-bb08-8a2d-e06b2c184bfc"/>
    <s v="af8566eb-8918-3ec7-ba44-92b6a2cf8097"/>
    <s v="96f469c4-4c13-30e3-8596-ad7567df2b4c"/>
    <s v="df166300-5a78-3502-a46a-832842197811"/>
    <x v="1"/>
    <n v="185349003"/>
    <s v="Encounter for check up (procedure)"/>
    <n v="85.55"/>
    <n v="4830.95"/>
    <n v="4780.95"/>
    <n v="66383009"/>
    <x v="17"/>
  </r>
  <r>
    <s v="57efda89-b582-bb08-8019-a5187810469e"/>
    <d v="2026-08-12T02:49:34"/>
    <d v="2026-08-12T05:11:34"/>
    <s v="57efda89-b582-bb08-8a2d-e06b2c184bfc"/>
    <s v="af8566eb-8918-3ec7-ba44-92b6a2cf8097"/>
    <s v="96f469c4-4c13-30e3-8596-ad7567df2b4c"/>
    <s v="df166300-5a78-3502-a46a-832842197811"/>
    <x v="1"/>
    <n v="185347001"/>
    <s v="Encounter for problem (procedure)"/>
    <n v="85.55"/>
    <n v="814.57"/>
    <n v="764.57"/>
    <n v="431857002"/>
    <x v="84"/>
  </r>
  <r>
    <s v="e142981b-3577-4115-b492-cc707449ecdc"/>
    <d v="1997-11-22T05:46:29"/>
    <d v="1997-11-22T06:09:51"/>
    <s v="e142981b-3577-4115-584d-d9676df7fcff"/>
    <s v="655f2a4f-419c-39d3-8ed6-6c4117eb7e32"/>
    <s v="4cbda0da-7e40-3232-827d-abb75be40ff7"/>
    <s v="26aab0cd-6aba-3e1b-ac5b-05c8867e762c"/>
    <x v="0"/>
    <n v="410620009"/>
    <s v="Well child visit (procedure)"/>
    <n v="136.80000000000001"/>
    <n v="704.2"/>
    <n v="0"/>
    <m/>
    <x v="0"/>
  </r>
  <r>
    <s v="e142981b-3577-4115-48a3-38b8f90ae18f"/>
    <d v="1998-11-28T05:46:29"/>
    <d v="1998-11-28T06:29:55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919.9"/>
    <n v="0"/>
    <m/>
    <x v="0"/>
  </r>
  <r>
    <s v="e142981b-3577-4115-5964-aef7c99bcca2"/>
    <d v="2002-12-07T05:46:29"/>
    <d v="2002-12-07T06:41:09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1050.78"/>
    <n v="0"/>
    <m/>
    <x v="0"/>
  </r>
  <r>
    <s v="e142981b-3577-4115-79a8-804ba1b8d6d2"/>
    <d v="2008-12-13T05:46:29"/>
    <d v="2008-12-13T06:31:07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778.78"/>
    <n v="0"/>
    <m/>
    <x v="0"/>
  </r>
  <r>
    <s v="e142981b-3577-4115-c97c-7304336ccb50"/>
    <d v="2017-12-23T05:46:29"/>
    <d v="2017-12-23T06:42:47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1641.58"/>
    <n v="0"/>
    <m/>
    <x v="0"/>
  </r>
  <r>
    <s v="e142981b-3577-4115-76ac-7c38863aa7d2"/>
    <d v="2018-01-06T05:46:29"/>
    <d v="2018-01-06T08:30:28"/>
    <s v="e142981b-3577-4115-584d-d9676df7fcff"/>
    <s v="901c2d40-1ca3-3879-9a20-c663b8adc0a9"/>
    <s v="48b16ca9-484f-32b6-8ef7-96fe15ce872e"/>
    <s v="26aab0cd-6aba-3e1b-ac5b-05c8867e762c"/>
    <x v="1"/>
    <n v="185349003"/>
    <s v="Encounter for check up (procedure)"/>
    <n v="85.55"/>
    <n v="2673.95"/>
    <n v="0"/>
    <n v="103697008"/>
    <x v="3"/>
  </r>
  <r>
    <s v="e142981b-3577-4115-bddc-c6a2733dfeac"/>
    <d v="2020-10-10T06:46:29"/>
    <d v="2020-10-10T07:19:56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914.78"/>
    <n v="0"/>
    <m/>
    <x v="0"/>
  </r>
  <r>
    <s v="e142981b-3577-4115-baec-dd0b13559ad2"/>
    <d v="2020-10-24T06:46:29"/>
    <d v="2020-10-24T10:16:14"/>
    <s v="e142981b-3577-4115-584d-d9676df7fcff"/>
    <s v="901c2d40-1ca3-3879-9a20-c663b8adc0a9"/>
    <s v="48b16ca9-484f-32b6-8ef7-96fe15ce872e"/>
    <s v="26aab0cd-6aba-3e1b-ac5b-05c8867e762c"/>
    <x v="1"/>
    <n v="185349003"/>
    <s v="Encounter for check up (procedure)"/>
    <n v="85.55"/>
    <n v="3536.75"/>
    <n v="0"/>
    <n v="66383009"/>
    <x v="17"/>
  </r>
  <r>
    <s v="e142981b-3577-4115-635e-f12a71321634"/>
    <d v="2021-01-07T06:16:27"/>
    <d v="2021-01-07T07:16:27"/>
    <s v="e142981b-3577-4115-584d-d9676df7fcff"/>
    <s v="1ef8d603-bec1-35f5-a830-2a0b919cf47f"/>
    <s v="ceef0c79-51c0-3fbc-995f-4eba373718da"/>
    <s v="26aab0cd-6aba-3e1b-ac5b-05c8867e762c"/>
    <x v="3"/>
    <n v="50849002"/>
    <s v="Emergency room admission (procedure)"/>
    <n v="146.18"/>
    <n v="5249.16"/>
    <n v="2297.0100000000002"/>
    <n v="312608009"/>
    <x v="20"/>
  </r>
  <r>
    <s v="e142981b-3577-4115-99c6-b773c8e4a105"/>
    <d v="2021-01-14T05:46:29"/>
    <d v="2021-01-14T06:32:08"/>
    <s v="e142981b-3577-4115-584d-d9676df7fcff"/>
    <s v="901c2d40-1ca3-3879-9a20-c663b8adc0a9"/>
    <s v="48b16ca9-484f-32b6-8ef7-96fe15ce872e"/>
    <s v="26aab0cd-6aba-3e1b-ac5b-05c8867e762c"/>
    <x v="1"/>
    <n v="185345009"/>
    <s v="Encounter for symptom (procedure)"/>
    <n v="85.55"/>
    <n v="235.74"/>
    <n v="141.44999999999999"/>
    <n v="840544004"/>
    <x v="30"/>
  </r>
  <r>
    <s v="e142981b-3577-4115-0995-7985b278aafd"/>
    <d v="2021-12-07T15:46:29"/>
    <d v="2021-12-07T16:01:29"/>
    <s v="e142981b-3577-4115-584d-d9676df7fcff"/>
    <s v="901c2d40-1ca3-3879-9a20-c663b8adc0a9"/>
    <s v="48b16ca9-484f-32b6-8ef7-96fe15ce872e"/>
    <s v="26aab0cd-6aba-3e1b-ac5b-05c8867e762c"/>
    <x v="1"/>
    <n v="185345009"/>
    <s v="Encounter for symptom (procedure)"/>
    <n v="85.55"/>
    <n v="85.55"/>
    <n v="0"/>
    <n v="444814009"/>
    <x v="2"/>
  </r>
  <r>
    <s v="e142981b-3577-4115-a968-381fd5b87ac1"/>
    <d v="2022-01-28T06:46:29"/>
    <d v="2022-01-28T07:01:29"/>
    <s v="e142981b-3577-4115-584d-d9676df7fcff"/>
    <s v="901c2d40-1ca3-3879-9a20-c663b8adc0a9"/>
    <s v="48b16ca9-484f-32b6-8ef7-96fe15ce872e"/>
    <s v="26aab0cd-6aba-3e1b-ac5b-05c8867e762c"/>
    <x v="1"/>
    <n v="185345009"/>
    <s v="Encounter for symptom (procedure)"/>
    <n v="85.55"/>
    <n v="141.16999999999999"/>
    <n v="0"/>
    <n v="10509002"/>
    <x v="1"/>
  </r>
  <r>
    <s v="e142981b-3577-4115-f078-270302a0cab7"/>
    <d v="2022-02-05T05:46:29"/>
    <d v="2022-02-05T06:23:40"/>
    <s v="e142981b-3577-4115-584d-d9676df7fcff"/>
    <s v="3e97ce4f-3ad7-3cea-883f-e2bb4ca89d83"/>
    <s v="f23915b5-5720-379f-ba7d-f5b290934bfc"/>
    <s v="26aab0cd-6aba-3e1b-ac5b-05c8867e762c"/>
    <x v="4"/>
    <n v="702927004"/>
    <s v="Urgent care clinic (environment)"/>
    <n v="142.58000000000001"/>
    <n v="1056.56"/>
    <n v="0"/>
    <m/>
    <x v="0"/>
  </r>
  <r>
    <s v="e142981b-3577-4115-9795-e6588926940a"/>
    <d v="2022-02-19T05:46:29"/>
    <d v="2022-02-19T09:19:04"/>
    <s v="e142981b-3577-4115-584d-d9676df7fcff"/>
    <s v="901c2d40-1ca3-3879-9a20-c663b8adc0a9"/>
    <s v="48b16ca9-484f-32b6-8ef7-96fe15ce872e"/>
    <s v="26aab0cd-6aba-3e1b-ac5b-05c8867e762c"/>
    <x v="1"/>
    <n v="185349003"/>
    <s v="Encounter for check up (procedure)"/>
    <n v="85.55"/>
    <n v="3536.75"/>
    <n v="0"/>
    <n v="103697008"/>
    <x v="3"/>
  </r>
  <r>
    <s v="adec1419-cf81-6640-ca48-e157e556a90b"/>
    <d v="1966-10-29T15:11:02"/>
    <d v="1966-10-29T15:26:02"/>
    <s v="adec1419-cf81-6640-abe6-cac7c0c1b9d4"/>
    <s v="24460683-f514-37ef-98c1-724b2fc9aa2a"/>
    <s v="ee81d257-961b-3f03-b072-3c63642930ad"/>
    <s v="26aab0cd-6aba-3e1b-ac5b-05c8867e762c"/>
    <x v="1"/>
    <n v="185345009"/>
    <s v="Encounter for symptom (procedure)"/>
    <n v="85.55"/>
    <n v="92.93"/>
    <n v="0"/>
    <n v="75498004"/>
    <x v="14"/>
  </r>
  <r>
    <s v="adec1419-cf81-6640-5b13-5c5dc26d52fe"/>
    <d v="1967-08-20T19:11:02"/>
    <d v="1967-08-24T10:19:49"/>
    <s v="adec1419-cf81-6640-abe6-cac7c0c1b9d4"/>
    <s v="24460683-f514-37ef-98c1-724b2fc9aa2a"/>
    <s v="ee81d257-961b-3f03-b072-3c63642930ad"/>
    <s v="26aab0cd-6aba-3e1b-ac5b-05c8867e762c"/>
    <x v="6"/>
    <n v="185347001"/>
    <s v="Encounter for problem (procedure)"/>
    <n v="87.71"/>
    <n v="5423.98"/>
    <n v="0"/>
    <n v="74400008"/>
    <x v="28"/>
  </r>
  <r>
    <s v="adec1419-cf81-6640-d862-f3590426c2e8"/>
    <d v="1981-04-10T22:11:02"/>
    <d v="1981-04-10T22:33:24"/>
    <s v="adec1419-cf81-6640-abe6-cac7c0c1b9d4"/>
    <s v="e9a24be5-b0a3-3fd2-a606-dd13498024ea"/>
    <s v="98a1397a-6fa0-3cb6-a667-84971834129d"/>
    <s v="26aab0cd-6aba-3e1b-ac5b-05c8867e762c"/>
    <x v="0"/>
    <n v="410620009"/>
    <s v="Well child visit (procedure)"/>
    <n v="136.80000000000001"/>
    <n v="1364.4"/>
    <n v="0"/>
    <m/>
    <x v="0"/>
  </r>
  <r>
    <s v="adec1419-cf81-6640-1083-90b47b7cdcb7"/>
    <d v="1982-04-16T22:11:02"/>
    <d v="1982-04-16T22:51:51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1567"/>
    <n v="0"/>
    <m/>
    <x v="0"/>
  </r>
  <r>
    <s v="adec1419-cf81-6640-db7e-444b27362fc7"/>
    <d v="1998-05-08T22:11:02"/>
    <d v="1998-05-08T22:53:16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1069.06"/>
    <n v="0"/>
    <m/>
    <x v="0"/>
  </r>
  <r>
    <s v="adec1419-cf81-6640-461a-aab35fa16657"/>
    <d v="2004-11-11T21:11:02"/>
    <d v="2004-11-11T21:26:02"/>
    <s v="adec1419-cf81-6640-abe6-cac7c0c1b9d4"/>
    <s v="24460683-f514-37ef-98c1-724b2fc9aa2a"/>
    <s v="ee81d257-961b-3f03-b072-3c63642930ad"/>
    <s v="26aab0cd-6aba-3e1b-ac5b-05c8867e762c"/>
    <x v="1"/>
    <n v="185347001"/>
    <s v="Encounter for problem (procedure)"/>
    <n v="85.55"/>
    <n v="85.55"/>
    <n v="0"/>
    <n v="90560007"/>
    <x v="81"/>
  </r>
  <r>
    <s v="adec1419-cf81-6640-7368-fed4d835c14e"/>
    <d v="2010-03-12T21:11:02"/>
    <d v="2010-03-12T22:03:03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1069.06"/>
    <n v="0"/>
    <m/>
    <x v="0"/>
  </r>
  <r>
    <s v="adec1419-cf81-6640-a305-482d20d5f967"/>
    <d v="2011-02-25T21:11:02"/>
    <d v="2011-02-25T22:26:25"/>
    <s v="adec1419-cf81-6640-abe6-cac7c0c1b9d4"/>
    <s v="24460683-f514-37ef-98c1-724b2fc9aa2a"/>
    <s v="ee81d257-961b-3f03-b072-3c63642930ad"/>
    <s v="26aab0cd-6aba-3e1b-ac5b-05c8867e762c"/>
    <x v="1"/>
    <n v="185347001"/>
    <s v="Encounter for problem (procedure)"/>
    <n v="85.55"/>
    <n v="1379.75"/>
    <n v="0"/>
    <n v="37320007"/>
    <x v="8"/>
  </r>
  <r>
    <s v="e142981b-3577-4115-8baa-9b9ca21f5138"/>
    <d v="2022-10-15T06:46:29"/>
    <d v="2022-10-15T07:18:31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704.2"/>
    <n v="0"/>
    <m/>
    <x v="0"/>
  </r>
  <r>
    <s v="adec1419-cf81-6640-1bc6-4b20f0e126b1"/>
    <d v="2015-02-27T21:11:02"/>
    <d v="2015-02-27T21:57:36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976.2"/>
    <n v="0"/>
    <m/>
    <x v="0"/>
  </r>
  <r>
    <s v="adec1419-cf81-6640-b04b-486b5dd7c217"/>
    <d v="2017-03-10T21:11:02"/>
    <d v="2017-03-10T22:03:43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994.48"/>
    <n v="0"/>
    <m/>
    <x v="0"/>
  </r>
  <r>
    <s v="adec1419-cf81-6640-49d9-90c3415555f1"/>
    <d v="2017-03-24T22:11:02"/>
    <d v="2017-03-25T02:01:24"/>
    <s v="adec1419-cf81-6640-abe6-cac7c0c1b9d4"/>
    <s v="24460683-f514-37ef-98c1-724b2fc9aa2a"/>
    <s v="ee81d257-961b-3f03-b072-3c63642930ad"/>
    <s v="26aab0cd-6aba-3e1b-ac5b-05c8867e762c"/>
    <x v="1"/>
    <n v="185349003"/>
    <s v="Encounter for check up (procedure)"/>
    <n v="85.55"/>
    <n v="3536.75"/>
    <n v="0"/>
    <n v="103697008"/>
    <x v="3"/>
  </r>
  <r>
    <s v="adec1419-cf81-6640-fe55-87a5e59a6626"/>
    <d v="2017-08-22T11:11:02"/>
    <d v="2017-08-22T11:26:02"/>
    <s v="adec1419-cf81-6640-abe6-cac7c0c1b9d4"/>
    <s v="24460683-f514-37ef-98c1-724b2fc9aa2a"/>
    <s v="ee81d257-961b-3f03-b072-3c63642930ad"/>
    <s v="26aab0cd-6aba-3e1b-ac5b-05c8867e762c"/>
    <x v="1"/>
    <n v="185345009"/>
    <s v="Encounter for symptom (procedure)"/>
    <n v="85.55"/>
    <n v="85.55"/>
    <n v="0"/>
    <n v="36971009"/>
    <x v="22"/>
  </r>
  <r>
    <s v="adec1419-cf81-6640-6cec-6eac8a6019c7"/>
    <d v="2018-03-16T22:11:02"/>
    <d v="2018-03-16T23:01:38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704.2"/>
    <n v="0"/>
    <m/>
    <x v="0"/>
  </r>
  <r>
    <s v="adec1419-cf81-6640-181f-ec1185f48934"/>
    <d v="2018-03-30T22:11:02"/>
    <d v="2018-03-31T01:03:12"/>
    <s v="adec1419-cf81-6640-abe6-cac7c0c1b9d4"/>
    <s v="24460683-f514-37ef-98c1-724b2fc9aa2a"/>
    <s v="ee81d257-961b-3f03-b072-3c63642930ad"/>
    <s v="26aab0cd-6aba-3e1b-ac5b-05c8867e762c"/>
    <x v="1"/>
    <n v="185349003"/>
    <s v="Encounter for check up (procedure)"/>
    <n v="85.55"/>
    <n v="2673.95"/>
    <n v="0"/>
    <n v="103697008"/>
    <x v="3"/>
  </r>
  <r>
    <s v="adec1419-cf81-6640-88b1-f9c1d971e11b"/>
    <d v="2018-12-21T05:11:02"/>
    <d v="2018-12-21T05:26:02"/>
    <s v="adec1419-cf81-6640-abe6-cac7c0c1b9d4"/>
    <s v="24460683-f514-37ef-98c1-724b2fc9aa2a"/>
    <s v="ee81d257-961b-3f03-b072-3c63642930ad"/>
    <s v="26aab0cd-6aba-3e1b-ac5b-05c8867e762c"/>
    <x v="1"/>
    <n v="185345009"/>
    <s v="Encounter for symptom (procedure)"/>
    <n v="85.55"/>
    <n v="85.55"/>
    <n v="0"/>
    <n v="195662009"/>
    <x v="9"/>
  </r>
  <r>
    <s v="adec1419-cf81-6640-36f9-e605242febde"/>
    <d v="2019-02-28T21:54:49"/>
    <d v="2019-02-28T22:38:21"/>
    <s v="adec1419-cf81-6640-abe6-cac7c0c1b9d4"/>
    <s v="24460683-f514-37ef-98c1-724b2fc9aa2a"/>
    <s v="ee81d257-961b-3f03-b072-3c63642930ad"/>
    <s v="26aab0cd-6aba-3e1b-ac5b-05c8867e762c"/>
    <x v="1"/>
    <n v="185349003"/>
    <s v="Encounter for check up (procedure)"/>
    <n v="85.55"/>
    <n v="12363.44"/>
    <n v="3761.66"/>
    <n v="275978004"/>
    <x v="29"/>
  </r>
  <r>
    <s v="adec1419-cf81-6640-0c1c-475e466ce414"/>
    <d v="2019-03-22T22:11:02"/>
    <d v="2019-03-22T22:47:20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704.2"/>
    <n v="422.52"/>
    <m/>
    <x v="0"/>
  </r>
  <r>
    <s v="e142981b-3577-4115-c6e5-0f0156ee1cb9"/>
    <d v="2022-10-29T06:46:29"/>
    <d v="2022-10-29T10:52:29"/>
    <s v="e142981b-3577-4115-584d-d9676df7fcff"/>
    <s v="901c2d40-1ca3-3879-9a20-c663b8adc0a9"/>
    <s v="48b16ca9-484f-32b6-8ef7-96fe15ce872e"/>
    <s v="26aab0cd-6aba-3e1b-ac5b-05c8867e762c"/>
    <x v="1"/>
    <n v="185349003"/>
    <s v="Encounter for check up (procedure)"/>
    <n v="85.55"/>
    <n v="3105.35"/>
    <n v="0"/>
    <n v="66383009"/>
    <x v="17"/>
  </r>
  <r>
    <s v="e142981b-3577-4115-a222-3b250d81bb36"/>
    <d v="2024-10-19T06:46:29"/>
    <d v="2024-10-19T07:19:11"/>
    <s v="e142981b-3577-4115-584d-d9676df7fcff"/>
    <s v="655f2a4f-419c-39d3-8ed6-6c4117eb7e32"/>
    <s v="4cbda0da-7e40-3232-827d-abb75be40ff7"/>
    <s v="26aab0cd-6aba-3e1b-ac5b-05c8867e762c"/>
    <x v="0"/>
    <n v="162673000"/>
    <s v="General examination of patient (procedure)"/>
    <n v="136.80000000000001"/>
    <n v="704.2"/>
    <n v="0"/>
    <m/>
    <x v="0"/>
  </r>
  <r>
    <s v="e142981b-3577-4115-bc8b-952262a597c3"/>
    <d v="2026-06-21T07:47:18"/>
    <d v="2026-06-21T08:47:18"/>
    <s v="e142981b-3577-4115-584d-d9676df7fcff"/>
    <s v="1ef8d603-bec1-35f5-a830-2a0b919cf47f"/>
    <s v="ceef0c79-51c0-3fbc-995f-4eba373718da"/>
    <s v="26aab0cd-6aba-3e1b-ac5b-05c8867e762c"/>
    <x v="3"/>
    <n v="50849002"/>
    <s v="Emergency room admission (procedure)"/>
    <n v="146.18"/>
    <n v="146.18"/>
    <n v="0"/>
    <n v="48333001"/>
    <x v="65"/>
  </r>
  <r>
    <s v="e142981b-3577-4115-63ee-3f4fdc0f618b"/>
    <d v="2026-06-21T07:47:18"/>
    <d v="2026-07-23T08:02:18"/>
    <s v="e142981b-3577-4115-584d-d9676df7fcff"/>
    <s v="118e081c-c2f2-35cd-b9c3-ef534f1b7830"/>
    <s v="29f382ca-7699-3e0e-a69f-fff4a7624634"/>
    <s v="26aab0cd-6aba-3e1b-ac5b-05c8867e762c"/>
    <x v="7"/>
    <n v="32485007"/>
    <s v="Hospital admission (procedure)"/>
    <n v="110.92"/>
    <n v="23391.759999999998"/>
    <n v="10521.39"/>
    <n v="25675004"/>
    <x v="46"/>
  </r>
  <r>
    <s v="adec1419-cf81-6640-800a-48bd3fdabd8c"/>
    <d v="2019-03-26T03:40:12"/>
    <d v="2019-03-26T04:55:27"/>
    <s v="adec1419-cf81-6640-abe6-cac7c0c1b9d4"/>
    <s v="24460683-f514-37ef-98c1-724b2fc9aa2a"/>
    <s v="ee81d257-961b-3f03-b072-3c63642930ad"/>
    <s v="26aab0cd-6aba-3e1b-ac5b-05c8867e762c"/>
    <x v="1"/>
    <n v="185347001"/>
    <s v="Encounter for problem (procedure)"/>
    <n v="85.55"/>
    <n v="1379.75"/>
    <n v="1379.75"/>
    <n v="37320007"/>
    <x v="8"/>
  </r>
  <r>
    <s v="adec1419-cf81-6640-e511-9242926b8050"/>
    <d v="2019-04-16T04:55:27"/>
    <d v="2019-04-16T05:19:11"/>
    <s v="adec1419-cf81-6640-abe6-cac7c0c1b9d4"/>
    <s v="24460683-f514-37ef-98c1-724b2fc9aa2a"/>
    <s v="ee81d257-961b-3f03-b072-3c63642930ad"/>
    <s v="26aab0cd-6aba-3e1b-ac5b-05c8867e762c"/>
    <x v="1"/>
    <n v="390906007"/>
    <s v="Follow-up encounter (procedure)"/>
    <n v="85.55"/>
    <n v="516.95000000000005"/>
    <n v="516.95000000000005"/>
    <n v="37320007"/>
    <x v="8"/>
  </r>
  <r>
    <s v="adec1419-cf81-6640-655d-98ecd1601371"/>
    <d v="2020-02-07T21:11:02"/>
    <d v="2020-02-07T22:08:40"/>
    <s v="adec1419-cf81-6640-abe6-cac7c0c1b9d4"/>
    <s v="24460683-f514-37ef-98c1-724b2fc9aa2a"/>
    <s v="ee81d257-961b-3f03-b072-3c63642930ad"/>
    <s v="26aab0cd-6aba-3e1b-ac5b-05c8867e762c"/>
    <x v="1"/>
    <n v="185345009"/>
    <s v="Encounter for symptom (procedure)"/>
    <n v="85.55"/>
    <n v="948.35"/>
    <n v="948.35"/>
    <n v="39898005"/>
    <x v="60"/>
  </r>
  <r>
    <s v="adec1419-cf81-6640-cbed-68436847f9b0"/>
    <d v="2020-02-18T22:08:40"/>
    <d v="2020-02-18T22:58:16"/>
    <s v="adec1419-cf81-6640-abe6-cac7c0c1b9d4"/>
    <s v="24460683-f514-37ef-98c1-724b2fc9aa2a"/>
    <s v="ee81d257-961b-3f03-b072-3c63642930ad"/>
    <s v="26aab0cd-6aba-3e1b-ac5b-05c8867e762c"/>
    <x v="1"/>
    <n v="185345009"/>
    <s v="Encounter for symptom (procedure)"/>
    <n v="85.55"/>
    <n v="948.35"/>
    <n v="948.35"/>
    <n v="39898005"/>
    <x v="60"/>
  </r>
  <r>
    <s v="adec1419-cf81-6640-38e6-96474eb27726"/>
    <d v="2020-03-06T22:58:16"/>
    <d v="2020-03-07T22:58:16"/>
    <s v="adec1419-cf81-6640-abe6-cac7c0c1b9d4"/>
    <s v="24460683-f514-37ef-98c1-724b2fc9aa2a"/>
    <s v="ee81d257-961b-3f03-b072-3c63642930ad"/>
    <s v="26aab0cd-6aba-3e1b-ac5b-05c8867e762c"/>
    <x v="6"/>
    <n v="185347001"/>
    <s v="Encounter for problem (procedure)"/>
    <n v="87.71"/>
    <n v="987.05"/>
    <n v="0"/>
    <n v="39898005"/>
    <x v="60"/>
  </r>
  <r>
    <s v="adec1419-cf81-6640-0e04-1bd67f0589d2"/>
    <d v="2020-03-27T22:11:02"/>
    <d v="2020-03-27T22:58:40"/>
    <s v="adec1419-cf81-6640-abe6-cac7c0c1b9d4"/>
    <s v="e9a24be5-b0a3-3fd2-a606-dd13498024ea"/>
    <s v="98a1397a-6fa0-3cb6-a667-84971834129d"/>
    <s v="26aab0cd-6aba-3e1b-ac5b-05c8867e762c"/>
    <x v="0"/>
    <n v="162673000"/>
    <s v="General examination of patient (procedure)"/>
    <n v="136.80000000000001"/>
    <n v="778.78"/>
    <n v="0"/>
    <m/>
    <x v="0"/>
  </r>
  <r>
    <s v="adec1419-cf81-6640-f2b2-526546936cd5"/>
    <d v="2021-01-13T21:11:02"/>
    <d v="2021-01-13T23:34:01"/>
    <s v="adec1419-cf81-6640-abe6-cac7c0c1b9d4"/>
    <s v="a4af40b8-0ddb-34bb-ae4a-95a17e9ad6f3"/>
    <s v="a6e3a37b-dbf4-365c-b0b4-95b294c6d399"/>
    <s v="26aab0cd-6aba-3e1b-ac5b-05c8867e762c"/>
    <x v="3"/>
    <n v="185345009"/>
    <s v="Encounter for symptom (procedure)"/>
    <n v="87.71"/>
    <n v="4476.29"/>
    <n v="166.84"/>
    <n v="307426000"/>
    <x v="5"/>
  </r>
  <r>
    <s v="adec1419-cf81-6640-557f-c299ad621dc4"/>
    <d v="2021-04-02T22:11:02"/>
    <d v="2021-04-02T22:59:15"/>
    <s v="adec1419-cf81-6640-abe6-cac7c0c1b9d4"/>
    <s v="e9a24be5-b0a3-3fd2-a606-dd13498024ea"/>
    <s v="98a1397a-6fa0-3cb6-a667-84971834129d"/>
    <s v="a735bf55-83e9-331a-899d-a82a60b9f60c"/>
    <x v="0"/>
    <n v="162673000"/>
    <s v="General examination of patient (procedure)"/>
    <n v="136.80000000000001"/>
    <n v="1210.18"/>
    <n v="781.74"/>
    <m/>
    <x v="0"/>
  </r>
  <r>
    <s v="adec1419-cf81-6640-9ba7-97262a6890d1"/>
    <d v="2021-06-04T22:11:02"/>
    <d v="2021-06-04T22:26:02"/>
    <s v="adec1419-cf81-6640-abe6-cac7c0c1b9d4"/>
    <s v="24460683-f514-37ef-98c1-724b2fc9aa2a"/>
    <s v="ee81d257-961b-3f03-b072-3c63642930ad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adec1419-cf81-6640-0248-be413cda5764"/>
    <d v="2022-04-08T22:11:02"/>
    <d v="2022-04-08T23:08:19"/>
    <s v="adec1419-cf81-6640-abe6-cac7c0c1b9d4"/>
    <s v="e9a24be5-b0a3-3fd2-a606-dd13498024ea"/>
    <s v="98a1397a-6fa0-3cb6-a667-84971834129d"/>
    <s v="a735bf55-83e9-331a-899d-a82a60b9f60c"/>
    <x v="0"/>
    <n v="162673000"/>
    <s v="General examination of patient (procedure)"/>
    <n v="136.80000000000001"/>
    <n v="1135.5999999999999"/>
    <n v="722.08"/>
    <m/>
    <x v="0"/>
  </r>
  <r>
    <s v="adec1419-cf81-6640-6a36-9e7a6f5f75cc"/>
    <d v="2022-04-22T22:11:02"/>
    <d v="2022-04-23T01:40:50"/>
    <s v="adec1419-cf81-6640-abe6-cac7c0c1b9d4"/>
    <s v="24460683-f514-37ef-98c1-724b2fc9aa2a"/>
    <s v="ee81d257-961b-3f03-b072-3c63642930ad"/>
    <s v="a735bf55-83e9-331a-899d-a82a60b9f60c"/>
    <x v="1"/>
    <n v="185349003"/>
    <s v="Encounter for check up (procedure)"/>
    <n v="85.55"/>
    <n v="3105.35"/>
    <n v="2484.2800000000002"/>
    <n v="103697008"/>
    <x v="3"/>
  </r>
  <r>
    <s v="e142981b-3577-4115-45a7-bd6d94e7538e"/>
    <d v="2026-08-08T07:47:18"/>
    <d v="2026-08-08T08:02:18"/>
    <s v="e142981b-3577-4115-584d-d9676df7fcff"/>
    <s v="901c2d40-1ca3-3879-9a20-c663b8adc0a9"/>
    <s v="48b16ca9-484f-32b6-8ef7-96fe15ce872e"/>
    <s v="26aab0cd-6aba-3e1b-ac5b-05c8867e762c"/>
    <x v="1"/>
    <n v="185349003"/>
    <s v="Encounter for check up (procedure)"/>
    <n v="85.55"/>
    <n v="85.55"/>
    <n v="85.55"/>
    <n v="403190006"/>
    <x v="66"/>
  </r>
  <r>
    <s v="adec1419-cf81-6640-ca88-24dea7690ef7"/>
    <d v="2022-06-17T04:11:02"/>
    <d v="2022-06-17T04:26:02"/>
    <s v="adec1419-cf81-6640-abe6-cac7c0c1b9d4"/>
    <s v="24460683-f514-37ef-98c1-724b2fc9aa2a"/>
    <s v="ee81d257-961b-3f03-b072-3c63642930ad"/>
    <s v="a735bf55-83e9-331a-899d-a82a60b9f60c"/>
    <x v="1"/>
    <n v="185345009"/>
    <s v="Encounter for symptom (procedure)"/>
    <n v="85.55"/>
    <n v="85.55"/>
    <n v="68.44"/>
    <n v="195662009"/>
    <x v="9"/>
  </r>
  <r>
    <s v="adec1419-cf81-6640-119c-d6c95ecf57b9"/>
    <d v="2023-04-14T22:11:02"/>
    <d v="2023-04-14T23:06:08"/>
    <s v="adec1419-cf81-6640-abe6-cac7c0c1b9d4"/>
    <s v="e9a24be5-b0a3-3fd2-a606-dd13498024ea"/>
    <s v="98a1397a-6fa0-3cb6-a667-84971834129d"/>
    <s v="a735bf55-83e9-331a-899d-a82a60b9f60c"/>
    <x v="0"/>
    <n v="162673000"/>
    <s v="General examination of patient (procedure)"/>
    <n v="136.80000000000001"/>
    <n v="1210.18"/>
    <n v="781.74"/>
    <m/>
    <x v="0"/>
  </r>
  <r>
    <s v="adec1419-cf81-6640-c933-50af50fca041"/>
    <d v="2023-04-28T22:11:02"/>
    <d v="2023-04-29T01:18:55"/>
    <s v="adec1419-cf81-6640-abe6-cac7c0c1b9d4"/>
    <s v="24460683-f514-37ef-98c1-724b2fc9aa2a"/>
    <s v="ee81d257-961b-3f03-b072-3c63642930ad"/>
    <s v="a735bf55-83e9-331a-899d-a82a60b9f60c"/>
    <x v="1"/>
    <n v="185349003"/>
    <s v="Encounter for check up (procedure)"/>
    <n v="85.55"/>
    <n v="3105.35"/>
    <n v="2484.2800000000002"/>
    <n v="66383009"/>
    <x v="17"/>
  </r>
  <r>
    <s v="adec1419-cf81-6640-709f-fe2067c85415"/>
    <d v="2023-12-20T03:21:07"/>
    <d v="2023-12-20T03:43:38"/>
    <s v="adec1419-cf81-6640-abe6-cac7c0c1b9d4"/>
    <s v="24460683-f514-37ef-98c1-724b2fc9aa2a"/>
    <s v="ee81d257-961b-3f03-b072-3c63642930ad"/>
    <s v="a735bf55-83e9-331a-899d-a82a60b9f60c"/>
    <x v="1"/>
    <n v="185345009"/>
    <s v="Encounter for symptom (procedure)"/>
    <n v="85.55"/>
    <n v="385.12"/>
    <n v="308.10000000000002"/>
    <n v="10509002"/>
    <x v="1"/>
  </r>
  <r>
    <s v="adec1419-cf81-6640-fa85-cc03ee636a06"/>
    <d v="2023-12-29T21:11:02"/>
    <d v="2023-12-29T21:51:45"/>
    <s v="adec1419-cf81-6640-abe6-cac7c0c1b9d4"/>
    <s v="24460683-f514-37ef-98c1-724b2fc9aa2a"/>
    <s v="ee81d257-961b-3f03-b072-3c63642930ad"/>
    <s v="a735bf55-83e9-331a-899d-a82a60b9f60c"/>
    <x v="2"/>
    <n v="185349003"/>
    <s v="Encounter for check up (procedure)"/>
    <n v="85.55"/>
    <n v="1084.3499999999999"/>
    <n v="867.48"/>
    <m/>
    <x v="0"/>
  </r>
  <r>
    <s v="adec1419-cf81-6640-c270-8c6943927ccf"/>
    <d v="2024-02-28T22:38:21"/>
    <d v="2024-02-28T23:12:01"/>
    <s v="adec1419-cf81-6640-abe6-cac7c0c1b9d4"/>
    <s v="24460683-f514-37ef-98c1-724b2fc9aa2a"/>
    <s v="ee81d257-961b-3f03-b072-3c63642930ad"/>
    <s v="a735bf55-83e9-331a-899d-a82a60b9f60c"/>
    <x v="1"/>
    <n v="185349003"/>
    <s v="Encounter for check up (procedure)"/>
    <n v="85.55"/>
    <n v="16366.89"/>
    <n v="12907.11"/>
    <n v="275978004"/>
    <x v="29"/>
  </r>
  <r>
    <s v="adec1419-cf81-6640-0b5f-8b85da12d7e8"/>
    <d v="2024-04-19T22:11:02"/>
    <d v="2024-04-19T22:42:48"/>
    <s v="adec1419-cf81-6640-abe6-cac7c0c1b9d4"/>
    <s v="e9a24be5-b0a3-3fd2-a606-dd13498024ea"/>
    <s v="98a1397a-6fa0-3cb6-a667-84971834129d"/>
    <s v="a735bf55-83e9-331a-899d-a82a60b9f60c"/>
    <x v="0"/>
    <n v="162673000"/>
    <s v="General examination of patient (procedure)"/>
    <n v="136.80000000000001"/>
    <n v="1139.82"/>
    <n v="911.86"/>
    <m/>
    <x v="0"/>
  </r>
  <r>
    <s v="adec1419-cf81-6640-2336-99355e6037f5"/>
    <d v="2024-11-17T22:42:02"/>
    <d v="2024-11-17T23:42:02"/>
    <s v="adec1419-cf81-6640-abe6-cac7c0c1b9d4"/>
    <s v="a4af40b8-0ddb-34bb-ae4a-95a17e9ad6f3"/>
    <s v="a6e3a37b-dbf4-365c-b0b4-95b294c6d399"/>
    <s v="a735bf55-83e9-331a-899d-a82a60b9f60c"/>
    <x v="3"/>
    <n v="50849002"/>
    <s v="Emergency room admission (procedure)"/>
    <n v="146.18"/>
    <n v="4140.8900000000003"/>
    <n v="3312.71"/>
    <n v="312608009"/>
    <x v="20"/>
  </r>
  <r>
    <s v="adec1419-cf81-6640-2bde-31ec176c6d9b"/>
    <d v="2025-04-25T22:11:02"/>
    <d v="2025-04-25T22:51:02"/>
    <s v="adec1419-cf81-6640-abe6-cac7c0c1b9d4"/>
    <s v="e9a24be5-b0a3-3fd2-a606-dd13498024ea"/>
    <s v="98a1397a-6fa0-3cb6-a667-84971834129d"/>
    <s v="a735bf55-83e9-331a-899d-a82a60b9f60c"/>
    <x v="0"/>
    <n v="162673000"/>
    <s v="General examination of patient (procedure)"/>
    <n v="136.80000000000001"/>
    <n v="2005.46"/>
    <n v="1417.97"/>
    <m/>
    <x v="0"/>
  </r>
  <r>
    <s v="adec1419-cf81-6640-aedd-2b6b374c123b"/>
    <d v="2025-05-09T22:11:02"/>
    <d v="2025-05-10T01:28:51"/>
    <s v="adec1419-cf81-6640-abe6-cac7c0c1b9d4"/>
    <s v="24460683-f514-37ef-98c1-724b2fc9aa2a"/>
    <s v="ee81d257-961b-3f03-b072-3c63642930ad"/>
    <s v="a735bf55-83e9-331a-899d-a82a60b9f60c"/>
    <x v="1"/>
    <n v="185349003"/>
    <s v="Encounter for check up (procedure)"/>
    <n v="85.55"/>
    <n v="3105.35"/>
    <n v="2484.2800000000002"/>
    <n v="103697008"/>
    <x v="3"/>
  </r>
  <r>
    <s v="adec1419-cf81-6640-68af-3301b5fafada"/>
    <d v="2026-05-01T22:11:02"/>
    <d v="2026-05-01T22:46:56"/>
    <s v="adec1419-cf81-6640-abe6-cac7c0c1b9d4"/>
    <s v="e9a24be5-b0a3-3fd2-a606-dd13498024ea"/>
    <s v="98a1397a-6fa0-3cb6-a667-84971834129d"/>
    <s v="a735bf55-83e9-331a-899d-a82a60b9f60c"/>
    <x v="0"/>
    <n v="162673000"/>
    <s v="General examination of patient (procedure)"/>
    <n v="136.80000000000001"/>
    <n v="853.36"/>
    <n v="496.28"/>
    <m/>
    <x v="0"/>
  </r>
  <r>
    <s v="adec1419-cf81-6640-81f9-a0c63d748dd1"/>
    <d v="2026-05-15T22:11:02"/>
    <d v="2026-05-16T01:23:17"/>
    <s v="adec1419-cf81-6640-abe6-cac7c0c1b9d4"/>
    <s v="24460683-f514-37ef-98c1-724b2fc9aa2a"/>
    <s v="ee81d257-961b-3f03-b072-3c63642930ad"/>
    <s v="a735bf55-83e9-331a-899d-a82a60b9f60c"/>
    <x v="1"/>
    <n v="185349003"/>
    <s v="Encounter for check up (procedure)"/>
    <n v="85.55"/>
    <n v="2673.95"/>
    <n v="2139.16"/>
    <n v="66383009"/>
    <x v="17"/>
  </r>
  <r>
    <s v="5780b82b-0419-ffe6-fc86-ba87a123b207"/>
    <d v="2019-10-03T06:43:16"/>
    <d v="2019-10-03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347.38"/>
    <n v="0"/>
    <m/>
    <x v="0"/>
  </r>
  <r>
    <s v="5780b82b-0419-ffe6-4054-7953a17359bb"/>
    <d v="2019-11-07T05:43:16"/>
    <d v="2019-11-07T05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272.8"/>
    <n v="0"/>
    <m/>
    <x v="0"/>
  </r>
  <r>
    <s v="5780b82b-0419-ffe6-f3e1-a4e5671a93ca"/>
    <d v="2020-01-09T05:43:16"/>
    <d v="2020-01-09T05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816.8"/>
    <n v="0"/>
    <m/>
    <x v="0"/>
  </r>
  <r>
    <s v="5780b82b-0419-ffe6-60da-5c21b8ba21ad"/>
    <d v="2020-03-12T06:43:16"/>
    <d v="2020-03-12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816.8"/>
    <n v="0"/>
    <m/>
    <x v="0"/>
  </r>
  <r>
    <s v="5780b82b-0419-ffe6-d79f-12b54ef1a8f6"/>
    <d v="2020-06-11T06:43:16"/>
    <d v="2020-06-11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816.8"/>
    <n v="0"/>
    <m/>
    <x v="0"/>
  </r>
  <r>
    <s v="5780b82b-0419-ffe6-355d-f43590e83af3"/>
    <d v="2020-07-29T06:43:16"/>
    <d v="2020-07-29T06:58:16"/>
    <s v="5780b82b-0419-ffe6-fde4-a2fcce9695f5"/>
    <s v="a537b406-fdfa-36b4-84da-12512e7e6c63"/>
    <s v="b0b45170-bb6b-3e47-bbe2-9d3accb06aac"/>
    <s v="26aab0cd-6aba-3e1b-ac5b-05c8867e762c"/>
    <x v="2"/>
    <n v="185345009"/>
    <s v="Encounter for symptom (procedure)"/>
    <n v="85.55"/>
    <n v="85.55"/>
    <n v="0"/>
    <n v="65363002"/>
    <x v="25"/>
  </r>
  <r>
    <s v="5780b82b-0419-ffe6-782f-270d6fcfae1a"/>
    <d v="2020-09-10T06:43:16"/>
    <d v="2020-09-10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136.80000000000001"/>
    <n v="0"/>
    <m/>
    <x v="0"/>
  </r>
  <r>
    <s v="5780b82b-0419-ffe6-dc8d-8acddd783d50"/>
    <d v="2020-12-10T05:43:16"/>
    <d v="2020-12-10T05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1032.5"/>
    <n v="0"/>
    <m/>
    <x v="0"/>
  </r>
  <r>
    <s v="5780b82b-0419-ffe6-3a29-727f8a1d52f7"/>
    <d v="2020-12-17T05:43:16"/>
    <d v="2020-12-17T05:58:16"/>
    <s v="5780b82b-0419-ffe6-fde4-a2fcce9695f5"/>
    <s v="a537b406-fdfa-36b4-84da-12512e7e6c63"/>
    <s v="b0b45170-bb6b-3e47-bbe2-9d3accb06aac"/>
    <s v="26aab0cd-6aba-3e1b-ac5b-05c8867e762c"/>
    <x v="2"/>
    <n v="185345009"/>
    <s v="Encounter for symptom (procedure)"/>
    <n v="85.55"/>
    <n v="85.55"/>
    <n v="0"/>
    <n v="65363002"/>
    <x v="25"/>
  </r>
  <r>
    <s v="5780b82b-0419-ffe6-01db-4a8df5705b6f"/>
    <d v="2021-03-11T05:43:16"/>
    <d v="2021-03-11T05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514.41"/>
    <n v="0"/>
    <m/>
    <x v="0"/>
  </r>
  <r>
    <s v="5780b82b-0419-ffe6-96d4-9669717af917"/>
    <d v="2021-08-08T06:43:16"/>
    <d v="2021-08-08T06:58:16"/>
    <s v="5780b82b-0419-ffe6-fde4-a2fcce9695f5"/>
    <s v="a537b406-fdfa-36b4-84da-12512e7e6c63"/>
    <s v="b0b45170-bb6b-3e47-bbe2-9d3accb06aac"/>
    <s v="26aab0cd-6aba-3e1b-ac5b-05c8867e762c"/>
    <x v="2"/>
    <n v="185345009"/>
    <s v="Encounter for symptom (procedure)"/>
    <n v="85.55"/>
    <n v="85.55"/>
    <n v="0"/>
    <n v="65363002"/>
    <x v="25"/>
  </r>
  <r>
    <s v="5780b82b-0419-ffe6-83d4-2914911dbbee"/>
    <d v="2021-09-09T06:43:16"/>
    <d v="2021-09-09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488.5"/>
    <n v="0"/>
    <m/>
    <x v="0"/>
  </r>
  <r>
    <s v="5780b82b-0419-ffe6-6437-ec8fc8cdbe64"/>
    <d v="2022-03-10T05:43:16"/>
    <d v="2022-03-10T05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674.31"/>
    <n v="0"/>
    <m/>
    <x v="0"/>
  </r>
  <r>
    <s v="5780b82b-0419-ffe6-0862-b5e7502008ca"/>
    <d v="2022-09-08T06:43:16"/>
    <d v="2022-09-08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704.2"/>
    <n v="0"/>
    <m/>
    <x v="0"/>
  </r>
  <r>
    <s v="5780b82b-0419-ffe6-da3e-7b489830b743"/>
    <d v="2022-09-15T06:43:16"/>
    <d v="2022-09-15T10:18:39"/>
    <s v="5780b82b-0419-ffe6-fde4-a2fcce9695f5"/>
    <s v="a537b406-fdfa-36b4-84da-12512e7e6c63"/>
    <s v="b0b45170-bb6b-3e47-bbe2-9d3accb06aac"/>
    <s v="26aab0cd-6aba-3e1b-ac5b-05c8867e762c"/>
    <x v="1"/>
    <n v="185349003"/>
    <s v="Encounter for check up (procedure)"/>
    <n v="85.55"/>
    <n v="3536.75"/>
    <n v="0"/>
    <n v="103697008"/>
    <x v="3"/>
  </r>
  <r>
    <s v="5780b82b-0419-ffe6-8b61-738f1f8dfa7b"/>
    <d v="2023-03-09T05:43:16"/>
    <d v="2023-03-09T05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136.80000000000001"/>
    <n v="0"/>
    <m/>
    <x v="0"/>
  </r>
  <r>
    <s v="5780b82b-0419-ffe6-bbf3-713bff1020f1"/>
    <d v="2023-09-07T06:43:16"/>
    <d v="2023-09-07T07:03:18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704.2"/>
    <n v="0"/>
    <m/>
    <x v="0"/>
  </r>
  <r>
    <s v="5780b82b-0419-ffe6-59d8-b36a3805ddd0"/>
    <d v="2023-09-14T06:43:16"/>
    <d v="2023-09-14T10:24:28"/>
    <s v="5780b82b-0419-ffe6-fde4-a2fcce9695f5"/>
    <s v="a537b406-fdfa-36b4-84da-12512e7e6c63"/>
    <s v="b0b45170-bb6b-3e47-bbe2-9d3accb06aac"/>
    <s v="26aab0cd-6aba-3e1b-ac5b-05c8867e762c"/>
    <x v="1"/>
    <n v="185349003"/>
    <s v="Encounter for check up (procedure)"/>
    <n v="85.55"/>
    <n v="3536.75"/>
    <n v="0"/>
    <n v="103697008"/>
    <x v="3"/>
  </r>
  <r>
    <s v="5780b82b-0419-ffe6-a599-4ef30447294e"/>
    <d v="2024-09-12T06:43:16"/>
    <d v="2024-09-12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816.8"/>
    <n v="0"/>
    <m/>
    <x v="0"/>
  </r>
  <r>
    <s v="5780b82b-0419-ffe6-df19-b6ba65839adc"/>
    <d v="2025-02-11T12:43:16"/>
    <d v="2025-02-11T12:58:16"/>
    <s v="5780b82b-0419-ffe6-fde4-a2fcce9695f5"/>
    <s v="a537b406-fdfa-36b4-84da-12512e7e6c63"/>
    <s v="b0b45170-bb6b-3e47-bbe2-9d3accb06aac"/>
    <s v="26aab0cd-6aba-3e1b-ac5b-05c8867e762c"/>
    <x v="1"/>
    <n v="185345009"/>
    <s v="Encounter for symptom (procedure)"/>
    <n v="85.55"/>
    <n v="85.55"/>
    <n v="0"/>
    <n v="75498004"/>
    <x v="14"/>
  </r>
  <r>
    <s v="5780b82b-0419-ffe6-66bc-3192bd55525a"/>
    <d v="2025-03-19T13:43:16"/>
    <d v="2025-03-19T13:58:16"/>
    <s v="5780b82b-0419-ffe6-fde4-a2fcce9695f5"/>
    <s v="a537b406-fdfa-36b4-84da-12512e7e6c63"/>
    <s v="b0b45170-bb6b-3e47-bbe2-9d3accb06aac"/>
    <s v="26aab0cd-6aba-3e1b-ac5b-05c8867e762c"/>
    <x v="1"/>
    <n v="185345009"/>
    <s v="Encounter for symptom (procedure)"/>
    <n v="85.55"/>
    <n v="92.93"/>
    <n v="0"/>
    <n v="75498004"/>
    <x v="14"/>
  </r>
  <r>
    <s v="5780b82b-0419-ffe6-2453-18b02c9d5f3f"/>
    <d v="2025-04-09T13:43:16"/>
    <d v="2025-04-09T13:58:16"/>
    <s v="5780b82b-0419-ffe6-fde4-a2fcce9695f5"/>
    <s v="a537b406-fdfa-36b4-84da-12512e7e6c63"/>
    <s v="b0b45170-bb6b-3e47-bbe2-9d3accb06aac"/>
    <s v="26aab0cd-6aba-3e1b-ac5b-05c8867e762c"/>
    <x v="1"/>
    <n v="185345009"/>
    <s v="Encounter for symptom (procedure)"/>
    <n v="85.55"/>
    <n v="85.55"/>
    <n v="0"/>
    <n v="75498004"/>
    <x v="14"/>
  </r>
  <r>
    <s v="5780b82b-0419-ffe6-6ad1-7e5d6b3425d2"/>
    <d v="2025-04-17T06:43:16"/>
    <d v="2025-04-17T07:04:38"/>
    <s v="5780b82b-0419-ffe6-fde4-a2fcce9695f5"/>
    <s v="a537b406-fdfa-36b4-84da-12512e7e6c63"/>
    <s v="b0b45170-bb6b-3e47-bbe2-9d3accb06aac"/>
    <s v="26aab0cd-6aba-3e1b-ac5b-05c8867e762c"/>
    <x v="2"/>
    <n v="185349003"/>
    <s v="Encounter for check up (procedure)"/>
    <n v="85.55"/>
    <n v="1590.33"/>
    <n v="0"/>
    <m/>
    <x v="0"/>
  </r>
  <r>
    <s v="5780b82b-0419-ffe6-ccee-7515ae1e4261"/>
    <d v="2025-04-24T06:43:16"/>
    <d v="2025-04-24T13:05:22"/>
    <s v="5780b82b-0419-ffe6-fde4-a2fcce9695f5"/>
    <s v="a537b406-fdfa-36b4-84da-12512e7e6c63"/>
    <s v="b0b45170-bb6b-3e47-bbe2-9d3accb06aac"/>
    <s v="26aab0cd-6aba-3e1b-ac5b-05c8867e762c"/>
    <x v="1"/>
    <n v="185349003"/>
    <s v="Encounter for check up (procedure)"/>
    <n v="85.55"/>
    <n v="4830.95"/>
    <n v="354.79"/>
    <n v="103697008"/>
    <x v="3"/>
  </r>
  <r>
    <s v="5780b82b-0419-ffe6-8362-72a7d823d944"/>
    <d v="2025-09-18T06:43:16"/>
    <d v="2025-09-18T06:58:16"/>
    <s v="5780b82b-0419-ffe6-fde4-a2fcce9695f5"/>
    <s v="faffaf6a-ee1a-3673-b0b0-421a9c249244"/>
    <s v="de3dc7a7-3bca-38d8-997d-43d7b0656ee9"/>
    <s v="26aab0cd-6aba-3e1b-ac5b-05c8867e762c"/>
    <x v="0"/>
    <n v="410620009"/>
    <s v="Well child visit (procedure)"/>
    <n v="136.80000000000001"/>
    <n v="500.02"/>
    <n v="300.01"/>
    <m/>
    <x v="0"/>
  </r>
  <r>
    <s v="765bd034-e8d7-f102-3525-2f4996ae6d1c"/>
    <d v="2017-03-25T17:08:14"/>
    <d v="2017-03-25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917.97"/>
    <n v="0"/>
    <m/>
    <x v="0"/>
  </r>
  <r>
    <s v="765bd034-e8d7-f102-1847-04955bfb5d94"/>
    <d v="2017-04-29T17:08:14"/>
    <d v="2017-04-29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986.56"/>
    <n v="0"/>
    <m/>
    <x v="0"/>
  </r>
  <r>
    <s v="765bd034-e8d7-f102-0d80-52daa362b210"/>
    <d v="2017-07-01T17:08:14"/>
    <d v="2017-07-01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816.8"/>
    <n v="0"/>
    <m/>
    <x v="0"/>
  </r>
  <r>
    <s v="765bd034-e8d7-f102-d9e3-1d4460c2c471"/>
    <d v="2017-09-02T17:08:14"/>
    <d v="2017-09-02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1032.5"/>
    <n v="0"/>
    <m/>
    <x v="0"/>
  </r>
  <r>
    <s v="765bd034-e8d7-f102-5fa1-ab5942837e4f"/>
    <d v="2017-12-02T16:08:14"/>
    <d v="2017-12-02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1557.45"/>
    <n v="567.9"/>
    <m/>
    <x v="0"/>
  </r>
  <r>
    <s v="765bd034-e8d7-f102-341f-aa68f654bcaa"/>
    <d v="2018-03-03T16:08:14"/>
    <d v="2018-03-03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136.80000000000001"/>
    <n v="95.76"/>
    <m/>
    <x v="0"/>
  </r>
  <r>
    <s v="765bd034-e8d7-f102-5c42-5519c3d7c2fe"/>
    <d v="2018-06-02T17:08:14"/>
    <d v="2018-06-02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816.8"/>
    <n v="0"/>
    <m/>
    <x v="0"/>
  </r>
  <r>
    <s v="765bd034-e8d7-f102-af13-5a0bd9ecef54"/>
    <d v="2018-08-20T04:08:14"/>
    <d v="2018-08-20T04:23:14"/>
    <s v="765bd034-e8d7-f102-eb1c-4b7792fc5684"/>
    <s v="dae3ee01-f383-366e-9ad6-dc92963064ea"/>
    <s v="b4485d03-8ddc-3cf1-8dba-02132a7cfce4"/>
    <s v="8fa6c185-e44e-3e34-8bd8-39be8694f4ce"/>
    <x v="1"/>
    <n v="185345009"/>
    <s v="Encounter for symptom (procedure)"/>
    <n v="85.55"/>
    <n v="85.55"/>
    <n v="0"/>
    <n v="43878008"/>
    <x v="18"/>
  </r>
  <r>
    <s v="765bd034-e8d7-f102-c62b-bdd53c8be516"/>
    <d v="2018-09-01T17:08:14"/>
    <d v="2018-09-01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272.8"/>
    <n v="0"/>
    <m/>
    <x v="0"/>
  </r>
  <r>
    <s v="765bd034-e8d7-f102-8278-cdd200cc6922"/>
    <d v="2018-11-17T14:08:14"/>
    <d v="2018-11-17T14:26:34"/>
    <s v="765bd034-e8d7-f102-eb1c-4b7792fc5684"/>
    <s v="dae3ee01-f383-366e-9ad6-dc92963064ea"/>
    <s v="b4485d03-8ddc-3cf1-8dba-02132a7cfce4"/>
    <s v="8fa6c185-e44e-3e34-8bd8-39be8694f4ce"/>
    <x v="1"/>
    <n v="185345009"/>
    <s v="Encounter for symptom (procedure)"/>
    <n v="85.55"/>
    <n v="500.01"/>
    <n v="0"/>
    <n v="10509002"/>
    <x v="1"/>
  </r>
  <r>
    <s v="765bd034-e8d7-f102-5474-07eff9829a35"/>
    <d v="2018-12-21T14:08:14"/>
    <d v="2018-12-21T14:23:14"/>
    <s v="765bd034-e8d7-f102-eb1c-4b7792fc5684"/>
    <s v="dae3ee01-f383-366e-9ad6-dc92963064ea"/>
    <s v="b4485d03-8ddc-3cf1-8dba-02132a7cfce4"/>
    <s v="8fa6c185-e44e-3e34-8bd8-39be8694f4ce"/>
    <x v="1"/>
    <n v="185345009"/>
    <s v="Encounter for symptom (procedure)"/>
    <n v="85.55"/>
    <n v="85.55"/>
    <n v="0"/>
    <n v="444814009"/>
    <x v="2"/>
  </r>
  <r>
    <s v="765bd034-e8d7-f102-2914-2d05e8e80e66"/>
    <d v="2019-03-02T16:08:14"/>
    <d v="2019-03-02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488.5"/>
    <n v="0"/>
    <m/>
    <x v="0"/>
  </r>
  <r>
    <s v="765bd034-e8d7-f102-4046-93d9ce8e5996"/>
    <d v="2019-08-31T17:08:14"/>
    <d v="2019-08-31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272.8"/>
    <n v="0"/>
    <m/>
    <x v="0"/>
  </r>
  <r>
    <s v="765bd034-e8d7-f102-d95b-5cf493154a09"/>
    <d v="2019-11-10T16:08:14"/>
    <d v="2019-11-10T16:23:14"/>
    <s v="765bd034-e8d7-f102-eb1c-4b7792fc5684"/>
    <s v="dae3ee01-f383-366e-9ad6-dc92963064ea"/>
    <s v="b4485d03-8ddc-3cf1-8dba-02132a7cfce4"/>
    <s v="8fa6c185-e44e-3e34-8bd8-39be8694f4ce"/>
    <x v="2"/>
    <n v="185345009"/>
    <s v="Encounter for symptom (procedure)"/>
    <n v="85.55"/>
    <n v="85.55"/>
    <n v="0"/>
    <n v="65363002"/>
    <x v="25"/>
  </r>
  <r>
    <s v="765bd034-e8d7-f102-b746-42a13457db3d"/>
    <d v="2020-02-22T16:08:14"/>
    <d v="2020-02-22T16:23:14"/>
    <s v="765bd034-e8d7-f102-eb1c-4b7792fc5684"/>
    <s v="dae3ee01-f383-366e-9ad6-dc92963064ea"/>
    <s v="b4485d03-8ddc-3cf1-8dba-02132a7cfce4"/>
    <s v="8fa6c185-e44e-3e34-8bd8-39be8694f4ce"/>
    <x v="1"/>
    <n v="185345009"/>
    <s v="Encounter for symptom (procedure)"/>
    <n v="85.55"/>
    <n v="85.55"/>
    <n v="0"/>
    <n v="232353008"/>
    <x v="16"/>
  </r>
  <r>
    <s v="765bd034-e8d7-f102-1d73-f2fb2a8e36a2"/>
    <d v="2020-02-29T16:08:14"/>
    <d v="2020-02-29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919.9"/>
    <n v="0"/>
    <m/>
    <x v="0"/>
  </r>
  <r>
    <s v="765bd034-e8d7-f102-0bd6-75e434c71255"/>
    <d v="2020-03-07T16:08:14"/>
    <d v="2020-03-07T16:44:14"/>
    <s v="765bd034-e8d7-f102-eb1c-4b7792fc5684"/>
    <s v="dae3ee01-f383-366e-9ad6-dc92963064ea"/>
    <s v="b4485d03-8ddc-3cf1-8dba-02132a7cfce4"/>
    <s v="8fa6c185-e44e-3e34-8bd8-39be8694f4ce"/>
    <x v="1"/>
    <n v="185347001"/>
    <s v="Encounter for problem (procedure)"/>
    <n v="85.55"/>
    <n v="516.95000000000005"/>
    <n v="0"/>
    <n v="609328004"/>
    <x v="11"/>
  </r>
  <r>
    <s v="765bd034-e8d7-f102-1fd2-62aeed70388c"/>
    <d v="2020-03-14T17:08:14"/>
    <d v="2020-03-14T20:50:15"/>
    <s v="765bd034-e8d7-f102-eb1c-4b7792fc5684"/>
    <s v="dae3ee01-f383-366e-9ad6-dc92963064ea"/>
    <s v="b4485d03-8ddc-3cf1-8dba-02132a7cfce4"/>
    <s v="8fa6c185-e44e-3e34-8bd8-39be8694f4ce"/>
    <x v="1"/>
    <n v="185349003"/>
    <s v="Encounter for check up (procedure)"/>
    <n v="85.55"/>
    <n v="3536.75"/>
    <n v="975.98"/>
    <n v="103697008"/>
    <x v="3"/>
  </r>
  <r>
    <s v="765bd034-e8d7-f102-4569-45fbd329f086"/>
    <d v="2020-08-29T17:08:14"/>
    <d v="2020-08-29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352.5"/>
    <n v="0"/>
    <m/>
    <x v="0"/>
  </r>
  <r>
    <s v="765bd034-e8d7-f102-6ff9-1dd5fb5616ba"/>
    <d v="2021-02-27T16:08:14"/>
    <d v="2021-02-27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784.57"/>
    <n v="0"/>
    <m/>
    <x v="0"/>
  </r>
  <r>
    <s v="765bd034-e8d7-f102-c7b6-873256f2429a"/>
    <d v="2022-03-05T16:08:14"/>
    <d v="2022-03-05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1032.5"/>
    <n v="0"/>
    <m/>
    <x v="0"/>
  </r>
  <r>
    <s v="765bd034-e8d7-f102-417e-663059b41876"/>
    <d v="2023-03-11T16:08:14"/>
    <d v="2023-03-11T16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1210.18"/>
    <n v="0"/>
    <m/>
    <x v="0"/>
  </r>
  <r>
    <s v="765bd034-e8d7-f102-2db4-00cb44545cff"/>
    <d v="2024-03-16T17:08:14"/>
    <d v="2024-03-16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919.9"/>
    <n v="0"/>
    <m/>
    <x v="0"/>
  </r>
  <r>
    <s v="765bd034-e8d7-f102-2121-ff70bf387df9"/>
    <d v="2024-03-23T17:08:14"/>
    <d v="2024-03-23T20:21:26"/>
    <s v="765bd034-e8d7-f102-eb1c-4b7792fc5684"/>
    <s v="dae3ee01-f383-366e-9ad6-dc92963064ea"/>
    <s v="b4485d03-8ddc-3cf1-8dba-02132a7cfce4"/>
    <s v="8fa6c185-e44e-3e34-8bd8-39be8694f4ce"/>
    <x v="1"/>
    <n v="185349003"/>
    <s v="Encounter for check up (procedure)"/>
    <n v="85.55"/>
    <n v="2673.95"/>
    <n v="0"/>
    <n v="103697008"/>
    <x v="3"/>
  </r>
  <r>
    <s v="765bd034-e8d7-f102-8421-e89bd49f51a0"/>
    <d v="2025-03-22T17:08:14"/>
    <d v="2025-03-22T17:23:14"/>
    <s v="765bd034-e8d7-f102-eb1c-4b7792fc5684"/>
    <s v="4f5e8f16-a31b-3071-8556-d7188ede313d"/>
    <s v="aa0f06f5-23d1-31ca-9753-ded5d109580a"/>
    <s v="8fa6c185-e44e-3e34-8bd8-39be8694f4ce"/>
    <x v="0"/>
    <n v="410620009"/>
    <s v="Well child visit (procedure)"/>
    <n v="136.80000000000001"/>
    <n v="704.2"/>
    <n v="0"/>
    <m/>
    <x v="0"/>
  </r>
  <r>
    <s v="765bd034-e8d7-f102-e496-8236d9204e98"/>
    <d v="2025-03-29T17:08:14"/>
    <d v="2025-03-29T20:00:45"/>
    <s v="765bd034-e8d7-f102-eb1c-4b7792fc5684"/>
    <s v="dae3ee01-f383-366e-9ad6-dc92963064ea"/>
    <s v="b4485d03-8ddc-3cf1-8dba-02132a7cfce4"/>
    <s v="0133f751-9229-3cfd-815f-b6d4979bdd6a"/>
    <x v="1"/>
    <n v="185349003"/>
    <s v="Encounter for check up (procedure)"/>
    <n v="85.55"/>
    <n v="3105.35"/>
    <n v="0"/>
    <n v="103697008"/>
    <x v="3"/>
  </r>
  <r>
    <s v="765bd034-e8d7-f102-d5b9-ae216b65e488"/>
    <d v="2026-03-28T17:08:14"/>
    <d v="2026-03-28T17:23:14"/>
    <s v="765bd034-e8d7-f102-eb1c-4b7792fc5684"/>
    <s v="4f5e8f16-a31b-3071-8556-d7188ede313d"/>
    <s v="aa0f06f5-23d1-31ca-9753-ded5d109580a"/>
    <s v="0133f751-9229-3cfd-815f-b6d4979bdd6a"/>
    <x v="0"/>
    <n v="410620009"/>
    <s v="Well child visit (procedure)"/>
    <n v="136.80000000000001"/>
    <n v="272.8"/>
    <n v="0"/>
    <m/>
    <x v="0"/>
  </r>
  <r>
    <s v="765bd034-e8d7-f102-0090-2e0f69227d8b"/>
    <d v="2026-05-04T17:08:14"/>
    <d v="2026-05-04T18:08:14"/>
    <s v="765bd034-e8d7-f102-eb1c-4b7792fc5684"/>
    <s v="069b90f9-309b-35e4-b990-d1dbacb962cc"/>
    <s v="0c9b60a8-ae69-3f1d-96fe-6a8a331f2931"/>
    <s v="0133f751-9229-3cfd-815f-b6d4979bdd6a"/>
    <x v="3"/>
    <n v="50849002"/>
    <s v="Emergency room admission (procedure)"/>
    <n v="146.18"/>
    <n v="146.18"/>
    <n v="0"/>
    <n v="384709000"/>
    <x v="13"/>
  </r>
  <r>
    <s v="edb5a2e3-a981-d33c-3db0-5427687709d1"/>
    <d v="2010-01-22T16:22:28"/>
    <d v="2010-01-22T16:37:28"/>
    <s v="edb5a2e3-a981-d33c-5eac-1ca8adde82d3"/>
    <s v="a2a41caf-758f-3962-8e5f-e6e603f93d17"/>
    <s v="254872a4-7ff2-3b70-997b-49b37a0046eb"/>
    <s v="df166300-5a78-3502-a46a-832842197811"/>
    <x v="1"/>
    <n v="185345009"/>
    <s v="Encounter for symptom (procedure)"/>
    <n v="85.55"/>
    <n v="516.95000000000005"/>
    <n v="466.95"/>
    <n v="233678006"/>
    <x v="12"/>
  </r>
  <r>
    <s v="edb5a2e3-a981-d33c-9684-a45f5c29896f"/>
    <d v="2015-10-04T17:22:28"/>
    <d v="2015-10-04T17:37:28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763.1"/>
    <n v="763.1"/>
    <m/>
    <x v="0"/>
  </r>
  <r>
    <s v="edb5a2e3-a981-d33c-24cf-f01d3728e2a1"/>
    <d v="2016-10-09T17:22:28"/>
    <d v="2016-10-09T17:37:28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704.2"/>
    <n v="704.2"/>
    <m/>
    <x v="0"/>
  </r>
  <r>
    <s v="edb5a2e3-a981-d33c-aeca-529a1b69325c"/>
    <d v="2016-10-16T17:22:28"/>
    <d v="2016-10-16T20:28:37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536.75"/>
    <n v="3486.75"/>
    <n v="66383009"/>
    <x v="17"/>
  </r>
  <r>
    <s v="edb5a2e3-a981-d33c-9f02-8f942274699f"/>
    <d v="2017-06-14T17:22:28"/>
    <d v="2017-06-14T17:37:28"/>
    <s v="edb5a2e3-a981-d33c-5eac-1ca8adde82d3"/>
    <s v="a2a41caf-758f-3962-8e5f-e6e603f93d17"/>
    <s v="254872a4-7ff2-3b70-997b-49b37a0046eb"/>
    <s v="df166300-5a78-3502-a46a-832842197811"/>
    <x v="1"/>
    <n v="394701000"/>
    <s v="Asthma follow-up (regime/therapy)"/>
    <n v="142.58000000000001"/>
    <n v="142.58000000000001"/>
    <n v="92.58"/>
    <n v="233678006"/>
    <x v="12"/>
  </r>
  <r>
    <s v="edb5a2e3-a981-d33c-7746-387f8572c0d7"/>
    <d v="2017-08-28T17:22:28"/>
    <d v="2017-10-08T04:25:19"/>
    <s v="edb5a2e3-a981-d33c-5eac-1ca8adde82d3"/>
    <s v="bce5b907-584b-345d-bbcf-912cf56cb6c3"/>
    <s v="e42c9f74-8ef5-3227-a56d-93ae10d670d2"/>
    <s v="df166300-5a78-3502-a46a-832842197811"/>
    <x v="0"/>
    <n v="185349003"/>
    <s v="Encounter for check up (procedure)"/>
    <n v="82.08"/>
    <n v="944.88"/>
    <n v="944.88"/>
    <m/>
    <x v="0"/>
  </r>
  <r>
    <s v="edb5a2e3-a981-d33c-2b65-b1c590309522"/>
    <d v="2017-10-08T04:25:19"/>
    <d v="2017-10-08T04:57:44"/>
    <s v="edb5a2e3-a981-d33c-5eac-1ca8adde82d3"/>
    <s v="a2a41caf-758f-3962-8e5f-e6e603f93d17"/>
    <s v="254872a4-7ff2-3b70-997b-49b37a0046eb"/>
    <s v="df166300-5a78-3502-a46a-832842197811"/>
    <x v="1"/>
    <n v="185347001"/>
    <s v="Encounter for problem (procedure)"/>
    <n v="85.55"/>
    <n v="1811.15"/>
    <n v="1661.15"/>
    <m/>
    <x v="0"/>
  </r>
  <r>
    <s v="edb5a2e3-a981-d33c-5e74-aca863634115"/>
    <d v="2017-10-08T04:57:44"/>
    <d v="2017-10-12T05:13:41"/>
    <s v="edb5a2e3-a981-d33c-5eac-1ca8adde82d3"/>
    <s v="a2a41caf-758f-3962-8e5f-e6e603f93d17"/>
    <s v="254872a4-7ff2-3b70-997b-49b37a0046eb"/>
    <s v="df166300-5a78-3502-a46a-832842197811"/>
    <x v="2"/>
    <n v="308335008"/>
    <s v="Patient encounter procedure (procedure)"/>
    <n v="142.58000000000001"/>
    <n v="573.98"/>
    <n v="523.98"/>
    <m/>
    <x v="0"/>
  </r>
  <r>
    <s v="edb5a2e3-a981-d33c-7761-2de1eacea0a1"/>
    <d v="2017-10-25T05:13:41"/>
    <d v="2017-10-25T05:42:34"/>
    <s v="edb5a2e3-a981-d33c-5eac-1ca8adde82d3"/>
    <s v="a2a41caf-758f-3962-8e5f-e6e603f93d17"/>
    <s v="254872a4-7ff2-3b70-997b-49b37a0046eb"/>
    <s v="df166300-5a78-3502-a46a-832842197811"/>
    <x v="1"/>
    <n v="390906007"/>
    <s v="Follow-up encounter (procedure)"/>
    <n v="85.55"/>
    <n v="948.35"/>
    <n v="898.35"/>
    <n v="203646004"/>
    <x v="82"/>
  </r>
  <r>
    <s v="edb5a2e3-a981-d33c-e92a-659929123729"/>
    <d v="2017-11-30T04:42:34"/>
    <d v="2017-11-30T04:57:34"/>
    <s v="edb5a2e3-a981-d33c-5eac-1ca8adde82d3"/>
    <s v="a2a41caf-758f-3962-8e5f-e6e603f93d17"/>
    <s v="254872a4-7ff2-3b70-997b-49b37a0046eb"/>
    <s v="df166300-5a78-3502-a46a-832842197811"/>
    <x v="1"/>
    <n v="185347001"/>
    <s v="Encounter for problem (procedure)"/>
    <n v="85.55"/>
    <n v="85.55"/>
    <n v="35.549999999999997"/>
    <m/>
    <x v="0"/>
  </r>
  <r>
    <s v="edb5a2e3-a981-d33c-91e4-e5f8bfdb9ee1"/>
    <d v="2018-09-02T17:22:28"/>
    <d v="2018-09-02T17:37:28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755.38"/>
    <n v="755.38"/>
    <m/>
    <x v="0"/>
  </r>
  <r>
    <s v="edb5a2e3-a981-d33c-9813-8bc5d83c95de"/>
    <d v="2019-09-08T17:22:28"/>
    <d v="2019-09-08T17:45:10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1341.39"/>
    <n v="1341.39"/>
    <m/>
    <x v="0"/>
  </r>
  <r>
    <s v="edb5a2e3-a981-d33c-36ed-248cba604e6b"/>
    <d v="2019-09-22T17:22:28"/>
    <d v="2019-09-22T20:29:57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105.35"/>
    <n v="3055.35"/>
    <n v="66383009"/>
    <x v="17"/>
  </r>
  <r>
    <s v="edb5a2e3-a981-d33c-1c86-161ff002a602"/>
    <d v="2020-03-08T17:22:28"/>
    <d v="2020-03-08T17:49:45"/>
    <s v="edb5a2e3-a981-d33c-5eac-1ca8adde82d3"/>
    <s v="01bde980-bf89-3138-8912-7360dff33247"/>
    <s v="cddb9f2c-a6e6-3432-9408-c5ba3d4f8211"/>
    <s v="df166300-5a78-3502-a46a-832842197811"/>
    <x v="4"/>
    <n v="702927004"/>
    <s v="Urgent care clinic (environment)"/>
    <n v="142.58000000000001"/>
    <n v="845.98"/>
    <n v="795.98"/>
    <m/>
    <x v="0"/>
  </r>
  <r>
    <s v="edb5a2e3-a981-d33c-f5ee-b2749da85bb3"/>
    <d v="2020-03-15T17:22:28"/>
    <d v="2020-03-15T17:37:28"/>
    <s v="edb5a2e3-a981-d33c-5eac-1ca8adde82d3"/>
    <s v="a2a41caf-758f-3962-8e5f-e6e603f93d17"/>
    <s v="254872a4-7ff2-3b70-997b-49b37a0046eb"/>
    <s v="df166300-5a78-3502-a46a-832842197811"/>
    <x v="2"/>
    <n v="185349003"/>
    <s v="Encounter for check up (procedure)"/>
    <n v="85.55"/>
    <n v="301.25"/>
    <n v="251.25"/>
    <m/>
    <x v="0"/>
  </r>
  <r>
    <s v="edb5a2e3-a981-d33c-ead4-704926882bab"/>
    <d v="2020-03-22T17:22:28"/>
    <d v="2020-03-22T20:55:37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536.75"/>
    <n v="3486.75"/>
    <n v="66383009"/>
    <x v="17"/>
  </r>
  <r>
    <s v="edb5a2e3-a981-d33c-0a4a-eefa8e77bd28"/>
    <d v="2020-03-29T17:22:28"/>
    <d v="2020-03-29T17:37:28"/>
    <s v="edb5a2e3-a981-d33c-5eac-1ca8adde82d3"/>
    <s v="a2a41caf-758f-3962-8e5f-e6e603f93d17"/>
    <s v="254872a4-7ff2-3b70-997b-49b37a0046eb"/>
    <s v="df166300-5a78-3502-a46a-832842197811"/>
    <x v="1"/>
    <n v="185345009"/>
    <s v="Encounter for symptom (procedure)"/>
    <n v="85.55"/>
    <n v="948.35"/>
    <n v="898.35"/>
    <n v="195662009"/>
    <x v="9"/>
  </r>
  <r>
    <s v="edb5a2e3-a981-d33c-806b-630c57c14a2c"/>
    <d v="2020-09-13T17:22:28"/>
    <d v="2020-09-13T17:37:28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704.2"/>
    <n v="704.2"/>
    <m/>
    <x v="0"/>
  </r>
  <r>
    <s v="edb5a2e3-a981-d33c-4c06-6bebde63cf4d"/>
    <d v="2021-05-23T17:22:28"/>
    <d v="2021-05-23T17:37:28"/>
    <s v="edb5a2e3-a981-d33c-5eac-1ca8adde82d3"/>
    <s v="a2a41caf-758f-3962-8e5f-e6e603f93d17"/>
    <s v="254872a4-7ff2-3b70-997b-49b37a0046eb"/>
    <s v="df166300-5a78-3502-a46a-832842197811"/>
    <x v="2"/>
    <n v="33879002"/>
    <s v="Administration of vaccine to produce active immunity (procedure)"/>
    <n v="142.58000000000001"/>
    <n v="278.58"/>
    <n v="128.58000000000001"/>
    <m/>
    <x v="0"/>
  </r>
  <r>
    <s v="edb5a2e3-a981-d33c-d006-debf19a0c75e"/>
    <d v="2021-05-24T17:22:28"/>
    <d v="2021-05-24T17:37:28"/>
    <s v="edb5a2e3-a981-d33c-5eac-1ca8adde82d3"/>
    <s v="a2a41caf-758f-3962-8e5f-e6e603f93d17"/>
    <s v="254872a4-7ff2-3b70-997b-49b37a0046eb"/>
    <s v="df166300-5a78-3502-a46a-832842197811"/>
    <x v="1"/>
    <n v="394701000"/>
    <s v="Asthma follow-up (regime/therapy)"/>
    <n v="142.58000000000001"/>
    <n v="142.58000000000001"/>
    <n v="92.58"/>
    <n v="233678006"/>
    <x v="12"/>
  </r>
  <r>
    <s v="edb5a2e3-a981-d33c-ecd6-95359fe73d30"/>
    <d v="2021-06-13T17:22:28"/>
    <d v="2021-06-13T17:37:28"/>
    <s v="edb5a2e3-a981-d33c-5eac-1ca8adde82d3"/>
    <s v="a2a41caf-758f-3962-8e5f-e6e603f93d17"/>
    <s v="254872a4-7ff2-3b70-997b-49b37a0046eb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edb5a2e3-a981-d33c-a0b0-f08f62700185"/>
    <d v="2021-09-19T17:22:28"/>
    <d v="2021-09-19T17:38:23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704.2"/>
    <n v="704.2"/>
    <m/>
    <x v="0"/>
  </r>
  <r>
    <s v="edb5a2e3-a981-d33c-fc3b-e5ab9c052779"/>
    <d v="2021-10-03T17:22:28"/>
    <d v="2021-10-03T21:15:10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536.75"/>
    <n v="3466.69"/>
    <n v="103697008"/>
    <x v="3"/>
  </r>
  <r>
    <s v="edb5a2e3-a981-d33c-5aaf-e3ccc1ddb874"/>
    <d v="2021-11-20T16:22:28"/>
    <d v="2021-11-20T16:37:28"/>
    <s v="edb5a2e3-a981-d33c-5eac-1ca8adde82d3"/>
    <s v="a2a41caf-758f-3962-8e5f-e6e603f93d17"/>
    <s v="254872a4-7ff2-3b70-997b-49b37a0046eb"/>
    <s v="df166300-5a78-3502-a46a-832842197811"/>
    <x v="1"/>
    <n v="394701000"/>
    <s v="Asthma follow-up (regime/therapy)"/>
    <n v="142.58000000000001"/>
    <n v="142.58000000000001"/>
    <n v="92.58"/>
    <n v="233678006"/>
    <x v="12"/>
  </r>
  <r>
    <s v="edb5a2e3-a981-d33c-5481-98e598bd68cb"/>
    <d v="2021-12-26T16:22:28"/>
    <d v="2021-12-26T16:37:28"/>
    <s v="edb5a2e3-a981-d33c-5eac-1ca8adde82d3"/>
    <s v="a2a41caf-758f-3962-8e5f-e6e603f93d17"/>
    <s v="254872a4-7ff2-3b70-997b-49b37a0046eb"/>
    <s v="df166300-5a78-3502-a46a-832842197811"/>
    <x v="2"/>
    <n v="185349003"/>
    <s v="Encounter for check up (procedure)"/>
    <n v="85.55"/>
    <n v="516.95000000000005"/>
    <n v="466.95"/>
    <m/>
    <x v="0"/>
  </r>
  <r>
    <s v="edb5a2e3-a981-d33c-56c3-f49aad719878"/>
    <d v="2022-01-02T16:22:28"/>
    <d v="2022-01-02T16:37:28"/>
    <s v="edb5a2e3-a981-d33c-5eac-1ca8adde82d3"/>
    <s v="a2a41caf-758f-3962-8e5f-e6e603f93d17"/>
    <s v="254872a4-7ff2-3b70-997b-49b37a0046eb"/>
    <s v="df166300-5a78-3502-a46a-832842197811"/>
    <x v="1"/>
    <n v="185345009"/>
    <s v="Encounter for symptom (procedure)"/>
    <n v="85.55"/>
    <n v="85.55"/>
    <n v="35.549999999999997"/>
    <n v="444814009"/>
    <x v="2"/>
  </r>
  <r>
    <s v="edb5a2e3-a981-d33c-1550-69d7cf0e97ef"/>
    <d v="2022-01-09T16:22:28"/>
    <d v="2022-01-09T19:22:36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105.35"/>
    <n v="3055.35"/>
    <n v="66383009"/>
    <x v="17"/>
  </r>
  <r>
    <s v="edb5a2e3-a981-d33c-867c-3521ae84caea"/>
    <d v="2022-05-19T17:22:28"/>
    <d v="2022-05-19T17:37:28"/>
    <s v="edb5a2e3-a981-d33c-5eac-1ca8adde82d3"/>
    <s v="a2a41caf-758f-3962-8e5f-e6e603f93d17"/>
    <s v="254872a4-7ff2-3b70-997b-49b37a0046eb"/>
    <s v="df166300-5a78-3502-a46a-832842197811"/>
    <x v="1"/>
    <n v="394701000"/>
    <s v="Asthma follow-up (regime/therapy)"/>
    <n v="142.58000000000001"/>
    <n v="142.58000000000001"/>
    <n v="92.58"/>
    <n v="233678006"/>
    <x v="12"/>
  </r>
  <r>
    <s v="edb5a2e3-a981-d33c-5672-15b5fa71ed91"/>
    <d v="2022-09-25T17:22:28"/>
    <d v="2022-09-25T17:51:17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704.2"/>
    <n v="704.2"/>
    <m/>
    <x v="0"/>
  </r>
  <r>
    <s v="edb5a2e3-a981-d33c-1415-1eeb1ba4d9b0"/>
    <d v="2022-10-09T17:22:28"/>
    <d v="2022-10-09T23:54:47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4399.55"/>
    <n v="4249.55"/>
    <n v="66383009"/>
    <x v="17"/>
  </r>
  <r>
    <s v="edb5a2e3-a981-d33c-eadd-921b551b7d10"/>
    <d v="2023-10-01T17:22:28"/>
    <d v="2023-10-01T17:47:48"/>
    <s v="edb5a2e3-a981-d33c-5eac-1ca8adde82d3"/>
    <s v="bce5b907-584b-345d-bbcf-912cf56cb6c3"/>
    <s v="e42c9f74-8ef5-3227-a56d-93ae10d670d2"/>
    <s v="df166300-5a78-3502-a46a-832842197811"/>
    <x v="0"/>
    <n v="410620009"/>
    <s v="Well child visit (procedure)"/>
    <n v="136.80000000000001"/>
    <n v="914.78"/>
    <n v="914.78"/>
    <m/>
    <x v="0"/>
  </r>
  <r>
    <s v="edb5a2e3-a981-d33c-d38b-208d46dd621a"/>
    <d v="2023-10-15T17:22:28"/>
    <d v="2023-10-15T20:20:36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2673.95"/>
    <n v="2623.95"/>
    <n v="103697008"/>
    <x v="3"/>
  </r>
  <r>
    <s v="edb5a2e3-a981-d33c-5245-043cd6bc50e9"/>
    <d v="2024-10-06T17:22:28"/>
    <d v="2024-10-06T17:59:13"/>
    <s v="edb5a2e3-a981-d33c-5eac-1ca8adde82d3"/>
    <s v="bce5b907-584b-345d-bbcf-912cf56cb6c3"/>
    <s v="e42c9f74-8ef5-3227-a56d-93ae10d670d2"/>
    <s v="df166300-5a78-3502-a46a-832842197811"/>
    <x v="0"/>
    <n v="162673000"/>
    <s v="General examination of patient (procedure)"/>
    <n v="136.80000000000001"/>
    <n v="704.2"/>
    <n v="704.2"/>
    <m/>
    <x v="0"/>
  </r>
  <r>
    <s v="edb5a2e3-a981-d33c-a7a5-045eb7c68d3a"/>
    <d v="2024-10-20T17:22:28"/>
    <d v="2024-10-20T20:45:17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536.75"/>
    <n v="3486.75"/>
    <n v="103697008"/>
    <x v="3"/>
  </r>
  <r>
    <s v="edb5a2e3-a981-d33c-0abd-d93e42d5f097"/>
    <d v="2025-09-04T17:22:28"/>
    <d v="2025-09-04T17:37:28"/>
    <s v="edb5a2e3-a981-d33c-5eac-1ca8adde82d3"/>
    <s v="a2a41caf-758f-3962-8e5f-e6e603f93d17"/>
    <s v="254872a4-7ff2-3b70-997b-49b37a0046eb"/>
    <s v="df166300-5a78-3502-a46a-832842197811"/>
    <x v="2"/>
    <n v="698314001"/>
    <s v="Consultation for treatment (procedure)"/>
    <n v="142.58000000000001"/>
    <n v="3040.72"/>
    <n v="2990.72"/>
    <n v="389095005"/>
    <x v="15"/>
  </r>
  <r>
    <s v="edb5a2e3-a981-d33c-e4bd-ec6af8a21173"/>
    <d v="2025-10-12T17:22:28"/>
    <d v="2025-10-12T18:08:08"/>
    <s v="edb5a2e3-a981-d33c-5eac-1ca8adde82d3"/>
    <s v="bce5b907-584b-345d-bbcf-912cf56cb6c3"/>
    <s v="e42c9f74-8ef5-3227-a56d-93ae10d670d2"/>
    <s v="df166300-5a78-3502-a46a-832842197811"/>
    <x v="0"/>
    <n v="162673000"/>
    <s v="General examination of patient (procedure)"/>
    <n v="136.80000000000001"/>
    <n v="967.76"/>
    <n v="967.76"/>
    <m/>
    <x v="0"/>
  </r>
  <r>
    <s v="edb5a2e3-a981-d33c-be28-4776a00da782"/>
    <d v="2025-10-26T17:22:28"/>
    <d v="2025-10-26T21:04:55"/>
    <s v="edb5a2e3-a981-d33c-5eac-1ca8adde82d3"/>
    <s v="a2a41caf-758f-3962-8e5f-e6e603f93d17"/>
    <s v="254872a4-7ff2-3b70-997b-49b37a0046eb"/>
    <s v="df166300-5a78-3502-a46a-832842197811"/>
    <x v="1"/>
    <n v="185349003"/>
    <s v="Encounter for check up (procedure)"/>
    <n v="85.55"/>
    <n v="3536.75"/>
    <n v="3486.75"/>
    <n v="103697008"/>
    <x v="3"/>
  </r>
  <r>
    <s v="edb5a2e3-a981-d33c-67a1-48dccd08134b"/>
    <d v="2025-12-14T16:22:28"/>
    <d v="2025-12-14T16:37:44"/>
    <s v="edb5a2e3-a981-d33c-5eac-1ca8adde82d3"/>
    <s v="a2a41caf-758f-3962-8e5f-e6e603f93d17"/>
    <s v="254872a4-7ff2-3b70-997b-49b37a0046eb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db5a2e3-a981-d33c-34de-27f00e8fac7e"/>
    <d v="2026-03-15T17:22:28"/>
    <d v="2026-03-15T17:40:52"/>
    <s v="edb5a2e3-a981-d33c-5eac-1ca8adde82d3"/>
    <s v="a2a41caf-758f-3962-8e5f-e6e603f93d17"/>
    <s v="254872a4-7ff2-3b70-997b-49b37a0046eb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edb5a2e3-a981-d33c-ae95-80923ce12c53"/>
    <d v="2026-06-14T17:22:28"/>
    <d v="2026-06-14T17:37:28"/>
    <s v="edb5a2e3-a981-d33c-5eac-1ca8adde82d3"/>
    <s v="a2a41caf-758f-3962-8e5f-e6e603f93d17"/>
    <s v="254872a4-7ff2-3b70-997b-49b37a0046eb"/>
    <s v="df166300-5a78-3502-a46a-832842197811"/>
    <x v="2"/>
    <n v="308335008"/>
    <s v="Patient encounter procedure (procedure)"/>
    <n v="142.58000000000001"/>
    <n v="1250.8499999999999"/>
    <n v="1200.8499999999999"/>
    <n v="389095005"/>
    <x v="15"/>
  </r>
  <r>
    <s v="8704c44c-8b97-e35a-b57d-84809b73c1b6"/>
    <d v="2004-03-03T12:19:39"/>
    <d v="2004-03-03T12:34:39"/>
    <s v="8704c44c-8b97-e35a-3bac-7d5b24de06b3"/>
    <s v="b1965e0b-9ef4-3e96-bad6-cb88ea7e7324"/>
    <s v="083a9aa3-4783-3e96-b3bc-4419fc064372"/>
    <s v="e03e23c9-4df1-3eb6-a62d-f70f02301496"/>
    <x v="0"/>
    <n v="410620009"/>
    <s v="Well child visit (procedure)"/>
    <n v="136.80000000000001"/>
    <n v="704.2"/>
    <n v="0"/>
    <m/>
    <x v="0"/>
  </r>
  <r>
    <s v="8704c44c-8b97-e35a-2830-d76d3e076813"/>
    <d v="2006-03-15T12:19:39"/>
    <d v="2006-03-15T12:43:36"/>
    <s v="8704c44c-8b97-e35a-3bac-7d5b24de06b3"/>
    <s v="b1965e0b-9ef4-3e96-bad6-cb88ea7e7324"/>
    <s v="083a9aa3-4783-3e96-b3bc-4419fc064372"/>
    <s v="d31fccc3-1767-390d-966a-22a5156f4219"/>
    <x v="0"/>
    <n v="410620009"/>
    <s v="Well child visit (procedure)"/>
    <n v="136.80000000000001"/>
    <n v="704.2"/>
    <n v="0"/>
    <m/>
    <x v="0"/>
  </r>
  <r>
    <s v="8704c44c-8b97-e35a-9915-8740855cfc25"/>
    <d v="2007-03-21T13:19:39"/>
    <d v="2007-03-21T14:02:27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704.2"/>
    <n v="0"/>
    <m/>
    <x v="0"/>
  </r>
  <r>
    <s v="8704c44c-8b97-e35a-7ead-84b8f4ff44f0"/>
    <d v="2011-07-19T13:19:39"/>
    <d v="2011-07-19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2113.65"/>
    <n v="1690.92"/>
    <n v="35999006"/>
    <x v="7"/>
  </r>
  <r>
    <s v="8704c44c-8b97-e35a-34c6-ec716a24a630"/>
    <d v="2014-01-31T12:19:39"/>
    <d v="2014-01-31T12:34:39"/>
    <s v="8704c44c-8b97-e35a-3bac-7d5b24de06b3"/>
    <s v="ce4d0501-49eb-396a-bc56-545fdfc624b0"/>
    <s v="47d32b6a-a577-3a86-8607-a8d9b2c9d104"/>
    <s v="d31fccc3-1767-390d-966a-22a5156f4219"/>
    <x v="2"/>
    <n v="185347001"/>
    <s v="Encounter for problem (procedure)"/>
    <n v="85.55"/>
    <n v="85.55"/>
    <n v="0"/>
    <n v="82423001"/>
    <x v="33"/>
  </r>
  <r>
    <s v="8704c44c-8b97-e35a-2fdc-b85d667cd378"/>
    <d v="2014-02-07T13:19:39"/>
    <d v="2014-02-07T14:12:57"/>
    <s v="8704c44c-8b97-e35a-3bac-7d5b24de06b3"/>
    <s v="ce4d0501-49eb-396a-bc56-545fdfc624b0"/>
    <s v="47d32b6a-a577-3a86-8607-a8d9b2c9d104"/>
    <s v="d31fccc3-1767-390d-966a-22a5156f4219"/>
    <x v="1"/>
    <n v="185347001"/>
    <s v="Encounter for problem (procedure)"/>
    <n v="85.55"/>
    <n v="516.95000000000005"/>
    <n v="0"/>
    <n v="5602001"/>
    <x v="85"/>
  </r>
  <r>
    <s v="8704c44c-8b97-e35a-efea-b457d9a4105e"/>
    <d v="2015-10-14T13:19:39"/>
    <d v="2015-10-14T14:02:33"/>
    <s v="8704c44c-8b97-e35a-3bac-7d5b24de06b3"/>
    <s v="0592d4e5-a0fb-3143-83cd-8e5a6b066a96"/>
    <s v="9069fd9f-e1aa-3b63-b8bb-ce37b676a504"/>
    <s v="d31fccc3-1767-390d-966a-22a5156f4219"/>
    <x v="4"/>
    <n v="702927004"/>
    <s v="Urgent care clinic (environment)"/>
    <n v="142.58000000000001"/>
    <n v="709.98"/>
    <n v="709.98"/>
    <m/>
    <x v="0"/>
  </r>
  <r>
    <s v="8704c44c-8b97-e35a-5b68-55b013d01ae7"/>
    <d v="2016-03-16T13:19:39"/>
    <d v="2016-03-16T14:17:44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568.20000000000005"/>
    <n v="0"/>
    <m/>
    <x v="0"/>
  </r>
  <r>
    <s v="8704c44c-8b97-e35a-27fb-ea7689cb7b9c"/>
    <d v="2016-09-02T13:19:39"/>
    <d v="2016-09-02T13:34:39"/>
    <s v="8704c44c-8b97-e35a-3bac-7d5b24de06b3"/>
    <s v="ce4d0501-49eb-396a-bc56-545fdfc624b0"/>
    <s v="47d32b6a-a577-3a86-8607-a8d9b2c9d104"/>
    <s v="d31fccc3-1767-390d-966a-22a5156f4219"/>
    <x v="2"/>
    <n v="698314001"/>
    <s v="Consultation for treatment (procedure)"/>
    <n v="142.58000000000001"/>
    <n v="142.58000000000001"/>
    <n v="114.06"/>
    <n v="389095005"/>
    <x v="15"/>
  </r>
  <r>
    <s v="8704c44c-8b97-e35a-2bfb-6e79f455c93a"/>
    <d v="2017-03-22T13:19:39"/>
    <d v="2017-03-22T14:04:00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1030.72"/>
    <n v="0"/>
    <m/>
    <x v="0"/>
  </r>
  <r>
    <s v="8704c44c-8b97-e35a-95d6-5e532835d9d6"/>
    <d v="2017-08-28T13:19:39"/>
    <d v="2017-08-28T13:38:02"/>
    <s v="8704c44c-8b97-e35a-3bac-7d5b24de06b3"/>
    <s v="ce4d0501-49eb-396a-bc56-545fdfc624b0"/>
    <s v="47d32b6a-a577-3a86-8607-a8d9b2c9d104"/>
    <s v="d31fccc3-1767-390d-966a-22a5156f4219"/>
    <x v="2"/>
    <n v="698314001"/>
    <s v="Consultation for treatment (procedure)"/>
    <n v="142.58000000000001"/>
    <n v="1250.8499999999999"/>
    <n v="770.96"/>
    <n v="389095005"/>
    <x v="15"/>
  </r>
  <r>
    <s v="8704c44c-8b97-e35a-60fe-41b59f17db91"/>
    <d v="2017-12-06T12:19:39"/>
    <d v="2017-12-06T12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250.8499999999999"/>
    <n v="1000.68"/>
    <n v="389095005"/>
    <x v="15"/>
  </r>
  <r>
    <s v="8704c44c-8b97-e35a-60ad-b7021dfa33d7"/>
    <d v="2018-03-07T12:19:39"/>
    <d v="2018-03-07T12:36:42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330.33"/>
    <n v="0"/>
    <n v="389095005"/>
    <x v="15"/>
  </r>
  <r>
    <s v="8704c44c-8b97-e35a-e326-080c32ed0747"/>
    <d v="2018-03-28T13:19:39"/>
    <d v="2018-03-28T14:07:00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1157.32"/>
    <n v="925.86"/>
    <m/>
    <x v="0"/>
  </r>
  <r>
    <s v="8704c44c-8b97-e35a-5618-e41529670849"/>
    <d v="2018-06-06T13:19:39"/>
    <d v="2018-06-06T13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3306.67"/>
    <n v="2645.33"/>
    <n v="389095005"/>
    <x v="15"/>
  </r>
  <r>
    <s v="8704c44c-8b97-e35a-611c-9414924c04c7"/>
    <d v="2018-09-05T13:19:39"/>
    <d v="2018-09-05T13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4272.82"/>
    <n v="3418.25"/>
    <n v="389095005"/>
    <x v="15"/>
  </r>
  <r>
    <s v="8704c44c-8b97-e35a-588b-e896f18f535d"/>
    <d v="2018-10-15T08:19:39"/>
    <d v="2018-10-15T08:34:39"/>
    <s v="8704c44c-8b97-e35a-3bac-7d5b24de06b3"/>
    <s v="ce4d0501-49eb-396a-bc56-545fdfc624b0"/>
    <s v="47d32b6a-a577-3a86-8607-a8d9b2c9d104"/>
    <s v="d31fccc3-1767-390d-966a-22a5156f4219"/>
    <x v="1"/>
    <n v="185345009"/>
    <s v="Encounter for symptom (procedure)"/>
    <n v="85.55"/>
    <n v="85.55"/>
    <n v="68.44"/>
    <n v="444814009"/>
    <x v="2"/>
  </r>
  <r>
    <s v="8704c44c-8b97-e35a-ebdd-3193510303e0"/>
    <d v="2018-12-05T12:19:39"/>
    <d v="2018-12-05T12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2474.13"/>
    <n v="1979.3"/>
    <n v="389095005"/>
    <x v="15"/>
  </r>
  <r>
    <s v="8704c44c-8b97-e35a-023d-69cac8e69870"/>
    <d v="2019-03-06T12:19:39"/>
    <d v="2019-03-06T12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250.8499999999999"/>
    <n v="0"/>
    <n v="389095005"/>
    <x v="15"/>
  </r>
  <r>
    <s v="8704c44c-8b97-e35a-fc66-05c0438eb71d"/>
    <d v="2019-04-03T13:19:39"/>
    <d v="2019-04-03T13:57:55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778.78"/>
    <n v="561.25"/>
    <m/>
    <x v="0"/>
  </r>
  <r>
    <s v="8704c44c-8b97-e35a-450b-892c509fb6f7"/>
    <d v="2019-04-17T13:19:39"/>
    <d v="2019-04-17T16:34:41"/>
    <s v="8704c44c-8b97-e35a-3bac-7d5b24de06b3"/>
    <s v="ce4d0501-49eb-396a-bc56-545fdfc624b0"/>
    <s v="47d32b6a-a577-3a86-8607-a8d9b2c9d104"/>
    <s v="d31fccc3-1767-390d-966a-22a5156f4219"/>
    <x v="1"/>
    <n v="185349003"/>
    <s v="Encounter for check up (procedure)"/>
    <n v="85.55"/>
    <n v="3105.35"/>
    <n v="2484.2800000000002"/>
    <n v="66383009"/>
    <x v="17"/>
  </r>
  <r>
    <s v="8704c44c-8b97-e35a-9a54-23968645eccf"/>
    <d v="2019-06-05T13:19:39"/>
    <d v="2019-06-05T13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4575.68"/>
    <n v="3660.54"/>
    <n v="389095005"/>
    <x v="15"/>
  </r>
  <r>
    <s v="8704c44c-8b97-e35a-df15-f5d3509d7f59"/>
    <d v="2019-09-04T13:19:39"/>
    <d v="2019-09-04T13:36:56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250.8499999999999"/>
    <n v="1000.68"/>
    <n v="389095005"/>
    <x v="15"/>
  </r>
  <r>
    <s v="8704c44c-8b97-e35a-2c57-2ceab7a9212b"/>
    <d v="2019-12-04T12:19:39"/>
    <d v="2019-12-04T12:39:36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4575.68"/>
    <n v="3660.54"/>
    <n v="389095005"/>
    <x v="15"/>
  </r>
  <r>
    <s v="8704c44c-8b97-e35a-8dc6-04ac77280eda"/>
    <d v="2020-03-04T12:19:39"/>
    <d v="2020-03-04T12:39:16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517.17"/>
    <n v="47.34"/>
    <n v="389095005"/>
    <x v="15"/>
  </r>
  <r>
    <s v="8704c44c-8b97-e35a-92d1-57e044e600e8"/>
    <d v="2020-04-08T13:19:39"/>
    <d v="2020-04-08T14:15:13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840.2"/>
    <n v="672.16"/>
    <m/>
    <x v="0"/>
  </r>
  <r>
    <s v="8704c44c-8b97-e35a-9fde-782e143b4e53"/>
    <d v="2020-04-22T13:19:39"/>
    <d v="2020-04-22T16:44:23"/>
    <s v="8704c44c-8b97-e35a-3bac-7d5b24de06b3"/>
    <s v="ce4d0501-49eb-396a-bc56-545fdfc624b0"/>
    <s v="47d32b6a-a577-3a86-8607-a8d9b2c9d104"/>
    <s v="d31fccc3-1767-390d-966a-22a5156f4219"/>
    <x v="1"/>
    <n v="185349003"/>
    <s v="Encounter for check up (procedure)"/>
    <n v="85.55"/>
    <n v="3105.35"/>
    <n v="2484.2800000000002"/>
    <n v="103697008"/>
    <x v="3"/>
  </r>
  <r>
    <s v="8704c44c-8b97-e35a-47a0-03dbbbc2979b"/>
    <d v="2020-06-03T13:19:39"/>
    <d v="2020-06-03T13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942.34"/>
    <n v="1553.87"/>
    <n v="389095005"/>
    <x v="15"/>
  </r>
  <r>
    <s v="8704c44c-8b97-e35a-ab47-f6fb20b6f208"/>
    <d v="2020-09-02T13:19:39"/>
    <d v="2020-09-02T13:34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1250.8499999999999"/>
    <n v="1000.68"/>
    <n v="389095005"/>
    <x v="15"/>
  </r>
  <r>
    <s v="8704c44c-8b97-e35a-e3cd-b317db7fb003"/>
    <d v="2020-10-28T13:19:39"/>
    <d v="2020-10-28T13:34:39"/>
    <s v="8704c44c-8b97-e35a-3bac-7d5b24de06b3"/>
    <s v="ce4d0501-49eb-396a-bc56-545fdfc624b0"/>
    <s v="47d32b6a-a577-3a86-8607-a8d9b2c9d104"/>
    <s v="d31fccc3-1767-390d-966a-22a5156f4219"/>
    <x v="1"/>
    <n v="424441002"/>
    <s v="Prenatal initial visit (regime/therapy)"/>
    <n v="142.58000000000001"/>
    <n v="44308.01"/>
    <n v="35446.410000000003"/>
    <n v="72892002"/>
    <x v="4"/>
  </r>
  <r>
    <s v="8704c44c-8b97-e35a-688c-ea775144f4bb"/>
    <d v="2020-11-25T12:19:39"/>
    <d v="2020-11-25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2313.82"/>
    <n v="12313.82"/>
    <n v="72892002"/>
    <x v="4"/>
  </r>
  <r>
    <s v="8704c44c-8b97-e35a-5cad-8913f2fcf225"/>
    <d v="2020-12-23T12:19:39"/>
    <d v="2020-12-23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1962.3"/>
    <n v="11962.3"/>
    <n v="72892002"/>
    <x v="4"/>
  </r>
  <r>
    <s v="8704c44c-8b97-e35a-6ddc-9b6ad197ea89"/>
    <d v="2021-01-20T12:19:39"/>
    <d v="2021-01-20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3799.63"/>
    <n v="9873.2999999999993"/>
    <n v="72892002"/>
    <x v="4"/>
  </r>
  <r>
    <s v="8704c44c-8b97-e35a-b763-27fb3f13bc85"/>
    <d v="2021-02-17T12:19:39"/>
    <d v="2021-02-17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6465.54"/>
    <n v="5172.43"/>
    <n v="72892002"/>
    <x v="4"/>
  </r>
  <r>
    <s v="8704c44c-8b97-e35a-667c-d6c79bea6068"/>
    <d v="2021-03-17T13:19:39"/>
    <d v="2021-03-17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5166"/>
    <n v="12132.8"/>
    <n v="72892002"/>
    <x v="4"/>
  </r>
  <r>
    <s v="8704c44c-8b97-e35a-d870-61e35d32c493"/>
    <d v="2021-04-14T13:19:39"/>
    <d v="2021-04-14T14:08:51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704.2"/>
    <n v="563.36"/>
    <m/>
    <x v="0"/>
  </r>
  <r>
    <s v="8704c44c-8b97-e35a-6d8a-860359b233cf"/>
    <d v="2021-04-21T13:19:39"/>
    <d v="2021-04-21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1451.02"/>
    <n v="9160.81"/>
    <n v="72892002"/>
    <x v="4"/>
  </r>
  <r>
    <s v="8704c44c-8b97-e35a-9338-989aedbc38ca"/>
    <d v="2021-04-28T13:19:39"/>
    <d v="2021-04-28T19:24:25"/>
    <s v="8704c44c-8b97-e35a-3bac-7d5b24de06b3"/>
    <s v="ce4d0501-49eb-396a-bc56-545fdfc624b0"/>
    <s v="47d32b6a-a577-3a86-8607-a8d9b2c9d104"/>
    <s v="d31fccc3-1767-390d-966a-22a5156f4219"/>
    <x v="1"/>
    <n v="185349003"/>
    <s v="Encounter for check up (procedure)"/>
    <n v="85.55"/>
    <n v="4830.95"/>
    <n v="4830.95"/>
    <n v="103697008"/>
    <x v="3"/>
  </r>
  <r>
    <s v="8704c44c-8b97-e35a-44e8-3b749dffd3b5"/>
    <d v="2021-05-19T13:19:39"/>
    <d v="2021-05-19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1974.61"/>
    <n v="11974.61"/>
    <n v="72892002"/>
    <x v="4"/>
  </r>
  <r>
    <s v="8704c44c-8b97-e35a-ec46-41d3d77b2875"/>
    <d v="2021-06-02T13:19:39"/>
    <d v="2021-06-02T14:19:39"/>
    <s v="8704c44c-8b97-e35a-3bac-7d5b24de06b3"/>
    <s v="6929d249-cc27-33aa-a871-b6f26059615d"/>
    <s v="fd0a35f6-a6f8-300d-ad10-a3c781cf6bf0"/>
    <s v="d31fccc3-1767-390d-966a-22a5156f4219"/>
    <x v="3"/>
    <n v="183460006"/>
    <s v="Obstetric emergency hospital admission (procedure)"/>
    <n v="146.18"/>
    <n v="2925.6"/>
    <n v="2925.6"/>
    <n v="72892002"/>
    <x v="4"/>
  </r>
  <r>
    <s v="8704c44c-8b97-e35a-4c62-d7ea73184108"/>
    <d v="2021-07-14T13:19:39"/>
    <d v="2021-07-14T13:34:39"/>
    <s v="8704c44c-8b97-e35a-3bac-7d5b24de06b3"/>
    <s v="ce4d0501-49eb-396a-bc56-545fdfc624b0"/>
    <s v="47d32b6a-a577-3a86-8607-a8d9b2c9d104"/>
    <s v="d31fccc3-1767-390d-966a-22a5156f4219"/>
    <x v="1"/>
    <n v="169762003"/>
    <s v="Postnatal visit (regime/therapy)"/>
    <n v="142.58000000000001"/>
    <n v="5438.48"/>
    <n v="5438.48"/>
    <m/>
    <x v="0"/>
  </r>
  <r>
    <s v="8704c44c-8b97-e35a-57a4-22f08766978e"/>
    <d v="2021-10-13T13:19:39"/>
    <d v="2021-10-13T13:34:39"/>
    <s v="8704c44c-8b97-e35a-3bac-7d5b24de06b3"/>
    <s v="ce4d0501-49eb-396a-bc56-545fdfc624b0"/>
    <s v="47d32b6a-a577-3a86-8607-a8d9b2c9d104"/>
    <s v="d31fccc3-1767-390d-966a-22a5156f4219"/>
    <x v="2"/>
    <n v="33879002"/>
    <s v="Administration of vaccine to produce active immunity (procedure)"/>
    <n v="142.58000000000001"/>
    <n v="278.58"/>
    <n v="278.58"/>
    <m/>
    <x v="0"/>
  </r>
  <r>
    <s v="8704c44c-8b97-e35a-27de-ca9fad2ddac8"/>
    <d v="2021-11-10T12:19:39"/>
    <d v="2021-11-10T12:34:39"/>
    <s v="8704c44c-8b97-e35a-3bac-7d5b24de06b3"/>
    <s v="ce4d0501-49eb-396a-bc56-545fdfc624b0"/>
    <s v="47d32b6a-a577-3a86-8607-a8d9b2c9d104"/>
    <s v="d31fccc3-1767-390d-966a-22a5156f4219"/>
    <x v="2"/>
    <n v="33879002"/>
    <s v="Administration of vaccine to produce active immunity (procedure)"/>
    <n v="142.58000000000001"/>
    <n v="278.58"/>
    <n v="278.58"/>
    <m/>
    <x v="0"/>
  </r>
  <r>
    <s v="8704c44c-8b97-e35a-6e51-16696027185b"/>
    <d v="2022-04-20T13:19:39"/>
    <d v="2022-04-20T14:03:44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1716.16"/>
    <n v="310.48"/>
    <m/>
    <x v="0"/>
  </r>
  <r>
    <s v="8704c44c-8b97-e35a-9f4c-20f49688400e"/>
    <d v="2022-08-02T13:38:02"/>
    <d v="2022-08-02T13:53:02"/>
    <s v="8704c44c-8b97-e35a-3bac-7d5b24de06b3"/>
    <s v="ce4d0501-49eb-396a-bc56-545fdfc624b0"/>
    <s v="47d32b6a-a577-3a86-8607-a8d9b2c9d104"/>
    <s v="d31fccc3-1767-390d-966a-22a5156f4219"/>
    <x v="2"/>
    <n v="698314001"/>
    <s v="Consultation for treatment (procedure)"/>
    <n v="142.58000000000001"/>
    <n v="142.58000000000001"/>
    <n v="114.06"/>
    <n v="389095005"/>
    <x v="15"/>
  </r>
  <r>
    <s v="8704c44c-8b97-e35a-9ef3-fd65cec46bd3"/>
    <d v="2023-04-26T13:19:39"/>
    <d v="2023-04-26T14:14:28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704.2"/>
    <n v="0"/>
    <m/>
    <x v="0"/>
  </r>
  <r>
    <s v="8704c44c-8b97-e35a-b914-38d4f6cb703c"/>
    <d v="2023-06-10T05:19:39"/>
    <d v="2023-06-10T05:34:39"/>
    <s v="8704c44c-8b97-e35a-3bac-7d5b24de06b3"/>
    <s v="ce4d0501-49eb-396a-bc56-545fdfc624b0"/>
    <s v="47d32b6a-a577-3a86-8607-a8d9b2c9d104"/>
    <s v="d31fccc3-1767-390d-966a-22a5156f4219"/>
    <x v="1"/>
    <n v="185345009"/>
    <s v="Encounter for symptom (procedure)"/>
    <n v="85.55"/>
    <n v="85.55"/>
    <n v="0"/>
    <n v="10509002"/>
    <x v="1"/>
  </r>
  <r>
    <s v="8704c44c-8b97-e35a-2e79-0ad7e7723971"/>
    <d v="2023-06-21T13:19:39"/>
    <d v="2023-06-21T13:59:50"/>
    <s v="8704c44c-8b97-e35a-3bac-7d5b24de06b3"/>
    <s v="0592d4e5-a0fb-3143-83cd-8e5a6b066a96"/>
    <s v="9069fd9f-e1aa-3b63-b8bb-ce37b676a504"/>
    <s v="d31fccc3-1767-390d-966a-22a5156f4219"/>
    <x v="4"/>
    <n v="702927004"/>
    <s v="Urgent care clinic (environment)"/>
    <n v="142.58000000000001"/>
    <n v="573.98"/>
    <n v="273.13"/>
    <m/>
    <x v="0"/>
  </r>
  <r>
    <s v="8704c44c-8b97-e35a-2fec-b998ccfb8e70"/>
    <d v="2023-09-27T13:19:39"/>
    <d v="2023-09-27T13:34:39"/>
    <s v="8704c44c-8b97-e35a-3bac-7d5b24de06b3"/>
    <s v="ce4d0501-49eb-396a-bc56-545fdfc624b0"/>
    <s v="47d32b6a-a577-3a86-8607-a8d9b2c9d104"/>
    <s v="d31fccc3-1767-390d-966a-22a5156f4219"/>
    <x v="1"/>
    <n v="424441002"/>
    <s v="Prenatal initial visit (regime/therapy)"/>
    <n v="142.58000000000001"/>
    <n v="54897.5"/>
    <n v="43918"/>
    <n v="72892002"/>
    <x v="4"/>
  </r>
  <r>
    <s v="8704c44c-8b97-e35a-8bf4-d415824e336e"/>
    <d v="2023-10-25T13:19:39"/>
    <d v="2023-10-25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6407.98"/>
    <n v="6407.98"/>
    <n v="72892002"/>
    <x v="4"/>
  </r>
  <r>
    <s v="8704c44c-8b97-e35a-980a-1bd4e7907ad2"/>
    <d v="2023-11-22T12:19:39"/>
    <d v="2023-11-22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42.58000000000001"/>
    <n v="142.58000000000001"/>
    <n v="72892002"/>
    <x v="4"/>
  </r>
  <r>
    <s v="8704c44c-8b97-e35a-f902-3d84091bdbc1"/>
    <d v="2023-11-29T12:19:39"/>
    <d v="2023-11-29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2415.17"/>
    <n v="2415.17"/>
    <n v="267253006"/>
    <x v="34"/>
  </r>
  <r>
    <s v="8704c44c-8b97-e35a-1053-a9918a9a4d1c"/>
    <d v="2024-05-01T13:19:39"/>
    <d v="2024-05-01T14:16:32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1291.0999999999999"/>
    <n v="0"/>
    <m/>
    <x v="0"/>
  </r>
  <r>
    <s v="8704c44c-8b97-e35a-c7a5-8ca67e84156f"/>
    <d v="2024-07-31T13:19:39"/>
    <d v="2024-07-31T13:34:39"/>
    <s v="8704c44c-8b97-e35a-3bac-7d5b24de06b3"/>
    <s v="ce4d0501-49eb-396a-bc56-545fdfc624b0"/>
    <s v="47d32b6a-a577-3a86-8607-a8d9b2c9d104"/>
    <s v="d31fccc3-1767-390d-966a-22a5156f4219"/>
    <x v="1"/>
    <n v="424441002"/>
    <s v="Prenatal initial visit (regime/therapy)"/>
    <n v="142.58000000000001"/>
    <n v="49634.68"/>
    <n v="39678.19"/>
    <n v="72892002"/>
    <x v="4"/>
  </r>
  <r>
    <s v="8704c44c-8b97-e35a-4824-4463e7e1996a"/>
    <d v="2024-08-28T13:19:39"/>
    <d v="2024-08-28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9784.0499999999993"/>
    <n v="9784.0499999999993"/>
    <n v="72892002"/>
    <x v="4"/>
  </r>
  <r>
    <s v="8704c44c-8b97-e35a-84bd-a0f8222e4753"/>
    <d v="2024-09-25T13:19:39"/>
    <d v="2024-09-25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8942.77"/>
    <n v="8942.77"/>
    <n v="72892002"/>
    <x v="4"/>
  </r>
  <r>
    <s v="8704c44c-8b97-e35a-5fe8-5d68a15bc63a"/>
    <d v="2024-10-23T13:19:39"/>
    <d v="2024-10-23T13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4926.16"/>
    <n v="4926.16"/>
    <n v="72892002"/>
    <x v="4"/>
  </r>
  <r>
    <s v="8704c44c-8b97-e35a-274a-4430c3625a1e"/>
    <d v="2024-11-20T12:19:39"/>
    <d v="2024-11-20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4665.96"/>
    <n v="4665.96"/>
    <n v="72892002"/>
    <x v="4"/>
  </r>
  <r>
    <s v="8704c44c-8b97-e35a-68d0-173b5d92db4c"/>
    <d v="2024-12-18T12:19:39"/>
    <d v="2024-12-18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1077.46"/>
    <n v="11077.46"/>
    <n v="72892002"/>
    <x v="4"/>
  </r>
  <r>
    <s v="8704c44c-8b97-e35a-7b1d-fad02e9110fa"/>
    <d v="2025-01-15T12:19:39"/>
    <d v="2025-01-15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4708.3500000000004"/>
    <n v="4708.3500000000004"/>
    <n v="72892002"/>
    <x v="4"/>
  </r>
  <r>
    <s v="8704c44c-8b97-e35a-7ee3-5e856a01f390"/>
    <d v="2025-02-12T12:19:39"/>
    <d v="2025-02-12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8117.16"/>
    <n v="5327.32"/>
    <n v="72892002"/>
    <x v="4"/>
  </r>
  <r>
    <s v="8704c44c-8b97-e35a-e16e-ad8ea9eaf742"/>
    <d v="2025-02-26T12:19:39"/>
    <d v="2025-02-26T12:34:39"/>
    <s v="8704c44c-8b97-e35a-3bac-7d5b24de06b3"/>
    <s v="ce4d0501-49eb-396a-bc56-545fdfc624b0"/>
    <s v="47d32b6a-a577-3a86-8607-a8d9b2c9d104"/>
    <s v="d31fccc3-1767-390d-966a-22a5156f4219"/>
    <x v="1"/>
    <n v="424619006"/>
    <s v="Prenatal visit (regime/therapy)"/>
    <n v="142.58000000000001"/>
    <n v="13576.82"/>
    <n v="10861.45"/>
    <n v="72892002"/>
    <x v="4"/>
  </r>
  <r>
    <s v="8704c44c-8b97-e35a-95a6-b00a67bc5d4e"/>
    <d v="2025-03-05T12:19:39"/>
    <d v="2025-03-05T13:19:39"/>
    <s v="8704c44c-8b97-e35a-3bac-7d5b24de06b3"/>
    <s v="6929d249-cc27-33aa-a871-b6f26059615d"/>
    <s v="fd0a35f6-a6f8-300d-ad10-a3c781cf6bf0"/>
    <s v="d31fccc3-1767-390d-966a-22a5156f4219"/>
    <x v="3"/>
    <n v="183460006"/>
    <s v="Obstetric emergency hospital admission (procedure)"/>
    <n v="146.18"/>
    <n v="577.58000000000004"/>
    <n v="462.06"/>
    <n v="72892002"/>
    <x v="4"/>
  </r>
  <r>
    <s v="8704c44c-8b97-e35a-1457-6f7ebe716ef0"/>
    <d v="2025-04-16T13:19:39"/>
    <d v="2025-04-16T13:34:39"/>
    <s v="8704c44c-8b97-e35a-3bac-7d5b24de06b3"/>
    <s v="ce4d0501-49eb-396a-bc56-545fdfc624b0"/>
    <s v="47d32b6a-a577-3a86-8607-a8d9b2c9d104"/>
    <s v="d31fccc3-1767-390d-966a-22a5156f4219"/>
    <x v="1"/>
    <n v="169762003"/>
    <s v="Postnatal visit (regime/therapy)"/>
    <n v="142.58000000000001"/>
    <n v="4877.1499999999996"/>
    <n v="3901.72"/>
    <m/>
    <x v="0"/>
  </r>
  <r>
    <s v="8704c44c-8b97-e35a-db6f-8470dcc4091c"/>
    <d v="2025-05-07T13:19:39"/>
    <d v="2025-05-07T14:18:49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778.78"/>
    <n v="623.02"/>
    <m/>
    <x v="0"/>
  </r>
  <r>
    <s v="8704c44c-8b97-e35a-44a8-918996e71417"/>
    <d v="2025-05-21T13:19:39"/>
    <d v="2025-05-21T20:51:58"/>
    <s v="8704c44c-8b97-e35a-3bac-7d5b24de06b3"/>
    <s v="ce4d0501-49eb-396a-bc56-545fdfc624b0"/>
    <s v="47d32b6a-a577-3a86-8607-a8d9b2c9d104"/>
    <s v="d31fccc3-1767-390d-966a-22a5156f4219"/>
    <x v="1"/>
    <n v="185349003"/>
    <s v="Encounter for check up (procedure)"/>
    <n v="85.55"/>
    <n v="5693.75"/>
    <n v="4555"/>
    <n v="66383009"/>
    <x v="17"/>
  </r>
  <r>
    <s v="8704c44c-8b97-e35a-8f30-e0e86d923687"/>
    <d v="2026-04-18T13:19:39"/>
    <d v="2026-04-18T13:34:39"/>
    <s v="8704c44c-8b97-e35a-3bac-7d5b24de06b3"/>
    <s v="ce4d0501-49eb-396a-bc56-545fdfc624b0"/>
    <s v="47d32b6a-a577-3a86-8607-a8d9b2c9d104"/>
    <s v="d31fccc3-1767-390d-966a-22a5156f4219"/>
    <x v="2"/>
    <n v="698314001"/>
    <s v="Consultation for treatment (procedure)"/>
    <n v="142.58000000000001"/>
    <n v="142.58000000000001"/>
    <n v="0"/>
    <n v="389095005"/>
    <x v="15"/>
  </r>
  <r>
    <s v="8704c44c-8b97-e35a-3bc6-dae8209d5d1a"/>
    <d v="2026-04-20T14:19:39"/>
    <d v="2026-04-20T14:59:39"/>
    <s v="8704c44c-8b97-e35a-3bac-7d5b24de06b3"/>
    <s v="ce4d0501-49eb-396a-bc56-545fdfc624b0"/>
    <s v="47d32b6a-a577-3a86-8607-a8d9b2c9d104"/>
    <s v="d31fccc3-1767-390d-966a-22a5156f4219"/>
    <x v="2"/>
    <n v="308335008"/>
    <s v="Patient encounter procedure (procedure)"/>
    <n v="142.58000000000001"/>
    <n v="6406.76"/>
    <n v="4082.92"/>
    <n v="389095005"/>
    <x v="15"/>
  </r>
  <r>
    <s v="8704c44c-8b97-e35a-e0a0-a2fbc2b6f213"/>
    <d v="2026-05-13T13:19:39"/>
    <d v="2026-05-13T13:51:57"/>
    <s v="8704c44c-8b97-e35a-3bac-7d5b24de06b3"/>
    <s v="b1965e0b-9ef4-3e96-bad6-cb88ea7e7324"/>
    <s v="083a9aa3-4783-3e96-b3bc-4419fc064372"/>
    <s v="d31fccc3-1767-390d-966a-22a5156f4219"/>
    <x v="0"/>
    <n v="162673000"/>
    <s v="General examination of patient (procedure)"/>
    <n v="136.80000000000001"/>
    <n v="704.2"/>
    <n v="563.36"/>
    <m/>
    <x v="0"/>
  </r>
  <r>
    <s v="8704c44c-8b97-e35a-3cd1-8dbcbcbf00d4"/>
    <d v="2026-05-27T13:19:39"/>
    <d v="2026-05-27T17:36:01"/>
    <s v="8704c44c-8b97-e35a-3bac-7d5b24de06b3"/>
    <s v="ce4d0501-49eb-396a-bc56-545fdfc624b0"/>
    <s v="47d32b6a-a577-3a86-8607-a8d9b2c9d104"/>
    <s v="d31fccc3-1767-390d-966a-22a5156f4219"/>
    <x v="1"/>
    <n v="185349003"/>
    <s v="Encounter for check up (procedure)"/>
    <n v="85.55"/>
    <n v="3536.75"/>
    <n v="2829.4"/>
    <n v="66383009"/>
    <x v="17"/>
  </r>
  <r>
    <s v="887e4b4e-a3e1-b573-e5dd-fb76a003e994"/>
    <d v="2006-03-25T21:49:39"/>
    <d v="2006-03-25T22:04:39"/>
    <s v="887e4b4e-a3e1-b573-4a16-38386d3e0b88"/>
    <s v="8af3b144-0e1a-3c90-937d-81a4ed026080"/>
    <s v="57f5485d-e537-3535-82a4-4957fc8bb0c4"/>
    <s v="df166300-5a78-3502-a46a-832842197811"/>
    <x v="1"/>
    <n v="185347001"/>
    <s v="Encounter for problem (procedure)"/>
    <n v="85.55"/>
    <n v="85.55"/>
    <n v="35.549999999999997"/>
    <n v="412071004"/>
    <x v="86"/>
  </r>
  <r>
    <s v="887e4b4e-a3e1-b573-4c25-13bee5319da7"/>
    <d v="2006-04-09T11:49:39"/>
    <d v="2006-04-09T12:24:41"/>
    <s v="887e4b4e-a3e1-b573-4a16-38386d3e0b88"/>
    <s v="8af3b144-0e1a-3c90-937d-81a4ed026080"/>
    <s v="57f5485d-e537-3535-82a4-4957fc8bb0c4"/>
    <s v="df166300-5a78-3502-a46a-832842197811"/>
    <x v="1"/>
    <n v="185347001"/>
    <s v="Encounter for problem (procedure)"/>
    <n v="85.55"/>
    <n v="516.95000000000005"/>
    <n v="466.95"/>
    <n v="609328004"/>
    <x v="11"/>
  </r>
  <r>
    <s v="887e4b4e-a3e1-b573-c1b5-84e5a5c20ac0"/>
    <d v="2010-02-26T10:49:39"/>
    <d v="2010-02-26T11:04:39"/>
    <s v="887e4b4e-a3e1-b573-4a16-38386d3e0b88"/>
    <s v="8af3b144-0e1a-3c90-937d-81a4ed026080"/>
    <s v="57f5485d-e537-3535-82a4-4957fc8bb0c4"/>
    <s v="df166300-5a78-3502-a46a-832842197811"/>
    <x v="1"/>
    <n v="185345009"/>
    <s v="Encounter for symptom (procedure)"/>
    <n v="85.55"/>
    <n v="85.55"/>
    <n v="0"/>
    <n v="232353008"/>
    <x v="16"/>
  </r>
  <r>
    <s v="887e4b4e-a3e1-b573-381a-3312e620787a"/>
    <d v="2015-03-17T07:47:20"/>
    <d v="2015-03-17T08:09:10"/>
    <s v="887e4b4e-a3e1-b573-4a16-38386d3e0b88"/>
    <s v="8af3b144-0e1a-3c90-937d-81a4ed026080"/>
    <s v="57f5485d-e537-3535-82a4-4957fc8bb0c4"/>
    <s v="df166300-5a78-3502-a46a-832842197811"/>
    <x v="1"/>
    <n v="390906007"/>
    <s v="Follow-up encounter (procedure)"/>
    <n v="85.55"/>
    <n v="948.35"/>
    <n v="898.35"/>
    <n v="203646004"/>
    <x v="82"/>
  </r>
  <r>
    <s v="887e4b4e-a3e1-b573-3c8d-f021759d94a4"/>
    <d v="2016-01-05T10:49:39"/>
    <d v="2016-01-05T11:04:39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755.38"/>
    <n v="655.38"/>
    <m/>
    <x v="0"/>
  </r>
  <r>
    <s v="887e4b4e-a3e1-b573-0e43-b6625956c718"/>
    <d v="2017-01-10T10:49:39"/>
    <d v="2017-01-10T11:04:39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840.2"/>
    <n v="740.2"/>
    <m/>
    <x v="0"/>
  </r>
  <r>
    <s v="887e4b4e-a3e1-b573-37f8-d9ddfc4ca8c2"/>
    <d v="2018-01-02T10:49:39"/>
    <d v="2018-01-02T11:28:21"/>
    <s v="887e4b4e-a3e1-b573-4a16-38386d3e0b88"/>
    <s v="8af3b144-0e1a-3c90-937d-81a4ed026080"/>
    <s v="57f5485d-e537-3535-82a4-4957fc8bb0c4"/>
    <s v="df166300-5a78-3502-a46a-832842197811"/>
    <x v="1"/>
    <n v="170837001"/>
    <s v="Allergic disorder initial assessment (regime/therapy)"/>
    <n v="142.58000000000001"/>
    <n v="573.98"/>
    <n v="423.98"/>
    <n v="609328004"/>
    <x v="11"/>
  </r>
  <r>
    <s v="887e4b4e-a3e1-b573-b546-2ae64ed1cad0"/>
    <d v="2018-01-16T10:49:39"/>
    <d v="2018-01-16T11:19:23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840.2"/>
    <n v="840.2"/>
    <m/>
    <x v="0"/>
  </r>
  <r>
    <s v="887e4b4e-a3e1-b573-8ba2-62f62b3abce2"/>
    <d v="2018-01-26T11:28:21"/>
    <d v="2018-01-26T12:10:32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8ba8-74039dd9615d"/>
    <d v="2018-01-30T10:49:39"/>
    <d v="2018-01-30T15:24:33"/>
    <s v="887e4b4e-a3e1-b573-4a16-38386d3e0b88"/>
    <s v="8af3b144-0e1a-3c90-937d-81a4ed026080"/>
    <s v="57f5485d-e537-3535-82a4-4957fc8bb0c4"/>
    <s v="df166300-5a78-3502-a46a-832842197811"/>
    <x v="1"/>
    <n v="185349003"/>
    <s v="Encounter for check up (procedure)"/>
    <n v="85.55"/>
    <n v="3536.75"/>
    <n v="3486.75"/>
    <n v="103697008"/>
    <x v="3"/>
  </r>
  <r>
    <s v="887e4b4e-a3e1-b573-eb96-0973acbec9f2"/>
    <d v="2018-02-22T12:10:32"/>
    <d v="2018-02-22T13:05:4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6151-25c3cd77e431"/>
    <d v="2018-03-20T14:05:48"/>
    <d v="2018-03-20T14:24:37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0428.31"/>
    <n v="10378.31"/>
    <n v="609328004"/>
    <x v="11"/>
  </r>
  <r>
    <s v="887e4b4e-a3e1-b573-cf02-aa614fde76f4"/>
    <d v="2018-04-16T14:24:37"/>
    <d v="2018-04-16T14:46:4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9b18-0f809a7439b7"/>
    <d v="2018-05-09T14:46:45"/>
    <d v="2018-05-09T15:21:4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060.43"/>
    <n v="20010.43"/>
    <n v="609328004"/>
    <x v="11"/>
  </r>
  <r>
    <s v="887e4b4e-a3e1-b573-b6ea-744a85e6abd0"/>
    <d v="2018-06-03T15:21:48"/>
    <d v="2018-06-03T15:42:00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0b16-d439d5640ff4"/>
    <d v="2018-06-28T15:42:00"/>
    <d v="2018-06-28T16:35:5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6da1-147b61d6a47d"/>
    <d v="2018-07-19T16:35:55"/>
    <d v="2018-07-19T17:08:42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b607-05ca522e01e4"/>
    <d v="2018-08-09T17:08:42"/>
    <d v="2018-08-09T17:53:44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3883.02"/>
    <n v="13833.02"/>
    <n v="609328004"/>
    <x v="11"/>
  </r>
  <r>
    <s v="887e4b4e-a3e1-b573-8055-e81ae2161de9"/>
    <d v="2018-09-03T17:53:44"/>
    <d v="2018-09-03T18:38:5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0740-fb2f753f597c"/>
    <d v="2018-09-30T18:38:58"/>
    <d v="2018-09-30T19:12:3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0f3d04a2-f42e-1429-a576-2d582da97c36"/>
    <d v="1942-11-26T15:44:21"/>
    <d v="1942-11-26T16:08:48"/>
    <s v="0f3d04a2-f42e-1429-acef-0becd0a0fcea"/>
    <s v="1b3fe590-8793-3f08-865d-01fc425a84d4"/>
    <s v="79618ea2-f3ea-393a-9820-81b8ac3c5dbc"/>
    <s v="26aab0cd-6aba-3e1b-ac5b-05c8867e762c"/>
    <x v="0"/>
    <n v="410620009"/>
    <s v="Well child visit (procedure)"/>
    <n v="136.80000000000001"/>
    <n v="568.20000000000005"/>
    <n v="0"/>
    <m/>
    <x v="0"/>
  </r>
  <r>
    <s v="0f3d04a2-f42e-1429-9c7f-95d20d79de5e"/>
    <d v="1948-12-30T15:44:21"/>
    <d v="1948-12-30T16:42:15"/>
    <s v="0f3d04a2-f42e-1429-acef-0becd0a0fcea"/>
    <s v="1b3fe590-8793-3f08-865d-01fc425a84d4"/>
    <s v="79618ea2-f3ea-393a-9820-81b8ac3c5dbc"/>
    <s v="26aab0cd-6aba-3e1b-ac5b-05c8867e762c"/>
    <x v="0"/>
    <n v="162673000"/>
    <s v="General examination of patient (procedure)"/>
    <n v="136.80000000000001"/>
    <n v="704.2"/>
    <n v="0"/>
    <m/>
    <x v="0"/>
  </r>
  <r>
    <s v="0f3d04a2-f42e-1429-8de4-8f8540a74b59"/>
    <d v="1950-01-05T15:44:21"/>
    <d v="1950-01-05T16:40:33"/>
    <s v="0f3d04a2-f42e-1429-acef-0becd0a0fcea"/>
    <s v="1b3fe590-8793-3f08-865d-01fc425a84d4"/>
    <s v="79618ea2-f3ea-393a-9820-81b8ac3c5dbc"/>
    <s v="26aab0cd-6aba-3e1b-ac5b-05c8867e762c"/>
    <x v="0"/>
    <n v="162673000"/>
    <s v="General examination of patient (procedure)"/>
    <n v="136.80000000000001"/>
    <n v="704.2"/>
    <n v="0"/>
    <m/>
    <x v="0"/>
  </r>
  <r>
    <s v="0f3d04a2-f42e-1429-5a77-38371852495e"/>
    <d v="1953-01-08T15:44:21"/>
    <d v="1953-01-08T16:21:34"/>
    <s v="0f3d04a2-f42e-1429-acef-0becd0a0fcea"/>
    <s v="1b3fe590-8793-3f08-865d-01fc425a84d4"/>
    <s v="79618ea2-f3ea-393a-9820-81b8ac3c5dbc"/>
    <s v="26aab0cd-6aba-3e1b-ac5b-05c8867e762c"/>
    <x v="0"/>
    <n v="162673000"/>
    <s v="General examination of patient (procedure)"/>
    <n v="136.80000000000001"/>
    <n v="778.78"/>
    <n v="0"/>
    <m/>
    <x v="0"/>
  </r>
  <r>
    <s v="0f3d04a2-f42e-1429-724a-39ef525dcbbf"/>
    <d v="1980-11-06T15:44:21"/>
    <d v="1980-11-06T16:29:08"/>
    <s v="0f3d04a2-f42e-1429-acef-0becd0a0fcea"/>
    <s v="1b3fe590-8793-3f08-865d-01fc425a84d4"/>
    <s v="79618ea2-f3ea-393a-9820-81b8ac3c5dbc"/>
    <s v="26aab0cd-6aba-3e1b-ac5b-05c8867e762c"/>
    <x v="0"/>
    <n v="162673000"/>
    <s v="General examination of patient (procedure)"/>
    <n v="136.80000000000001"/>
    <n v="923.8"/>
    <n v="0"/>
    <m/>
    <x v="0"/>
  </r>
  <r>
    <s v="0f3d04a2-f42e-1429-3fb9-15a98f6e6a8c"/>
    <d v="1981-11-12T15:44:21"/>
    <d v="1981-11-12T16:31:45"/>
    <s v="0f3d04a2-f42e-1429-acef-0becd0a0fcea"/>
    <s v="1b3fe590-8793-3f08-865d-01fc425a84d4"/>
    <s v="79618ea2-f3ea-393a-9820-81b8ac3c5dbc"/>
    <s v="26aab0cd-6aba-3e1b-ac5b-05c8867e762c"/>
    <x v="0"/>
    <n v="162673000"/>
    <s v="General examination of patient (procedure)"/>
    <n v="136.80000000000001"/>
    <n v="778.78"/>
    <n v="0"/>
    <m/>
    <x v="0"/>
  </r>
  <r>
    <s v="0f3d04a2-f42e-1429-275d-20b863697320"/>
    <d v="2001-03-08T15:44:21"/>
    <d v="2001-03-08T16:44:21"/>
    <s v="0f3d04a2-f42e-1429-acef-0becd0a0fcea"/>
    <s v="74ab949d-17ac-3309-83a0-13b4405c66aa"/>
    <s v="35fedf4a-4da7-315e-a103-dbcfea0540fa"/>
    <s v="a735bf55-83e9-331a-899d-a82a60b9f60c"/>
    <x v="3"/>
    <n v="50849002"/>
    <s v="Emergency room admission (procedure)"/>
    <n v="146.18"/>
    <n v="9057.44"/>
    <n v="7245.94"/>
    <n v="22298006"/>
    <x v="71"/>
  </r>
  <r>
    <s v="0f3d04a2-f42e-1429-31ab-a453909d4cea"/>
    <d v="2001-03-08T16:42:46"/>
    <d v="2001-03-10T12:05:05"/>
    <s v="0f3d04a2-f42e-1429-acef-0becd0a0fcea"/>
    <s v="74ab949d-17ac-3309-83a0-13b4405c66aa"/>
    <s v="35fedf4a-4da7-315e-a103-dbcfea0540fa"/>
    <s v="a735bf55-83e9-331a-899d-a82a60b9f60c"/>
    <x v="6"/>
    <n v="32485007"/>
    <s v="Hospital admission (procedure)"/>
    <n v="146.18"/>
    <n v="38462.78"/>
    <n v="30770.22"/>
    <n v="401314000"/>
    <x v="72"/>
  </r>
  <r>
    <s v="0f3d04a2-f42e-1429-9f41-051e25478ca3"/>
    <d v="2004-03-18T15:44:21"/>
    <d v="2004-03-18T16:27:24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596.25"/>
    <n v="1277"/>
    <m/>
    <x v="0"/>
  </r>
  <r>
    <s v="0f3d04a2-f42e-1429-f8e2-f3bd0023c312"/>
    <d v="2004-03-30T03:20:20"/>
    <d v="2004-03-30T08:58:30"/>
    <s v="0f3d04a2-f42e-1429-acef-0becd0a0fcea"/>
    <s v="74ab949d-17ac-3309-83a0-13b4405c66aa"/>
    <s v="35fedf4a-4da7-315e-a103-dbcfea0540fa"/>
    <s v="a735bf55-83e9-331a-899d-a82a60b9f60c"/>
    <x v="1"/>
    <n v="185347001"/>
    <s v="Encounter for problem (procedure)"/>
    <n v="85.55"/>
    <n v="1875.86"/>
    <n v="1500.69"/>
    <n v="414545008"/>
    <x v="19"/>
  </r>
  <r>
    <s v="887e4b4e-a3e1-b573-70f1-942f58324393"/>
    <d v="2018-10-23T19:12:31"/>
    <d v="2018-10-23T19:29:4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2a5b-f3e0ba8a5f88"/>
    <d v="2018-11-15T18:29:45"/>
    <d v="2018-11-15T18:56:0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955a-9aa4d44092fd"/>
    <d v="2018-12-08T18:56:08"/>
    <d v="2018-12-08T19:20:14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7898.63"/>
    <n v="7848.63"/>
    <n v="609328004"/>
    <x v="11"/>
  </r>
  <r>
    <s v="887e4b4e-a3e1-b573-8035-ad28d60bfd5c"/>
    <d v="2019-01-01T19:20:14"/>
    <d v="2019-01-01T20:13:1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113.67"/>
    <n v="609328004"/>
    <x v="11"/>
  </r>
  <r>
    <s v="887e4b4e-a3e1-b573-eb11-7cb21aea9d94"/>
    <d v="2019-01-22T10:49:39"/>
    <d v="2019-01-22T11:04:39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704.2"/>
    <n v="704.2"/>
    <m/>
    <x v="0"/>
  </r>
  <r>
    <s v="887e4b4e-a3e1-b573-6d18-2319646e70b9"/>
    <d v="2019-01-24T20:13:15"/>
    <d v="2019-01-24T20:46:27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b8e9-d799fd8d055c"/>
    <d v="2019-02-05T10:49:39"/>
    <d v="2019-02-05T14:46:43"/>
    <s v="887e4b4e-a3e1-b573-4a16-38386d3e0b88"/>
    <s v="8af3b144-0e1a-3c90-937d-81a4ed026080"/>
    <s v="57f5485d-e537-3535-82a4-4957fc8bb0c4"/>
    <s v="df166300-5a78-3502-a46a-832842197811"/>
    <x v="1"/>
    <n v="185349003"/>
    <s v="Encounter for check up (procedure)"/>
    <n v="85.55"/>
    <n v="3536.75"/>
    <n v="3486.75"/>
    <n v="103697008"/>
    <x v="3"/>
  </r>
  <r>
    <s v="887e4b4e-a3e1-b573-c934-04e9ca02e93b"/>
    <d v="2019-02-16T20:46:27"/>
    <d v="2019-02-16T21:23:42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ffdb-2a40859c2c6c"/>
    <d v="2019-03-15T22:23:42"/>
    <d v="2019-03-15T23:00:54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705.03"/>
    <n v="5655.03"/>
    <n v="609328004"/>
    <x v="11"/>
  </r>
  <r>
    <s v="887e4b4e-a3e1-b573-672c-dbdbdc6e7933"/>
    <d v="2019-04-11T23:00:54"/>
    <d v="2019-04-11T23:21:5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8e50-32915a3f73bd"/>
    <d v="2019-05-02T23:21:55"/>
    <d v="2019-05-03T00:13:09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114d-9a1e5d5abfc9"/>
    <d v="2019-05-30T00:13:09"/>
    <d v="2019-05-30T00:37:20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b6de-3a8bdeda55ec"/>
    <d v="2019-06-25T00:37:20"/>
    <d v="2019-06-25T01:22:56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6477.8"/>
    <n v="16427.8"/>
    <n v="609328004"/>
    <x v="11"/>
  </r>
  <r>
    <s v="887e4b4e-a3e1-b573-522e-b5fc5c010023"/>
    <d v="2019-07-20T01:22:56"/>
    <d v="2019-07-20T02:10:3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57ec-bd6aaf6c7c5e"/>
    <d v="2019-08-12T02:10:38"/>
    <d v="2019-08-12T02:47:3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24a5-d3e55f191ffc"/>
    <d v="2019-09-08T02:47:38"/>
    <d v="2019-09-08T03:37:50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ac65-e10d715ab5f1"/>
    <d v="2019-10-01T03:37:50"/>
    <d v="2019-10-01T03:55:49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a0b6-e2c1786a31e2"/>
    <d v="2019-10-27T03:55:49"/>
    <d v="2019-10-27T04:40:40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158e-201d65a66ecd"/>
    <d v="2019-11-23T03:40:40"/>
    <d v="2019-11-23T04:01:26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00b3-f068deb69966"/>
    <d v="2019-12-20T04:01:26"/>
    <d v="2019-12-20T04:59:3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1938.72"/>
    <n v="11888.72"/>
    <n v="609328004"/>
    <x v="11"/>
  </r>
  <r>
    <s v="887e4b4e-a3e1-b573-a0f4-d4a30a68cf60"/>
    <d v="2020-01-10T04:59:31"/>
    <d v="2020-01-10T05:35:1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113.67"/>
    <n v="609328004"/>
    <x v="11"/>
  </r>
  <r>
    <s v="887e4b4e-a3e1-b573-3541-4fe167ec7354"/>
    <d v="2020-01-28T10:49:39"/>
    <d v="2020-01-28T11:12:32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704.2"/>
    <n v="704.2"/>
    <m/>
    <x v="0"/>
  </r>
  <r>
    <s v="887e4b4e-a3e1-b573-05cd-736d3f42e2be"/>
    <d v="2020-02-04T05:35:11"/>
    <d v="2020-02-04T05:56:50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1142.74"/>
    <n v="11092.74"/>
    <n v="609328004"/>
    <x v="11"/>
  </r>
  <r>
    <s v="887e4b4e-a3e1-b573-e1d3-4143fd2efdb7"/>
    <d v="2020-02-11T10:49:39"/>
    <d v="2020-02-11T13:51:05"/>
    <s v="887e4b4e-a3e1-b573-4a16-38386d3e0b88"/>
    <s v="8af3b144-0e1a-3c90-937d-81a4ed026080"/>
    <s v="57f5485d-e537-3535-82a4-4957fc8bb0c4"/>
    <s v="df166300-5a78-3502-a46a-832842197811"/>
    <x v="1"/>
    <n v="185349003"/>
    <s v="Encounter for check up (procedure)"/>
    <n v="85.55"/>
    <n v="3105.35"/>
    <n v="3055.35"/>
    <n v="66383009"/>
    <x v="17"/>
  </r>
  <r>
    <s v="0f3d04a2-f42e-1429-95ea-ce99d8f7baa0"/>
    <d v="2004-10-18T16:44:21"/>
    <d v="2004-10-18T17:20:01"/>
    <s v="0f3d04a2-f42e-1429-acef-0becd0a0fcea"/>
    <s v="74ab949d-17ac-3309-83a0-13b4405c66aa"/>
    <s v="35fedf4a-4da7-315e-a103-dbcfea0540fa"/>
    <s v="a735bf55-83e9-331a-899d-a82a60b9f60c"/>
    <x v="1"/>
    <n v="185347001"/>
    <s v="Encounter for problem (procedure)"/>
    <n v="85.55"/>
    <n v="948.35"/>
    <n v="758.68"/>
    <n v="60573004"/>
    <x v="87"/>
  </r>
  <r>
    <s v="0f3d04a2-f42e-1429-5974-f732ee853973"/>
    <d v="2005-04-27T17:47:01"/>
    <d v="2005-04-27T18:02:01"/>
    <s v="0f3d04a2-f42e-1429-acef-0becd0a0fcea"/>
    <s v="74ab949d-17ac-3309-83a0-13b4405c66aa"/>
    <s v="35fedf4a-4da7-315e-a103-dbcfea0540fa"/>
    <s v="a735bf55-83e9-331a-899d-a82a60b9f60c"/>
    <x v="1"/>
    <n v="185347001"/>
    <s v="Encounter for problem (procedure)"/>
    <n v="85.55"/>
    <n v="1379.75"/>
    <n v="1103.8"/>
    <n v="60573004"/>
    <x v="87"/>
  </r>
  <r>
    <s v="0f3d04a2-f42e-1429-c076-e3eaf1484a87"/>
    <d v="2005-06-24T21:31:40"/>
    <d v="2005-06-25T21:31:40"/>
    <s v="0f3d04a2-f42e-1429-acef-0becd0a0fcea"/>
    <s v="74ab949d-17ac-3309-83a0-13b4405c66aa"/>
    <s v="35fedf4a-4da7-315e-a103-dbcfea0540fa"/>
    <s v="a735bf55-83e9-331a-899d-a82a60b9f60c"/>
    <x v="6"/>
    <n v="32485007"/>
    <s v="Hospital admission (procedure)"/>
    <n v="146.18"/>
    <n v="2734.58"/>
    <n v="2187.66"/>
    <n v="60573004"/>
    <x v="87"/>
  </r>
  <r>
    <s v="0f3d04a2-f42e-1429-eda3-609cdb662472"/>
    <d v="2014-05-15T16:44:21"/>
    <d v="2014-05-15T17:34:44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860.16"/>
    <n v="605.66999999999996"/>
    <m/>
    <x v="0"/>
  </r>
  <r>
    <s v="0f3d04a2-f42e-1429-656b-419c8ae88cb9"/>
    <d v="2016-05-26T16:44:21"/>
    <d v="2016-05-26T17:27:43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008.08"/>
    <n v="792.45"/>
    <m/>
    <x v="0"/>
  </r>
  <r>
    <s v="0f3d04a2-f42e-1429-292b-89f90a821e07"/>
    <d v="2017-06-01T16:44:21"/>
    <d v="2017-06-01T17:20:16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234.8399999999999"/>
    <n v="905.41"/>
    <m/>
    <x v="0"/>
  </r>
  <r>
    <s v="0f3d04a2-f42e-1429-65a6-dc98ef79856e"/>
    <d v="2018-06-07T16:44:21"/>
    <d v="2018-06-07T17:20:12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860.16"/>
    <n v="605.66999999999996"/>
    <m/>
    <x v="0"/>
  </r>
  <r>
    <s v="0f3d04a2-f42e-1429-cef7-35d69af420e9"/>
    <d v="2018-06-21T16:44:21"/>
    <d v="2018-06-21T22:58:33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4830.95"/>
    <n v="3864.76"/>
    <n v="103697008"/>
    <x v="3"/>
  </r>
  <r>
    <s v="887e4b4e-a3e1-b573-9f99-be15919e1598"/>
    <d v="2020-02-26T05:56:50"/>
    <d v="2020-02-26T06:17:0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3949.6"/>
    <n v="13899.6"/>
    <n v="609328004"/>
    <x v="11"/>
  </r>
  <r>
    <s v="887e4b4e-a3e1-b573-6c74-e7fffc0bba68"/>
    <d v="2020-03-23T07:17:01"/>
    <d v="2020-03-23T08:10:53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525.19"/>
    <n v="5475.19"/>
    <n v="609328004"/>
    <x v="11"/>
  </r>
  <r>
    <s v="887e4b4e-a3e1-b573-8933-7b89727f1acf"/>
    <d v="2020-04-13T08:10:53"/>
    <d v="2020-04-13T08:27:0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794.63"/>
    <n v="5744.63"/>
    <n v="609328004"/>
    <x v="11"/>
  </r>
  <r>
    <s v="887e4b4e-a3e1-b573-890f-8c2d08aa757d"/>
    <d v="2020-05-10T08:27:08"/>
    <d v="2020-05-10T08:49:59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3c6f-e181bccf95a8"/>
    <d v="2020-06-05T08:49:59"/>
    <d v="2020-06-05T09:41:19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2896.7"/>
    <n v="12846.7"/>
    <n v="609328004"/>
    <x v="11"/>
  </r>
  <r>
    <s v="887e4b4e-a3e1-b573-1142-af20aefaac74"/>
    <d v="2020-07-02T09:41:19"/>
    <d v="2020-07-02T10:34:59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b42e-0f33d55e6859"/>
    <d v="2020-07-25T10:34:59"/>
    <d v="2020-07-25T11:19:5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bd54-a0abacb2916c"/>
    <d v="2020-08-21T11:19:51"/>
    <d v="2020-08-21T11:57:3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f07e-86c1f01173d8"/>
    <d v="2020-09-13T11:57:31"/>
    <d v="2020-09-13T12:12:54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2d00-3ebb6a4f91bd"/>
    <d v="2020-09-21T22:49:39"/>
    <d v="2020-09-21T23:04:39"/>
    <s v="887e4b4e-a3e1-b573-4a16-38386d3e0b88"/>
    <s v="8af3b144-0e1a-3c90-937d-81a4ed026080"/>
    <s v="57f5485d-e537-3535-82a4-4957fc8bb0c4"/>
    <s v="df166300-5a78-3502-a46a-832842197811"/>
    <x v="1"/>
    <n v="185347001"/>
    <s v="Encounter for problem (procedure)"/>
    <n v="85.55"/>
    <n v="85.55"/>
    <n v="35.549999999999997"/>
    <n v="735029006"/>
    <x v="58"/>
  </r>
  <r>
    <s v="887e4b4e-a3e1-b573-4f6e-fc87d4db143a"/>
    <d v="2020-10-09T12:12:54"/>
    <d v="2020-10-09T13:09:34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20626.96"/>
    <n v="20576.96"/>
    <n v="609328004"/>
    <x v="11"/>
  </r>
  <r>
    <s v="887e4b4e-a3e1-b573-6cb1-f5332594d51d"/>
    <d v="2020-10-31T13:09:34"/>
    <d v="2020-10-31T13:46:47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85b0-8d3008bc3279"/>
    <d v="2020-11-26T12:46:47"/>
    <d v="2020-11-26T13:41:16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dbfe-c056bdc4983e"/>
    <d v="2020-12-21T13:41:16"/>
    <d v="2020-12-21T14:01:16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7334.8"/>
    <n v="7284.8"/>
    <n v="609328004"/>
    <x v="11"/>
  </r>
  <r>
    <s v="887e4b4e-a3e1-b573-3bd9-f5bff692151a"/>
    <d v="2021-01-13T14:01:16"/>
    <d v="2021-01-13T14:41:52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8755.82"/>
    <n v="8605.82"/>
    <n v="609328004"/>
    <x v="11"/>
  </r>
  <r>
    <s v="887e4b4e-a3e1-b573-df9c-62d29ccaa239"/>
    <d v="2021-02-02T10:49:39"/>
    <d v="2021-02-02T11:04:39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1653.4"/>
    <n v="1653.4"/>
    <m/>
    <x v="0"/>
  </r>
  <r>
    <s v="887e4b4e-a3e1-b573-3fe6-1a6e020aa885"/>
    <d v="2021-02-08T14:41:52"/>
    <d v="2021-02-08T15:41:16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9526.54"/>
    <n v="19476.54"/>
    <n v="609328004"/>
    <x v="11"/>
  </r>
  <r>
    <s v="887e4b4e-a3e1-b573-748c-cbd3ac0e521a"/>
    <d v="2021-02-16T10:49:39"/>
    <d v="2021-02-16T14:25:24"/>
    <s v="887e4b4e-a3e1-b573-4a16-38386d3e0b88"/>
    <s v="8af3b144-0e1a-3c90-937d-81a4ed026080"/>
    <s v="57f5485d-e537-3535-82a4-4957fc8bb0c4"/>
    <s v="df166300-5a78-3502-a46a-832842197811"/>
    <x v="1"/>
    <n v="185349003"/>
    <s v="Encounter for check up (procedure)"/>
    <n v="85.55"/>
    <n v="3105.35"/>
    <n v="3055.35"/>
    <n v="103697008"/>
    <x v="3"/>
  </r>
  <r>
    <s v="887e4b4e-a3e1-b573-44be-ed48a7b18ecc"/>
    <d v="2021-03-06T15:41:16"/>
    <d v="2021-03-06T16:13:46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7964"/>
    <n v="7914"/>
    <n v="609328004"/>
    <x v="11"/>
  </r>
  <r>
    <s v="887e4b4e-a3e1-b573-fa7c-1a7a425a0d96"/>
    <d v="2021-03-28T17:13:46"/>
    <d v="2021-03-28T18:06:3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6861.82"/>
    <n v="6811.82"/>
    <n v="609328004"/>
    <x v="11"/>
  </r>
  <r>
    <s v="0f3d04a2-f42e-1429-77ca-b89f4eab38dd"/>
    <d v="2019-06-13T16:44:21"/>
    <d v="2019-06-13T17:26:52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012.9"/>
    <n v="727.87"/>
    <m/>
    <x v="0"/>
  </r>
  <r>
    <s v="0f3d04a2-f42e-1429-360f-90a0c51eec30"/>
    <d v="2020-03-26T16:44:21"/>
    <d v="2020-03-26T16:59:21"/>
    <s v="0f3d04a2-f42e-1429-acef-0becd0a0fcea"/>
    <s v="121b0ad1-1beb-3caa-9271-3d3f726bb727"/>
    <s v="3d8598c7-b464-3e8b-b494-c85d503739b3"/>
    <s v="a735bf55-83e9-331a-899d-a82a60b9f60c"/>
    <x v="4"/>
    <n v="308335008"/>
    <s v="Patient encounter procedure (procedure)"/>
    <n v="142.58000000000001"/>
    <n v="573.98"/>
    <n v="272.77999999999997"/>
    <n v="1871000124103"/>
    <x v="75"/>
  </r>
  <r>
    <s v="0f3d04a2-f42e-1429-a91c-c095d1966051"/>
    <d v="2020-03-27T12:02:21"/>
    <d v="2020-03-27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1854.13"/>
    <n v="1483.3"/>
    <n v="1871000124103"/>
    <x v="75"/>
  </r>
  <r>
    <s v="0f3d04a2-f42e-1429-032c-58a04f82e668"/>
    <d v="2020-03-28T12:02:21"/>
    <d v="2020-03-28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a854-a579a7635a89"/>
    <d v="2020-03-29T12:02:21"/>
    <d v="2020-03-29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991.33"/>
    <n v="793.06"/>
    <n v="1871000124103"/>
    <x v="75"/>
  </r>
  <r>
    <s v="0f3d04a2-f42e-1429-1373-38ce572c631a"/>
    <d v="2020-03-30T12:02:21"/>
    <d v="2020-03-30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344.23"/>
    <n v="275.38"/>
    <n v="1871000124103"/>
    <x v="75"/>
  </r>
  <r>
    <s v="0f3d04a2-f42e-1429-41b4-f42bf19dc95a"/>
    <d v="2020-03-31T12:02:21"/>
    <d v="2020-03-31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344.23"/>
    <n v="275.38"/>
    <n v="1871000124103"/>
    <x v="75"/>
  </r>
  <r>
    <s v="0f3d04a2-f42e-1429-a729-f5f74182aa11"/>
    <d v="2020-04-01T12:02:21"/>
    <d v="2020-04-01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322c-a1dae5e80efa"/>
    <d v="2020-04-02T12:02:21"/>
    <d v="2020-04-02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991.33"/>
    <n v="793.06"/>
    <n v="1871000124103"/>
    <x v="75"/>
  </r>
  <r>
    <s v="0f3d04a2-f42e-1429-8171-9b7f655aab0a"/>
    <d v="2020-04-03T12:02:21"/>
    <d v="2020-04-03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491.08"/>
    <n v="392.86"/>
    <n v="1871000124103"/>
    <x v="75"/>
  </r>
  <r>
    <s v="0f3d04a2-f42e-1429-7827-0276d4d7d581"/>
    <d v="2020-04-04T12:02:21"/>
    <d v="2020-04-04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7e54-b756f719c8cf"/>
    <d v="2020-04-05T12:02:21"/>
    <d v="2020-04-05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8836-c75afed0ba41"/>
    <d v="2020-04-06T12:02:21"/>
    <d v="2020-04-06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44db-ce2acbf6fedb"/>
    <d v="2020-04-07T12:02:21"/>
    <d v="2020-04-07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c68a-db4818d9e9c3"/>
    <d v="2020-04-08T12:02:21"/>
    <d v="2020-04-08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344.23"/>
    <n v="275.38"/>
    <n v="1871000124103"/>
    <x v="75"/>
  </r>
  <r>
    <s v="0f3d04a2-f42e-1429-fcaa-b64338984b67"/>
    <d v="2020-04-09T12:02:21"/>
    <d v="2020-04-09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13.66"/>
    <n v="410.92"/>
    <n v="1871000124103"/>
    <x v="75"/>
  </r>
  <r>
    <s v="887e4b4e-a3e1-b573-0595-60260b959860"/>
    <d v="2021-04-24T18:06:35"/>
    <d v="2021-04-24T18:38:57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1873-4183451e52d2"/>
    <d v="2021-05-19T18:38:57"/>
    <d v="2021-05-19T19:35:5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4154.43"/>
    <n v="14104.43"/>
    <n v="609328004"/>
    <x v="11"/>
  </r>
  <r>
    <s v="887e4b4e-a3e1-b573-6b44-4a47b47bd56d"/>
    <d v="2021-06-09T19:35:55"/>
    <d v="2021-06-09T20:27:1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97d6-864287813231"/>
    <d v="2021-06-30T20:27:18"/>
    <d v="2021-06-30T21:17:19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6712"/>
    <n v="6662"/>
    <n v="609328004"/>
    <x v="11"/>
  </r>
  <r>
    <s v="887e4b4e-a3e1-b573-d9b9-817342734b51"/>
    <d v="2021-07-20T11:49:39"/>
    <d v="2021-07-20T12:04:39"/>
    <s v="887e4b4e-a3e1-b573-4a16-38386d3e0b88"/>
    <s v="8af3b144-0e1a-3c90-937d-81a4ed026080"/>
    <s v="57f5485d-e537-3535-82a4-4957fc8bb0c4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87e4b4e-a3e1-b573-98e0-5ba1d9029f06"/>
    <d v="2021-07-26T21:17:19"/>
    <d v="2021-07-26T22:15:51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8850.74"/>
    <n v="8800.74"/>
    <n v="609328004"/>
    <x v="11"/>
  </r>
  <r>
    <s v="887e4b4e-a3e1-b573-8379-82f44a89d4e1"/>
    <d v="2021-08-10T11:49:39"/>
    <d v="2021-08-10T12:04:39"/>
    <s v="887e4b4e-a3e1-b573-4a16-38386d3e0b88"/>
    <s v="8af3b144-0e1a-3c90-937d-81a4ed026080"/>
    <s v="57f5485d-e537-3535-82a4-4957fc8bb0c4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887e4b4e-a3e1-b573-b083-edfddac18705"/>
    <d v="2021-08-20T22:15:51"/>
    <d v="2021-08-20T23:14:53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e9d7-6c17f0c96b45"/>
    <d v="2021-09-12T23:14:53"/>
    <d v="2021-09-13T00:01:08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7718.11"/>
    <n v="7668.11"/>
    <n v="609328004"/>
    <x v="11"/>
  </r>
  <r>
    <s v="887e4b4e-a3e1-b573-02c0-4551fe33f49f"/>
    <d v="2021-10-04T00:01:08"/>
    <d v="2021-10-04T00:53:04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6790.599999999999"/>
    <n v="16740.599999999999"/>
    <n v="609328004"/>
    <x v="11"/>
  </r>
  <r>
    <s v="887e4b4e-a3e1-b573-ff0a-143c306de5a4"/>
    <d v="2021-10-27T00:53:04"/>
    <d v="2021-10-27T01:48:00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9c6f-3a1d28868c7c"/>
    <d v="2021-11-20T00:48:00"/>
    <d v="2021-11-20T01:40:07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5263.67"/>
    <n v="5213.67"/>
    <n v="609328004"/>
    <x v="11"/>
  </r>
  <r>
    <s v="887e4b4e-a3e1-b573-6727-f0a1c4ffe83b"/>
    <d v="2021-12-13T01:40:07"/>
    <d v="2021-12-13T02:36:35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0254.790000000001"/>
    <n v="10204.790000000001"/>
    <n v="609328004"/>
    <x v="11"/>
  </r>
  <r>
    <s v="887e4b4e-a3e1-b573-7baf-0e6a21288faf"/>
    <d v="2022-01-04T02:36:35"/>
    <d v="2022-01-04T03:07:42"/>
    <s v="887e4b4e-a3e1-b573-4a16-38386d3e0b88"/>
    <s v="8af3b144-0e1a-3c90-937d-81a4ed026080"/>
    <s v="57f5485d-e537-3535-82a4-4957fc8bb0c4"/>
    <s v="df166300-5a78-3502-a46a-832842197811"/>
    <x v="1"/>
    <n v="371883000"/>
    <s v="Outpatient procedure (procedure)"/>
    <n v="142.58000000000001"/>
    <n v="10360.32"/>
    <n v="10210.32"/>
    <n v="609328004"/>
    <x v="11"/>
  </r>
  <r>
    <s v="887e4b4e-a3e1-b573-198d-1a17bb50bae9"/>
    <d v="2022-01-18T10:49:39"/>
    <d v="2022-01-18T11:06:54"/>
    <s v="887e4b4e-a3e1-b573-4a16-38386d3e0b88"/>
    <s v="8af3b144-0e1a-3c90-937d-81a4ed026080"/>
    <s v="57f5485d-e537-3535-82a4-4957fc8bb0c4"/>
    <s v="df166300-5a78-3502-a46a-832842197811"/>
    <x v="2"/>
    <n v="185349003"/>
    <s v="Encounter for check up (procedure)"/>
    <n v="85.55"/>
    <n v="652.95000000000005"/>
    <n v="602.95000000000005"/>
    <m/>
    <x v="0"/>
  </r>
  <r>
    <s v="887e4b4e-a3e1-b573-19b0-3a2e1c1f36dd"/>
    <d v="2022-01-25T10:49:39"/>
    <d v="2022-01-25T11:04:39"/>
    <s v="887e4b4e-a3e1-b573-4a16-38386d3e0b88"/>
    <s v="8af3b144-0e1a-3c90-937d-81a4ed026080"/>
    <s v="57f5485d-e537-3535-82a4-4957fc8bb0c4"/>
    <s v="df166300-5a78-3502-a46a-832842197811"/>
    <x v="1"/>
    <n v="185345009"/>
    <s v="Encounter for symptom (procedure)"/>
    <n v="85.55"/>
    <n v="85.55"/>
    <n v="35.549999999999997"/>
    <n v="195662009"/>
    <x v="9"/>
  </r>
  <r>
    <s v="887e4b4e-a3e1-b573-b725-d94617a922ba"/>
    <d v="2022-01-26T03:07:42"/>
    <d v="2022-01-26T03:40:04"/>
    <s v="887e4b4e-a3e1-b573-4a16-38386d3e0b88"/>
    <s v="8af3b144-0e1a-3c90-937d-81a4ed026080"/>
    <s v="57f5485d-e537-3535-82a4-4957fc8bb0c4"/>
    <s v="df166300-5a78-3502-a46a-832842197811"/>
    <x v="1"/>
    <n v="170838006"/>
    <s v="Allergic disorder follow-up assessment (regime/therapy)"/>
    <n v="142.58000000000001"/>
    <n v="573.98"/>
    <n v="523.98"/>
    <n v="609328004"/>
    <x v="11"/>
  </r>
  <r>
    <s v="887e4b4e-a3e1-b573-8a23-07206d32d294"/>
    <d v="2022-02-08T10:49:39"/>
    <d v="2022-02-08T11:04:39"/>
    <s v="887e4b4e-a3e1-b573-4a16-38386d3e0b88"/>
    <s v="929d7ec5-3ee7-35ab-a056-91f60788c234"/>
    <s v="470dace8-1f37-339d-89a9-1419af6b4db5"/>
    <s v="df166300-5a78-3502-a46a-832842197811"/>
    <x v="0"/>
    <n v="410620009"/>
    <s v="Well child visit (procedure)"/>
    <n v="136.80000000000001"/>
    <n v="783.9"/>
    <n v="783.9"/>
    <m/>
    <x v="0"/>
  </r>
  <r>
    <s v="887e4b4e-a3e1-b573-466d-02ddbba1d6ec"/>
    <d v="2023-02-14T10:49:39"/>
    <d v="2023-02-14T11:38:56"/>
    <s v="887e4b4e-a3e1-b573-4a16-38386d3e0b88"/>
    <s v="929d7ec5-3ee7-35ab-a056-91f60788c234"/>
    <s v="470dace8-1f37-339d-89a9-1419af6b4db5"/>
    <s v="df166300-5a78-3502-a46a-832842197811"/>
    <x v="0"/>
    <n v="162673000"/>
    <s v="General examination of patient (procedure)"/>
    <n v="136.80000000000001"/>
    <n v="919.9"/>
    <n v="819.9"/>
    <m/>
    <x v="0"/>
  </r>
  <r>
    <s v="887e4b4e-a3e1-b573-ceb7-ae35c6c066b4"/>
    <d v="2023-02-28T10:49:39"/>
    <d v="2023-02-28T14:29:51"/>
    <s v="887e4b4e-a3e1-b573-4a16-38386d3e0b88"/>
    <s v="8af3b144-0e1a-3c90-937d-81a4ed026080"/>
    <s v="57f5485d-e537-3535-82a4-4957fc8bb0c4"/>
    <s v="df166300-5a78-3502-a46a-832842197811"/>
    <x v="1"/>
    <n v="185349003"/>
    <s v="Encounter for check up (procedure)"/>
    <n v="85.55"/>
    <n v="3105.35"/>
    <n v="3055.35"/>
    <n v="66383009"/>
    <x v="17"/>
  </r>
  <r>
    <s v="887e4b4e-a3e1-b573-1ff8-b43a73358dc8"/>
    <d v="2024-02-20T10:49:39"/>
    <d v="2024-02-20T11:45:46"/>
    <s v="887e4b4e-a3e1-b573-4a16-38386d3e0b88"/>
    <s v="929d7ec5-3ee7-35ab-a056-91f60788c234"/>
    <s v="470dace8-1f37-339d-89a9-1419af6b4db5"/>
    <s v="df166300-5a78-3502-a46a-832842197811"/>
    <x v="0"/>
    <n v="162673000"/>
    <s v="General examination of patient (procedure)"/>
    <n v="136.80000000000001"/>
    <n v="1567"/>
    <n v="1467"/>
    <m/>
    <x v="0"/>
  </r>
  <r>
    <s v="0f3d04a2-f42e-1429-b78c-341adfb335c7"/>
    <d v="2020-04-10T12:02:21"/>
    <d v="2020-04-10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683e-7e309d220d36"/>
    <d v="2020-04-11T12:02:21"/>
    <d v="2020-04-11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344.23"/>
    <n v="275.38"/>
    <n v="1871000124103"/>
    <x v="75"/>
  </r>
  <r>
    <s v="0f3d04a2-f42e-1429-d27a-54e7a9a28e5c"/>
    <d v="2020-04-12T12:02:21"/>
    <d v="2020-04-12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403.19"/>
    <n v="322.55"/>
    <n v="1871000124103"/>
    <x v="75"/>
  </r>
  <r>
    <s v="0f3d04a2-f42e-1429-cb2b-e8572aac1e71"/>
    <d v="2020-04-13T12:02:21"/>
    <d v="2020-04-13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96b7-d7e602135313"/>
    <d v="2020-04-14T12:02:21"/>
    <d v="2020-04-14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d5f0-1ae31e64e577"/>
    <d v="2020-04-15T12:02:21"/>
    <d v="2020-04-15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440.46"/>
    <n v="352.36"/>
    <n v="1871000124103"/>
    <x v="75"/>
  </r>
  <r>
    <s v="0f3d04a2-f42e-1429-0cc8-1c82df8c9d03"/>
    <d v="2020-04-16T12:02:21"/>
    <d v="2020-04-16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374.32"/>
    <n v="299.45"/>
    <n v="1871000124103"/>
    <x v="75"/>
  </r>
  <r>
    <s v="0f3d04a2-f42e-1429-8edf-fc7683c2d3b7"/>
    <d v="2020-04-17T12:02:21"/>
    <d v="2020-04-17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d8d7-bba1efb592e8"/>
    <d v="2020-04-18T12:02:21"/>
    <d v="2020-04-18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51a3-136f3f71e025"/>
    <d v="2020-04-19T12:02:21"/>
    <d v="2020-04-19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ce35-b24c9d4f4cf9"/>
    <d v="2020-04-20T12:02:21"/>
    <d v="2020-04-20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91.19000000000005"/>
    <n v="472.95"/>
    <n v="1871000124103"/>
    <x v="75"/>
  </r>
  <r>
    <s v="0f3d04a2-f42e-1429-3e92-1b5d5df42f25"/>
    <d v="2020-04-21T12:02:21"/>
    <d v="2020-04-21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af83-e416441006a4"/>
    <d v="2020-04-22T12:02:21"/>
    <d v="2020-04-22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4eac-72dbbdf8a1e9"/>
    <d v="2020-04-23T12:02:21"/>
    <d v="2020-04-23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210c-7fd86aa92280"/>
    <d v="2020-04-24T12:02:21"/>
    <d v="2020-04-24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7936-db64c0446b8d"/>
    <d v="2020-04-25T12:02:21"/>
    <d v="2020-04-25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559.92999999999995"/>
    <n v="447.94"/>
    <n v="1871000124103"/>
    <x v="75"/>
  </r>
  <r>
    <s v="0f3d04a2-f42e-1429-1f2f-9f70c807496b"/>
    <d v="2020-04-26T12:02:21"/>
    <d v="2020-04-26T12:17:21"/>
    <s v="0f3d04a2-f42e-1429-acef-0becd0a0fcea"/>
    <s v="6c064003-fa5a-38a5-b48c-36c5a9643e2b"/>
    <s v="cf73587c-12fd-3d58-bdd6-0fd4085f94d1"/>
    <s v="a735bf55-83e9-331a-899d-a82a60b9f60c"/>
    <x v="9"/>
    <n v="439708006"/>
    <s v="Home visit (procedure)"/>
    <n v="128.53"/>
    <n v="991.33"/>
    <n v="793.06"/>
    <n v="1871000124103"/>
    <x v="75"/>
  </r>
  <r>
    <s v="0f3d04a2-f42e-1429-846e-5505bf97fc80"/>
    <d v="2020-06-18T16:44:21"/>
    <d v="2020-06-18T17:28:07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853.36"/>
    <n v="682.68"/>
    <m/>
    <x v="0"/>
  </r>
  <r>
    <s v="887e4b4e-a3e1-b573-f331-6c5dcd07788c"/>
    <d v="2025-08-19T11:49:39"/>
    <d v="2025-08-19T12:38:03"/>
    <s v="887e4b4e-a3e1-b573-4a16-38386d3e0b88"/>
    <s v="8af3b144-0e1a-3c90-937d-81a4ed026080"/>
    <s v="57f5485d-e537-3535-82a4-4957fc8bb0c4"/>
    <s v="df166300-5a78-3502-a46a-832842197811"/>
    <x v="2"/>
    <n v="185349003"/>
    <s v="Encounter for check up (procedure)"/>
    <n v="85.55"/>
    <n v="1528.74"/>
    <n v="1378.74"/>
    <m/>
    <x v="0"/>
  </r>
  <r>
    <s v="887e4b4e-a3e1-b573-2d17-31936102661a"/>
    <d v="2025-08-26T11:49:39"/>
    <d v="2025-08-26T12:04:39"/>
    <s v="887e4b4e-a3e1-b573-4a16-38386d3e0b88"/>
    <s v="8af3b144-0e1a-3c90-937d-81a4ed026080"/>
    <s v="57f5485d-e537-3535-82a4-4957fc8bb0c4"/>
    <s v="df166300-5a78-3502-a46a-832842197811"/>
    <x v="1"/>
    <n v="185345009"/>
    <s v="Encounter for symptom (procedure)"/>
    <n v="85.55"/>
    <n v="2715.8"/>
    <n v="2665.8"/>
    <n v="10509002"/>
    <x v="1"/>
  </r>
  <r>
    <s v="887e4b4e-a3e1-b573-ab40-3da9f3a1e51d"/>
    <d v="2026-02-03T10:49:39"/>
    <d v="2026-02-03T11:49:39"/>
    <s v="887e4b4e-a3e1-b573-4a16-38386d3e0b88"/>
    <s v="8af3b144-0e1a-3c90-937d-81a4ed026080"/>
    <s v="57f5485d-e537-3535-82a4-4957fc8bb0c4"/>
    <s v="df166300-5a78-3502-a46a-832842197811"/>
    <x v="3"/>
    <n v="50849002"/>
    <s v="Emergency room admission (procedure)"/>
    <n v="146.18"/>
    <n v="146.18"/>
    <n v="0"/>
    <n v="384709000"/>
    <x v="13"/>
  </r>
  <r>
    <s v="0f3d04a2-f42e-1429-711d-3443aa68deab"/>
    <d v="2020-07-02T16:44:21"/>
    <d v="2020-07-02T23:06:41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4830.95"/>
    <n v="3864.76"/>
    <n v="103697008"/>
    <x v="3"/>
  </r>
  <r>
    <s v="0f3d04a2-f42e-1429-7d63-e169edd43a68"/>
    <d v="2021-02-04T15:44:21"/>
    <d v="2021-02-04T15:59:21"/>
    <s v="0f3d04a2-f42e-1429-acef-0becd0a0fcea"/>
    <s v="41e2a44c-477c-3511-96f9-12c476aa3b6a"/>
    <s v="6d061ae2-59e3-3fae-bc13-46189cbae70c"/>
    <s v="a735bf55-83e9-331a-899d-a82a60b9f60c"/>
    <x v="2"/>
    <n v="33879002"/>
    <s v="Administration of vaccine to produce active immunity (procedure)"/>
    <n v="142.58000000000001"/>
    <n v="278.58"/>
    <n v="36.46"/>
    <m/>
    <x v="0"/>
  </r>
  <r>
    <s v="0f3d04a2-f42e-1429-3b5c-8b446f56db21"/>
    <d v="2021-02-04T16:27:49"/>
    <d v="2021-02-04T17:27:49"/>
    <s v="0f3d04a2-f42e-1429-acef-0becd0a0fcea"/>
    <s v="02c936e2-3aee-38b2-88a4-81f3689b7bb7"/>
    <s v="8fc3ad99-f476-343c-bded-ef36802e3f51"/>
    <s v="a735bf55-83e9-331a-899d-a82a60b9f60c"/>
    <x v="3"/>
    <n v="50849002"/>
    <s v="Emergency room admission (procedure)"/>
    <n v="146.18"/>
    <n v="17391.75"/>
    <n v="13913.4"/>
    <n v="125605004"/>
    <x v="36"/>
  </r>
  <r>
    <s v="0f3d04a2-f42e-1429-f667-f1ff9d6d420b"/>
    <d v="2021-02-04T17:01:03"/>
    <d v="2021-02-13T17:16:03"/>
    <s v="0f3d04a2-f42e-1429-acef-0becd0a0fcea"/>
    <s v="02c936e2-3aee-38b2-88a4-81f3689b7bb7"/>
    <s v="8fc3ad99-f476-343c-bded-ef36802e3f51"/>
    <s v="a735bf55-83e9-331a-899d-a82a60b9f60c"/>
    <x v="7"/>
    <n v="32485007"/>
    <s v="Hospital admission (procedure)"/>
    <n v="110.92"/>
    <n v="7660.42"/>
    <n v="6128.34"/>
    <n v="25675004"/>
    <x v="46"/>
  </r>
  <r>
    <s v="0f3d04a2-f42e-1429-fce8-57d2290e6388"/>
    <d v="2021-03-04T15:44:21"/>
    <d v="2021-03-04T15:59:21"/>
    <s v="0f3d04a2-f42e-1429-acef-0becd0a0fcea"/>
    <s v="41e2a44c-477c-3511-96f9-12c476aa3b6a"/>
    <s v="6d061ae2-59e3-3fae-bc13-46189cbae70c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0f3d04a2-f42e-1429-eac7-e77d6c09ac2a"/>
    <d v="2021-03-20T18:01:03"/>
    <d v="2021-03-20T18:16:03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85.55"/>
    <n v="68.44"/>
    <n v="65966004"/>
    <x v="37"/>
  </r>
  <r>
    <s v="0f3d04a2-f42e-1429-6f6f-befd89fe1eef"/>
    <d v="2021-05-12T16:44:21"/>
    <d v="2021-05-12T17:44:21"/>
    <s v="0f3d04a2-f42e-1429-acef-0becd0a0fcea"/>
    <s v="74ab949d-17ac-3309-83a0-13b4405c66aa"/>
    <s v="35fedf4a-4da7-315e-a103-dbcfea0540fa"/>
    <s v="a735bf55-83e9-331a-899d-a82a60b9f60c"/>
    <x v="3"/>
    <n v="50849002"/>
    <s v="Emergency room admission (procedure)"/>
    <n v="146.18"/>
    <n v="23486.560000000001"/>
    <n v="18789.240000000002"/>
    <n v="230690007"/>
    <x v="88"/>
  </r>
  <r>
    <s v="0f3d04a2-f42e-1429-4052-0167a6847976"/>
    <d v="2021-06-24T16:44:21"/>
    <d v="2021-06-24T17:39:03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648.38"/>
    <n v="1318.7"/>
    <m/>
    <x v="0"/>
  </r>
  <r>
    <s v="0f3d04a2-f42e-1429-4f39-635f8ba35671"/>
    <d v="2022-06-30T16:44:21"/>
    <d v="2022-06-30T17:37:31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137.28"/>
    <n v="829.5"/>
    <m/>
    <x v="0"/>
  </r>
  <r>
    <s v="0f3d04a2-f42e-1429-be01-587d507e5a5b"/>
    <d v="2022-07-14T16:44:21"/>
    <d v="2022-07-14T20:11:11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2673.95"/>
    <n v="2139.16"/>
    <n v="103697008"/>
    <x v="3"/>
  </r>
  <r>
    <s v="0f3d04a2-f42e-1429-2d79-0e8ef18d427f"/>
    <d v="2022-12-04T22:44:21"/>
    <d v="2022-12-04T22:59:21"/>
    <s v="0f3d04a2-f42e-1429-acef-0becd0a0fcea"/>
    <s v="41e2a44c-477c-3511-96f9-12c476aa3b6a"/>
    <s v="6d061ae2-59e3-3fae-bc13-46189cbae70c"/>
    <s v="a735bf55-83e9-331a-899d-a82a60b9f60c"/>
    <x v="1"/>
    <n v="185345009"/>
    <s v="Encounter for symptom (procedure)"/>
    <n v="85.55"/>
    <n v="703.7"/>
    <n v="523.32000000000005"/>
    <n v="10509002"/>
    <x v="1"/>
  </r>
  <r>
    <s v="0f3d04a2-f42e-1429-2586-5f6911a25a3c"/>
    <d v="2022-12-15T15:44:21"/>
    <d v="2022-12-15T16:25:56"/>
    <s v="0f3d04a2-f42e-1429-acef-0becd0a0fcea"/>
    <s v="41e2a44c-477c-3511-96f9-12c476aa3b6a"/>
    <s v="6d061ae2-59e3-3fae-bc13-46189cbae70c"/>
    <s v="a735bf55-83e9-331a-899d-a82a60b9f60c"/>
    <x v="2"/>
    <n v="185349003"/>
    <s v="Encounter for check up (procedure)"/>
    <n v="85.55"/>
    <n v="591.53"/>
    <n v="473.22"/>
    <m/>
    <x v="0"/>
  </r>
  <r>
    <s v="0f3d04a2-f42e-1429-9049-0ea4d5b51e4f"/>
    <d v="2022-12-29T15:44:21"/>
    <d v="2022-12-29T19:28:20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3536.75"/>
    <n v="2829.4"/>
    <n v="103697008"/>
    <x v="3"/>
  </r>
  <r>
    <s v="0f3d04a2-f42e-1429-142e-306ebb2504f3"/>
    <d v="2023-05-28T18:01:03"/>
    <d v="2023-05-28T19:01:03"/>
    <s v="0f3d04a2-f42e-1429-acef-0becd0a0fcea"/>
    <s v="02c936e2-3aee-38b2-88a4-81f3689b7bb7"/>
    <s v="8fc3ad99-f476-343c-bded-ef36802e3f51"/>
    <s v="a735bf55-83e9-331a-899d-a82a60b9f60c"/>
    <x v="3"/>
    <n v="50849002"/>
    <s v="Emergency room admission (procedure)"/>
    <n v="146.18"/>
    <n v="1008.98"/>
    <n v="807.18"/>
    <n v="125605004"/>
    <x v="36"/>
  </r>
  <r>
    <s v="0f3d04a2-f42e-1429-bf22-2bd602b590f9"/>
    <d v="2023-05-28T18:26:06"/>
    <d v="2023-06-18T18:41:06"/>
    <s v="0f3d04a2-f42e-1429-acef-0becd0a0fcea"/>
    <s v="02c936e2-3aee-38b2-88a4-81f3689b7bb7"/>
    <s v="8fc3ad99-f476-343c-bded-ef36802e3f51"/>
    <s v="a735bf55-83e9-331a-899d-a82a60b9f60c"/>
    <x v="7"/>
    <n v="32485007"/>
    <s v="Hospital admission (procedure)"/>
    <n v="110.92"/>
    <n v="15468.63"/>
    <n v="12374.91"/>
    <n v="25675004"/>
    <x v="46"/>
  </r>
  <r>
    <s v="0f3d04a2-f42e-1429-d104-a4b4e8b94a70"/>
    <d v="2023-07-06T16:44:21"/>
    <d v="2023-07-06T17:39:35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934.74"/>
    <n v="747.78"/>
    <m/>
    <x v="0"/>
  </r>
  <r>
    <s v="0f3d04a2-f42e-1429-79d3-3e5bcb433f4c"/>
    <d v="2023-07-20T16:44:21"/>
    <d v="2023-07-20T19:49:25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3105.35"/>
    <n v="2484.2800000000002"/>
    <n v="103697008"/>
    <x v="3"/>
  </r>
  <r>
    <s v="0f3d04a2-f42e-1429-f3bb-02a6e9240bd5"/>
    <d v="2023-08-08T18:26:06"/>
    <d v="2023-08-08T18:41:06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85.55"/>
    <n v="68.44"/>
    <n v="65966004"/>
    <x v="37"/>
  </r>
  <r>
    <s v="0f3d04a2-f42e-1429-e160-99856433c604"/>
    <d v="2023-12-05T19:44:21"/>
    <d v="2023-12-05T19:59:21"/>
    <s v="0f3d04a2-f42e-1429-acef-0becd0a0fcea"/>
    <s v="41e2a44c-477c-3511-96f9-12c476aa3b6a"/>
    <s v="6d061ae2-59e3-3fae-bc13-46189cbae70c"/>
    <s v="a735bf55-83e9-331a-899d-a82a60b9f60c"/>
    <x v="1"/>
    <n v="185345009"/>
    <s v="Encounter for symptom (procedure)"/>
    <n v="85.55"/>
    <n v="4550.51"/>
    <n v="3549.22"/>
    <n v="10509002"/>
    <x v="1"/>
  </r>
  <r>
    <s v="0f3d04a2-f42e-1429-a8d7-a034ddadbbf8"/>
    <d v="2023-12-14T15:44:21"/>
    <d v="2023-12-14T16:32:13"/>
    <s v="0f3d04a2-f42e-1429-acef-0becd0a0fcea"/>
    <s v="121b0ad1-1beb-3caa-9271-3d3f726bb727"/>
    <s v="3d8598c7-b464-3e8b-b494-c85d503739b3"/>
    <s v="a735bf55-83e9-331a-899d-a82a60b9f60c"/>
    <x v="4"/>
    <n v="702927004"/>
    <s v="Urgent care clinic (environment)"/>
    <n v="142.58000000000001"/>
    <n v="655.36"/>
    <n v="524.28"/>
    <m/>
    <x v="0"/>
  </r>
  <r>
    <s v="0f3d04a2-f42e-1429-9b26-a0d6fd431831"/>
    <d v="2023-12-21T15:44:21"/>
    <d v="2023-12-21T15:59:21"/>
    <s v="0f3d04a2-f42e-1429-acef-0becd0a0fcea"/>
    <s v="41e2a44c-477c-3511-96f9-12c476aa3b6a"/>
    <s v="6d061ae2-59e3-3fae-bc13-46189cbae70c"/>
    <s v="a735bf55-83e9-331a-899d-a82a60b9f60c"/>
    <x v="2"/>
    <n v="185349003"/>
    <s v="Encounter for check up (procedure)"/>
    <n v="85.55"/>
    <n v="92.35"/>
    <n v="73.88"/>
    <m/>
    <x v="0"/>
  </r>
  <r>
    <s v="0f3d04a2-f42e-1429-3819-1de2ff3a0974"/>
    <d v="2023-12-28T15:44:21"/>
    <d v="2023-12-28T19:01:13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3105.35"/>
    <n v="2484.2800000000002"/>
    <n v="103697008"/>
    <x v="3"/>
  </r>
  <r>
    <s v="0f3d04a2-f42e-1429-da0c-199c2bc14869"/>
    <d v="2024-07-11T16:44:21"/>
    <d v="2024-07-11T17:16:02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785.58"/>
    <n v="628.46"/>
    <m/>
    <x v="0"/>
  </r>
  <r>
    <s v="0f3d04a2-f42e-1429-332f-b5a1f3aebcf4"/>
    <d v="2025-07-17T16:44:21"/>
    <d v="2025-07-17T17:36:03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778.78"/>
    <n v="542.44000000000005"/>
    <m/>
    <x v="0"/>
  </r>
  <r>
    <s v="0f3d04a2-f42e-1429-b132-e76764583f42"/>
    <d v="2025-07-31T16:44:21"/>
    <d v="2025-07-31T19:33:24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3536.75"/>
    <n v="2829.4"/>
    <n v="66383009"/>
    <x v="17"/>
  </r>
  <r>
    <s v="0f3d04a2-f42e-1429-cacf-0e03da4af7e1"/>
    <d v="2026-01-15T15:44:21"/>
    <d v="2026-01-15T16:20:17"/>
    <s v="0f3d04a2-f42e-1429-acef-0becd0a0fcea"/>
    <s v="41e2a44c-477c-3511-96f9-12c476aa3b6a"/>
    <s v="6d061ae2-59e3-3fae-bc13-46189cbae70c"/>
    <s v="a735bf55-83e9-331a-899d-a82a60b9f60c"/>
    <x v="2"/>
    <n v="185349003"/>
    <s v="Encounter for check up (procedure)"/>
    <n v="85.55"/>
    <n v="598.33000000000004"/>
    <n v="396.84"/>
    <m/>
    <x v="0"/>
  </r>
  <r>
    <s v="0f3d04a2-f42e-1429-7fec-6e66deeff8ed"/>
    <d v="2026-01-22T15:44:21"/>
    <d v="2026-01-22T16:01:29"/>
    <s v="0f3d04a2-f42e-1429-acef-0becd0a0fcea"/>
    <s v="41e2a44c-477c-3511-96f9-12c476aa3b6a"/>
    <s v="6d061ae2-59e3-3fae-bc13-46189cbae70c"/>
    <s v="a735bf55-83e9-331a-899d-a82a60b9f60c"/>
    <x v="1"/>
    <n v="185345009"/>
    <s v="Encounter for symptom (procedure)"/>
    <n v="85.55"/>
    <n v="120.06"/>
    <n v="96.05"/>
    <n v="10509002"/>
    <x v="1"/>
  </r>
  <r>
    <s v="0f3d04a2-f42e-1429-5ffb-af76a1552133"/>
    <d v="2026-01-29T15:44:21"/>
    <d v="2026-01-29T19:46:09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3968.15"/>
    <n v="3174.52"/>
    <n v="103697008"/>
    <x v="3"/>
  </r>
  <r>
    <s v="0f3d04a2-f42e-1429-bacc-1462084e2ddc"/>
    <d v="2026-07-23T16:44:21"/>
    <d v="2026-07-23T17:38:40"/>
    <s v="0f3d04a2-f42e-1429-acef-0becd0a0fcea"/>
    <s v="1b3fe590-8793-3f08-865d-01fc425a84d4"/>
    <s v="79618ea2-f3ea-393a-9820-81b8ac3c5dbc"/>
    <s v="a735bf55-83e9-331a-899d-a82a60b9f60c"/>
    <x v="0"/>
    <n v="162673000"/>
    <s v="General examination of patient (procedure)"/>
    <n v="136.80000000000001"/>
    <n v="1716.16"/>
    <n v="1372.92"/>
    <m/>
    <x v="0"/>
  </r>
  <r>
    <s v="0f3d04a2-f42e-1429-cb4a-3a10304283fc"/>
    <d v="2026-08-06T16:44:21"/>
    <d v="2026-08-06T19:27:17"/>
    <s v="0f3d04a2-f42e-1429-acef-0becd0a0fcea"/>
    <s v="41e2a44c-477c-3511-96f9-12c476aa3b6a"/>
    <s v="6d061ae2-59e3-3fae-bc13-46189cbae70c"/>
    <s v="a735bf55-83e9-331a-899d-a82a60b9f60c"/>
    <x v="1"/>
    <n v="185349003"/>
    <s v="Encounter for check up (procedure)"/>
    <n v="85.55"/>
    <n v="2673.95"/>
    <n v="2139.16"/>
    <n v="66383009"/>
    <x v="17"/>
  </r>
  <r>
    <s v="9c5b16dc-8a47-896c-ef3c-94e0375a7eec"/>
    <d v="1997-03-01T21:32:19"/>
    <d v="1997-03-01T21:50:15"/>
    <s v="9c5b16dc-8a47-896c-4d74-f96f8c98891b"/>
    <s v="aad05540-c9cb-3805-b3c4-f9b9d9b42b2e"/>
    <s v="f3d5ec38-244e-30ff-85e8-06914fcd3fa2"/>
    <s v="e03e23c9-4df1-3eb6-a62d-f70f02301496"/>
    <x v="0"/>
    <n v="410620009"/>
    <s v="Well child visit (procedure)"/>
    <n v="136.80000000000001"/>
    <n v="919.9"/>
    <n v="0"/>
    <m/>
    <x v="0"/>
  </r>
  <r>
    <s v="9c5b16dc-8a47-896c-4432-485c19254f9c"/>
    <d v="1998-03-07T21:32:19"/>
    <d v="1998-03-07T22:26:14"/>
    <s v="9c5b16dc-8a47-896c-4d74-f96f8c98891b"/>
    <s v="aad05540-c9cb-3805-b3c4-f9b9d9b42b2e"/>
    <s v="f3d5ec38-244e-30ff-85e8-06914fcd3fa2"/>
    <s v="e03e23c9-4df1-3eb6-a62d-f70f02301496"/>
    <x v="0"/>
    <n v="162673000"/>
    <s v="General examination of patient (procedure)"/>
    <n v="136.80000000000001"/>
    <n v="704.2"/>
    <n v="0"/>
    <m/>
    <x v="0"/>
  </r>
  <r>
    <s v="9c5b16dc-8a47-896c-ff85-796b4674f318"/>
    <d v="2002-03-16T21:32:19"/>
    <d v="2002-03-16T22:24:28"/>
    <s v="9c5b16dc-8a47-896c-4d74-f96f8c98891b"/>
    <s v="aad05540-c9cb-3805-b3c4-f9b9d9b42b2e"/>
    <s v="f3d5ec38-244e-30ff-85e8-06914fcd3fa2"/>
    <s v="e03e23c9-4df1-3eb6-a62d-f70f02301496"/>
    <x v="0"/>
    <n v="162673000"/>
    <s v="General examination of patient (procedure)"/>
    <n v="136.80000000000001"/>
    <n v="1266.48"/>
    <n v="0"/>
    <m/>
    <x v="0"/>
  </r>
  <r>
    <s v="9c5b16dc-8a47-896c-1b9b-150cb5a9c514"/>
    <d v="2008-03-22T22:32:19"/>
    <d v="2008-03-22T23:19:53"/>
    <s v="9c5b16dc-8a47-896c-4d74-f96f8c98891b"/>
    <s v="aad05540-c9cb-3805-b3c4-f9b9d9b42b2e"/>
    <s v="f3d5ec38-244e-30ff-85e8-06914fcd3fa2"/>
    <s v="0133f751-9229-3cfd-815f-b6d4979bdd6a"/>
    <x v="0"/>
    <n v="162673000"/>
    <s v="General examination of patient (procedure)"/>
    <n v="136.80000000000001"/>
    <n v="778.78"/>
    <n v="0"/>
    <m/>
    <x v="0"/>
  </r>
  <r>
    <s v="9c5b16dc-8a47-896c-8cf8-d8755b43d91f"/>
    <d v="2015-06-15T22:32:19"/>
    <d v="2015-06-15T22:47:19"/>
    <s v="9c5b16dc-8a47-896c-4d74-f96f8c98891b"/>
    <s v="0d9b0d22-585e-3fd8-ab02-26b5be7915d1"/>
    <s v="c6c080e3-b2a9-3c88-8a69-84a726482e4a"/>
    <s v="734afbd6-4794-363b-9bc0-6a3981533ed5"/>
    <x v="1"/>
    <n v="185345009"/>
    <s v="Encounter for symptom (procedure)"/>
    <n v="85.55"/>
    <n v="516.95000000000005"/>
    <n v="0"/>
    <n v="195967001"/>
    <x v="38"/>
  </r>
  <r>
    <s v="9c5b16dc-8a47-896c-f97f-371ec5f4c208"/>
    <d v="2015-06-27T22:32:19"/>
    <d v="2015-06-27T23:09:34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919.9"/>
    <n v="400.3"/>
    <m/>
    <x v="0"/>
  </r>
  <r>
    <s v="9c5b16dc-8a47-896c-43b5-db76ad05616d"/>
    <d v="2016-07-02T22:32:19"/>
    <d v="2016-07-02T23:15:49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568.20000000000005"/>
    <n v="0"/>
    <m/>
    <x v="0"/>
  </r>
  <r>
    <s v="9c5b16dc-8a47-896c-0ee1-632cf9cc62ed"/>
    <d v="2017-07-08T22:32:19"/>
    <d v="2017-07-08T23:28:15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778.78"/>
    <n v="0"/>
    <m/>
    <x v="0"/>
  </r>
  <r>
    <s v="9c5b16dc-8a47-896c-b0fd-ed72ffa20bf1"/>
    <d v="2017-07-22T22:32:19"/>
    <d v="2017-07-23T01:22:17"/>
    <s v="9c5b16dc-8a47-896c-4d74-f96f8c98891b"/>
    <s v="0d9b0d22-585e-3fd8-ab02-26b5be7915d1"/>
    <s v="c6c080e3-b2a9-3c88-8a69-84a726482e4a"/>
    <s v="734afbd6-4794-363b-9bc0-6a3981533ed5"/>
    <x v="1"/>
    <n v="185349003"/>
    <s v="Encounter for check up (procedure)"/>
    <n v="85.55"/>
    <n v="3105.35"/>
    <n v="2254.58"/>
    <n v="66383009"/>
    <x v="17"/>
  </r>
  <r>
    <s v="9c5b16dc-8a47-896c-c7de-5484cc4d31c6"/>
    <d v="2018-07-14T22:32:19"/>
    <d v="2018-07-14T23:18:36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704.2"/>
    <n v="0"/>
    <m/>
    <x v="0"/>
  </r>
  <r>
    <s v="9c5b16dc-8a47-896c-300e-ce9bc7b6f36b"/>
    <d v="2019-05-25T22:32:19"/>
    <d v="2019-05-25T22:47:19"/>
    <s v="9c5b16dc-8a47-896c-4d74-f96f8c98891b"/>
    <s v="0d9b0d22-585e-3fd8-ab02-26b5be7915d1"/>
    <s v="c6c080e3-b2a9-3c88-8a69-84a726482e4a"/>
    <s v="734afbd6-4794-363b-9bc0-6a3981533ed5"/>
    <x v="1"/>
    <n v="394701000"/>
    <s v="Asthma follow-up (regime/therapy)"/>
    <n v="142.58000000000001"/>
    <n v="142.58000000000001"/>
    <n v="0"/>
    <n v="195967001"/>
    <x v="38"/>
  </r>
  <r>
    <s v="9c5b16dc-8a47-896c-a468-df1ff07747ed"/>
    <d v="2019-07-20T22:32:19"/>
    <d v="2019-07-20T23:24:52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994.48"/>
    <n v="0"/>
    <m/>
    <x v="0"/>
  </r>
  <r>
    <s v="9c5b16dc-8a47-896c-3576-e91a13af98ef"/>
    <d v="2019-11-21T21:32:19"/>
    <d v="2019-11-21T22:32:19"/>
    <s v="9c5b16dc-8a47-896c-4d74-f96f8c98891b"/>
    <s v="8bf5325a-c11b-35c4-b07d-17a5aeba8353"/>
    <s v="d991fea7-c8ac-3662-9676-7be8a1564a13"/>
    <s v="734afbd6-4794-363b-9bc0-6a3981533ed5"/>
    <x v="3"/>
    <n v="183478001"/>
    <s v="Emergency hospital admission for asthma (procedure)"/>
    <n v="146.18"/>
    <n v="146.18"/>
    <n v="70.459999999999994"/>
    <n v="195967001"/>
    <x v="38"/>
  </r>
  <r>
    <s v="9c5b16dc-8a47-896c-6d1b-1dbef24f4052"/>
    <d v="2019-11-23T20:32:19"/>
    <d v="2019-11-23T20:47:19"/>
    <s v="9c5b16dc-8a47-896c-4d74-f96f8c98891b"/>
    <s v="0d9b0d22-585e-3fd8-ab02-26b5be7915d1"/>
    <s v="c6c080e3-b2a9-3c88-8a69-84a726482e4a"/>
    <s v="734afbd6-4794-363b-9bc0-6a3981533ed5"/>
    <x v="1"/>
    <n v="394701000"/>
    <s v="Asthma follow-up (regime/therapy)"/>
    <n v="142.58000000000001"/>
    <n v="142.58000000000001"/>
    <n v="114.06"/>
    <n v="195967001"/>
    <x v="38"/>
  </r>
  <r>
    <s v="9c5b16dc-8a47-896c-674f-539ca55b7fc3"/>
    <d v="2020-03-12T22:32:19"/>
    <d v="2020-03-12T23:32:19"/>
    <s v="9c5b16dc-8a47-896c-4d74-f96f8c98891b"/>
    <s v="74ab949d-17ac-3309-83a0-13b4405c66aa"/>
    <s v="35fedf4a-4da7-315e-a103-dbcfea0540fa"/>
    <s v="734afbd6-4794-363b-9bc0-6a3981533ed5"/>
    <x v="3"/>
    <n v="50849002"/>
    <s v="Emergency room admission (procedure)"/>
    <n v="146.18"/>
    <n v="15659.73"/>
    <n v="11673.23"/>
    <n v="22298006"/>
    <x v="71"/>
  </r>
  <r>
    <s v="9c5b16dc-8a47-896c-15ea-3f405d645b94"/>
    <d v="2020-03-12T23:31:21"/>
    <d v="2020-03-14T06:51:54"/>
    <s v="9c5b16dc-8a47-896c-4d74-f96f8c98891b"/>
    <s v="74ab949d-17ac-3309-83a0-13b4405c66aa"/>
    <s v="35fedf4a-4da7-315e-a103-dbcfea0540fa"/>
    <s v="734afbd6-4794-363b-9bc0-6a3981533ed5"/>
    <x v="6"/>
    <n v="32485007"/>
    <s v="Hospital admission (procedure)"/>
    <n v="146.18"/>
    <n v="10695.98"/>
    <n v="8556.7800000000007"/>
    <n v="401314000"/>
    <x v="72"/>
  </r>
  <r>
    <s v="9c5b16dc-8a47-896c-f61b-4d90271bbda5"/>
    <d v="2020-05-21T21:32:19"/>
    <d v="2020-05-21T21:47:19"/>
    <s v="9c5b16dc-8a47-896c-4d74-f96f8c98891b"/>
    <s v="0d9b0d22-585e-3fd8-ab02-26b5be7915d1"/>
    <s v="c6c080e3-b2a9-3c88-8a69-84a726482e4a"/>
    <s v="734afbd6-4794-363b-9bc0-6a3981533ed5"/>
    <x v="1"/>
    <n v="394701000"/>
    <s v="Asthma follow-up (regime/therapy)"/>
    <n v="142.58000000000001"/>
    <n v="142.58000000000001"/>
    <n v="114.06"/>
    <n v="195967001"/>
    <x v="38"/>
  </r>
  <r>
    <s v="9c5b16dc-8a47-896c-8bd8-c0831329bcf2"/>
    <d v="2020-07-25T22:32:19"/>
    <d v="2020-07-25T23:15:06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1130.48"/>
    <n v="904.38"/>
    <m/>
    <x v="0"/>
  </r>
  <r>
    <s v="9c5b16dc-8a47-896c-f5f6-a0ba10aeee85"/>
    <d v="2021-04-03T22:32:19"/>
    <d v="2021-04-03T22:47:19"/>
    <s v="9c5b16dc-8a47-896c-4d74-f96f8c98891b"/>
    <s v="0d9b0d22-585e-3fd8-ab02-26b5be7915d1"/>
    <s v="c6c080e3-b2a9-3c88-8a69-84a726482e4a"/>
    <s v="734afbd6-4794-363b-9bc0-6a3981533ed5"/>
    <x v="2"/>
    <n v="33879002"/>
    <s v="Administration of vaccine to produce active immunity (procedure)"/>
    <n v="142.58000000000001"/>
    <n v="278.58"/>
    <n v="0"/>
    <m/>
    <x v="0"/>
  </r>
  <r>
    <s v="9c5b16dc-8a47-896c-3dc0-9b5d8467aed0"/>
    <d v="2021-04-24T22:32:19"/>
    <d v="2021-04-24T22:47:19"/>
    <s v="9c5b16dc-8a47-896c-4d74-f96f8c98891b"/>
    <s v="0d9b0d22-585e-3fd8-ab02-26b5be7915d1"/>
    <s v="c6c080e3-b2a9-3c88-8a69-84a726482e4a"/>
    <s v="734afbd6-4794-363b-9bc0-6a3981533ed5"/>
    <x v="2"/>
    <n v="33879002"/>
    <s v="Administration of vaccine to produce active immunity (procedure)"/>
    <n v="142.58000000000001"/>
    <n v="278.58"/>
    <n v="0"/>
    <m/>
    <x v="0"/>
  </r>
  <r>
    <s v="9c5b16dc-8a47-896c-1d37-459dc5a7dc82"/>
    <d v="2021-07-31T22:32:19"/>
    <d v="2021-07-31T23:28:18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1551.6"/>
    <n v="729.84"/>
    <m/>
    <x v="0"/>
  </r>
  <r>
    <s v="9c5b16dc-8a47-896c-0042-4f9e3d269008"/>
    <d v="2022-05-11T21:32:19"/>
    <d v="2022-05-11T22:32:19"/>
    <s v="9c5b16dc-8a47-896c-4d74-f96f8c98891b"/>
    <s v="8bf5325a-c11b-35c4-b07d-17a5aeba8353"/>
    <s v="d991fea7-c8ac-3662-9676-7be8a1564a13"/>
    <s v="734afbd6-4794-363b-9bc0-6a3981533ed5"/>
    <x v="3"/>
    <n v="183478001"/>
    <s v="Emergency hospital admission for asthma (procedure)"/>
    <n v="146.18"/>
    <n v="146.18"/>
    <n v="0"/>
    <n v="195967001"/>
    <x v="38"/>
  </r>
  <r>
    <s v="9c5b16dc-8a47-896c-aa0d-9d1b208838ef"/>
    <d v="2022-05-14T02:32:19"/>
    <d v="2022-05-14T02:47:19"/>
    <s v="9c5b16dc-8a47-896c-4d74-f96f8c98891b"/>
    <s v="0d9b0d22-585e-3fd8-ab02-26b5be7915d1"/>
    <s v="c6c080e3-b2a9-3c88-8a69-84a726482e4a"/>
    <s v="734afbd6-4794-363b-9bc0-6a3981533ed5"/>
    <x v="1"/>
    <n v="394701000"/>
    <s v="Asthma follow-up (regime/therapy)"/>
    <n v="142.58000000000001"/>
    <n v="142.58000000000001"/>
    <n v="0"/>
    <n v="195967001"/>
    <x v="38"/>
  </r>
  <r>
    <s v="9c5b16dc-8a47-896c-b2bb-e48bcbd02e04"/>
    <d v="2022-08-06T22:32:19"/>
    <d v="2022-08-06T23:13:03"/>
    <s v="9c5b16dc-8a47-896c-4d74-f96f8c98891b"/>
    <s v="aad05540-c9cb-3805-b3c4-f9b9d9b42b2e"/>
    <s v="f3d5ec38-244e-30ff-85e8-06914fcd3fa2"/>
    <s v="734afbd6-4794-363b-9bc0-6a3981533ed5"/>
    <x v="0"/>
    <n v="162673000"/>
    <s v="General examination of patient (procedure)"/>
    <n v="136.80000000000001"/>
    <n v="704.2"/>
    <n v="0"/>
    <m/>
    <x v="0"/>
  </r>
  <r>
    <s v="9c5b16dc-8a47-896c-6d09-e32218e5abb0"/>
    <d v="2022-08-20T22:32:19"/>
    <d v="2022-08-21T00:58:15"/>
    <s v="9c5b16dc-8a47-896c-4d74-f96f8c98891b"/>
    <s v="0d9b0d22-585e-3fd8-ab02-26b5be7915d1"/>
    <s v="c6c080e3-b2a9-3c88-8a69-84a726482e4a"/>
    <s v="734afbd6-4794-363b-9bc0-6a3981533ed5"/>
    <x v="1"/>
    <n v="185349003"/>
    <s v="Encounter for check up (procedure)"/>
    <n v="85.55"/>
    <n v="3105.35"/>
    <n v="2321.54"/>
    <n v="66383009"/>
    <x v="17"/>
  </r>
  <r>
    <s v="9c5b16dc-8a47-896c-1052-7f82181edb8e"/>
    <d v="2022-11-18T21:32:19"/>
    <d v="2022-11-19T00:10:54"/>
    <s v="9c5b16dc-8a47-896c-4d74-f96f8c98891b"/>
    <s v="8bf5325a-c11b-35c4-b07d-17a5aeba8353"/>
    <s v="d991fea7-c8ac-3662-9676-7be8a1564a13"/>
    <s v="734afbd6-4794-363b-9bc0-6a3981533ed5"/>
    <x v="3"/>
    <n v="185345009"/>
    <s v="Encounter for symptom (procedure)"/>
    <n v="87.71"/>
    <n v="5488.25"/>
    <n v="4390.59"/>
    <n v="307426000"/>
    <x v="5"/>
  </r>
  <r>
    <s v="9c5b16dc-8a47-896c-2d2d-f3b909cdebbb"/>
    <d v="2022-11-20T17:10:54"/>
    <d v="2022-11-20T18:39:30"/>
    <s v="9c5b16dc-8a47-896c-4d74-f96f8c98891b"/>
    <s v="0d9b0d22-585e-3fd8-ab02-26b5be7915d1"/>
    <s v="c6c080e3-b2a9-3c88-8a69-84a726482e4a"/>
    <s v="734afbd6-4794-363b-9bc0-6a3981533ed5"/>
    <x v="1"/>
    <n v="185345009"/>
    <s v="Encounter for symptom (procedure)"/>
    <n v="85.55"/>
    <n v="3611.33"/>
    <n v="2889.06"/>
    <n v="307426000"/>
    <x v="5"/>
  </r>
  <r>
    <s v="9c5b16dc-8a47-896c-f577-72b43c8ac3a6"/>
    <d v="2023-08-12T22:32:19"/>
    <d v="2023-08-12T23:10:27"/>
    <s v="9c5b16dc-8a47-896c-4d74-f96f8c98891b"/>
    <s v="aad05540-c9cb-3805-b3c4-f9b9d9b42b2e"/>
    <s v="f3d5ec38-244e-30ff-85e8-06914fcd3fa2"/>
    <s v="26aab0cd-6aba-3e1b-ac5b-05c8867e762c"/>
    <x v="0"/>
    <n v="162673000"/>
    <s v="General examination of patient (procedure)"/>
    <n v="136.80000000000001"/>
    <n v="1190.1300000000001"/>
    <n v="0"/>
    <m/>
    <x v="0"/>
  </r>
  <r>
    <s v="9c5b16dc-8a47-896c-e008-a4aac0ed42f8"/>
    <d v="2023-08-19T22:32:19"/>
    <d v="2023-08-19T23:52:42"/>
    <s v="9c5b16dc-8a47-896c-4d74-f96f8c98891b"/>
    <s v="0d9b0d22-585e-3fd8-ab02-26b5be7915d1"/>
    <s v="c6c080e3-b2a9-3c88-8a69-84a726482e4a"/>
    <s v="26aab0cd-6aba-3e1b-ac5b-05c8867e762c"/>
    <x v="1"/>
    <n v="185347001"/>
    <s v="Encounter for problem (procedure)"/>
    <n v="85.55"/>
    <n v="1067.79"/>
    <n v="0"/>
    <n v="271737000"/>
    <x v="32"/>
  </r>
  <r>
    <s v="9c5b16dc-8a47-896c-8267-a3b9a2ffa7ae"/>
    <d v="2024-06-12T23:48:47"/>
    <d v="2024-06-13T00:48:47"/>
    <s v="9c5b16dc-8a47-896c-4d74-f96f8c98891b"/>
    <s v="8bf5325a-c11b-35c4-b07d-17a5aeba8353"/>
    <s v="d991fea7-c8ac-3662-9676-7be8a1564a13"/>
    <s v="26aab0cd-6aba-3e1b-ac5b-05c8867e762c"/>
    <x v="3"/>
    <n v="50849002"/>
    <s v="Emergency room admission (procedure)"/>
    <n v="146.18"/>
    <n v="146.18"/>
    <n v="0"/>
    <n v="90460009"/>
    <x v="45"/>
  </r>
  <r>
    <s v="9c5b16dc-8a47-896c-7ac4-860e07d50aeb"/>
    <d v="2024-06-12T23:48:47"/>
    <d v="2024-07-20T00:03:47"/>
    <s v="9c5b16dc-8a47-896c-4d74-f96f8c98891b"/>
    <s v="5a6fa8a5-90e2-3f70-bb3e-3d9dd7ad2f96"/>
    <s v="69b45f2f-4604-33b9-a24b-91eb6127b11a"/>
    <s v="26aab0cd-6aba-3e1b-ac5b-05c8867e762c"/>
    <x v="7"/>
    <n v="32485007"/>
    <s v="Hospital admission (procedure)"/>
    <n v="110.92"/>
    <n v="23577.119999999999"/>
    <n v="10636.12"/>
    <n v="25675004"/>
    <x v="46"/>
  </r>
  <r>
    <s v="9c5b16dc-8a47-896c-975d-27600d2414be"/>
    <d v="2024-08-17T22:32:19"/>
    <d v="2024-08-17T23:25:05"/>
    <s v="9c5b16dc-8a47-896c-4d74-f96f8c98891b"/>
    <s v="aad05540-c9cb-3805-b3c4-f9b9d9b42b2e"/>
    <s v="f3d5ec38-244e-30ff-85e8-06914fcd3fa2"/>
    <s v="26aab0cd-6aba-3e1b-ac5b-05c8867e762c"/>
    <x v="0"/>
    <n v="162673000"/>
    <s v="General examination of patient (procedure)"/>
    <n v="136.80000000000001"/>
    <n v="860.16"/>
    <n v="860.16"/>
    <m/>
    <x v="0"/>
  </r>
  <r>
    <s v="9c5b16dc-8a47-896c-ec00-a79ef8e58296"/>
    <d v="2024-10-30T02:32:19"/>
    <d v="2024-10-30T02:47:19"/>
    <s v="9c5b16dc-8a47-896c-4d74-f96f8c98891b"/>
    <s v="0d9b0d22-585e-3fd8-ab02-26b5be7915d1"/>
    <s v="c6c080e3-b2a9-3c88-8a69-84a726482e4a"/>
    <s v="26aab0cd-6aba-3e1b-ac5b-05c8867e762c"/>
    <x v="1"/>
    <n v="394701000"/>
    <s v="Asthma follow-up (regime/therapy)"/>
    <n v="142.58000000000001"/>
    <n v="142.58000000000001"/>
    <n v="142.58000000000001"/>
    <n v="195967001"/>
    <x v="38"/>
  </r>
  <r>
    <s v="9c5b16dc-8a47-896c-6157-c5b42d430a48"/>
    <d v="2025-04-28T02:32:19"/>
    <d v="2025-04-28T02:47:19"/>
    <s v="9c5b16dc-8a47-896c-4d74-f96f8c98891b"/>
    <s v="0d9b0d22-585e-3fd8-ab02-26b5be7915d1"/>
    <s v="c6c080e3-b2a9-3c88-8a69-84a726482e4a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9c5b16dc-8a47-896c-0eda-05ea714102a3"/>
    <d v="2025-08-23T22:32:19"/>
    <d v="2025-08-23T23:31:31"/>
    <s v="9c5b16dc-8a47-896c-4d74-f96f8c98891b"/>
    <s v="aad05540-c9cb-3805-b3c4-f9b9d9b42b2e"/>
    <s v="f3d5ec38-244e-30ff-85e8-06914fcd3fa2"/>
    <s v="26aab0cd-6aba-3e1b-ac5b-05c8867e762c"/>
    <x v="0"/>
    <n v="162673000"/>
    <s v="General examination of patient (procedure)"/>
    <n v="136.80000000000001"/>
    <n v="1250.71"/>
    <n v="0"/>
    <m/>
    <x v="0"/>
  </r>
  <r>
    <s v="9c5b16dc-8a47-896c-1e2c-d9de94a89221"/>
    <d v="2026-04-23T02:32:19"/>
    <d v="2026-04-23T02:47:19"/>
    <s v="9c5b16dc-8a47-896c-4d74-f96f8c98891b"/>
    <s v="0d9b0d22-585e-3fd8-ab02-26b5be7915d1"/>
    <s v="c6c080e3-b2a9-3c88-8a69-84a726482e4a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ad48e669-959c-b6f8-f034-0aff904d5d16"/>
    <d v="2015-11-10T08:52:51"/>
    <d v="2015-11-10T09:07:51"/>
    <s v="ad48e669-959c-b6f8-8ddb-dda7a6d37473"/>
    <s v="acffdfa8-1383-3929-8c99-e73969491439"/>
    <s v="d0fd8973-3052-3b9b-8637-09e0c58850ad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ad48e669-959c-b6f8-49d6-fce7e2fd21f5"/>
    <d v="2016-08-05T10:52:51"/>
    <d v="2016-08-05T11:07:51"/>
    <s v="ad48e669-959c-b6f8-8ddb-dda7a6d37473"/>
    <s v="acffdfa8-1383-3929-8c99-e73969491439"/>
    <s v="d0fd8973-3052-3b9b-8637-09e0c58850ad"/>
    <s v="df166300-5a78-3502-a46a-832842197811"/>
    <x v="1"/>
    <n v="185345009"/>
    <s v="Encounter for symptom (procedure)"/>
    <n v="85.55"/>
    <n v="85.55"/>
    <n v="35.549999999999997"/>
    <n v="444814009"/>
    <x v="2"/>
  </r>
  <r>
    <s v="ad48e669-959c-b6f8-a11b-078733297c50"/>
    <d v="2016-11-12T08:52:51"/>
    <d v="2016-11-12T10:18:52"/>
    <s v="ad48e669-959c-b6f8-8ddb-dda7a6d37473"/>
    <s v="acffdfa8-1383-3929-8c99-e73969491439"/>
    <s v="d0fd8973-3052-3b9b-8637-09e0c58850ad"/>
    <s v="df166300-5a78-3502-a46a-832842197811"/>
    <x v="1"/>
    <n v="185345009"/>
    <s v="Encounter for symptom (procedure)"/>
    <n v="85.55"/>
    <n v="3611.33"/>
    <n v="3541.27"/>
    <n v="307426000"/>
    <x v="5"/>
  </r>
  <r>
    <s v="ad48e669-959c-b6f8-71a5-35835fc049c9"/>
    <d v="2016-12-17T08:52:51"/>
    <d v="2016-12-17T09:18:40"/>
    <s v="ad48e669-959c-b6f8-8ddb-dda7a6d37473"/>
    <s v="03d0392a-7361-32b3-81c9-8c8ac985be00"/>
    <s v="255895f7-d1f9-30e4-973b-42ffe6c3a792"/>
    <s v="df166300-5a78-3502-a46a-832842197811"/>
    <x v="0"/>
    <n v="410620009"/>
    <s v="Well child visit (procedure)"/>
    <n v="136.80000000000001"/>
    <n v="704.2"/>
    <n v="704.2"/>
    <m/>
    <x v="0"/>
  </r>
  <r>
    <s v="ad48e669-959c-b6f8-f17f-4b76e19f1205"/>
    <d v="2016-12-31T08:52:51"/>
    <d v="2016-12-31T13:21:01"/>
    <s v="ad48e669-959c-b6f8-8ddb-dda7a6d37473"/>
    <s v="acffdfa8-1383-3929-8c99-e73969491439"/>
    <s v="d0fd8973-3052-3b9b-8637-09e0c58850ad"/>
    <s v="df166300-5a78-3502-a46a-832842197811"/>
    <x v="1"/>
    <n v="185349003"/>
    <s v="Encounter for check up (procedure)"/>
    <n v="85.55"/>
    <n v="3105.35"/>
    <n v="3055.35"/>
    <n v="66383009"/>
    <x v="17"/>
  </r>
  <r>
    <s v="ad48e669-959c-b6f8-8781-78e6c9e9dc50"/>
    <d v="2017-10-15T07:52:51"/>
    <d v="2017-10-15T08:07:51"/>
    <s v="ad48e669-959c-b6f8-8ddb-dda7a6d37473"/>
    <s v="acffdfa8-1383-3929-8c99-e73969491439"/>
    <s v="d0fd8973-3052-3b9b-8637-09e0c58850ad"/>
    <s v="df166300-5a78-3502-a46a-832842197811"/>
    <x v="1"/>
    <n v="185345009"/>
    <s v="Encounter for symptom (procedure)"/>
    <n v="85.55"/>
    <n v="85.55"/>
    <n v="35.549999999999997"/>
    <n v="444814009"/>
    <x v="2"/>
  </r>
  <r>
    <s v="ad48e669-959c-b6f8-1989-8ad97fff24ce"/>
    <d v="2017-12-23T08:52:51"/>
    <d v="2017-12-23T09:20:10"/>
    <s v="ad48e669-959c-b6f8-8ddb-dda7a6d37473"/>
    <s v="03d0392a-7361-32b3-81c9-8c8ac985be00"/>
    <s v="255895f7-d1f9-30e4-973b-42ffe6c3a792"/>
    <s v="df166300-5a78-3502-a46a-832842197811"/>
    <x v="0"/>
    <n v="410620009"/>
    <s v="Well child visit (procedure)"/>
    <n v="136.80000000000001"/>
    <n v="1244.75"/>
    <n v="1144.75"/>
    <m/>
    <x v="0"/>
  </r>
  <r>
    <s v="ad48e669-959c-b6f8-982e-578417b94d37"/>
    <d v="2018-01-29T00:52:51"/>
    <d v="2018-01-29T01:07:51"/>
    <s v="ad48e669-959c-b6f8-8ddb-dda7a6d37473"/>
    <s v="acffdfa8-1383-3929-8c99-e73969491439"/>
    <s v="d0fd8973-3052-3b9b-8637-09e0c58850ad"/>
    <s v="df166300-5a78-3502-a46a-832842197811"/>
    <x v="1"/>
    <n v="185345009"/>
    <s v="Encounter for symptom (procedure)"/>
    <n v="85.55"/>
    <n v="85.55"/>
    <n v="35.549999999999997"/>
    <n v="444814009"/>
    <x v="2"/>
  </r>
  <r>
    <s v="ad48e669-959c-b6f8-f8bc-02b113e0f67c"/>
    <d v="2018-12-29T08:52:51"/>
    <d v="2018-12-29T09:18:41"/>
    <s v="ad48e669-959c-b6f8-8ddb-dda7a6d37473"/>
    <s v="03d0392a-7361-32b3-81c9-8c8ac985be00"/>
    <s v="255895f7-d1f9-30e4-973b-42ffe6c3a792"/>
    <s v="df166300-5a78-3502-a46a-832842197811"/>
    <x v="0"/>
    <n v="410620009"/>
    <s v="Well child visit (procedure)"/>
    <n v="136.80000000000001"/>
    <n v="704.2"/>
    <n v="604.20000000000005"/>
    <m/>
    <x v="0"/>
  </r>
  <r>
    <s v="ad48e669-959c-b6f8-4ffc-e388b121d17f"/>
    <d v="2020-01-04T08:52:51"/>
    <d v="2020-01-04T09:28:26"/>
    <s v="ad48e669-959c-b6f8-8ddb-dda7a6d37473"/>
    <s v="03d0392a-7361-32b3-81c9-8c8ac985be00"/>
    <s v="255895f7-d1f9-30e4-973b-42ffe6c3a792"/>
    <s v="df166300-5a78-3502-a46a-832842197811"/>
    <x v="0"/>
    <n v="162673000"/>
    <s v="General examination of patient (procedure)"/>
    <n v="136.80000000000001"/>
    <n v="704.2"/>
    <n v="604.20000000000005"/>
    <m/>
    <x v="0"/>
  </r>
  <r>
    <s v="ad48e669-959c-b6f8-d42e-f3c366ad6470"/>
    <d v="2020-01-18T08:52:51"/>
    <d v="2020-01-18T11:46:02"/>
    <s v="ad48e669-959c-b6f8-8ddb-dda7a6d37473"/>
    <s v="acffdfa8-1383-3929-8c99-e73969491439"/>
    <s v="d0fd8973-3052-3b9b-8637-09e0c58850ad"/>
    <s v="df166300-5a78-3502-a46a-832842197811"/>
    <x v="1"/>
    <n v="185349003"/>
    <s v="Encounter for check up (procedure)"/>
    <n v="85.55"/>
    <n v="2673.95"/>
    <n v="2623.95"/>
    <n v="103697008"/>
    <x v="3"/>
  </r>
  <r>
    <s v="ad48e669-959c-b6f8-b8cd-f371051527c2"/>
    <d v="2020-10-03T09:52:51"/>
    <d v="2020-10-03T10:48:39"/>
    <s v="ad48e669-959c-b6f8-8ddb-dda7a6d37473"/>
    <s v="acffdfa8-1383-3929-8c99-e73969491439"/>
    <s v="d0fd8973-3052-3b9b-8637-09e0c58850ad"/>
    <s v="df166300-5a78-3502-a46a-832842197811"/>
    <x v="2"/>
    <n v="185349003"/>
    <s v="Encounter for check up (procedure)"/>
    <n v="85.55"/>
    <n v="1443.67"/>
    <n v="1393.67"/>
    <m/>
    <x v="0"/>
  </r>
  <r>
    <s v="ad48e669-959c-b6f8-871f-0a0fb4442ba0"/>
    <d v="2020-10-10T09:52:51"/>
    <d v="2020-10-10T10:07:51"/>
    <s v="ad48e669-959c-b6f8-8ddb-dda7a6d37473"/>
    <s v="acffdfa8-1383-3929-8c99-e73969491439"/>
    <s v="d0fd8973-3052-3b9b-8637-09e0c58850ad"/>
    <s v="df166300-5a78-3502-a46a-832842197811"/>
    <x v="1"/>
    <n v="185345009"/>
    <s v="Encounter for symptom (procedure)"/>
    <n v="85.55"/>
    <n v="85.55"/>
    <n v="35.549999999999997"/>
    <n v="444814009"/>
    <x v="2"/>
  </r>
  <r>
    <s v="ad48e669-959c-b6f8-4f40-c66c8ee8f0a7"/>
    <d v="2021-01-09T08:52:51"/>
    <d v="2021-01-09T09:39:38"/>
    <s v="ad48e669-959c-b6f8-8ddb-dda7a6d37473"/>
    <s v="03d0392a-7361-32b3-81c9-8c8ac985be00"/>
    <s v="255895f7-d1f9-30e4-973b-42ffe6c3a792"/>
    <s v="df166300-5a78-3502-a46a-832842197811"/>
    <x v="0"/>
    <n v="162673000"/>
    <s v="General examination of patient (procedure)"/>
    <n v="136.80000000000001"/>
    <n v="568.20000000000005"/>
    <n v="468.2"/>
    <m/>
    <x v="0"/>
  </r>
  <r>
    <s v="ad48e669-959c-b6f8-3471-b6eff9bd95af"/>
    <d v="2021-04-17T09:52:51"/>
    <d v="2021-04-17T10:07:51"/>
    <s v="ad48e669-959c-b6f8-8ddb-dda7a6d37473"/>
    <s v="acffdfa8-1383-3929-8c99-e73969491439"/>
    <s v="d0fd8973-3052-3b9b-8637-09e0c58850ad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ad48e669-959c-b6f8-2271-6f5b9fb9cf96"/>
    <d v="2021-05-08T09:52:51"/>
    <d v="2021-05-08T10:07:51"/>
    <s v="ad48e669-959c-b6f8-8ddb-dda7a6d37473"/>
    <s v="acffdfa8-1383-3929-8c99-e73969491439"/>
    <s v="d0fd8973-3052-3b9b-8637-09e0c58850ad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ad48e669-959c-b6f8-b747-40b547e683fc"/>
    <d v="2021-10-09T09:52:51"/>
    <d v="2021-10-09T10:07:51"/>
    <s v="ad48e669-959c-b6f8-8ddb-dda7a6d37473"/>
    <s v="acffdfa8-1383-3929-8c99-e73969491439"/>
    <s v="d0fd8973-3052-3b9b-8637-09e0c58850ad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ad48e669-959c-b6f8-b15c-23e1072f3789"/>
    <d v="2022-10-04T09:52:51"/>
    <d v="2022-10-04T10:07:51"/>
    <s v="ad48e669-959c-b6f8-8ddb-dda7a6d37473"/>
    <s v="acffdfa8-1383-3929-8c99-e73969491439"/>
    <s v="d0fd8973-3052-3b9b-8637-09e0c58850ad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ad48e669-959c-b6f8-c6da-7a0ed92272bd"/>
    <d v="2023-07-01T09:52:51"/>
    <d v="2023-07-01T10:07:51"/>
    <s v="ad48e669-959c-b6f8-8ddb-dda7a6d37473"/>
    <s v="acffdfa8-1383-3929-8c99-e73969491439"/>
    <s v="d0fd8973-3052-3b9b-8637-09e0c58850ad"/>
    <s v="df166300-5a78-3502-a46a-832842197811"/>
    <x v="1"/>
    <n v="424441002"/>
    <s v="Prenatal initial visit (regime/therapy)"/>
    <n v="142.58000000000001"/>
    <n v="35713.25"/>
    <n v="35563.25"/>
    <n v="72892002"/>
    <x v="4"/>
  </r>
  <r>
    <s v="ad48e669-959c-b6f8-da07-d17d167e8129"/>
    <d v="2023-07-29T09:52:51"/>
    <d v="2023-07-29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5705.03"/>
    <n v="5655.03"/>
    <n v="72892002"/>
    <x v="4"/>
  </r>
  <r>
    <s v="ad48e669-959c-b6f8-cea9-86ee7f7f4041"/>
    <d v="2023-08-26T09:52:51"/>
    <d v="2023-08-26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5983.04"/>
    <n v="15933.04"/>
    <n v="72892002"/>
    <x v="4"/>
  </r>
  <r>
    <s v="ad48e669-959c-b6f8-803d-44e46304ce0f"/>
    <d v="2023-09-23T09:52:51"/>
    <d v="2023-09-23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5101.99"/>
    <n v="5051.99"/>
    <n v="72892002"/>
    <x v="4"/>
  </r>
  <r>
    <s v="ad48e669-959c-b6f8-55e8-638621c933dc"/>
    <d v="2023-10-21T09:52:51"/>
    <d v="2023-10-21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5663.3"/>
    <n v="15613.3"/>
    <n v="72892002"/>
    <x v="4"/>
  </r>
  <r>
    <s v="ad48e669-959c-b6f8-f7af-0ccf2648a8bf"/>
    <d v="2023-11-18T08:52:51"/>
    <d v="2023-11-18T09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7327.5"/>
    <n v="17177.5"/>
    <n v="72892002"/>
    <x v="4"/>
  </r>
  <r>
    <s v="ad48e669-959c-b6f8-a9f5-6e7c30edb3bd"/>
    <d v="2023-12-16T08:52:51"/>
    <d v="2023-12-16T09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9806.84"/>
    <n v="9756.84"/>
    <n v="72892002"/>
    <x v="4"/>
  </r>
  <r>
    <s v="ad48e669-959c-b6f8-172b-fee30eb0fcb9"/>
    <d v="2024-01-13T08:52:51"/>
    <d v="2024-01-13T09:44:32"/>
    <s v="ad48e669-959c-b6f8-8ddb-dda7a6d37473"/>
    <s v="03d0392a-7361-32b3-81c9-8c8ac985be00"/>
    <s v="255895f7-d1f9-30e4-973b-42ffe6c3a792"/>
    <s v="df166300-5a78-3502-a46a-832842197811"/>
    <x v="0"/>
    <n v="162673000"/>
    <s v="General examination of patient (procedure)"/>
    <n v="136.80000000000001"/>
    <n v="1611.15"/>
    <n v="1611.15"/>
    <m/>
    <x v="0"/>
  </r>
  <r>
    <s v="ad48e669-959c-b6f8-3b64-a21b54dc2350"/>
    <d v="2024-01-20T08:52:51"/>
    <d v="2024-01-20T09:52:51"/>
    <s v="ad48e669-959c-b6f8-8ddb-dda7a6d37473"/>
    <s v="02c936e2-3aee-38b2-88a4-81f3689b7bb7"/>
    <s v="8fc3ad99-f476-343c-bded-ef36802e3f51"/>
    <s v="df166300-5a78-3502-a46a-832842197811"/>
    <x v="3"/>
    <n v="183460006"/>
    <s v="Obstetric emergency hospital admission (procedure)"/>
    <n v="146.18"/>
    <n v="2925.6"/>
    <n v="2875.6"/>
    <n v="72892002"/>
    <x v="4"/>
  </r>
  <r>
    <s v="ad48e669-959c-b6f8-2f1b-8b1359761b9c"/>
    <d v="2024-03-02T08:52:51"/>
    <d v="2024-03-02T09:07:51"/>
    <s v="ad48e669-959c-b6f8-8ddb-dda7a6d37473"/>
    <s v="acffdfa8-1383-3929-8c99-e73969491439"/>
    <s v="d0fd8973-3052-3b9b-8637-09e0c58850ad"/>
    <s v="df166300-5a78-3502-a46a-832842197811"/>
    <x v="1"/>
    <n v="169762003"/>
    <s v="Postnatal visit (regime/therapy)"/>
    <n v="142.58000000000001"/>
    <n v="1005.38"/>
    <n v="955.38"/>
    <m/>
    <x v="0"/>
  </r>
  <r>
    <s v="ad48e669-959c-b6f8-160e-e804828108c9"/>
    <d v="2025-11-15T08:52:51"/>
    <d v="2025-11-15T09:07:51"/>
    <s v="ad48e669-959c-b6f8-8ddb-dda7a6d37473"/>
    <s v="acffdfa8-1383-3929-8c99-e73969491439"/>
    <s v="d0fd8973-3052-3b9b-8637-09e0c58850ad"/>
    <s v="df166300-5a78-3502-a46a-832842197811"/>
    <x v="1"/>
    <n v="424441002"/>
    <s v="Prenatal initial visit (regime/therapy)"/>
    <n v="142.58000000000001"/>
    <n v="34128.379999999997"/>
    <n v="33978.379999999997"/>
    <n v="72892002"/>
    <x v="4"/>
  </r>
  <r>
    <s v="ad48e669-959c-b6f8-ee55-e8acb8ad45c7"/>
    <d v="2025-12-13T08:52:51"/>
    <d v="2025-12-13T09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2798.66"/>
    <n v="12748.66"/>
    <n v="72892002"/>
    <x v="4"/>
  </r>
  <r>
    <s v="ad48e669-959c-b6f8-3493-470b2b5e8f1b"/>
    <d v="2026-01-10T08:52:51"/>
    <d v="2026-01-10T09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9858.5"/>
    <n v="9808.5"/>
    <n v="72892002"/>
    <x v="4"/>
  </r>
  <r>
    <s v="ad48e669-959c-b6f8-ac94-84bb4af1bf4d"/>
    <d v="2026-02-07T08:52:51"/>
    <d v="2026-02-07T09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6535.63"/>
    <n v="6485.63"/>
    <n v="72892002"/>
    <x v="4"/>
  </r>
  <r>
    <s v="ad48e669-959c-b6f8-4848-839f5e4d54fb"/>
    <d v="2026-03-07T08:52:51"/>
    <d v="2026-03-07T09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1451.02"/>
    <n v="11401.02"/>
    <n v="72892002"/>
    <x v="4"/>
  </r>
  <r>
    <s v="ad48e669-959c-b6f8-2541-12798942167b"/>
    <d v="2026-04-04T09:52:51"/>
    <d v="2026-04-04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9059.759999999998"/>
    <n v="19009.759999999998"/>
    <n v="72892002"/>
    <x v="4"/>
  </r>
  <r>
    <s v="ad48e669-959c-b6f8-53f2-62f0697c0efc"/>
    <d v="2026-05-02T09:52:51"/>
    <d v="2026-05-02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5696.08"/>
    <n v="5646.08"/>
    <n v="72892002"/>
    <x v="4"/>
  </r>
  <r>
    <s v="ad48e669-959c-b6f8-b717-c7702e74cc6a"/>
    <d v="2026-05-30T09:52:51"/>
    <d v="2026-05-30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14902.22"/>
    <n v="14852.22"/>
    <n v="72892002"/>
    <x v="4"/>
  </r>
  <r>
    <s v="ad48e669-959c-b6f8-920b-f6624e324fa4"/>
    <d v="2026-06-13T09:52:51"/>
    <d v="2026-06-13T10:07:51"/>
    <s v="ad48e669-959c-b6f8-8ddb-dda7a6d37473"/>
    <s v="acffdfa8-1383-3929-8c99-e73969491439"/>
    <s v="d0fd8973-3052-3b9b-8637-09e0c58850ad"/>
    <s v="df166300-5a78-3502-a46a-832842197811"/>
    <x v="1"/>
    <n v="424619006"/>
    <s v="Prenatal visit (regime/therapy)"/>
    <n v="142.58000000000001"/>
    <n v="6397.43"/>
    <n v="6347.43"/>
    <n v="72892002"/>
    <x v="4"/>
  </r>
  <r>
    <s v="ad48e669-959c-b6f8-6379-aa0f69d89591"/>
    <d v="2026-06-20T09:52:51"/>
    <d v="2026-06-20T10:52:51"/>
    <s v="ad48e669-959c-b6f8-8ddb-dda7a6d37473"/>
    <s v="02c936e2-3aee-38b2-88a4-81f3689b7bb7"/>
    <s v="8fc3ad99-f476-343c-bded-ef36802e3f51"/>
    <s v="df166300-5a78-3502-a46a-832842197811"/>
    <x v="3"/>
    <n v="183460006"/>
    <s v="Obstetric emergency hospital admission (procedure)"/>
    <n v="146.18"/>
    <n v="17351.97"/>
    <n v="17301.97"/>
    <n v="72892002"/>
    <x v="4"/>
  </r>
  <r>
    <s v="ad48e669-959c-b6f8-796d-9c8b761e7a8b"/>
    <d v="2026-08-01T09:52:51"/>
    <d v="2026-08-01T10:07:51"/>
    <s v="ad48e669-959c-b6f8-8ddb-dda7a6d37473"/>
    <s v="acffdfa8-1383-3929-8c99-e73969491439"/>
    <s v="d0fd8973-3052-3b9b-8637-09e0c58850ad"/>
    <s v="df166300-5a78-3502-a46a-832842197811"/>
    <x v="1"/>
    <n v="169762003"/>
    <s v="Postnatal visit (regime/therapy)"/>
    <n v="142.58000000000001"/>
    <n v="1005.38"/>
    <n v="955.38"/>
    <m/>
    <x v="0"/>
  </r>
  <r>
    <s v="f870c432-0887-125e-9811-d7ebf19aaac2"/>
    <d v="1987-10-13T22:20:33"/>
    <d v="1987-10-13T23:08:40"/>
    <s v="f870c432-0887-125e-f778-cf5110d3de1d"/>
    <s v="67d2f85b-ddc7-3ed0-b90b-6fa5b7b8358a"/>
    <s v="e7737f42-8f32-340e-88fb-ce3102885da9"/>
    <s v="26aab0cd-6aba-3e1b-ac5b-05c8867e762c"/>
    <x v="0"/>
    <n v="162673000"/>
    <s v="General examination of patient (procedure)"/>
    <n v="136.80000000000001"/>
    <n v="704.2"/>
    <n v="0"/>
    <m/>
    <x v="0"/>
  </r>
  <r>
    <s v="f870c432-0887-125e-a238-4b94934775c3"/>
    <d v="1988-10-18T22:20:33"/>
    <d v="1988-10-18T23:13:36"/>
    <s v="f870c432-0887-125e-f778-cf5110d3de1d"/>
    <s v="67d2f85b-ddc7-3ed0-b90b-6fa5b7b8358a"/>
    <s v="e7737f42-8f32-340e-88fb-ce3102885da9"/>
    <s v="26aab0cd-6aba-3e1b-ac5b-05c8867e762c"/>
    <x v="0"/>
    <n v="162673000"/>
    <s v="General examination of patient (procedure)"/>
    <n v="136.80000000000001"/>
    <n v="1058.1199999999999"/>
    <n v="0"/>
    <m/>
    <x v="0"/>
  </r>
  <r>
    <s v="f870c432-0887-125e-df49-3b5b9f441b70"/>
    <d v="1988-12-20T21:20:33"/>
    <d v="1988-12-20T22:03:18"/>
    <s v="f870c432-0887-125e-f778-cf5110d3de1d"/>
    <s v="121b0ad1-1beb-3caa-9271-3d3f726bb727"/>
    <s v="3d8598c7-b464-3e8b-b494-c85d503739b3"/>
    <s v="26aab0cd-6aba-3e1b-ac5b-05c8867e762c"/>
    <x v="4"/>
    <n v="702927004"/>
    <s v="Urgent care clinic (environment)"/>
    <n v="142.58000000000001"/>
    <n v="655.36"/>
    <n v="0"/>
    <m/>
    <x v="0"/>
  </r>
  <r>
    <s v="f870c432-0887-125e-828d-fc27d192607b"/>
    <d v="1988-12-27T21:20:33"/>
    <d v="1988-12-27T22:32:50"/>
    <s v="f870c432-0887-125e-f778-cf5110d3de1d"/>
    <s v="25431f9a-00e4-36d8-9810-4125328eec50"/>
    <s v="a39244c8-90fb-3daa-80d3-b5d962531ea6"/>
    <s v="26aab0cd-6aba-3e1b-ac5b-05c8867e762c"/>
    <x v="1"/>
    <n v="185347001"/>
    <s v="Encounter for problem (procedure)"/>
    <n v="85.55"/>
    <n v="974.54"/>
    <n v="0"/>
    <n v="271737000"/>
    <x v="32"/>
  </r>
  <r>
    <s v="f870c432-0887-125e-62a8-a758fa4cc4c9"/>
    <d v="2009-08-09T22:20:33"/>
    <d v="2009-08-09T23:15:48"/>
    <s v="f870c432-0887-125e-f778-cf5110d3de1d"/>
    <s v="25431f9a-00e4-36d8-9810-4125328eec50"/>
    <s v="a39244c8-90fb-3daa-80d3-b5d962531ea6"/>
    <s v="26aab0cd-6aba-3e1b-ac5b-05c8867e762c"/>
    <x v="1"/>
    <n v="185345009"/>
    <s v="Encounter for symptom (procedure)"/>
    <n v="85.55"/>
    <n v="948.35"/>
    <n v="0"/>
    <n v="39898005"/>
    <x v="60"/>
  </r>
  <r>
    <s v="f870c432-0887-125e-46ec-a77f360112e2"/>
    <d v="2009-08-25T22:20:33"/>
    <d v="2009-08-25T22:52:49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996.16"/>
    <n v="610.52"/>
    <m/>
    <x v="0"/>
  </r>
  <r>
    <s v="f870c432-0887-125e-b7aa-5db8b8675b44"/>
    <d v="2009-09-09T00:02:16"/>
    <d v="2009-09-10T00:02:16"/>
    <s v="f870c432-0887-125e-f778-cf5110d3de1d"/>
    <s v="25431f9a-00e4-36d8-9810-4125328eec50"/>
    <s v="a39244c8-90fb-3daa-80d3-b5d962531ea6"/>
    <s v="a735bf55-83e9-331a-899d-a82a60b9f60c"/>
    <x v="6"/>
    <n v="185389009"/>
    <s v="Follow-up visit (procedure)"/>
    <n v="87.71"/>
    <n v="997.08"/>
    <n v="797.67"/>
    <n v="39898005"/>
    <x v="60"/>
  </r>
  <r>
    <s v="f870c432-0887-125e-ad37-d73187995692"/>
    <d v="2013-09-03T22:20:33"/>
    <d v="2013-09-03T23:06:17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216.98"/>
    <n v="787.18"/>
    <m/>
    <x v="0"/>
  </r>
  <r>
    <s v="f870c432-0887-125e-1dad-ee364c46cb2d"/>
    <d v="2013-09-12T18:56:47"/>
    <d v="2013-09-12T23:40:43"/>
    <s v="f870c432-0887-125e-f778-cf5110d3de1d"/>
    <s v="74ab949d-17ac-3309-83a0-13b4405c66aa"/>
    <s v="35fedf4a-4da7-315e-a103-dbcfea0540fa"/>
    <s v="a735bf55-83e9-331a-899d-a82a60b9f60c"/>
    <x v="1"/>
    <n v="185347001"/>
    <s v="Encounter for problem (procedure)"/>
    <n v="85.55"/>
    <n v="1444.46"/>
    <n v="1155.57"/>
    <n v="414545008"/>
    <x v="19"/>
  </r>
  <r>
    <s v="f870c432-0887-125e-f7a4-31e2f362ace5"/>
    <d v="2014-01-30T21:20:33"/>
    <d v="2014-01-30T21:35:33"/>
    <s v="f870c432-0887-125e-f778-cf5110d3de1d"/>
    <s v="25431f9a-00e4-36d8-9810-4125328eec50"/>
    <s v="a39244c8-90fb-3daa-80d3-b5d962531ea6"/>
    <s v="a735bf55-83e9-331a-899d-a82a60b9f60c"/>
    <x v="2"/>
    <n v="185347001"/>
    <s v="Encounter for problem (procedure)"/>
    <n v="85.55"/>
    <n v="85.55"/>
    <n v="68.44"/>
    <n v="82423001"/>
    <x v="33"/>
  </r>
  <r>
    <s v="f870c432-0887-125e-3ef6-affe7bf61440"/>
    <d v="2015-09-08T22:20:33"/>
    <d v="2015-09-08T22:56:19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359.34"/>
    <n v="901.06"/>
    <m/>
    <x v="0"/>
  </r>
  <r>
    <s v="f870c432-0887-125e-9363-0898ef2c1f06"/>
    <d v="2017-09-12T22:20:33"/>
    <d v="2017-09-12T22:57:49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210.18"/>
    <n v="781.74"/>
    <m/>
    <x v="0"/>
  </r>
  <r>
    <s v="f870c432-0887-125e-fd20-3c261f3a8696"/>
    <d v="2019-05-07T05:20:33"/>
    <d v="2019-05-07T05:35:33"/>
    <s v="f870c432-0887-125e-f778-cf5110d3de1d"/>
    <s v="25431f9a-00e4-36d8-9810-4125328eec50"/>
    <s v="a39244c8-90fb-3daa-80d3-b5d962531ea6"/>
    <s v="a735bf55-83e9-331a-899d-a82a60b9f60c"/>
    <x v="1"/>
    <n v="185345009"/>
    <s v="Encounter for symptom (procedure)"/>
    <n v="85.55"/>
    <n v="85.55"/>
    <n v="0"/>
    <n v="195662009"/>
    <x v="9"/>
  </r>
  <r>
    <s v="f870c432-0887-125e-ee4c-a5f4e1933a7b"/>
    <d v="2019-07-16T23:20:33"/>
    <d v="2019-07-16T23:35:33"/>
    <s v="f870c432-0887-125e-f778-cf5110d3de1d"/>
    <s v="25431f9a-00e4-36d8-9810-4125328eec50"/>
    <s v="a39244c8-90fb-3daa-80d3-b5d962531ea6"/>
    <s v="a735bf55-83e9-331a-899d-a82a60b9f60c"/>
    <x v="1"/>
    <n v="185345009"/>
    <s v="Encounter for symptom (procedure)"/>
    <n v="85.55"/>
    <n v="85.55"/>
    <n v="14.71"/>
    <n v="444814009"/>
    <x v="2"/>
  </r>
  <r>
    <s v="f870c432-0887-125e-7693-426296e98252"/>
    <d v="2019-08-20T22:20:33"/>
    <d v="2019-08-20T22:55:29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643.26"/>
    <n v="1128.2"/>
    <m/>
    <x v="0"/>
  </r>
  <r>
    <s v="f870c432-0887-125e-dd9b-15c5b57a67b9"/>
    <d v="2019-09-03T22:20:33"/>
    <d v="2019-09-04T04:39:01"/>
    <s v="f870c432-0887-125e-f778-cf5110d3de1d"/>
    <s v="25431f9a-00e4-36d8-9810-4125328eec50"/>
    <s v="a39244c8-90fb-3daa-80d3-b5d962531ea6"/>
    <s v="a735bf55-83e9-331a-899d-a82a60b9f60c"/>
    <x v="1"/>
    <n v="185349003"/>
    <s v="Encounter for check up (procedure)"/>
    <n v="85.55"/>
    <n v="4830.95"/>
    <n v="3864.76"/>
    <n v="103697008"/>
    <x v="3"/>
  </r>
  <r>
    <s v="f870c432-0887-125e-79b7-e73ee42dee32"/>
    <d v="2020-08-25T22:20:33"/>
    <d v="2020-08-25T23:15:11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638.14"/>
    <n v="1124.0999999999999"/>
    <m/>
    <x v="0"/>
  </r>
  <r>
    <s v="f870c432-0887-125e-d46b-f29d77d6065b"/>
    <d v="2020-09-15T22:20:33"/>
    <d v="2020-09-15T22:35:33"/>
    <s v="f870c432-0887-125e-f778-cf5110d3de1d"/>
    <s v="25431f9a-00e4-36d8-9810-4125328eec50"/>
    <s v="a39244c8-90fb-3daa-80d3-b5d962531ea6"/>
    <s v="a735bf55-83e9-331a-899d-a82a60b9f60c"/>
    <x v="1"/>
    <n v="390906007"/>
    <s v="Follow-up encounter (procedure)"/>
    <n v="85.55"/>
    <n v="85.55"/>
    <n v="68.44"/>
    <n v="55822004"/>
    <x v="52"/>
  </r>
  <r>
    <s v="f870c432-0887-125e-3734-e933f254283e"/>
    <d v="2021-03-16T22:20:33"/>
    <d v="2021-03-16T22:35:33"/>
    <s v="f870c432-0887-125e-f778-cf5110d3de1d"/>
    <s v="25431f9a-00e4-36d8-9810-4125328eec50"/>
    <s v="a39244c8-90fb-3daa-80d3-b5d962531ea6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f870c432-0887-125e-ef26-4d9ddcd2f298"/>
    <d v="2021-04-06T22:20:33"/>
    <d v="2021-04-06T22:35:33"/>
    <s v="f870c432-0887-125e-f778-cf5110d3de1d"/>
    <s v="25431f9a-00e4-36d8-9810-4125328eec50"/>
    <s v="a39244c8-90fb-3daa-80d3-b5d962531ea6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f870c432-0887-125e-62fc-b3466dc0faa7"/>
    <d v="2021-08-24T22:20:33"/>
    <d v="2021-08-24T23:09:49"/>
    <s v="f870c432-0887-125e-f778-cf5110d3de1d"/>
    <s v="25431f9a-00e4-36d8-9810-4125328eec50"/>
    <s v="a39244c8-90fb-3daa-80d3-b5d962531ea6"/>
    <s v="a735bf55-83e9-331a-899d-a82a60b9f60c"/>
    <x v="2"/>
    <n v="185349003"/>
    <s v="Encounter for check up (procedure)"/>
    <n v="85.55"/>
    <n v="1240.31"/>
    <n v="805.84"/>
    <m/>
    <x v="0"/>
  </r>
  <r>
    <s v="f870c432-0887-125e-457d-b6d5d6dc52af"/>
    <d v="2021-08-31T22:20:33"/>
    <d v="2021-08-31T22:35:33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272.8"/>
    <n v="218.24"/>
    <m/>
    <x v="0"/>
  </r>
  <r>
    <s v="f870c432-0887-125e-4c1e-e24d5139678c"/>
    <d v="2021-09-07T22:20:33"/>
    <d v="2021-09-07T22:35:33"/>
    <s v="f870c432-0887-125e-f778-cf5110d3de1d"/>
    <s v="25431f9a-00e4-36d8-9810-4125328eec50"/>
    <s v="a39244c8-90fb-3daa-80d3-b5d962531ea6"/>
    <s v="a735bf55-83e9-331a-899d-a82a60b9f60c"/>
    <x v="1"/>
    <n v="185345009"/>
    <s v="Encounter for symptom (procedure)"/>
    <n v="85.55"/>
    <n v="85.55"/>
    <n v="68.44"/>
    <n v="444814009"/>
    <x v="2"/>
  </r>
  <r>
    <s v="f870c432-0887-125e-25d9-4df1bdc8ff70"/>
    <d v="2021-09-15T22:20:33"/>
    <d v="2021-09-15T22:35:33"/>
    <s v="f870c432-0887-125e-f778-cf5110d3de1d"/>
    <s v="25431f9a-00e4-36d8-9810-4125328eec50"/>
    <s v="a39244c8-90fb-3daa-80d3-b5d962531ea6"/>
    <s v="a735bf55-83e9-331a-899d-a82a60b9f60c"/>
    <x v="1"/>
    <n v="390906007"/>
    <s v="Follow-up encounter (procedure)"/>
    <n v="85.55"/>
    <n v="234.71"/>
    <n v="187.76"/>
    <n v="55822004"/>
    <x v="52"/>
  </r>
  <r>
    <s v="f870c432-0887-125e-f6d4-e11cebe52b1c"/>
    <d v="2022-09-06T22:20:33"/>
    <d v="2022-09-06T23:11:21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860.16"/>
    <n v="501.72"/>
    <m/>
    <x v="0"/>
  </r>
  <r>
    <s v="f870c432-0887-125e-6431-dd81bdb5beb0"/>
    <d v="2022-09-15T22:20:33"/>
    <d v="2022-09-15T22:35:33"/>
    <s v="f870c432-0887-125e-f778-cf5110d3de1d"/>
    <s v="25431f9a-00e4-36d8-9810-4125328eec50"/>
    <s v="a39244c8-90fb-3daa-80d3-b5d962531ea6"/>
    <s v="a735bf55-83e9-331a-899d-a82a60b9f60c"/>
    <x v="1"/>
    <n v="390906007"/>
    <s v="Follow-up encounter (procedure)"/>
    <n v="85.55"/>
    <n v="234.71"/>
    <n v="187.76"/>
    <n v="55822004"/>
    <x v="52"/>
  </r>
  <r>
    <s v="f870c432-0887-125e-f3f8-a2d5a0da0e58"/>
    <d v="2023-01-31T16:20:33"/>
    <d v="2023-01-31T16:35:33"/>
    <s v="f870c432-0887-125e-f778-cf5110d3de1d"/>
    <s v="25431f9a-00e4-36d8-9810-4125328eec50"/>
    <s v="a39244c8-90fb-3daa-80d3-b5d962531ea6"/>
    <s v="a735bf55-83e9-331a-899d-a82a60b9f60c"/>
    <x v="1"/>
    <n v="185345009"/>
    <s v="Encounter for symptom (procedure)"/>
    <n v="85.55"/>
    <n v="948.35"/>
    <n v="758.68"/>
    <n v="195662009"/>
    <x v="9"/>
  </r>
  <r>
    <s v="f870c432-0887-125e-2b3e-86611b389026"/>
    <d v="2023-09-12T22:20:33"/>
    <d v="2023-09-12T23:00:20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785.58"/>
    <n v="442.06"/>
    <m/>
    <x v="0"/>
  </r>
  <r>
    <s v="f870c432-0887-125e-267a-7a2c01670a07"/>
    <d v="2023-09-15T22:20:33"/>
    <d v="2023-09-15T22:35:33"/>
    <s v="f870c432-0887-125e-f778-cf5110d3de1d"/>
    <s v="25431f9a-00e4-36d8-9810-4125328eec50"/>
    <s v="a39244c8-90fb-3daa-80d3-b5d962531ea6"/>
    <s v="a735bf55-83e9-331a-899d-a82a60b9f60c"/>
    <x v="1"/>
    <n v="390906007"/>
    <s v="Follow-up encounter (procedure)"/>
    <n v="85.55"/>
    <n v="234.71"/>
    <n v="187.76"/>
    <n v="55822004"/>
    <x v="52"/>
  </r>
  <r>
    <s v="f870c432-0887-125e-8c27-427465be86e4"/>
    <d v="2023-09-26T22:20:33"/>
    <d v="2023-09-27T02:05:16"/>
    <s v="f870c432-0887-125e-f778-cf5110d3de1d"/>
    <s v="25431f9a-00e4-36d8-9810-4125328eec50"/>
    <s v="a39244c8-90fb-3daa-80d3-b5d962531ea6"/>
    <s v="a735bf55-83e9-331a-899d-a82a60b9f60c"/>
    <x v="1"/>
    <n v="185349003"/>
    <s v="Encounter for check up (procedure)"/>
    <n v="85.55"/>
    <n v="3105.35"/>
    <n v="2484.2800000000002"/>
    <n v="66383009"/>
    <x v="17"/>
  </r>
  <r>
    <s v="f870c432-0887-125e-63f1-7bf0366caece"/>
    <d v="2024-09-17T22:20:33"/>
    <d v="2024-09-17T22:57:51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216.98"/>
    <n v="787.18"/>
    <m/>
    <x v="0"/>
  </r>
  <r>
    <s v="f870c432-0887-125e-4f0a-c9d6f0fe487d"/>
    <d v="2024-09-24T22:20:33"/>
    <d v="2024-09-24T22:35:33"/>
    <s v="f870c432-0887-125e-f778-cf5110d3de1d"/>
    <s v="25431f9a-00e4-36d8-9810-4125328eec50"/>
    <s v="a39244c8-90fb-3daa-80d3-b5d962531ea6"/>
    <s v="a735bf55-83e9-331a-899d-a82a60b9f60c"/>
    <x v="1"/>
    <n v="390906007"/>
    <s v="Follow-up encounter (procedure)"/>
    <n v="85.55"/>
    <n v="234.71"/>
    <n v="187.76"/>
    <n v="55822004"/>
    <x v="52"/>
  </r>
  <r>
    <s v="f870c432-0887-125e-1ec8-5770663fb1c4"/>
    <d v="2024-10-01T22:20:33"/>
    <d v="2024-10-02T04:08:31"/>
    <s v="f870c432-0887-125e-f778-cf5110d3de1d"/>
    <s v="25431f9a-00e4-36d8-9810-4125328eec50"/>
    <s v="a39244c8-90fb-3daa-80d3-b5d962531ea6"/>
    <s v="a735bf55-83e9-331a-899d-a82a60b9f60c"/>
    <x v="1"/>
    <n v="185349003"/>
    <s v="Encounter for check up (procedure)"/>
    <n v="85.55"/>
    <n v="4399.55"/>
    <n v="3519.64"/>
    <n v="66383009"/>
    <x v="17"/>
  </r>
  <r>
    <s v="f870c432-0887-125e-2acc-c9c0584b42bd"/>
    <d v="2025-09-23T22:20:33"/>
    <d v="2025-09-23T23:05:13"/>
    <s v="f870c432-0887-125e-f778-cf5110d3de1d"/>
    <s v="67d2f85b-ddc7-3ed0-b90b-6fa5b7b8358a"/>
    <s v="e7737f42-8f32-340e-88fb-ce3102885da9"/>
    <s v="a735bf55-83e9-331a-899d-a82a60b9f60c"/>
    <x v="0"/>
    <n v="162673000"/>
    <s v="General examination of patient (procedure)"/>
    <n v="136.80000000000001"/>
    <n v="1913.16"/>
    <n v="1344.12"/>
    <m/>
    <x v="0"/>
  </r>
  <r>
    <s v="f870c432-0887-125e-d547-16d4ec3a8843"/>
    <d v="2025-09-24T22:20:33"/>
    <d v="2025-09-24T22:35:33"/>
    <s v="f870c432-0887-125e-f778-cf5110d3de1d"/>
    <s v="25431f9a-00e4-36d8-9810-4125328eec50"/>
    <s v="a39244c8-90fb-3daa-80d3-b5d962531ea6"/>
    <s v="a735bf55-83e9-331a-899d-a82a60b9f60c"/>
    <x v="1"/>
    <n v="390906007"/>
    <s v="Follow-up encounter (procedure)"/>
    <n v="85.55"/>
    <n v="234.71"/>
    <n v="187.76"/>
    <n v="55822004"/>
    <x v="52"/>
  </r>
  <r>
    <s v="f870c432-0887-125e-8223-d5ebf72a3ac2"/>
    <d v="2025-10-07T22:20:33"/>
    <d v="2025-10-08T00:55:17"/>
    <s v="f870c432-0887-125e-f778-cf5110d3de1d"/>
    <s v="25431f9a-00e4-36d8-9810-4125328eec50"/>
    <s v="a39244c8-90fb-3daa-80d3-b5d962531ea6"/>
    <s v="a735bf55-83e9-331a-899d-a82a60b9f60c"/>
    <x v="1"/>
    <n v="185349003"/>
    <s v="Encounter for check up (procedure)"/>
    <n v="85.55"/>
    <n v="2673.95"/>
    <n v="2139.16"/>
    <n v="66383009"/>
    <x v="17"/>
  </r>
  <r>
    <s v="1426480f-ccc7-2393-b622-87ea0962cdd4"/>
    <d v="1965-09-18T01:58:50"/>
    <d v="1965-09-18T02:13:50"/>
    <s v="1426480f-ccc7-2393-40bd-f92ccf2b74b2"/>
    <s v="352f2e3b-0708-3eb4-9f7e-e73a685bf379"/>
    <s v="4ba67eac-a99d-34c8-9055-4cf0013c75cc"/>
    <s v="e03e23c9-4df1-3eb6-a62d-f70f02301496"/>
    <x v="1"/>
    <n v="185345009"/>
    <s v="Encounter for symptom (procedure)"/>
    <n v="85.55"/>
    <n v="85.55"/>
    <n v="0"/>
    <n v="232353008"/>
    <x v="16"/>
  </r>
  <r>
    <s v="1426480f-ccc7-2393-56c7-2d4bb4f6e93b"/>
    <d v="1965-09-24T18:58:50"/>
    <d v="1965-09-24T19:13:50"/>
    <s v="1426480f-ccc7-2393-40bd-f92ccf2b74b2"/>
    <s v="352f2e3b-0708-3eb4-9f7e-e73a685bf379"/>
    <s v="4ba67eac-a99d-34c8-9055-4cf0013c75cc"/>
    <s v="e03e23c9-4df1-3eb6-a62d-f70f02301496"/>
    <x v="1"/>
    <n v="185347001"/>
    <s v="Encounter for problem (procedure)"/>
    <n v="85.55"/>
    <n v="85.55"/>
    <n v="0"/>
    <n v="609328004"/>
    <x v="11"/>
  </r>
  <r>
    <s v="1426480f-ccc7-2393-c230-9e7b9072c674"/>
    <d v="1980-02-11T00:58:50"/>
    <d v="1980-02-11T01:28:55"/>
    <s v="1426480f-ccc7-2393-40bd-f92ccf2b74b2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1215.3499999999999"/>
    <n v="0"/>
    <m/>
    <x v="0"/>
  </r>
  <r>
    <s v="1426480f-ccc7-2393-5e98-efb96c38eba7"/>
    <d v="1985-07-22T01:58:50"/>
    <d v="1985-07-22T02:32:06"/>
    <s v="1426480f-ccc7-2393-40bd-f92ccf2b74b2"/>
    <s v="1de7e7d9-9a7a-3a3f-bf4c-b4de450711f2"/>
    <s v="673d2b7f-fd5d-31e4-b38d-5e8903c00ef2"/>
    <s v="e03e23c9-4df1-3eb6-a62d-f70f02301496"/>
    <x v="4"/>
    <n v="702927004"/>
    <s v="Urgent care clinic (environment)"/>
    <n v="142.58000000000001"/>
    <n v="1061.68"/>
    <n v="0"/>
    <m/>
    <x v="0"/>
  </r>
  <r>
    <s v="1426480f-ccc7-2393-d1fe-b9f14b909cb8"/>
    <d v="1990-02-26T00:58:50"/>
    <d v="1990-02-26T01:45:45"/>
    <s v="1426480f-ccc7-2393-40bd-f92ccf2b74b2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1591.74"/>
    <n v="0"/>
    <m/>
    <x v="0"/>
  </r>
  <r>
    <s v="1426480f-ccc7-2393-e0a0-a3c4f3ca7908"/>
    <d v="2003-04-14T01:58:50"/>
    <d v="2003-04-21T17:58:50"/>
    <s v="1426480f-ccc7-2393-40bd-f92ccf2b74b2"/>
    <s v="65f0254a-73a3-3b06-bced-54d511445535"/>
    <s v="4bbb3847-e30b-3607-a827-d0e0678497e6"/>
    <s v="e03e23c9-4df1-3eb6-a62d-f70f02301496"/>
    <x v="3"/>
    <n v="185347001"/>
    <s v="Encounter for problem (procedure)"/>
    <n v="87.71"/>
    <n v="1025.0899999999999"/>
    <n v="0"/>
    <n v="91302008"/>
    <x v="50"/>
  </r>
  <r>
    <s v="1426480f-ccc7-2393-662a-d1309441af5c"/>
    <d v="2010-01-11T00:58:50"/>
    <d v="2010-01-11T01:58:05"/>
    <s v="1426480f-ccc7-2393-40bd-f92ccf2b74b2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962.26"/>
    <n v="0"/>
    <m/>
    <x v="0"/>
  </r>
  <r>
    <s v="1426480f-ccc7-2393-1f8a-f356e4233b45"/>
    <d v="2014-02-05T00:58:50"/>
    <d v="2014-02-05T01:13:50"/>
    <s v="1426480f-ccc7-2393-40bd-f92ccf2b74b2"/>
    <s v="352f2e3b-0708-3eb4-9f7e-e73a685bf379"/>
    <s v="4ba67eac-a99d-34c8-9055-4cf0013c75cc"/>
    <s v="e03e23c9-4df1-3eb6-a62d-f70f02301496"/>
    <x v="2"/>
    <n v="185347001"/>
    <s v="Encounter for problem (procedure)"/>
    <n v="85.55"/>
    <n v="85.55"/>
    <n v="0"/>
    <n v="82423001"/>
    <x v="33"/>
  </r>
  <r>
    <s v="1426480f-ccc7-2393-8bf6-8bf5565e5fc7"/>
    <d v="2015-02-09T00:58:50"/>
    <d v="2015-02-09T01:30:34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919.9"/>
    <n v="570.20000000000005"/>
    <m/>
    <x v="0"/>
  </r>
  <r>
    <s v="1426480f-ccc7-2393-77e6-157bb2075514"/>
    <d v="2016-02-15T00:58:50"/>
    <d v="2016-02-15T01:52:31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057.56"/>
    <n v="688.14"/>
    <m/>
    <x v="0"/>
  </r>
  <r>
    <s v="1426480f-ccc7-2393-e2c0-24a100d0e046"/>
    <d v="2017-02-20T00:58:50"/>
    <d v="2017-02-20T01:29:34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778.78"/>
    <n v="471.85"/>
    <m/>
    <x v="0"/>
  </r>
  <r>
    <s v="1426480f-ccc7-2393-33b2-7b9e82a87eca"/>
    <d v="2017-09-12T11:58:50"/>
    <d v="2017-09-12T12:13:50"/>
    <s v="1426480f-ccc7-2393-40bd-f92ccf2b74b2"/>
    <s v="352f2e3b-0708-3eb4-9f7e-e73a685bf379"/>
    <s v="4ba67eac-a99d-34c8-9055-4cf0013c75cc"/>
    <s v="a735bf55-83e9-331a-899d-a82a60b9f60c"/>
    <x v="1"/>
    <n v="185345009"/>
    <s v="Encounter for symptom (procedure)"/>
    <n v="85.55"/>
    <n v="85.55"/>
    <n v="68.44"/>
    <n v="444814009"/>
    <x v="2"/>
  </r>
  <r>
    <s v="1426480f-ccc7-2393-d287-fad18b41007d"/>
    <d v="2018-02-26T00:58:50"/>
    <d v="2018-02-26T01:33:33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778.78"/>
    <n v="490.24"/>
    <m/>
    <x v="0"/>
  </r>
  <r>
    <s v="1426480f-ccc7-2393-d275-c5b3612bc472"/>
    <d v="2019-03-04T00:58:50"/>
    <d v="2019-03-04T01:58:35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919.9"/>
    <n v="606.70000000000005"/>
    <m/>
    <x v="0"/>
  </r>
  <r>
    <s v="1426480f-ccc7-2393-ef8d-1395aba0059c"/>
    <d v="2019-03-18T01:58:50"/>
    <d v="2019-03-18T05:43:15"/>
    <s v="1426480f-ccc7-2393-40bd-f92ccf2b74b2"/>
    <s v="352f2e3b-0708-3eb4-9f7e-e73a685bf379"/>
    <s v="4ba67eac-a99d-34c8-9055-4cf0013c75cc"/>
    <s v="a735bf55-83e9-331a-899d-a82a60b9f60c"/>
    <x v="1"/>
    <n v="185349003"/>
    <s v="Encounter for check up (procedure)"/>
    <n v="85.55"/>
    <n v="3105.35"/>
    <n v="2484.2800000000002"/>
    <n v="66383009"/>
    <x v="17"/>
  </r>
  <r>
    <s v="1426480f-ccc7-2393-c85f-8f256eec6720"/>
    <d v="2020-03-09T01:58:50"/>
    <d v="2020-03-09T02:50:47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778.78"/>
    <n v="481"/>
    <m/>
    <x v="0"/>
  </r>
  <r>
    <s v="1426480f-ccc7-2393-b2e0-6c25022ef803"/>
    <d v="2020-03-16T01:58:50"/>
    <d v="2020-03-16T02:54:14"/>
    <s v="1426480f-ccc7-2393-40bd-f92ccf2b74b2"/>
    <s v="74ab949d-17ac-3309-83a0-13b4405c66aa"/>
    <s v="35fedf4a-4da7-315e-a103-dbcfea0540fa"/>
    <s v="a735bf55-83e9-331a-899d-a82a60b9f60c"/>
    <x v="1"/>
    <n v="185347001"/>
    <s v="Encounter for problem (procedure)"/>
    <n v="85.55"/>
    <n v="516.95000000000005"/>
    <n v="413.56"/>
    <n v="414545008"/>
    <x v="19"/>
  </r>
  <r>
    <s v="1426480f-ccc7-2393-bb3b-d7b47d2927b1"/>
    <d v="2020-03-19T20:54:14"/>
    <d v="2020-03-20T01:38:15"/>
    <s v="1426480f-ccc7-2393-40bd-f92ccf2b74b2"/>
    <s v="74ab949d-17ac-3309-83a0-13b4405c66aa"/>
    <s v="35fedf4a-4da7-315e-a103-dbcfea0540fa"/>
    <s v="a735bf55-83e9-331a-899d-a82a60b9f60c"/>
    <x v="1"/>
    <n v="185347001"/>
    <s v="Encounter for problem (procedure)"/>
    <n v="85.55"/>
    <n v="1444.46"/>
    <n v="1155.57"/>
    <n v="414545008"/>
    <x v="19"/>
  </r>
  <r>
    <s v="1426480f-ccc7-2393-4fff-f9d7b47c51a6"/>
    <d v="2020-03-22T23:38:15"/>
    <d v="2020-03-23T01:07:17"/>
    <s v="1426480f-ccc7-2393-40bd-f92ccf2b74b2"/>
    <s v="74ab949d-17ac-3309-83a0-13b4405c66aa"/>
    <s v="35fedf4a-4da7-315e-a103-dbcfea0540fa"/>
    <s v="a735bf55-83e9-331a-899d-a82a60b9f60c"/>
    <x v="1"/>
    <n v="185347001"/>
    <s v="Encounter for problem (procedure)"/>
    <n v="85.55"/>
    <n v="10706.16"/>
    <n v="8564.93"/>
    <n v="414545008"/>
    <x v="19"/>
  </r>
  <r>
    <s v="1426480f-ccc7-2393-072d-afa1df03bc87"/>
    <d v="2020-08-17T12:58:50"/>
    <d v="2020-08-17T13:13:50"/>
    <s v="1426480f-ccc7-2393-40bd-f92ccf2b74b2"/>
    <s v="352f2e3b-0708-3eb4-9f7e-e73a685bf379"/>
    <s v="4ba67eac-a99d-34c8-9055-4cf0013c75cc"/>
    <s v="a735bf55-83e9-331a-899d-a82a60b9f60c"/>
    <x v="1"/>
    <n v="185345009"/>
    <s v="Encounter for symptom (procedure)"/>
    <n v="85.55"/>
    <n v="85.55"/>
    <n v="68.44"/>
    <n v="444814009"/>
    <x v="2"/>
  </r>
  <r>
    <s v="1426480f-ccc7-2393-4b64-c63016abef5b"/>
    <d v="2021-03-15T01:58:50"/>
    <d v="2021-03-15T02:56:49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101.6300000000001"/>
    <n v="700.51"/>
    <m/>
    <x v="0"/>
  </r>
  <r>
    <s v="1426480f-ccc7-2393-eaf9-8fd9f528351a"/>
    <d v="2021-03-29T01:58:50"/>
    <d v="2021-03-29T05:36:44"/>
    <s v="1426480f-ccc7-2393-40bd-f92ccf2b74b2"/>
    <s v="352f2e3b-0708-3eb4-9f7e-e73a685bf379"/>
    <s v="4ba67eac-a99d-34c8-9055-4cf0013c75cc"/>
    <s v="a735bf55-83e9-331a-899d-a82a60b9f60c"/>
    <x v="1"/>
    <n v="185349003"/>
    <s v="Encounter for check up (procedure)"/>
    <n v="85.55"/>
    <n v="3105.35"/>
    <n v="2484.2800000000002"/>
    <n v="66383009"/>
    <x v="17"/>
  </r>
  <r>
    <s v="1426480f-ccc7-2393-3df7-451685bc150f"/>
    <d v="2021-05-24T01:58:50"/>
    <d v="2021-05-24T02:13:50"/>
    <s v="1426480f-ccc7-2393-40bd-f92ccf2b74b2"/>
    <s v="352f2e3b-0708-3eb4-9f7e-e73a685bf379"/>
    <s v="4ba67eac-a99d-34c8-9055-4cf0013c75cc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1426480f-ccc7-2393-097f-5ebb68644759"/>
    <d v="2021-06-21T01:58:50"/>
    <d v="2021-06-21T02:13:50"/>
    <s v="1426480f-ccc7-2393-40bd-f92ccf2b74b2"/>
    <s v="352f2e3b-0708-3eb4-9f7e-e73a685bf379"/>
    <s v="4ba67eac-a99d-34c8-9055-4cf0013c75cc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1426480f-ccc7-2393-582c-57668e872b0f"/>
    <d v="2022-02-11T00:58:50"/>
    <d v="2022-02-11T01:58:50"/>
    <s v="1426480f-ccc7-2393-40bd-f92ccf2b74b2"/>
    <s v="65f0254a-73a3-3b06-bced-54d511445535"/>
    <s v="4bbb3847-e30b-3607-a827-d0e0678497e6"/>
    <s v="a735bf55-83e9-331a-899d-a82a60b9f60c"/>
    <x v="3"/>
    <n v="50849002"/>
    <s v="Emergency room admission (procedure)"/>
    <n v="146.18"/>
    <n v="4140.8900000000003"/>
    <n v="3199.69"/>
    <n v="312608009"/>
    <x v="20"/>
  </r>
  <r>
    <s v="1426480f-ccc7-2393-a2ee-9878083f565f"/>
    <d v="2022-03-21T01:58:50"/>
    <d v="2022-03-21T02:36:31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704.2"/>
    <n v="563.36"/>
    <m/>
    <x v="0"/>
  </r>
  <r>
    <s v="1426480f-ccc7-2393-e8f1-dd91b7a7513f"/>
    <d v="2023-02-18T01:13:33"/>
    <d v="2023-02-18T02:13:33"/>
    <s v="1426480f-ccc7-2393-40bd-f92ccf2b74b2"/>
    <s v="65f0254a-73a3-3b06-bced-54d511445535"/>
    <s v="4bbb3847-e30b-3607-a827-d0e0678497e6"/>
    <s v="e03e23c9-4df1-3eb6-a62d-f70f02301496"/>
    <x v="3"/>
    <n v="50849002"/>
    <s v="Emergency room admission (procedure)"/>
    <n v="146.18"/>
    <n v="4140.8900000000003"/>
    <n v="0"/>
    <n v="312608009"/>
    <x v="20"/>
  </r>
  <r>
    <s v="1426480f-ccc7-2393-068e-54c212a08bc3"/>
    <d v="2023-03-27T01:58:50"/>
    <d v="2023-03-27T02:44:02"/>
    <s v="1426480f-ccc7-2393-40bd-f92ccf2b74b2"/>
    <s v="9b8a7a25-b923-3710-9f3c-d42919a3f54f"/>
    <s v="d30fad99-3add-3b0b-8990-285481947e7d"/>
    <s v="e03e23c9-4df1-3eb6-a62d-f70f02301496"/>
    <x v="0"/>
    <n v="162673000"/>
    <s v="General examination of patient (procedure)"/>
    <n v="136.80000000000001"/>
    <n v="1205.06"/>
    <n v="0"/>
    <m/>
    <x v="0"/>
  </r>
  <r>
    <s v="1426480f-ccc7-2393-9eb2-14cfef2023ba"/>
    <d v="2023-04-10T01:58:50"/>
    <d v="2023-04-10T05:32:55"/>
    <s v="1426480f-ccc7-2393-40bd-f92ccf2b74b2"/>
    <s v="352f2e3b-0708-3eb4-9f7e-e73a685bf379"/>
    <s v="4ba67eac-a99d-34c8-9055-4cf0013c75cc"/>
    <s v="e03e23c9-4df1-3eb6-a62d-f70f02301496"/>
    <x v="1"/>
    <n v="185349003"/>
    <s v="Encounter for check up (procedure)"/>
    <n v="85.55"/>
    <n v="3536.75"/>
    <n v="0"/>
    <n v="66383009"/>
    <x v="17"/>
  </r>
  <r>
    <s v="1426480f-ccc7-2393-b0b5-966fe4aad8ee"/>
    <d v="2024-01-13T17:58:50"/>
    <d v="2024-01-13T18:13:50"/>
    <s v="1426480f-ccc7-2393-40bd-f92ccf2b74b2"/>
    <s v="352f2e3b-0708-3eb4-9f7e-e73a685bf379"/>
    <s v="4ba67eac-a99d-34c8-9055-4cf0013c75cc"/>
    <s v="a735bf55-83e9-331a-899d-a82a60b9f60c"/>
    <x v="1"/>
    <n v="185345009"/>
    <s v="Encounter for symptom (procedure)"/>
    <n v="85.55"/>
    <n v="85.55"/>
    <n v="0"/>
    <n v="195662009"/>
    <x v="9"/>
  </r>
  <r>
    <s v="1426480f-ccc7-2393-1dff-3d15e6fd3ea6"/>
    <d v="2024-04-01T01:58:50"/>
    <d v="2024-04-01T02:33:02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704.2"/>
    <n v="453.06"/>
    <m/>
    <x v="0"/>
  </r>
  <r>
    <s v="1426480f-ccc7-2393-4f6a-d16cd09105e1"/>
    <d v="2025-04-07T01:58:50"/>
    <d v="2025-04-07T02:45:29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1129.78"/>
    <n v="731.25"/>
    <m/>
    <x v="0"/>
  </r>
  <r>
    <s v="1426480f-ccc7-2393-0803-4519355e891a"/>
    <d v="2025-04-21T01:58:50"/>
    <d v="2025-04-21T05:50:14"/>
    <s v="1426480f-ccc7-2393-40bd-f92ccf2b74b2"/>
    <s v="352f2e3b-0708-3eb4-9f7e-e73a685bf379"/>
    <s v="4ba67eac-a99d-34c8-9055-4cf0013c75cc"/>
    <s v="a735bf55-83e9-331a-899d-a82a60b9f60c"/>
    <x v="1"/>
    <n v="185349003"/>
    <s v="Encounter for check up (procedure)"/>
    <n v="85.55"/>
    <n v="3536.75"/>
    <n v="2829.4"/>
    <n v="103697008"/>
    <x v="3"/>
  </r>
  <r>
    <s v="1426480f-ccc7-2393-7eab-22ee566b8fd8"/>
    <d v="2026-04-13T01:58:50"/>
    <d v="2026-04-13T02:35:11"/>
    <s v="1426480f-ccc7-2393-40bd-f92ccf2b74b2"/>
    <s v="9b8a7a25-b923-3710-9f3c-d42919a3f54f"/>
    <s v="d30fad99-3add-3b0b-8990-285481947e7d"/>
    <s v="a735bf55-83e9-331a-899d-a82a60b9f60c"/>
    <x v="0"/>
    <n v="162673000"/>
    <s v="General examination of patient (procedure)"/>
    <n v="136.80000000000001"/>
    <n v="778.78"/>
    <n v="444.66"/>
    <m/>
    <x v="0"/>
  </r>
  <r>
    <s v="1426480f-ccc7-2393-0b9e-1f2847df7759"/>
    <d v="2026-04-27T01:58:50"/>
    <d v="2026-04-27T07:36:12"/>
    <s v="1426480f-ccc7-2393-40bd-f92ccf2b74b2"/>
    <s v="352f2e3b-0708-3eb4-9f7e-e73a685bf379"/>
    <s v="4ba67eac-a99d-34c8-9055-4cf0013c75cc"/>
    <s v="a735bf55-83e9-331a-899d-a82a60b9f60c"/>
    <x v="1"/>
    <n v="185349003"/>
    <s v="Encounter for check up (procedure)"/>
    <n v="85.55"/>
    <n v="4830.95"/>
    <n v="3864.76"/>
    <n v="103697008"/>
    <x v="3"/>
  </r>
  <r>
    <s v="4be6b5fb-2a19-943a-fd7b-f182ec71fdfb"/>
    <d v="1989-04-11T17:18:15"/>
    <d v="1989-04-11T18:11:49"/>
    <s v="4be6b5fb-2a19-943a-9249-7068445be4cc"/>
    <s v="0f9d1260-db33-3483-b2b6-5483cfcb739c"/>
    <s v="7bfefba1-5343-3a75-b8f6-b63f7de24073"/>
    <s v="e03e23c9-4df1-3eb6-a62d-f70f02301496"/>
    <x v="0"/>
    <n v="162673000"/>
    <s v="General examination of patient (procedure)"/>
    <n v="136.80000000000001"/>
    <n v="919.9"/>
    <n v="0"/>
    <m/>
    <x v="0"/>
  </r>
  <r>
    <s v="4be6b5fb-2a19-943a-27ae-63c4bc9f0615"/>
    <d v="1993-04-20T17:18:15"/>
    <d v="1993-04-20T17:51:49"/>
    <s v="4be6b5fb-2a19-943a-9249-7068445be4cc"/>
    <s v="0f9d1260-db33-3483-b2b6-5483cfcb739c"/>
    <s v="7bfefba1-5343-3a75-b8f6-b63f7de24073"/>
    <s v="e03e23c9-4df1-3eb6-a62d-f70f02301496"/>
    <x v="0"/>
    <n v="162673000"/>
    <s v="General examination of patient (procedure)"/>
    <n v="136.80000000000001"/>
    <n v="1701.84"/>
    <n v="0"/>
    <m/>
    <x v="0"/>
  </r>
  <r>
    <s v="4be6b5fb-2a19-943a-f306-80ae58168c70"/>
    <d v="1996-04-23T17:18:15"/>
    <d v="1996-04-23T18:08:05"/>
    <s v="4be6b5fb-2a19-943a-9249-7068445be4cc"/>
    <s v="0f9d1260-db33-3483-b2b6-5483cfcb739c"/>
    <s v="7bfefba1-5343-3a75-b8f6-b63f7de24073"/>
    <s v="e03e23c9-4df1-3eb6-a62d-f70f02301496"/>
    <x v="0"/>
    <n v="162673000"/>
    <s v="General examination of patient (procedure)"/>
    <n v="136.80000000000001"/>
    <n v="785.58"/>
    <n v="0"/>
    <m/>
    <x v="0"/>
  </r>
  <r>
    <s v="4be6b5fb-2a19-943a-edb8-23d7b4f7331b"/>
    <d v="2002-04-30T17:18:15"/>
    <d v="2002-04-30T18:08:11"/>
    <s v="4be6b5fb-2a19-943a-9249-7068445be4cc"/>
    <s v="0f9d1260-db33-3483-b2b6-5483cfcb739c"/>
    <s v="7bfefba1-5343-3a75-b8f6-b63f7de24073"/>
    <s v="e03e23c9-4df1-3eb6-a62d-f70f02301496"/>
    <x v="0"/>
    <n v="162673000"/>
    <s v="General examination of patient (procedure)"/>
    <n v="136.80000000000001"/>
    <n v="996.16"/>
    <n v="0"/>
    <m/>
    <x v="0"/>
  </r>
  <r>
    <s v="4be6b5fb-2a19-943a-4d00-62295456e582"/>
    <d v="2008-02-28T19:18:15"/>
    <d v="2008-02-28T19:33:15"/>
    <s v="4be6b5fb-2a19-943a-9249-7068445be4cc"/>
    <s v="3b021cb6-4745-3d9d-8436-230055f770bd"/>
    <s v="3aadffc5-0246-3fc8-8981-6c99c5a22e8b"/>
    <s v="734afbd6-4794-363b-9bc0-6a3981533ed5"/>
    <x v="1"/>
    <n v="185345009"/>
    <s v="Encounter for symptom (procedure)"/>
    <n v="85.55"/>
    <n v="92.93"/>
    <n v="0"/>
    <n v="36971009"/>
    <x v="22"/>
  </r>
  <r>
    <s v="4be6b5fb-2a19-943a-ba75-4c2b6a2f5347"/>
    <d v="2008-05-06T17:18:15"/>
    <d v="2008-05-06T18:08:59"/>
    <s v="4be6b5fb-2a19-943a-9249-7068445be4cc"/>
    <s v="0f9d1260-db33-3483-b2b6-5483cfcb739c"/>
    <s v="7bfefba1-5343-3a75-b8f6-b63f7de24073"/>
    <s v="734afbd6-4794-363b-9bc0-6a3981533ed5"/>
    <x v="0"/>
    <n v="162673000"/>
    <s v="General examination of patient (procedure)"/>
    <n v="136.80000000000001"/>
    <n v="860.16"/>
    <n v="0"/>
    <m/>
    <x v="0"/>
  </r>
  <r>
    <s v="4be6b5fb-2a19-943a-4278-e099e73b15d9"/>
    <d v="2015-03-03T16:18:15"/>
    <d v="2015-03-03T17:16:39"/>
    <s v="4be6b5fb-2a19-943a-9249-7068445be4cc"/>
    <s v="0f9d1260-db33-3483-b2b6-5483cfcb739c"/>
    <s v="7bfefba1-5343-3a75-b8f6-b63f7de24073"/>
    <s v="0133f751-9229-3cfd-815f-b6d4979bdd6a"/>
    <x v="0"/>
    <n v="162673000"/>
    <s v="General examination of patient (procedure)"/>
    <n v="136.80000000000001"/>
    <n v="778.78"/>
    <n v="0"/>
    <m/>
    <x v="0"/>
  </r>
  <r>
    <s v="4be6b5fb-2a19-943a-8730-bee21a2213fa"/>
    <d v="2017-03-07T16:18:15"/>
    <d v="2017-03-07T16:52:50"/>
    <s v="4be6b5fb-2a19-943a-9249-7068445be4cc"/>
    <s v="0f9d1260-db33-3483-b2b6-5483cfcb739c"/>
    <s v="7bfefba1-5343-3a75-b8f6-b63f7de24073"/>
    <s v="0133f751-9229-3cfd-815f-b6d4979bdd6a"/>
    <x v="0"/>
    <n v="162673000"/>
    <s v="General examination of patient (procedure)"/>
    <n v="136.80000000000001"/>
    <n v="934.74"/>
    <n v="0"/>
    <m/>
    <x v="0"/>
  </r>
  <r>
    <s v="4be6b5fb-2a19-943a-9970-f8fcede2d4fb"/>
    <d v="2017-03-21T17:18:15"/>
    <d v="2017-03-21T20:34:18"/>
    <s v="4be6b5fb-2a19-943a-9249-7068445be4cc"/>
    <s v="3b021cb6-4745-3d9d-8436-230055f770bd"/>
    <s v="3aadffc5-0246-3fc8-8981-6c99c5a22e8b"/>
    <s v="0133f751-9229-3cfd-815f-b6d4979bdd6a"/>
    <x v="1"/>
    <n v="185349003"/>
    <s v="Encounter for check up (procedure)"/>
    <n v="85.55"/>
    <n v="3105.35"/>
    <n v="0"/>
    <n v="66383009"/>
    <x v="17"/>
  </r>
  <r>
    <s v="4be6b5fb-2a19-943a-335d-39af66b944fc"/>
    <d v="2018-02-17T19:18:15"/>
    <d v="2018-02-17T19:34:36"/>
    <s v="4be6b5fb-2a19-943a-9249-7068445be4cc"/>
    <s v="3b021cb6-4745-3d9d-8436-230055f770bd"/>
    <s v="3aadffc5-0246-3fc8-8981-6c99c5a22e8b"/>
    <s v="0133f751-9229-3cfd-815f-b6d4979bdd6a"/>
    <x v="1"/>
    <n v="185345009"/>
    <s v="Encounter for symptom (procedure)"/>
    <n v="85.55"/>
    <n v="322.05"/>
    <n v="0"/>
    <n v="10509002"/>
    <x v="1"/>
  </r>
  <r>
    <s v="4be6b5fb-2a19-943a-102f-733b295d930c"/>
    <d v="2018-02-27T16:18:15"/>
    <d v="2018-02-27T17:05:58"/>
    <s v="4be6b5fb-2a19-943a-9249-7068445be4cc"/>
    <s v="3b021cb6-4745-3d9d-8436-230055f770bd"/>
    <s v="3aadffc5-0246-3fc8-8981-6c99c5a22e8b"/>
    <s v="8fa6c185-e44e-3e34-8bd8-39be8694f4ce"/>
    <x v="2"/>
    <n v="185349003"/>
    <s v="Encounter for check up (procedure)"/>
    <n v="85.55"/>
    <n v="1432.88"/>
    <n v="0"/>
    <m/>
    <x v="0"/>
  </r>
  <r>
    <s v="4be6b5fb-2a19-943a-6dae-6603d173aec5"/>
    <d v="2018-03-13T17:18:15"/>
    <d v="2018-03-13T22:34:42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4399.55"/>
    <n v="932.7"/>
    <n v="66383009"/>
    <x v="17"/>
  </r>
  <r>
    <s v="4be6b5fb-2a19-943a-db1e-8b2334b3c388"/>
    <d v="2018-03-18T22:34:42"/>
    <d v="2018-03-19T00:49:37"/>
    <s v="4be6b5fb-2a19-943a-9249-7068445be4cc"/>
    <s v="3b021cb6-4745-3d9d-8436-230055f770bd"/>
    <s v="3aadffc5-0246-3fc8-8981-6c99c5a22e8b"/>
    <s v="8fa6c185-e44e-3e34-8bd8-39be8694f4ce"/>
    <x v="1"/>
    <n v="439740005"/>
    <s v="Postoperative follow-up visit (procedure)"/>
    <n v="142.58000000000001"/>
    <n v="2299.58"/>
    <n v="1609.71"/>
    <n v="61804006"/>
    <x v="49"/>
  </r>
  <r>
    <s v="4be6b5fb-2a19-943a-9144-2ab048490ae9"/>
    <d v="2018-03-20T17:18:15"/>
    <d v="2018-03-20T18:44:26"/>
    <s v="4be6b5fb-2a19-943a-9249-7068445be4cc"/>
    <s v="3b021cb6-4745-3d9d-8436-230055f770bd"/>
    <s v="3aadffc5-0246-3fc8-8981-6c99c5a22e8b"/>
    <s v="8fa6c185-e44e-3e34-8bd8-39be8694f4ce"/>
    <x v="1"/>
    <n v="185347001"/>
    <s v="Encounter for problem (procedure)"/>
    <n v="85.55"/>
    <n v="1379.75"/>
    <n v="965.82"/>
    <n v="37320007"/>
    <x v="8"/>
  </r>
  <r>
    <s v="4be6b5fb-2a19-943a-088b-d34bb22bf353"/>
    <d v="2018-04-03T18:44:26"/>
    <d v="2018-04-03T21:54:41"/>
    <s v="4be6b5fb-2a19-943a-9249-7068445be4cc"/>
    <s v="3b021cb6-4745-3d9d-8436-230055f770bd"/>
    <s v="3aadffc5-0246-3fc8-8981-6c99c5a22e8b"/>
    <s v="8fa6c185-e44e-3e34-8bd8-39be8694f4ce"/>
    <x v="1"/>
    <n v="390906007"/>
    <s v="Follow-up encounter (procedure)"/>
    <n v="85.55"/>
    <n v="1811.15"/>
    <n v="1267.8"/>
    <n v="46752004"/>
    <x v="89"/>
  </r>
  <r>
    <s v="4be6b5fb-2a19-943a-a87d-007f2a0c584d"/>
    <d v="2018-04-12T21:54:41"/>
    <d v="2018-04-12T22:37:41"/>
    <s v="4be6b5fb-2a19-943a-9249-7068445be4cc"/>
    <s v="3b021cb6-4745-3d9d-8436-230055f770bd"/>
    <s v="3aadffc5-0246-3fc8-8981-6c99c5a22e8b"/>
    <s v="8fa6c185-e44e-3e34-8bd8-39be8694f4ce"/>
    <x v="1"/>
    <n v="390906007"/>
    <s v="Follow-up encounter (procedure)"/>
    <n v="85.55"/>
    <n v="516.95000000000005"/>
    <n v="361.86"/>
    <n v="37320007"/>
    <x v="8"/>
  </r>
  <r>
    <s v="4be6b5fb-2a19-943a-917b-138eb7a5006d"/>
    <d v="2018-12-18T18:18:15"/>
    <d v="2018-12-18T18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1688.96"/>
    <n v="1182.27"/>
    <n v="43878008"/>
    <x v="18"/>
  </r>
  <r>
    <s v="4be6b5fb-2a19-943a-4f16-9cef724ab4b3"/>
    <d v="2019-03-12T17:18:15"/>
    <d v="2019-03-12T18:09:53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785.58"/>
    <n v="0"/>
    <m/>
    <x v="0"/>
  </r>
  <r>
    <s v="4be6b5fb-2a19-943a-4018-d9cfcbb22f1d"/>
    <d v="2019-03-26T17:18:15"/>
    <d v="2019-03-26T20:54:33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3105.35"/>
    <n v="0"/>
    <n v="66383009"/>
    <x v="17"/>
  </r>
  <r>
    <s v="4be6b5fb-2a19-943a-2ace-532690c135e2"/>
    <d v="2020-08-29T21:18:15"/>
    <d v="2020-08-29T21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444814009"/>
    <x v="2"/>
  </r>
  <r>
    <s v="4be6b5fb-2a19-943a-a993-8db423631e35"/>
    <d v="2020-11-20T15:18:15"/>
    <d v="2020-11-20T15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1122.25"/>
    <n v="0"/>
    <n v="195662009"/>
    <x v="9"/>
  </r>
  <r>
    <s v="4be6b5fb-2a19-943a-1ecf-b07c5b4bee3b"/>
    <d v="2021-02-16T16:18:15"/>
    <d v="2021-02-16T16:49:19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1211.8599999999999"/>
    <n v="0"/>
    <m/>
    <x v="0"/>
  </r>
  <r>
    <s v="4be6b5fb-2a19-943a-80f1-fa46510fc0b2"/>
    <d v="2021-02-23T16:18:15"/>
    <d v="2021-02-23T16:49:59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5322.35"/>
    <n v="1423.95"/>
    <n v="275978004"/>
    <x v="29"/>
  </r>
  <r>
    <s v="4be6b5fb-2a19-943a-fdaf-9df845cf3d7f"/>
    <d v="2022-02-22T16:18:15"/>
    <d v="2022-02-22T17:14:22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1050.78"/>
    <n v="0"/>
    <m/>
    <x v="0"/>
  </r>
  <r>
    <s v="4be6b5fb-2a19-943a-ce8b-d49f7da11e01"/>
    <d v="2022-03-08T16:18:15"/>
    <d v="2022-03-08T18:59:50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2673.95"/>
    <n v="0"/>
    <n v="103697008"/>
    <x v="3"/>
  </r>
  <r>
    <s v="4be6b5fb-2a19-943a-af08-99b19826d7e9"/>
    <d v="2022-04-26T03:18:15"/>
    <d v="2022-04-26T03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195662009"/>
    <x v="9"/>
  </r>
  <r>
    <s v="4be6b5fb-2a19-943a-0d27-8af67dfd29df"/>
    <d v="2023-01-26T20:44:54"/>
    <d v="2023-01-26T21:44:54"/>
    <s v="4be6b5fb-2a19-943a-9249-7068445be4cc"/>
    <s v="e68de1a0-767e-3466-b9a6-43948ee073d3"/>
    <s v="a660d3e5-6770-3a81-a586-77b312f5ef69"/>
    <s v="8fa6c185-e44e-3e34-8bd8-39be8694f4ce"/>
    <x v="3"/>
    <n v="50849002"/>
    <s v="Emergency room admission (procedure)"/>
    <n v="146.18"/>
    <n v="146.18"/>
    <n v="0"/>
    <n v="384709000"/>
    <x v="13"/>
  </r>
  <r>
    <s v="4be6b5fb-2a19-943a-06e6-0fd51ae44f96"/>
    <d v="2023-02-28T16:18:15"/>
    <d v="2023-02-28T16:59:55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1075.8599999999999"/>
    <n v="0"/>
    <m/>
    <x v="0"/>
  </r>
  <r>
    <s v="4be6b5fb-2a19-943a-48ed-3fce02959351"/>
    <d v="2024-03-05T16:18:15"/>
    <d v="2024-03-05T17:10:10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1116.5"/>
    <n v="0"/>
    <m/>
    <x v="0"/>
  </r>
  <r>
    <s v="4be6b5fb-2a19-943a-a463-25969b45a17d"/>
    <d v="2024-03-19T17:18:15"/>
    <d v="2024-03-19T20:52:29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3105.35"/>
    <n v="0"/>
    <n v="66383009"/>
    <x v="17"/>
  </r>
  <r>
    <s v="4be6b5fb-2a19-943a-e08c-d2875ef7d901"/>
    <d v="2025-03-11T17:18:15"/>
    <d v="2025-03-11T17:52:31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785.58"/>
    <n v="0"/>
    <m/>
    <x v="0"/>
  </r>
  <r>
    <s v="4be6b5fb-2a19-943a-68d2-d114893fa8bf"/>
    <d v="2025-07-01T13:18:15"/>
    <d v="2025-07-01T13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75498004"/>
    <x v="14"/>
  </r>
  <r>
    <s v="4be6b5fb-2a19-943a-a19b-c02467c2e500"/>
    <d v="2025-08-09T13:18:15"/>
    <d v="2025-08-09T13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75498004"/>
    <x v="14"/>
  </r>
  <r>
    <s v="4be6b5fb-2a19-943a-6e79-26fffd37b2b6"/>
    <d v="2025-11-22T12:18:15"/>
    <d v="2025-11-22T12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75498004"/>
    <x v="14"/>
  </r>
  <r>
    <s v="4be6b5fb-2a19-943a-9eba-fb3a2ab9ee39"/>
    <d v="2025-12-06T12:18:15"/>
    <d v="2025-12-06T12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75498004"/>
    <x v="14"/>
  </r>
  <r>
    <s v="4be6b5fb-2a19-943a-90c8-51833a1025cb"/>
    <d v="2025-12-27T12:18:15"/>
    <d v="2025-12-27T12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0"/>
    <n v="75498004"/>
    <x v="14"/>
  </r>
  <r>
    <s v="4be6b5fb-2a19-943a-bb54-08be03da49f1"/>
    <d v="2026-02-23T16:49:59"/>
    <d v="2026-02-23T17:26:44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5138.45"/>
    <n v="446.92"/>
    <n v="275978004"/>
    <x v="29"/>
  </r>
  <r>
    <s v="4be6b5fb-2a19-943a-7c1d-06f4a1fdf354"/>
    <d v="2026-03-07T12:18:15"/>
    <d v="2026-03-07T12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59.88"/>
    <n v="75498004"/>
    <x v="14"/>
  </r>
  <r>
    <s v="4be6b5fb-2a19-943a-5f5e-0880dfe43e74"/>
    <d v="2026-03-17T17:18:15"/>
    <d v="2026-03-17T18:08:10"/>
    <s v="4be6b5fb-2a19-943a-9249-7068445be4cc"/>
    <s v="0f9d1260-db33-3483-b2b6-5483cfcb739c"/>
    <s v="7bfefba1-5343-3a75-b8f6-b63f7de24073"/>
    <s v="8fa6c185-e44e-3e34-8bd8-39be8694f4ce"/>
    <x v="0"/>
    <n v="162673000"/>
    <s v="General examination of patient (procedure)"/>
    <n v="136.80000000000001"/>
    <n v="785.58"/>
    <n v="549.91"/>
    <m/>
    <x v="0"/>
  </r>
  <r>
    <s v="4be6b5fb-2a19-943a-cddd-98f533f3202f"/>
    <d v="2026-03-21T13:18:15"/>
    <d v="2026-03-21T13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59.88"/>
    <n v="75498004"/>
    <x v="14"/>
  </r>
  <r>
    <s v="4be6b5fb-2a19-943a-7e3d-90de8e621ed5"/>
    <d v="2026-04-10T22:37:41"/>
    <d v="2026-04-10T23:57:13"/>
    <s v="4be6b5fb-2a19-943a-9249-7068445be4cc"/>
    <s v="3b021cb6-4745-3d9d-8436-230055f770bd"/>
    <s v="3aadffc5-0246-3fc8-8981-6c99c5a22e8b"/>
    <s v="8fa6c185-e44e-3e34-8bd8-39be8694f4ce"/>
    <x v="1"/>
    <n v="185347001"/>
    <s v="Encounter for problem (procedure)"/>
    <n v="85.55"/>
    <n v="1379.75"/>
    <n v="965.82"/>
    <n v="37320007"/>
    <x v="8"/>
  </r>
  <r>
    <s v="4be6b5fb-2a19-943a-de80-dea2da14ace9"/>
    <d v="2026-04-24T23:57:13"/>
    <d v="2026-04-25T00:56:18"/>
    <s v="4be6b5fb-2a19-943a-9249-7068445be4cc"/>
    <s v="3b021cb6-4745-3d9d-8436-230055f770bd"/>
    <s v="3aadffc5-0246-3fc8-8981-6c99c5a22e8b"/>
    <s v="8fa6c185-e44e-3e34-8bd8-39be8694f4ce"/>
    <x v="1"/>
    <n v="390906007"/>
    <s v="Follow-up encounter (procedure)"/>
    <n v="85.55"/>
    <n v="516.95000000000005"/>
    <n v="361.86"/>
    <n v="37320007"/>
    <x v="8"/>
  </r>
  <r>
    <s v="4be6b5fb-2a19-943a-92fb-593c52f01924"/>
    <d v="2026-04-25T13:18:15"/>
    <d v="2026-04-25T13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59.88"/>
    <n v="75498004"/>
    <x v="14"/>
  </r>
  <r>
    <s v="4be6b5fb-2a19-943a-34de-9713a87e2085"/>
    <d v="2026-05-02T13:18:15"/>
    <d v="2026-05-02T13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59.88"/>
    <n v="75498004"/>
    <x v="14"/>
  </r>
  <r>
    <s v="4be6b5fb-2a19-943a-e9c2-e4d66044907e"/>
    <d v="2026-05-12T17:18:15"/>
    <d v="2026-05-12T17:51:41"/>
    <s v="4be6b5fb-2a19-943a-9249-7068445be4cc"/>
    <s v="121b0ad1-1beb-3caa-9271-3d3f726bb727"/>
    <s v="3d8598c7-b464-3e8b-b494-c85d503739b3"/>
    <s v="8fa6c185-e44e-3e34-8bd8-39be8694f4ce"/>
    <x v="4"/>
    <n v="702927004"/>
    <s v="Urgent care clinic (environment)"/>
    <n v="142.58000000000001"/>
    <n v="864.26"/>
    <n v="604.99"/>
    <m/>
    <x v="0"/>
  </r>
  <r>
    <s v="4be6b5fb-2a19-943a-84bd-d07216882458"/>
    <d v="2026-05-19T17:18:15"/>
    <d v="2026-05-19T17:33:15"/>
    <s v="4be6b5fb-2a19-943a-9249-7068445be4cc"/>
    <s v="121b0ad1-1beb-3caa-9271-3d3f726bb727"/>
    <s v="3d8598c7-b464-3e8b-b494-c85d503739b3"/>
    <s v="8fa6c185-e44e-3e34-8bd8-39be8694f4ce"/>
    <x v="4"/>
    <n v="702927004"/>
    <s v="Urgent care clinic (environment)"/>
    <n v="142.58000000000001"/>
    <n v="142.58000000000001"/>
    <n v="99.81"/>
    <m/>
    <x v="0"/>
  </r>
  <r>
    <s v="4be6b5fb-2a19-943a-58be-d5d87d44ce34"/>
    <d v="2026-05-26T17:18:15"/>
    <d v="2026-05-26T17:58:41"/>
    <s v="4be6b5fb-2a19-943a-9249-7068445be4cc"/>
    <s v="3b021cb6-4745-3d9d-8436-230055f770bd"/>
    <s v="3aadffc5-0246-3fc8-8981-6c99c5a22e8b"/>
    <s v="8fa6c185-e44e-3e34-8bd8-39be8694f4ce"/>
    <x v="2"/>
    <n v="185349003"/>
    <s v="Encounter for check up (procedure)"/>
    <n v="85.55"/>
    <n v="598.33000000000004"/>
    <n v="418.83"/>
    <m/>
    <x v="0"/>
  </r>
  <r>
    <s v="4be6b5fb-2a19-943a-db70-5f30bcb2d304"/>
    <d v="2026-06-02T17:18:15"/>
    <d v="2026-06-02T17:35:18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775.79"/>
    <n v="543.04999999999995"/>
    <n v="10509002"/>
    <x v="1"/>
  </r>
  <r>
    <s v="4be6b5fb-2a19-943a-2985-e7955de888d0"/>
    <d v="2026-06-09T17:18:15"/>
    <d v="2026-06-09T21:49:58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3968.15"/>
    <n v="2777.7"/>
    <n v="103697008"/>
    <x v="3"/>
  </r>
  <r>
    <s v="4be6b5fb-2a19-943a-d599-cbc44812cad7"/>
    <d v="2026-06-16T17:18:15"/>
    <d v="2026-06-16T17:33:15"/>
    <s v="4be6b5fb-2a19-943a-9249-7068445be4cc"/>
    <s v="3b021cb6-4745-3d9d-8436-230055f770bd"/>
    <s v="3aadffc5-0246-3fc8-8981-6c99c5a22e8b"/>
    <s v="8fa6c185-e44e-3e34-8bd8-39be8694f4ce"/>
    <x v="1"/>
    <n v="185345009"/>
    <s v="Encounter for symptom (procedure)"/>
    <n v="85.55"/>
    <n v="85.55"/>
    <n v="59.88"/>
    <n v="75498004"/>
    <x v="14"/>
  </r>
  <r>
    <s v="4be6b5fb-2a19-943a-a6ba-f19d05e781bf"/>
    <d v="2026-06-23T17:18:15"/>
    <d v="2026-06-23T18:17:30"/>
    <s v="4be6b5fb-2a19-943a-9249-7068445be4cc"/>
    <s v="121b0ad1-1beb-3caa-9271-3d3f726bb727"/>
    <s v="3d8598c7-b464-3e8b-b494-c85d503739b3"/>
    <s v="8fa6c185-e44e-3e34-8bd8-39be8694f4ce"/>
    <x v="4"/>
    <n v="702927004"/>
    <s v="Urgent care clinic (environment)"/>
    <n v="142.58000000000001"/>
    <n v="1116.6300000000001"/>
    <n v="781.65"/>
    <m/>
    <x v="0"/>
  </r>
  <r>
    <s v="4be6b5fb-2a19-943a-6c77-eae28c19c692"/>
    <d v="2026-07-07T17:18:15"/>
    <d v="2026-07-07T20:52:54"/>
    <s v="4be6b5fb-2a19-943a-9249-7068445be4cc"/>
    <s v="3b021cb6-4745-3d9d-8436-230055f770bd"/>
    <s v="3aadffc5-0246-3fc8-8981-6c99c5a22e8b"/>
    <s v="8fa6c185-e44e-3e34-8bd8-39be8694f4ce"/>
    <x v="1"/>
    <n v="185349003"/>
    <s v="Encounter for check up (procedure)"/>
    <n v="85.55"/>
    <n v="3536.75"/>
    <n v="2475.7199999999998"/>
    <n v="66383009"/>
    <x v="17"/>
  </r>
  <r>
    <s v="031ce8e2-1443-01b4-f85f-43869f746de5"/>
    <d v="1995-04-12T11:44:09"/>
    <d v="1995-04-12T12:44:09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24171000119105"/>
    <x v="90"/>
  </r>
  <r>
    <s v="031ce8e2-1443-01b4-779d-a2b10a00b838"/>
    <d v="1995-06-25T11:44:09"/>
    <d v="1995-06-25T12:44:09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5308.14"/>
    <n v="5258.14"/>
    <n v="196416002"/>
    <x v="27"/>
  </r>
  <r>
    <s v="031ce8e2-1443-01b4-7035-a4b6c39476ac"/>
    <d v="1996-12-08T10:44:09"/>
    <d v="1996-12-08T11:49:49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af89-09c414718f1c"/>
    <d v="1999-03-04T10:44:09"/>
    <d v="1999-03-04T11:29:11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928.74"/>
    <n v="778.74"/>
    <m/>
    <x v="0"/>
  </r>
  <r>
    <s v="031ce8e2-1443-01b4-078b-8014a8ee8471"/>
    <d v="2000-10-15T20:58:03"/>
    <d v="2000-10-16T07:58:03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031ce8e2-1443-01b4-8907-7c0d38430cb2"/>
    <d v="2003-03-13T10:44:09"/>
    <d v="2003-03-13T11:22:40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1347.73"/>
    <n v="1197.73"/>
    <m/>
    <x v="0"/>
  </r>
  <r>
    <s v="031ce8e2-1443-01b4-3785-97b1e5c28fcf"/>
    <d v="2006-03-16T10:44:09"/>
    <d v="2006-03-16T11:33:40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704.2"/>
    <n v="604.20000000000005"/>
    <m/>
    <x v="0"/>
  </r>
  <r>
    <s v="031ce8e2-1443-01b4-812b-a052d2a1e706"/>
    <d v="2009-03-19T11:44:09"/>
    <d v="2009-03-19T12:18:58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994.48"/>
    <n v="894.48"/>
    <m/>
    <x v="0"/>
  </r>
  <r>
    <s v="031ce8e2-1443-01b4-97b7-081db810f8a6"/>
    <d v="2009-04-02T11:44:09"/>
    <d v="2009-04-02T15:14:12"/>
    <s v="031ce8e2-1443-01b4-de6b-61a4084a7166"/>
    <s v="ac0fde88-b0ad-3388-a4a8-b8fc2a4f4af2"/>
    <s v="3a43e601-a5bc-3cb1-a910-fd095c58c91b"/>
    <s v="df166300-5a78-3502-a46a-832842197811"/>
    <x v="1"/>
    <n v="185349003"/>
    <s v="Encounter for check up (procedure)"/>
    <n v="85.55"/>
    <n v="2673.95"/>
    <n v="2623.95"/>
    <n v="103697008"/>
    <x v="3"/>
  </r>
  <r>
    <s v="031ce8e2-1443-01b4-1069-fa62b19913c4"/>
    <d v="2009-08-25T19:12:41"/>
    <d v="2009-08-26T08:12:41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031ce8e2-1443-01b4-7e98-40c2a6b2e6b1"/>
    <d v="2009-09-02T08:12:41"/>
    <d v="2009-09-02T09:25:49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1b70-abc27dfc42fa"/>
    <d v="2009-10-02T09:25:49"/>
    <d v="2009-10-02T10:50:50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7227-6dbf5f68348d"/>
    <d v="2009-11-01T09:50:50"/>
    <d v="2009-11-01T10:51:41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0d3d-a1ba7e573074"/>
    <d v="2009-12-01T10:51:41"/>
    <d v="2009-12-01T12:21:28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deb4-7810a02b93bb"/>
    <d v="2009-12-31T12:21:28"/>
    <d v="2009-12-31T13:36:09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f754-0783f7b4d3f4"/>
    <d v="2010-01-30T13:36:09"/>
    <d v="2010-01-30T15:01:34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5564-1728added2ac"/>
    <d v="2010-03-01T15:01:34"/>
    <d v="2010-03-01T16:28:22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97d5-057c73346b7e"/>
    <d v="2010-03-17T11:44:09"/>
    <d v="2010-03-17T11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02.97"/>
    <n v="152.97"/>
    <n v="32911000"/>
    <x v="93"/>
  </r>
  <r>
    <s v="031ce8e2-1443-01b4-8d9d-939d3122fa0e"/>
    <d v="2010-03-31T17:28:22"/>
    <d v="2010-03-31T18:36:0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39c2-593a32abdd20"/>
    <d v="2010-04-30T18:36:05"/>
    <d v="2010-04-30T19:44:44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ac33-840a4c028465"/>
    <d v="2010-05-16T11:44:09"/>
    <d v="2010-05-16T11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02.97"/>
    <n v="152.97"/>
    <n v="32911000"/>
    <x v="93"/>
  </r>
  <r>
    <s v="031ce8e2-1443-01b4-81c1-2aec20f002cd"/>
    <d v="2010-05-30T19:44:44"/>
    <d v="2010-05-30T20:51:03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1cbf-9876847f2c1c"/>
    <d v="2010-07-15T11:44:09"/>
    <d v="2010-07-15T11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11.6"/>
    <n v="161.6"/>
    <n v="32911000"/>
    <x v="93"/>
  </r>
  <r>
    <s v="031ce8e2-1443-01b4-7c73-6d73bb00d8ab"/>
    <d v="2010-08-14T11:44:09"/>
    <d v="2010-08-14T11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02.97"/>
    <n v="152.97"/>
    <n v="32911000"/>
    <x v="93"/>
  </r>
  <r>
    <s v="031ce8e2-1443-01b4-c36b-4d356303c85d"/>
    <d v="2010-08-24T20:51:03"/>
    <d v="2010-09-06T20:51:03"/>
    <s v="031ce8e2-1443-01b4-de6b-61a4084a7166"/>
    <s v="ac0fde88-b0ad-3388-a4a8-b8fc2a4f4af2"/>
    <s v="3a43e601-a5bc-3cb1-a910-fd095c58c91b"/>
    <s v="df166300-5a78-3502-a46a-832842197811"/>
    <x v="6"/>
    <n v="56876005"/>
    <s v="Drug rehabilitation and detoxification (regime/therapy)"/>
    <n v="146.18"/>
    <n v="146.18"/>
    <n v="96.18"/>
    <n v="6525002"/>
    <x v="91"/>
  </r>
  <r>
    <s v="031ce8e2-1443-01b4-d670-ab96b9579bc6"/>
    <d v="2010-09-13T11:44:09"/>
    <d v="2010-09-13T11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11.6"/>
    <n v="161.6"/>
    <n v="32911000"/>
    <x v="93"/>
  </r>
  <r>
    <s v="031ce8e2-1443-01b4-c1ad-7e698d246493"/>
    <d v="2010-11-12T10:44:09"/>
    <d v="2010-11-12T10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02.97"/>
    <n v="152.97"/>
    <n v="32911000"/>
    <x v="93"/>
  </r>
  <r>
    <s v="031ce8e2-1443-01b4-a51a-b9d831c42353"/>
    <d v="2010-12-12T10:44:09"/>
    <d v="2010-12-12T10:59:09"/>
    <s v="031ce8e2-1443-01b4-de6b-61a4084a7166"/>
    <s v="ac0fde88-b0ad-3388-a4a8-b8fc2a4f4af2"/>
    <s v="3a43e601-a5bc-3cb1-a910-fd095c58c91b"/>
    <s v="df166300-5a78-3502-a46a-832842197811"/>
    <x v="1"/>
    <n v="210098006"/>
    <s v="Domiciliary or rest home patient evaluation and management (procedure)"/>
    <n v="142.58000000000001"/>
    <n v="211.6"/>
    <n v="161.6"/>
    <n v="32911000"/>
    <x v="93"/>
  </r>
  <r>
    <s v="031ce8e2-1443-01b4-f19d-a7f8f02aa9d5"/>
    <d v="2011-07-11T20:51:03"/>
    <d v="2011-07-11T22:05:40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9cc1-42cf0a524d7c"/>
    <d v="2011-11-09T21:05:40"/>
    <d v="2011-11-09T22:29:50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c9c6-342212f4c76c"/>
    <d v="2012-01-06T22:29:50"/>
    <d v="2012-01-06T23:51:58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0d8a-c88c75696624"/>
    <d v="2012-02-05T23:51:58"/>
    <d v="2012-02-06T01:10:36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8d24-110821e84d57"/>
    <d v="2012-03-22T11:44:09"/>
    <d v="2012-03-22T12:35:59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914.78"/>
    <n v="914.78"/>
    <m/>
    <x v="0"/>
  </r>
  <r>
    <s v="031ce8e2-1443-01b4-4125-9425c8efab14"/>
    <d v="2012-04-21T11:44:09"/>
    <d v="2012-04-21T11:59:09"/>
    <s v="031ce8e2-1443-01b4-de6b-61a4084a7166"/>
    <s v="ac0fde88-b0ad-3388-a4a8-b8fc2a4f4af2"/>
    <s v="3a43e601-a5bc-3cb1-a910-fd095c58c91b"/>
    <s v="df166300-5a78-3502-a46a-832842197811"/>
    <x v="1"/>
    <n v="390906007"/>
    <s v="Follow-up encounter (procedure)"/>
    <n v="85.55"/>
    <n v="85.55"/>
    <n v="35.549999999999997"/>
    <n v="59621000"/>
    <x v="31"/>
  </r>
  <r>
    <s v="031ce8e2-1443-01b4-c5ec-65dec50d49d5"/>
    <d v="2012-06-20T11:44:09"/>
    <d v="2012-06-20T11:59:09"/>
    <s v="031ce8e2-1443-01b4-de6b-61a4084a7166"/>
    <s v="ac0fde88-b0ad-3388-a4a8-b8fc2a4f4af2"/>
    <s v="3a43e601-a5bc-3cb1-a910-fd095c58c91b"/>
    <s v="df166300-5a78-3502-a46a-832842197811"/>
    <x v="1"/>
    <n v="390906007"/>
    <s v="Follow-up encounter (procedure)"/>
    <n v="85.55"/>
    <n v="85.55"/>
    <n v="35.549999999999997"/>
    <n v="59621000"/>
    <x v="31"/>
  </r>
  <r>
    <s v="031ce8e2-1443-01b4-4274-772a03d422e0"/>
    <d v="2012-07-07T05:44:09"/>
    <d v="2012-07-07T05:59:09"/>
    <s v="031ce8e2-1443-01b4-de6b-61a4084a7166"/>
    <s v="ac0fde88-b0ad-3388-a4a8-b8fc2a4f4af2"/>
    <s v="3a43e601-a5bc-3cb1-a910-fd095c58c91b"/>
    <s v="df166300-5a78-3502-a46a-832842197811"/>
    <x v="1"/>
    <n v="185345009"/>
    <s v="Encounter for symptom (procedure)"/>
    <n v="85.55"/>
    <n v="1417.1"/>
    <n v="1367.1"/>
    <n v="195662009"/>
    <x v="9"/>
  </r>
  <r>
    <s v="031ce8e2-1443-01b4-ce72-c5b9d3b1b29c"/>
    <d v="2012-07-25T02:10:36"/>
    <d v="2012-08-13T02:10:36"/>
    <s v="031ce8e2-1443-01b4-de6b-61a4084a7166"/>
    <s v="ac0fde88-b0ad-3388-a4a8-b8fc2a4f4af2"/>
    <s v="3a43e601-a5bc-3cb1-a910-fd095c58c91b"/>
    <s v="df166300-5a78-3502-a46a-832842197811"/>
    <x v="6"/>
    <n v="56876005"/>
    <s v="Drug rehabilitation and detoxification (regime/therapy)"/>
    <n v="146.18"/>
    <n v="146.18"/>
    <n v="96.18"/>
    <n v="6525002"/>
    <x v="91"/>
  </r>
  <r>
    <s v="031ce8e2-1443-01b4-c9df-40fcc8678db1"/>
    <d v="2012-08-19T11:44:09"/>
    <d v="2012-08-19T11:59:09"/>
    <s v="031ce8e2-1443-01b4-de6b-61a4084a7166"/>
    <s v="ac0fde88-b0ad-3388-a4a8-b8fc2a4f4af2"/>
    <s v="3a43e601-a5bc-3cb1-a910-fd095c58c91b"/>
    <s v="df166300-5a78-3502-a46a-832842197811"/>
    <x v="1"/>
    <n v="390906007"/>
    <s v="Follow-up encounter (procedure)"/>
    <n v="85.55"/>
    <n v="85.55"/>
    <n v="35.549999999999997"/>
    <n v="59621000"/>
    <x v="31"/>
  </r>
  <r>
    <s v="031ce8e2-1443-01b4-bc97-22a92fa15554"/>
    <d v="2012-10-22T02:10:36"/>
    <d v="2012-10-22T03:26:3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5dd4-519cf0038e74"/>
    <d v="2012-11-21T02:26:35"/>
    <d v="2012-11-21T03:39:0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4cdf-fd21d805b682"/>
    <d v="2012-12-21T03:39:05"/>
    <d v="2012-12-21T04:55:0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ccf4-5b3d301b2363"/>
    <d v="2013-03-28T11:44:09"/>
    <d v="2013-03-28T12:18:24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969.93"/>
    <n v="869.93"/>
    <m/>
    <x v="0"/>
  </r>
  <r>
    <s v="031ce8e2-1443-01b4-d3c8-8df84811e1a3"/>
    <d v="2013-04-11T11:44:09"/>
    <d v="2013-04-11T15:28:35"/>
    <s v="031ce8e2-1443-01b4-de6b-61a4084a7166"/>
    <s v="ac0fde88-b0ad-3388-a4a8-b8fc2a4f4af2"/>
    <s v="3a43e601-a5bc-3cb1-a910-fd095c58c91b"/>
    <s v="df166300-5a78-3502-a46a-832842197811"/>
    <x v="1"/>
    <n v="185349003"/>
    <s v="Encounter for check up (procedure)"/>
    <n v="85.55"/>
    <n v="3536.75"/>
    <n v="3486.75"/>
    <n v="103697008"/>
    <x v="3"/>
  </r>
  <r>
    <s v="031ce8e2-1443-01b4-397a-909e34d396da"/>
    <d v="2013-07-07T05:55:05"/>
    <d v="2013-07-07T12:55:05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031ce8e2-1443-01b4-3781-2dfe0466e1b7"/>
    <d v="2013-07-28T12:55:05"/>
    <d v="2013-07-28T20:55:05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031ce8e2-1443-01b4-92dd-c201cdcd03a4"/>
    <d v="2013-08-25T20:55:05"/>
    <d v="2013-08-27T20:55:05"/>
    <s v="031ce8e2-1443-01b4-de6b-61a4084a7166"/>
    <s v="ac0fde88-b0ad-3388-a4a8-b8fc2a4f4af2"/>
    <s v="3a43e601-a5bc-3cb1-a910-fd095c58c91b"/>
    <s v="df166300-5a78-3502-a46a-832842197811"/>
    <x v="6"/>
    <n v="56876005"/>
    <s v="Drug rehabilitation and detoxification (regime/therapy)"/>
    <n v="146.18"/>
    <n v="146.18"/>
    <n v="96.18"/>
    <n v="6525002"/>
    <x v="91"/>
  </r>
  <r>
    <s v="031ce8e2-1443-01b4-40b7-91aadb474091"/>
    <d v="2013-11-26T19:55:05"/>
    <d v="2013-11-26T20:56:20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e4e2-ca4a7d84a762"/>
    <d v="2013-12-26T20:56:20"/>
    <d v="2013-12-26T21:57:5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fde8-65d36a627e7c"/>
    <d v="2014-01-25T21:57:55"/>
    <d v="2014-01-25T23:12:43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9c81-9c0977186bc0"/>
    <d v="2014-02-01T10:44:09"/>
    <d v="2014-02-01T10:59:09"/>
    <s v="031ce8e2-1443-01b4-de6b-61a4084a7166"/>
    <s v="ac0fde88-b0ad-3388-a4a8-b8fc2a4f4af2"/>
    <s v="3a43e601-a5bc-3cb1-a910-fd095c58c91b"/>
    <s v="df166300-5a78-3502-a46a-832842197811"/>
    <x v="2"/>
    <n v="185347001"/>
    <s v="Encounter for problem (procedure)"/>
    <n v="85.55"/>
    <n v="85.55"/>
    <n v="35.549999999999997"/>
    <n v="82423001"/>
    <x v="33"/>
  </r>
  <r>
    <s v="031ce8e2-1443-01b4-d152-75593a6a89c3"/>
    <d v="2014-02-04T10:44:09"/>
    <d v="2014-02-04T11:35:32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31.75"/>
    <n v="181.75"/>
    <n v="82423001"/>
    <x v="33"/>
  </r>
  <r>
    <s v="031ce8e2-1443-01b4-b4c7-d1dbaa5225cd"/>
    <d v="2014-02-07T11:35:32"/>
    <d v="2014-02-07T12:18:52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10.68"/>
    <n v="160.68"/>
    <n v="82423001"/>
    <x v="33"/>
  </r>
  <r>
    <s v="031ce8e2-1443-01b4-136f-28069ea25288"/>
    <d v="2014-02-10T12:18:52"/>
    <d v="2014-02-10T13:15:09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408.87"/>
    <n v="358.87"/>
    <n v="82423001"/>
    <x v="33"/>
  </r>
  <r>
    <s v="031ce8e2-1443-01b4-938c-0d8679802e3f"/>
    <d v="2014-02-13T13:15:09"/>
    <d v="2014-02-13T13:55:38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72.64"/>
    <n v="222.64"/>
    <n v="82423001"/>
    <x v="33"/>
  </r>
  <r>
    <s v="031ce8e2-1443-01b4-3445-bc323d772091"/>
    <d v="2014-02-16T13:55:38"/>
    <d v="2014-02-16T14:26:16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10.68"/>
    <n v="160.68"/>
    <n v="82423001"/>
    <x v="33"/>
  </r>
  <r>
    <s v="031ce8e2-1443-01b4-c1c9-4a8914de97e8"/>
    <d v="2014-02-19T14:26:16"/>
    <d v="2014-02-19T15:03:14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10.68"/>
    <n v="160.68"/>
    <n v="82423001"/>
    <x v="33"/>
  </r>
  <r>
    <s v="031ce8e2-1443-01b4-cd9e-94eea5ab92d2"/>
    <d v="2014-02-22T15:03:14"/>
    <d v="2014-02-22T15:59:13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10.68"/>
    <n v="160.68"/>
    <n v="82423001"/>
    <x v="33"/>
  </r>
  <r>
    <s v="031ce8e2-1443-01b4-f36a-b5620dcc38c9"/>
    <d v="2014-02-25T15:59:13"/>
    <d v="2014-02-25T16:34:33"/>
    <s v="031ce8e2-1443-01b4-de6b-61a4084a7166"/>
    <s v="ac0fde88-b0ad-3388-a4a8-b8fc2a4f4af2"/>
    <s v="3a43e601-a5bc-3cb1-a910-fd095c58c91b"/>
    <s v="df166300-5a78-3502-a46a-832842197811"/>
    <x v="1"/>
    <n v="308335008"/>
    <s v="Patient encounter procedure (procedure)"/>
    <n v="142.58000000000001"/>
    <n v="210.68"/>
    <n v="160.68"/>
    <n v="82423001"/>
    <x v="33"/>
  </r>
  <r>
    <s v="031ce8e2-1443-01b4-7cce-ef199e39a749"/>
    <d v="2014-04-03T11:44:09"/>
    <d v="2014-04-03T12:25:43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778.78"/>
    <n v="778.78"/>
    <m/>
    <x v="0"/>
  </r>
  <r>
    <s v="031ce8e2-1443-01b4-492e-37a1490759cb"/>
    <d v="2014-04-10T11:44:09"/>
    <d v="2014-04-10T11:59:09"/>
    <s v="031ce8e2-1443-01b4-de6b-61a4084a7166"/>
    <s v="ac0fde88-b0ad-3388-a4a8-b8fc2a4f4af2"/>
    <s v="3a43e601-a5bc-3cb1-a910-fd095c58c91b"/>
    <s v="df166300-5a78-3502-a46a-832842197811"/>
    <x v="1"/>
    <n v="390906007"/>
    <s v="Follow-up encounter (procedure)"/>
    <n v="85.55"/>
    <n v="85.55"/>
    <n v="35.549999999999997"/>
    <n v="82423001"/>
    <x v="33"/>
  </r>
  <r>
    <s v="031ce8e2-1443-01b4-c593-09728b0f0b20"/>
    <d v="2014-07-29T00:12:43"/>
    <d v="2014-07-29T01:36:54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9258-1aa5a65e7489"/>
    <d v="2014-08-28T01:36:54"/>
    <d v="2014-08-28T02:46:30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48a8-b5c30f3eb40e"/>
    <d v="2014-09-27T02:46:30"/>
    <d v="2014-09-27T04:04:14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a973-dfd0203c8972"/>
    <d v="2014-10-27T04:04:14"/>
    <d v="2014-10-27T05:32:5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02cf-8c1a75d4b45c"/>
    <d v="2014-11-26T04:32:55"/>
    <d v="2014-11-26T05:43:49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be50-cdc25b8370d6"/>
    <d v="2015-04-09T11:44:09"/>
    <d v="2015-04-09T12:14:42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1641.58"/>
    <n v="1621.52"/>
    <m/>
    <x v="0"/>
  </r>
  <r>
    <s v="031ce8e2-1443-01b4-025c-2429982dd061"/>
    <d v="2016-04-01T06:43:49"/>
    <d v="2016-04-01T07:50:32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7c83-b81d8ced29c7"/>
    <d v="2016-04-14T11:44:09"/>
    <d v="2016-04-14T12:29:37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704.2"/>
    <n v="704.2"/>
    <m/>
    <x v="0"/>
  </r>
  <r>
    <s v="031ce8e2-1443-01b4-47cf-e14bb910b53d"/>
    <d v="2016-04-28T11:44:09"/>
    <d v="2016-04-28T14:49:51"/>
    <s v="031ce8e2-1443-01b4-de6b-61a4084a7166"/>
    <s v="ac0fde88-b0ad-3388-a4a8-b8fc2a4f4af2"/>
    <s v="3a43e601-a5bc-3cb1-a910-fd095c58c91b"/>
    <s v="df166300-5a78-3502-a46a-832842197811"/>
    <x v="1"/>
    <n v="185349003"/>
    <s v="Encounter for check up (procedure)"/>
    <n v="85.55"/>
    <n v="3536.75"/>
    <n v="3486.75"/>
    <n v="103697008"/>
    <x v="3"/>
  </r>
  <r>
    <s v="031ce8e2-1443-01b4-396a-35da3d03aa8d"/>
    <d v="2016-05-01T07:50:32"/>
    <d v="2016-05-01T09:13:5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34c7-6d2b9eb5ec3f"/>
    <d v="2016-05-31T09:13:55"/>
    <d v="2016-05-31T10:20:13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6447-7d54edbd2672"/>
    <d v="2017-03-16T10:20:13"/>
    <d v="2017-03-16T11:25:58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e8af-ed46e251f495"/>
    <d v="2017-04-20T11:44:09"/>
    <d v="2017-04-20T12:29:51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704.2"/>
    <n v="704.2"/>
    <m/>
    <x v="0"/>
  </r>
  <r>
    <s v="031ce8e2-1443-01b4-4048-edf43c0a7478"/>
    <d v="2017-04-27T11:44:09"/>
    <d v="2017-04-27T12:49:53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0b49-7ecc87f12f59"/>
    <d v="2017-05-27T12:49:53"/>
    <d v="2017-05-27T13:55:08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0b8e-0067861f43b3"/>
    <d v="2018-02-12T12:55:08"/>
    <d v="2018-02-12T14:22:28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366.95"/>
    <n v="6525002"/>
    <x v="91"/>
  </r>
  <r>
    <s v="031ce8e2-1443-01b4-a023-b6cdfdc2a8f2"/>
    <d v="2018-03-14T15:22:28"/>
    <d v="2018-03-14T16:36:36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1a3b-d96c0d4fe480"/>
    <d v="2018-04-13T16:36:36"/>
    <d v="2018-04-13T17:47:05"/>
    <s v="031ce8e2-1443-01b4-de6b-61a4084a7166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525002"/>
    <x v="91"/>
  </r>
  <r>
    <s v="031ce8e2-1443-01b4-780a-945fd908b466"/>
    <d v="2018-04-26T11:44:09"/>
    <d v="2018-04-26T12:23:24"/>
    <s v="031ce8e2-1443-01b4-de6b-61a4084a7166"/>
    <s v="310d02fb-ba0c-3b5a-9ab3-8d7bb8e7b661"/>
    <s v="c52f38ee-3628-3e15-8b24-928425c2bd41"/>
    <s v="df166300-5a78-3502-a46a-832842197811"/>
    <x v="0"/>
    <n v="162673000"/>
    <s v="General examination of patient (procedure)"/>
    <n v="136.80000000000001"/>
    <n v="778.78"/>
    <n v="778.78"/>
    <m/>
    <x v="0"/>
  </r>
  <r>
    <s v="031ce8e2-1443-01b4-f22f-f692da9cbe0b"/>
    <d v="2018-05-03T11:44:09"/>
    <d v="2018-05-03T11:59:09"/>
    <s v="031ce8e2-1443-01b4-de6b-61a4084a7166"/>
    <s v="ac0fde88-b0ad-3388-a4a8-b8fc2a4f4af2"/>
    <s v="3a43e601-a5bc-3cb1-a910-fd095c58c91b"/>
    <s v="df166300-5a78-3502-a46a-832842197811"/>
    <x v="2"/>
    <n v="185349003"/>
    <s v="Encounter for check up (procedure)"/>
    <n v="85.55"/>
    <n v="85.55"/>
    <n v="35.549999999999997"/>
    <m/>
    <x v="0"/>
  </r>
  <r>
    <s v="031ce8e2-1443-01b4-a434-df8d312cea22"/>
    <d v="2018-05-10T11:44:09"/>
    <d v="2018-05-10T11:59:09"/>
    <s v="031ce8e2-1443-01b4-de6b-61a4084a7166"/>
    <s v="ac0fde88-b0ad-3388-a4a8-b8fc2a4f4af2"/>
    <s v="3a43e601-a5bc-3cb1-a910-fd095c58c91b"/>
    <s v="df166300-5a78-3502-a46a-832842197811"/>
    <x v="1"/>
    <n v="185345009"/>
    <s v="Encounter for symptom (procedure)"/>
    <n v="85.55"/>
    <n v="85.55"/>
    <n v="35.549999999999997"/>
    <n v="444814009"/>
    <x v="2"/>
  </r>
  <r>
    <s v="031ce8e2-1443-01b4-40d5-34fd89da922b"/>
    <d v="2018-09-23T17:47:05"/>
    <d v="2018-09-23T18:47:05"/>
    <s v="031ce8e2-1443-01b4-de6b-61a4084a7166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031ce8e2-1443-01b4-cfba-cb13fd522858"/>
    <d v="2018-10-04T11:44:09"/>
    <d v="2018-10-04T11:59:09"/>
    <s v="031ce8e2-1443-01b4-de6b-61a4084a7166"/>
    <s v="310d02fb-ba0c-3b5a-9ab3-8d7bb8e7b661"/>
    <s v="c52f38ee-3628-3e15-8b24-928425c2bd41"/>
    <s v="df166300-5a78-3502-a46a-832842197811"/>
    <x v="0"/>
    <n v="308646001"/>
    <s v="Death Certification"/>
    <n v="136.80000000000001"/>
    <n v="211.38"/>
    <n v="211.38"/>
    <n v="1149222004"/>
    <x v="92"/>
  </r>
  <r>
    <s v="23da8e71-dfb9-9773-501c-34eec351f652"/>
    <d v="1966-03-04T20:49:06"/>
    <d v="1966-03-09T07:40:27"/>
    <s v="23da8e71-dfb9-9773-1bc1-7b5e31d085b5"/>
    <s v="89171335-b9c0-3326-98d6-a837d432b9fd"/>
    <s v="66830869-c952-3647-bf73-8b58b6cbdca4"/>
    <s v="26aab0cd-6aba-3e1b-ac5b-05c8867e762c"/>
    <x v="6"/>
    <n v="185347001"/>
    <s v="Encounter for problem (procedure)"/>
    <n v="87.71"/>
    <n v="5423.98"/>
    <n v="2629.72"/>
    <n v="74400008"/>
    <x v="28"/>
  </r>
  <r>
    <s v="23da8e71-dfb9-9773-973d-c78a31321645"/>
    <d v="1981-05-08T21:49:06"/>
    <d v="1981-05-08T22:37:36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704.2"/>
    <n v="0"/>
    <m/>
    <x v="0"/>
  </r>
  <r>
    <s v="23da8e71-dfb9-9773-21e0-cdbb5eacb006"/>
    <d v="1985-05-17T21:49:06"/>
    <d v="1985-05-17T22:47:21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275.5"/>
    <n v="0"/>
    <m/>
    <x v="0"/>
  </r>
  <r>
    <s v="23da8e71-dfb9-9773-575e-a7efde105a99"/>
    <d v="2003-03-21T20:49:06"/>
    <d v="2003-03-21T21:23:57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858.96"/>
    <n v="0"/>
    <m/>
    <x v="0"/>
  </r>
  <r>
    <s v="23da8e71-dfb9-9773-4ef3-38d7e6df5d4a"/>
    <d v="2011-04-08T21:49:06"/>
    <d v="2011-04-08T22:32:52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011.99"/>
    <n v="0"/>
    <m/>
    <x v="0"/>
  </r>
  <r>
    <s v="23da8e71-dfb9-9773-40b5-e1ff37f81944"/>
    <d v="2011-05-04T11:22:28"/>
    <d v="2011-05-04T17:08:41"/>
    <s v="23da8e71-dfb9-9773-1bc1-7b5e31d085b5"/>
    <s v="74ab949d-17ac-3309-83a0-13b4405c66aa"/>
    <s v="35fedf4a-4da7-315e-a103-dbcfea0540fa"/>
    <s v="26aab0cd-6aba-3e1b-ac5b-05c8867e762c"/>
    <x v="1"/>
    <n v="185347001"/>
    <s v="Encounter for problem (procedure)"/>
    <n v="85.55"/>
    <n v="1444.46"/>
    <n v="504.01"/>
    <n v="414545008"/>
    <x v="19"/>
  </r>
  <r>
    <s v="23da8e71-dfb9-9773-0523-fb834d1a9462"/>
    <d v="2011-05-26T20:30:54"/>
    <d v="2011-05-27T02:36:15"/>
    <s v="23da8e71-dfb9-9773-1bc1-7b5e31d085b5"/>
    <s v="74ab949d-17ac-3309-83a0-13b4405c66aa"/>
    <s v="35fedf4a-4da7-315e-a103-dbcfea0540fa"/>
    <s v="26aab0cd-6aba-3e1b-ac5b-05c8867e762c"/>
    <x v="1"/>
    <n v="32485007"/>
    <s v="Hospital admission (procedure)"/>
    <n v="142.58000000000001"/>
    <n v="78571.12"/>
    <n v="78571.12"/>
    <n v="274531002"/>
    <x v="53"/>
  </r>
  <r>
    <s v="23da8e71-dfb9-9773-b385-c1c2e43c3fa1"/>
    <d v="2013-03-15T21:49:06"/>
    <d v="2013-03-15T22:44:15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211.8599999999999"/>
    <n v="0"/>
    <m/>
    <x v="0"/>
  </r>
  <r>
    <s v="23da8e71-dfb9-9773-899c-c206ca652805"/>
    <d v="2016-04-01T21:49:06"/>
    <d v="2016-04-01T22:41:56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722.96"/>
    <n v="0"/>
    <m/>
    <x v="0"/>
  </r>
  <r>
    <s v="23da8e71-dfb9-9773-ce11-f593e3ac1798"/>
    <d v="2017-04-07T21:49:06"/>
    <d v="2017-04-07T22:40:20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001.28"/>
    <n v="0"/>
    <m/>
    <x v="0"/>
  </r>
  <r>
    <s v="23da8e71-dfb9-9773-331e-562f496b2575"/>
    <d v="2018-03-22T22:26:27"/>
    <d v="2018-03-22T22:54:03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5138.45"/>
    <n v="0"/>
    <n v="275978004"/>
    <x v="29"/>
  </r>
  <r>
    <s v="23da8e71-dfb9-9773-804d-479b72142a5f"/>
    <d v="2018-04-13T21:49:06"/>
    <d v="2018-04-13T22:47:17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778.78"/>
    <n v="0"/>
    <m/>
    <x v="0"/>
  </r>
  <r>
    <s v="23da8e71-dfb9-9773-a4d6-2ae7196c068f"/>
    <d v="2018-04-27T21:49:06"/>
    <d v="2018-04-28T05:03:22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4830.95"/>
    <n v="2870.47"/>
    <n v="66383009"/>
    <x v="17"/>
  </r>
  <r>
    <s v="23da8e71-dfb9-9773-0816-f654b51d4833"/>
    <d v="2019-04-19T21:49:06"/>
    <d v="2019-04-19T22:39:47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860.16"/>
    <n v="0"/>
    <m/>
    <x v="0"/>
  </r>
  <r>
    <s v="23da8e71-dfb9-9773-b9ea-0e17fab55da9"/>
    <d v="2019-05-03T21:49:06"/>
    <d v="2019-05-04T04:40:38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4830.95"/>
    <n v="0"/>
    <n v="66383009"/>
    <x v="17"/>
  </r>
  <r>
    <s v="23da8e71-dfb9-9773-9064-81ee1cb12de4"/>
    <d v="2020-04-24T21:49:06"/>
    <d v="2020-04-24T22:20:09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860.16"/>
    <n v="0"/>
    <m/>
    <x v="0"/>
  </r>
  <r>
    <s v="23da8e71-dfb9-9773-f6d4-860df6473ee3"/>
    <d v="2020-05-08T21:49:06"/>
    <d v="2020-05-09T00:41:22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3105.35"/>
    <n v="0"/>
    <n v="103697008"/>
    <x v="3"/>
  </r>
  <r>
    <s v="23da8e71-dfb9-9773-cbae-8fbe4519a45d"/>
    <d v="2021-04-16T21:49:06"/>
    <d v="2021-04-16T22:04:06"/>
    <s v="23da8e71-dfb9-9773-1bc1-7b5e31d085b5"/>
    <s v="89171335-b9c0-3326-98d6-a837d432b9fd"/>
    <s v="66830869-c952-3647-bf73-8b58b6cbdca4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23da8e71-dfb9-9773-dd7a-77d34189ca3e"/>
    <d v="2021-04-30T21:49:06"/>
    <d v="2021-04-30T22:29:59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061.21"/>
    <n v="0"/>
    <m/>
    <x v="0"/>
  </r>
  <r>
    <s v="23da8e71-dfb9-9773-00c5-16735075106d"/>
    <d v="2021-05-07T21:49:06"/>
    <d v="2021-05-07T22:04:06"/>
    <s v="23da8e71-dfb9-9773-1bc1-7b5e31d085b5"/>
    <s v="89171335-b9c0-3326-98d6-a837d432b9fd"/>
    <s v="66830869-c952-3647-bf73-8b58b6cbdca4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23da8e71-dfb9-9773-963a-39299865c43c"/>
    <d v="2021-12-27T11:49:06"/>
    <d v="2021-12-27T12:04:06"/>
    <s v="23da8e71-dfb9-9773-1bc1-7b5e31d085b5"/>
    <s v="89171335-b9c0-3326-98d6-a837d432b9fd"/>
    <s v="66830869-c952-3647-bf73-8b58b6cbdca4"/>
    <s v="26aab0cd-6aba-3e1b-ac5b-05c8867e762c"/>
    <x v="1"/>
    <n v="185345009"/>
    <s v="Encounter for symptom (procedure)"/>
    <n v="85.55"/>
    <n v="948.35"/>
    <n v="0"/>
    <n v="195662009"/>
    <x v="9"/>
  </r>
  <r>
    <s v="23da8e71-dfb9-9773-d7cd-9c9d613da691"/>
    <d v="2022-05-06T21:49:06"/>
    <d v="2022-05-06T22:27:06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147.93"/>
    <n v="0"/>
    <m/>
    <x v="0"/>
  </r>
  <r>
    <s v="23da8e71-dfb9-9773-6c38-c1ac9be66493"/>
    <d v="2023-03-17T21:49:06"/>
    <d v="2023-03-17T22:49:06"/>
    <s v="23da8e71-dfb9-9773-1bc1-7b5e31d085b5"/>
    <s v="fbd4ccdf-2fdb-3652-9bbe-1ccff886bd34"/>
    <s v="061a2c05-e2d3-3bc4-9514-e703607037de"/>
    <s v="26aab0cd-6aba-3e1b-ac5b-05c8867e762c"/>
    <x v="3"/>
    <n v="50849002"/>
    <s v="Emergency room admission (procedure)"/>
    <n v="146.18"/>
    <n v="12322.8"/>
    <n v="3847.35"/>
    <n v="312608009"/>
    <x v="20"/>
  </r>
  <r>
    <s v="23da8e71-dfb9-9773-2563-3d8c7b0f523c"/>
    <d v="2023-03-31T21:49:06"/>
    <d v="2023-03-31T22:15:57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5138.45"/>
    <n v="3083.07"/>
    <n v="275978004"/>
    <x v="29"/>
  </r>
  <r>
    <s v="23da8e71-dfb9-9773-bfbf-b5982671be30"/>
    <d v="2023-05-12T21:49:06"/>
    <d v="2023-05-12T22:33:04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785.58"/>
    <n v="785.58"/>
    <m/>
    <x v="0"/>
  </r>
  <r>
    <s v="23da8e71-dfb9-9773-61ba-3bb2b9e633ee"/>
    <d v="2023-05-26T21:49:06"/>
    <d v="2023-05-27T00:30:05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2673.95"/>
    <n v="2673.95"/>
    <n v="103697008"/>
    <x v="3"/>
  </r>
  <r>
    <s v="23da8e71-dfb9-9773-4f8a-ac87f5fd4592"/>
    <d v="2024-05-17T21:49:06"/>
    <d v="2024-05-17T22:44:11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921.58"/>
    <n v="0"/>
    <m/>
    <x v="0"/>
  </r>
  <r>
    <s v="23da8e71-dfb9-9773-10ac-690469d26801"/>
    <d v="2025-05-23T21:49:06"/>
    <d v="2025-05-23T22:40:46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143.6400000000001"/>
    <n v="0"/>
    <m/>
    <x v="0"/>
  </r>
  <r>
    <s v="23da8e71-dfb9-9773-fe60-928ede66e20f"/>
    <d v="2026-05-29T21:49:06"/>
    <d v="2026-05-29T22:46:41"/>
    <s v="23da8e71-dfb9-9773-1bc1-7b5e31d085b5"/>
    <s v="936ceb96-2b12-371f-aa68-ee02a9c06f4c"/>
    <s v="027284ba-cfcf-335f-b1a7-7cf4ee7d45ca"/>
    <s v="26aab0cd-6aba-3e1b-ac5b-05c8867e762c"/>
    <x v="0"/>
    <n v="162673000"/>
    <s v="General examination of patient (procedure)"/>
    <n v="136.80000000000001"/>
    <n v="1001.28"/>
    <n v="0"/>
    <m/>
    <x v="0"/>
  </r>
  <r>
    <s v="23da8e71-dfb9-9773-3031-34d8acfa0cbb"/>
    <d v="2026-06-12T21:49:06"/>
    <d v="2026-06-13T00:36:07"/>
    <s v="23da8e71-dfb9-9773-1bc1-7b5e31d085b5"/>
    <s v="89171335-b9c0-3326-98d6-a837d432b9fd"/>
    <s v="66830869-c952-3647-bf73-8b58b6cbdca4"/>
    <s v="26aab0cd-6aba-3e1b-ac5b-05c8867e762c"/>
    <x v="1"/>
    <n v="185349003"/>
    <s v="Encounter for check up (procedure)"/>
    <n v="85.55"/>
    <n v="3105.35"/>
    <n v="0"/>
    <n v="103697008"/>
    <x v="3"/>
  </r>
  <r>
    <s v="23da8e71-dfb9-9773-14fe-120a2533ccb2"/>
    <d v="2026-06-19T21:49:06"/>
    <d v="2026-06-19T22:04:06"/>
    <s v="23da8e71-dfb9-9773-1bc1-7b5e31d085b5"/>
    <s v="89171335-b9c0-3326-98d6-a837d432b9fd"/>
    <s v="66830869-c952-3647-bf73-8b58b6cbdca4"/>
    <s v="26aab0cd-6aba-3e1b-ac5b-05c8867e762c"/>
    <x v="1"/>
    <n v="185345009"/>
    <s v="Encounter for symptom (procedure)"/>
    <n v="85.55"/>
    <n v="85.55"/>
    <n v="0"/>
    <n v="444814009"/>
    <x v="2"/>
  </r>
  <r>
    <s v="97e39468-6488-ca8f-c108-c6c05cc112ed"/>
    <d v="1986-05-11T15:41:42"/>
    <d v="1986-05-11T15:56:42"/>
    <s v="97e39468-6488-ca8f-fac2-235a80b4dcf7"/>
    <s v="18df2721-3f76-3f83-94d5-63597cedd298"/>
    <s v="cb4dc47a-a7f2-3191-a0c9-2973b1304fa7"/>
    <s v="e03e23c9-4df1-3eb6-a62d-f70f02301496"/>
    <x v="1"/>
    <n v="185347001"/>
    <s v="Encounter for problem (procedure)"/>
    <n v="85.55"/>
    <n v="85.55"/>
    <n v="0"/>
    <n v="735029006"/>
    <x v="58"/>
  </r>
  <r>
    <s v="97e39468-6488-ca8f-7b33-d33c04781ee2"/>
    <d v="1986-05-25T19:41:42"/>
    <d v="1986-05-25T20:09:47"/>
    <s v="97e39468-6488-ca8f-fac2-235a80b4dcf7"/>
    <s v="18df2721-3f76-3f83-94d5-63597cedd298"/>
    <s v="cb4dc47a-a7f2-3191-a0c9-2973b1304fa7"/>
    <s v="e03e23c9-4df1-3eb6-a62d-f70f02301496"/>
    <x v="1"/>
    <n v="185347001"/>
    <s v="Encounter for problem (procedure)"/>
    <n v="85.55"/>
    <n v="516.95000000000005"/>
    <n v="0"/>
    <n v="609328004"/>
    <x v="11"/>
  </r>
  <r>
    <s v="97e39468-6488-ca8f-2cd9-4796092ea77a"/>
    <d v="2003-02-06T21:41:42"/>
    <d v="2003-02-06T22:27:28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919.9"/>
    <n v="0"/>
    <m/>
    <x v="0"/>
  </r>
  <r>
    <s v="97e39468-6488-ca8f-cb39-a739bd2bee4b"/>
    <d v="2004-02-12T21:41:42"/>
    <d v="2004-02-12T22:17:33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704.2"/>
    <n v="0"/>
    <m/>
    <x v="0"/>
  </r>
  <r>
    <s v="97e39468-6488-ca8f-4347-65852533d9f1"/>
    <d v="2007-02-15T21:41:42"/>
    <d v="2007-02-15T22:22:45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1402.48"/>
    <n v="0"/>
    <m/>
    <x v="0"/>
  </r>
  <r>
    <s v="97e39468-6488-ca8f-c018-ad9311db479b"/>
    <d v="2016-02-25T21:41:42"/>
    <d v="2016-02-25T22:23:23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914.78"/>
    <n v="0"/>
    <m/>
    <x v="0"/>
  </r>
  <r>
    <s v="97e39468-6488-ca8f-6ddc-cfa0af9f3cb2"/>
    <d v="2019-02-28T21:41:42"/>
    <d v="2019-02-28T22:15:44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1716.16"/>
    <n v="0"/>
    <m/>
    <x v="0"/>
  </r>
  <r>
    <s v="97e39468-6488-ca8f-ac66-a8874c531ae4"/>
    <d v="2019-03-14T22:41:42"/>
    <d v="2019-03-15T01:51:00"/>
    <s v="97e39468-6488-ca8f-fac2-235a80b4dcf7"/>
    <s v="18df2721-3f76-3f83-94d5-63597cedd298"/>
    <s v="cb4dc47a-a7f2-3191-a0c9-2973b1304fa7"/>
    <s v="e03e23c9-4df1-3eb6-a62d-f70f02301496"/>
    <x v="1"/>
    <n v="185349003"/>
    <s v="Encounter for check up (procedure)"/>
    <n v="85.55"/>
    <n v="3536.75"/>
    <n v="0"/>
    <n v="66383009"/>
    <x v="17"/>
  </r>
  <r>
    <s v="97e39468-6488-ca8f-4ba8-e7495be60118"/>
    <d v="2019-12-12T10:41:42"/>
    <d v="2019-12-12T10:56:42"/>
    <s v="97e39468-6488-ca8f-fac2-235a80b4dcf7"/>
    <s v="18df2721-3f76-3f83-94d5-63597cedd298"/>
    <s v="cb4dc47a-a7f2-3191-a0c9-2973b1304fa7"/>
    <s v="e03e23c9-4df1-3eb6-a62d-f70f02301496"/>
    <x v="1"/>
    <n v="185345009"/>
    <s v="Encounter for symptom (procedure)"/>
    <n v="85.55"/>
    <n v="85.55"/>
    <n v="0"/>
    <n v="444814009"/>
    <x v="2"/>
  </r>
  <r>
    <s v="97e39468-6488-ca8f-ae98-3d7e0ef77f62"/>
    <d v="2021-02-25T21:41:42"/>
    <d v="2021-02-25T21:56:42"/>
    <s v="97e39468-6488-ca8f-fac2-235a80b4dcf7"/>
    <s v="18df2721-3f76-3f83-94d5-63597cedd298"/>
    <s v="cb4dc47a-a7f2-3191-a0c9-2973b1304fa7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97e39468-6488-ca8f-a087-36def050a642"/>
    <d v="2021-03-06T11:41:42"/>
    <d v="2021-03-06T11:56:42"/>
    <s v="97e39468-6488-ca8f-fac2-235a80b4dcf7"/>
    <s v="18df2721-3f76-3f83-94d5-63597cedd298"/>
    <s v="cb4dc47a-a7f2-3191-a0c9-2973b1304fa7"/>
    <s v="e03e23c9-4df1-3eb6-a62d-f70f02301496"/>
    <x v="1"/>
    <n v="185345009"/>
    <s v="Encounter for symptom (procedure)"/>
    <n v="85.55"/>
    <n v="85.55"/>
    <n v="0"/>
    <n v="36971009"/>
    <x v="22"/>
  </r>
  <r>
    <s v="97e39468-6488-ca8f-a5e2-104997df071b"/>
    <d v="2021-03-18T22:41:42"/>
    <d v="2021-03-18T22:56:42"/>
    <s v="97e39468-6488-ca8f-fac2-235a80b4dcf7"/>
    <s v="18df2721-3f76-3f83-94d5-63597cedd298"/>
    <s v="cb4dc47a-a7f2-3191-a0c9-2973b1304fa7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97e39468-6488-ca8f-7fde-19a2fad5c844"/>
    <d v="2022-03-03T21:41:42"/>
    <d v="2022-03-03T22:22:21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778.78"/>
    <n v="0"/>
    <m/>
    <x v="0"/>
  </r>
  <r>
    <s v="97e39468-6488-ca8f-b9ae-0dc4835d9e0e"/>
    <d v="2024-06-07T22:41:42"/>
    <d v="2024-06-08T00:06:53"/>
    <s v="97e39468-6488-ca8f-fac2-235a80b4dcf7"/>
    <s v="18df2721-3f76-3f83-94d5-63597cedd298"/>
    <s v="cb4dc47a-a7f2-3191-a0c9-2973b1304fa7"/>
    <s v="e03e23c9-4df1-3eb6-a62d-f70f02301496"/>
    <x v="1"/>
    <n v="185345009"/>
    <s v="Encounter for symptom (procedure)"/>
    <n v="85.55"/>
    <n v="3611.33"/>
    <n v="0"/>
    <n v="307426000"/>
    <x v="5"/>
  </r>
  <r>
    <s v="97e39468-6488-ca8f-201e-d3afc7f2b50d"/>
    <d v="2024-12-19T21:41:42"/>
    <d v="2024-12-19T22:40:35"/>
    <s v="97e39468-6488-ca8f-fac2-235a80b4dcf7"/>
    <s v="2f735290-1603-31b5-b561-7c8e0d413170"/>
    <s v="7ae80cde-6177-3bb4-825f-8810d4c2a14a"/>
    <s v="e03e23c9-4df1-3eb6-a62d-f70f02301496"/>
    <x v="0"/>
    <n v="162673000"/>
    <s v="General examination of patient (procedure)"/>
    <n v="136.80000000000001"/>
    <n v="1597.57"/>
    <n v="0"/>
    <m/>
    <x v="0"/>
  </r>
  <r>
    <s v="97e39468-6488-ca8f-e033-dcc9ab28fdac"/>
    <d v="2025-01-02T21:41:42"/>
    <d v="2025-01-03T00:37:33"/>
    <s v="97e39468-6488-ca8f-fac2-235a80b4dcf7"/>
    <s v="18df2721-3f76-3f83-94d5-63597cedd298"/>
    <s v="cb4dc47a-a7f2-3191-a0c9-2973b1304fa7"/>
    <s v="e03e23c9-4df1-3eb6-a62d-f70f02301496"/>
    <x v="1"/>
    <n v="185349003"/>
    <s v="Encounter for check up (procedure)"/>
    <n v="85.55"/>
    <n v="2673.95"/>
    <n v="0"/>
    <n v="103697008"/>
    <x v="3"/>
  </r>
  <r>
    <s v="97e39468-6488-ca8f-95f6-cdb27974993f"/>
    <d v="2025-10-14T22:41:42"/>
    <d v="2025-10-14T22:56:42"/>
    <s v="97e39468-6488-ca8f-fac2-235a80b4dcf7"/>
    <s v="18df2721-3f76-3f83-94d5-63597cedd298"/>
    <s v="cb4dc47a-a7f2-3191-a0c9-2973b1304fa7"/>
    <s v="e03e23c9-4df1-3eb6-a62d-f70f02301496"/>
    <x v="1"/>
    <n v="185347001"/>
    <s v="Encounter for problem (procedure)"/>
    <n v="85.55"/>
    <n v="85.55"/>
    <n v="0"/>
    <n v="239873007"/>
    <x v="51"/>
  </r>
  <r>
    <s v="31f368d9-3fdc-a15f-f6a9-0606e12a1440"/>
    <d v="1981-11-15T16:44:09"/>
    <d v="1981-11-15T16:59:09"/>
    <s v="31f368d9-3fdc-a15f-ccdc-fafa74a860e9"/>
    <s v="ac0fde88-b0ad-3388-a4a8-b8fc2a4f4af2"/>
    <s v="3a43e601-a5bc-3cb1-a910-fd095c58c91b"/>
    <s v="df166300-5a78-3502-a46a-832842197811"/>
    <x v="1"/>
    <n v="185347001"/>
    <s v="Encounter for problem (procedure)"/>
    <n v="85.55"/>
    <n v="85.55"/>
    <n v="35.549999999999997"/>
    <n v="735029006"/>
    <x v="58"/>
  </r>
  <r>
    <s v="31f368d9-3fdc-a15f-3b69-efb1c562bd7d"/>
    <d v="1981-12-02T13:44:09"/>
    <d v="1981-12-02T14:06:03"/>
    <s v="31f368d9-3fdc-a15f-ccdc-fafa74a860e9"/>
    <s v="ac0fde88-b0ad-3388-a4a8-b8fc2a4f4af2"/>
    <s v="3a43e601-a5bc-3cb1-a910-fd095c58c91b"/>
    <s v="df166300-5a78-3502-a46a-832842197811"/>
    <x v="1"/>
    <n v="185347001"/>
    <s v="Encounter for problem (procedure)"/>
    <n v="85.55"/>
    <n v="516.95000000000005"/>
    <n v="466.95"/>
    <n v="609328004"/>
    <x v="11"/>
  </r>
  <r>
    <s v="31f368d9-3fdc-a15f-5cac-5b3314aa0ca9"/>
    <d v="1981-12-04T06:44:09"/>
    <d v="1981-12-04T06:59:09"/>
    <s v="31f368d9-3fdc-a15f-ccdc-fafa74a860e9"/>
    <s v="ac0fde88-b0ad-3388-a4a8-b8fc2a4f4af2"/>
    <s v="3a43e601-a5bc-3cb1-a910-fd095c58c91b"/>
    <s v="df166300-5a78-3502-a46a-832842197811"/>
    <x v="1"/>
    <n v="185345009"/>
    <s v="Encounter for symptom (procedure)"/>
    <n v="85.55"/>
    <n v="92.93"/>
    <n v="42.93"/>
    <n v="36971009"/>
    <x v="22"/>
  </r>
  <r>
    <s v="31f368d9-3fdc-a15f-ec3d-3b6d52a00907"/>
    <d v="1995-02-11T10:44:09"/>
    <d v="1995-02-11T11:44:09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24171000119105"/>
    <x v="90"/>
  </r>
  <r>
    <s v="31f368d9-3fdc-a15f-e51d-5198dfee06c9"/>
    <d v="1995-03-20T10:44:09"/>
    <d v="1995-03-20T11:44:09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9828.1200000000008"/>
    <n v="9778.1200000000008"/>
    <n v="196416002"/>
    <x v="27"/>
  </r>
  <r>
    <s v="31f368d9-3fdc-a15f-369b-ce0768a202fa"/>
    <d v="1995-07-12T11:44:09"/>
    <d v="1995-07-12T12:44:09"/>
    <s v="31f368d9-3fdc-a15f-ccdc-fafa74a860e9"/>
    <s v="1ce0d1a3-b507-3ad1-afc5-b25bfe48b8dc"/>
    <s v="cb04fbb5-a1db-3c86-b415-a99bac8c6060"/>
    <s v="df166300-5a78-3502-a46a-832842197811"/>
    <x v="3"/>
    <n v="183452005"/>
    <s v="Emergency hospital admission (procedure)"/>
    <n v="87.71"/>
    <n v="87.71"/>
    <n v="37.71"/>
    <n v="82423001"/>
    <x v="33"/>
  </r>
  <r>
    <s v="31f368d9-3fdc-a15f-7a61-dcf625947951"/>
    <d v="1999-03-04T10:44:09"/>
    <d v="1999-03-04T11:25:04"/>
    <s v="31f368d9-3fdc-a15f-ccdc-fafa74a860e9"/>
    <s v="f2068cee-c75c-321d-9b2c-c33535db89c9"/>
    <s v="3adec60d-8536-36d1-b8a9-1579dba7c462"/>
    <s v="df166300-5a78-3502-a46a-832842197811"/>
    <x v="0"/>
    <n v="162673000"/>
    <s v="General examination of patient (procedure)"/>
    <n v="136.80000000000001"/>
    <n v="1080.1300000000001"/>
    <n v="967.84"/>
    <m/>
    <x v="0"/>
  </r>
  <r>
    <s v="31f368d9-3fdc-a15f-e2a3-f17cb3ad7381"/>
    <d v="2000-03-30T10:44:09"/>
    <d v="2000-03-30T11:55:49"/>
    <s v="31f368d9-3fdc-a15f-ccdc-fafa74a860e9"/>
    <s v="ac0fde88-b0ad-3388-a4a8-b8fc2a4f4af2"/>
    <s v="3a43e601-a5bc-3cb1-a910-fd095c58c91b"/>
    <s v="df166300-5a78-3502-a46a-832842197811"/>
    <x v="1"/>
    <n v="185347001"/>
    <s v="Encounter for problem (procedure)"/>
    <n v="85.55"/>
    <n v="1379.75"/>
    <n v="1329.75"/>
    <n v="37320007"/>
    <x v="8"/>
  </r>
  <r>
    <s v="31f368d9-3fdc-a15f-38ae-f0dc470dbf22"/>
    <d v="2003-07-22T11:44:09"/>
    <d v="2003-08-04T11:44:09"/>
    <s v="31f368d9-3fdc-a15f-ccdc-fafa74a860e9"/>
    <s v="9ed61c49-1d0c-3774-b528-d75b50938fe2"/>
    <s v="92446aff-4837-3b39-945c-289f8646c375"/>
    <s v="df166300-5a78-3502-a46a-832842197811"/>
    <x v="6"/>
    <n v="56876005"/>
    <s v="Drug rehabilitation and detoxification (regime/therapy)"/>
    <n v="146.18"/>
    <n v="146.18"/>
    <n v="96.18"/>
    <n v="6525002"/>
    <x v="91"/>
  </r>
  <r>
    <s v="31f368d9-3fdc-a15f-52f3-ff9dafd6e631"/>
    <d v="2003-12-29T10:44:09"/>
    <d v="2003-12-30T07:44:09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31f368d9-3fdc-a15f-3d5d-d88454c6728e"/>
    <d v="2009-03-19T11:44:09"/>
    <d v="2009-03-19T12:19:39"/>
    <s v="31f368d9-3fdc-a15f-ccdc-fafa74a860e9"/>
    <s v="9ed61c49-1d0c-3774-b528-d75b50938fe2"/>
    <s v="92446aff-4837-3b39-945c-289f8646c375"/>
    <s v="df166300-5a78-3502-a46a-832842197811"/>
    <x v="0"/>
    <n v="162673000"/>
    <s v="General examination of patient (procedure)"/>
    <n v="136.80000000000001"/>
    <n v="923.8"/>
    <n v="823.8"/>
    <m/>
    <x v="0"/>
  </r>
  <r>
    <s v="31f368d9-3fdc-a15f-faa6-73dacb150afc"/>
    <d v="2012-03-22T11:44:09"/>
    <d v="2012-03-22T12:40:21"/>
    <s v="31f368d9-3fdc-a15f-ccdc-fafa74a860e9"/>
    <s v="9ed61c49-1d0c-3774-b528-d75b50938fe2"/>
    <s v="92446aff-4837-3b39-945c-289f8646c375"/>
    <s v="df166300-5a78-3502-a46a-832842197811"/>
    <x v="0"/>
    <n v="162673000"/>
    <s v="General examination of patient (procedure)"/>
    <n v="136.80000000000001"/>
    <n v="1211.8599999999999"/>
    <n v="1111.8599999999999"/>
    <m/>
    <x v="0"/>
  </r>
  <r>
    <s v="31f368d9-3fdc-a15f-04a2-5c63b8a1bfba"/>
    <d v="2016-06-04T14:44:09"/>
    <d v="2016-06-04T14:59:09"/>
    <s v="31f368d9-3fdc-a15f-ccdc-fafa74a860e9"/>
    <s v="9ed61c49-1d0c-3774-b528-d75b50938fe2"/>
    <s v="92446aff-4837-3b39-945c-289f8646c375"/>
    <s v="df166300-5a78-3502-a46a-832842197811"/>
    <x v="1"/>
    <n v="185345009"/>
    <s v="Encounter for symptom (procedure)"/>
    <n v="85.55"/>
    <n v="85.55"/>
    <n v="35.549999999999997"/>
    <n v="10509002"/>
    <x v="1"/>
  </r>
  <r>
    <s v="31f368d9-3fdc-a15f-2b41-01f576336971"/>
    <d v="2016-06-16T11:44:09"/>
    <d v="2016-06-16T12:40:30"/>
    <s v="31f368d9-3fdc-a15f-ccdc-fafa74a860e9"/>
    <s v="9ed61c49-1d0c-3774-b528-d75b50938fe2"/>
    <s v="92446aff-4837-3b39-945c-289f8646c375"/>
    <s v="df166300-5a78-3502-a46a-832842197811"/>
    <x v="2"/>
    <n v="185349003"/>
    <s v="Encounter for check up (procedure)"/>
    <n v="85.55"/>
    <n v="943.23"/>
    <n v="893.23"/>
    <m/>
    <x v="0"/>
  </r>
  <r>
    <s v="31f368d9-3fdc-a15f-5ff9-f190d17b5fc6"/>
    <d v="2017-04-24T12:14:21"/>
    <d v="2017-04-24T13:14:21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1008.98"/>
    <n v="858.98"/>
    <n v="81629009"/>
    <x v="94"/>
  </r>
  <r>
    <s v="31f368d9-3fdc-a15f-0b58-5dcfdcc4bcf1"/>
    <d v="2017-05-04T11:44:09"/>
    <d v="2017-05-04T14:32:15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2673.95"/>
    <n v="2623.95"/>
    <n v="81629009"/>
    <x v="94"/>
  </r>
  <r>
    <s v="31f368d9-3fdc-a15f-2b87-8055c1bb112d"/>
    <d v="2017-06-05T13:01:51"/>
    <d v="2017-06-05T13:19:00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948.35"/>
    <n v="898.35"/>
    <n v="81629009"/>
    <x v="94"/>
  </r>
  <r>
    <s v="31f368d9-3fdc-a15f-44c5-9961ae123e68"/>
    <d v="2017-12-14T15:03:29"/>
    <d v="2017-12-16T15:03:29"/>
    <s v="31f368d9-3fdc-a15f-ccdc-fafa74a860e9"/>
    <s v="9ed61c49-1d0c-3774-b528-d75b50938fe2"/>
    <s v="92446aff-4837-3b39-945c-289f8646c375"/>
    <s v="df166300-5a78-3502-a46a-832842197811"/>
    <x v="6"/>
    <n v="56876005"/>
    <s v="Drug rehabilitation and detoxification (regime/therapy)"/>
    <n v="146.18"/>
    <n v="146.18"/>
    <n v="96.18"/>
    <n v="6525002"/>
    <x v="91"/>
  </r>
  <r>
    <s v="31f368d9-3fdc-a15f-f401-97aa1a196887"/>
    <d v="2018-02-03T15:03:29"/>
    <d v="2018-02-03T16:12:57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366.95"/>
    <n v="6525002"/>
    <x v="91"/>
  </r>
  <r>
    <s v="31f368d9-3fdc-a15f-c47c-6e87da9e5b71"/>
    <d v="2018-03-05T16:12:57"/>
    <d v="2018-03-05T17:37:52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66f0-6994a5db0ab2"/>
    <d v="2018-03-29T11:44:09"/>
    <d v="2018-03-29T12:27:58"/>
    <s v="31f368d9-3fdc-a15f-ccdc-fafa74a860e9"/>
    <s v="9ed61c49-1d0c-3774-b528-d75b50938fe2"/>
    <s v="92446aff-4837-3b39-945c-289f8646c375"/>
    <s v="df166300-5a78-3502-a46a-832842197811"/>
    <x v="0"/>
    <n v="162673000"/>
    <s v="General examination of patient (procedure)"/>
    <n v="136.80000000000001"/>
    <n v="1069.06"/>
    <n v="1069.06"/>
    <m/>
    <x v="0"/>
  </r>
  <r>
    <s v="31f368d9-3fdc-a15f-5c4f-d8e4053daf97"/>
    <d v="2018-04-04T18:37:52"/>
    <d v="2018-04-04T19:38:36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2e16-16e039523a1d"/>
    <d v="2018-04-12T11:44:09"/>
    <d v="2018-04-12T16:00:21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3536.75"/>
    <n v="3486.75"/>
    <n v="103697008"/>
    <x v="3"/>
  </r>
  <r>
    <s v="31f368d9-3fdc-a15f-efe5-0d6331449fcb"/>
    <d v="2019-05-31T19:38:36"/>
    <d v="2019-05-31T20:44:06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366.95"/>
    <n v="6525002"/>
    <x v="91"/>
  </r>
  <r>
    <s v="31f368d9-3fdc-a15f-d346-7c922373fc74"/>
    <d v="2019-06-30T20:44:06"/>
    <d v="2019-06-30T21:57:18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9ee8-54ae9c744554"/>
    <d v="2019-07-30T21:57:18"/>
    <d v="2019-07-30T23:13:26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3829-9dc1a28c9a1f"/>
    <d v="2019-08-29T23:13:26"/>
    <d v="2019-08-30T00:21:00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abe3-b7d0991962c5"/>
    <d v="2020-02-04T08:44:09"/>
    <d v="2020-02-04T08:59:09"/>
    <s v="31f368d9-3fdc-a15f-ccdc-fafa74a860e9"/>
    <s v="9ed61c49-1d0c-3774-b528-d75b50938fe2"/>
    <s v="92446aff-4837-3b39-945c-289f8646c375"/>
    <s v="df166300-5a78-3502-a46a-832842197811"/>
    <x v="1"/>
    <n v="185345009"/>
    <s v="Encounter for symptom (procedure)"/>
    <n v="85.55"/>
    <n v="85.55"/>
    <n v="0"/>
    <n v="444814009"/>
    <x v="2"/>
  </r>
  <r>
    <s v="31f368d9-3fdc-a15f-43e9-d0afd4e67b06"/>
    <d v="2020-04-12T00:21:00"/>
    <d v="2020-04-13T00:21:00"/>
    <s v="31f368d9-3fdc-a15f-ccdc-fafa74a860e9"/>
    <s v="9ed61c49-1d0c-3774-b528-d75b50938fe2"/>
    <s v="92446aff-4837-3b39-945c-289f8646c375"/>
    <s v="df166300-5a78-3502-a46a-832842197811"/>
    <x v="6"/>
    <n v="56876005"/>
    <s v="Drug rehabilitation and detoxification (regime/therapy)"/>
    <n v="146.18"/>
    <n v="146.18"/>
    <n v="31.73"/>
    <n v="6525002"/>
    <x v="91"/>
  </r>
  <r>
    <s v="31f368d9-3fdc-a15f-ca83-022bfea08dde"/>
    <d v="2020-05-04T00:21:00"/>
    <d v="2020-05-04T01:32:59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2673-0f3df9d592d5"/>
    <d v="2020-06-03T01:32:59"/>
    <d v="2020-06-03T02:47:54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13be-5dfd8d035601"/>
    <d v="2020-11-15T03:44:09"/>
    <d v="2020-11-15T03:59:09"/>
    <s v="31f368d9-3fdc-a15f-ccdc-fafa74a860e9"/>
    <s v="9ed61c49-1d0c-3774-b528-d75b50938fe2"/>
    <s v="92446aff-4837-3b39-945c-289f8646c375"/>
    <s v="df166300-5a78-3502-a46a-832842197811"/>
    <x v="1"/>
    <n v="185345009"/>
    <s v="Encounter for symptom (procedure)"/>
    <n v="85.55"/>
    <n v="462.52"/>
    <n v="412.52"/>
    <n v="10509002"/>
    <x v="1"/>
  </r>
  <r>
    <s v="31f368d9-3fdc-a15f-0eb7-7de4bcf57ace"/>
    <d v="2020-11-26T10:44:09"/>
    <d v="2020-11-26T11:23:39"/>
    <s v="31f368d9-3fdc-a15f-ccdc-fafa74a860e9"/>
    <s v="bccd7d67-203c-3d93-b6b0-bff5a146cd1d"/>
    <s v="25a63771-aea1-310b-ad1e-004c7a015b49"/>
    <s v="df166300-5a78-3502-a46a-832842197811"/>
    <x v="4"/>
    <n v="702927004"/>
    <s v="Urgent care clinic (environment)"/>
    <n v="142.58000000000001"/>
    <n v="865.94"/>
    <n v="815.94"/>
    <m/>
    <x v="0"/>
  </r>
  <r>
    <s v="31f368d9-3fdc-a15f-f6fe-e3de041043ec"/>
    <d v="2020-12-03T10:44:09"/>
    <d v="2020-12-03T10:59:09"/>
    <s v="31f368d9-3fdc-a15f-ccdc-fafa74a860e9"/>
    <s v="9ed61c49-1d0c-3774-b528-d75b50938fe2"/>
    <s v="92446aff-4837-3b39-945c-289f8646c375"/>
    <s v="df166300-5a78-3502-a46a-832842197811"/>
    <x v="2"/>
    <n v="185349003"/>
    <s v="Encounter for check up (procedure)"/>
    <n v="85.55"/>
    <n v="228.35"/>
    <n v="178.35"/>
    <m/>
    <x v="0"/>
  </r>
  <r>
    <s v="31f368d9-3fdc-a15f-a0cc-784b7795f5e8"/>
    <d v="2021-01-14T10:44:09"/>
    <d v="2021-01-14T11:22:29"/>
    <s v="31f368d9-3fdc-a15f-ccdc-fafa74a860e9"/>
    <s v="9ed61c49-1d0c-3774-b528-d75b50938fe2"/>
    <s v="92446aff-4837-3b39-945c-289f8646c375"/>
    <s v="df166300-5a78-3502-a46a-832842197811"/>
    <x v="0"/>
    <n v="162673000"/>
    <s v="General examination of patient (procedure)"/>
    <n v="136.80000000000001"/>
    <n v="914.78"/>
    <n v="814.78"/>
    <m/>
    <x v="0"/>
  </r>
  <r>
    <s v="31f368d9-3fdc-a15f-8b7e-70562dcff6c2"/>
    <d v="2021-01-28T10:44:09"/>
    <d v="2021-01-28T17:37:22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4830.95"/>
    <n v="4780.95"/>
    <n v="66383009"/>
    <x v="17"/>
  </r>
  <r>
    <s v="31f368d9-3fdc-a15f-3c5e-b0c19feb9af4"/>
    <d v="2021-05-21T02:47:54"/>
    <d v="2021-05-21T04:15:19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676b-1ba36354a69f"/>
    <d v="2021-06-20T04:15:19"/>
    <d v="2021-06-20T05:31:50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bd08-3364cba08c6b"/>
    <d v="2021-08-24T05:31:50"/>
    <d v="2021-08-25T01:31:50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31f368d9-3fdc-a15f-ae61-c5804d47dad5"/>
    <d v="2021-09-01T01:31:50"/>
    <d v="2021-09-11T01:31:50"/>
    <s v="31f368d9-3fdc-a15f-ccdc-fafa74a860e9"/>
    <s v="9ed61c49-1d0c-3774-b528-d75b50938fe2"/>
    <s v="92446aff-4837-3b39-945c-289f8646c375"/>
    <s v="df166300-5a78-3502-a46a-832842197811"/>
    <x v="6"/>
    <n v="56876005"/>
    <s v="Drug rehabilitation and detoxification (regime/therapy)"/>
    <n v="146.18"/>
    <n v="146.18"/>
    <n v="96.18"/>
    <n v="6525002"/>
    <x v="91"/>
  </r>
  <r>
    <s v="31f368d9-3fdc-a15f-d507-3f83893f7306"/>
    <d v="2021-11-06T01:31:50"/>
    <d v="2021-11-06T02:51:40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440a-98c9a5a4121d"/>
    <d v="2022-04-12T13:19:00"/>
    <d v="2022-04-12T14:19:00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1008.98"/>
    <n v="900.7"/>
    <n v="125605004"/>
    <x v="36"/>
  </r>
  <r>
    <s v="31f368d9-3fdc-a15f-5614-8de787a36d22"/>
    <d v="2022-07-12T13:45:07"/>
    <d v="2022-07-12T14:00:07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85.55"/>
    <n v="35.549999999999997"/>
    <n v="263102004"/>
    <x v="63"/>
  </r>
  <r>
    <s v="31f368d9-3fdc-a15f-5bc2-215e2f38bcc5"/>
    <d v="2023-01-19T10:44:09"/>
    <d v="2023-01-19T11:26:37"/>
    <s v="31f368d9-3fdc-a15f-ccdc-fafa74a860e9"/>
    <s v="9ed61c49-1d0c-3774-b528-d75b50938fe2"/>
    <s v="92446aff-4837-3b39-945c-289f8646c375"/>
    <s v="df166300-5a78-3502-a46a-832842197811"/>
    <x v="0"/>
    <n v="162673000"/>
    <s v="General examination of patient (procedure)"/>
    <n v="136.80000000000001"/>
    <n v="1132.1600000000001"/>
    <n v="1032.1600000000001"/>
    <m/>
    <x v="0"/>
  </r>
  <r>
    <s v="31f368d9-3fdc-a15f-9a2c-18011d9f6ca5"/>
    <d v="2023-02-09T10:44:09"/>
    <d v="2023-02-09T11:40:14"/>
    <s v="31f368d9-3fdc-a15f-ccdc-fafa74a860e9"/>
    <s v="9ed61c49-1d0c-3774-b528-d75b50938fe2"/>
    <s v="92446aff-4837-3b39-945c-289f8646c375"/>
    <s v="df166300-5a78-3502-a46a-832842197811"/>
    <x v="2"/>
    <n v="185349003"/>
    <s v="Encounter for check up (procedure)"/>
    <n v="85.55"/>
    <n v="734.33"/>
    <n v="684.33"/>
    <m/>
    <x v="0"/>
  </r>
  <r>
    <s v="31f368d9-3fdc-a15f-b939-165d1a4a9027"/>
    <d v="2023-02-16T10:44:09"/>
    <d v="2023-02-16T10:59:09"/>
    <s v="31f368d9-3fdc-a15f-ccdc-fafa74a860e9"/>
    <s v="9ed61c49-1d0c-3774-b528-d75b50938fe2"/>
    <s v="92446aff-4837-3b39-945c-289f8646c375"/>
    <s v="df166300-5a78-3502-a46a-832842197811"/>
    <x v="1"/>
    <n v="185345009"/>
    <s v="Encounter for symptom (procedure)"/>
    <n v="85.55"/>
    <n v="85.55"/>
    <n v="35.549999999999997"/>
    <n v="444814009"/>
    <x v="2"/>
  </r>
  <r>
    <s v="31f368d9-3fdc-a15f-a859-6a8732d6f5dc"/>
    <d v="2023-02-23T10:44:09"/>
    <d v="2023-02-23T14:04:17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3105.35"/>
    <n v="3055.35"/>
    <n v="103697008"/>
    <x v="3"/>
  </r>
  <r>
    <s v="31f368d9-3fdc-a15f-1475-9c5da16d15c1"/>
    <d v="2023-06-26T02:51:40"/>
    <d v="2023-07-08T02:51:40"/>
    <s v="31f368d9-3fdc-a15f-ccdc-fafa74a860e9"/>
    <s v="9ed61c49-1d0c-3774-b528-d75b50938fe2"/>
    <s v="92446aff-4837-3b39-945c-289f8646c375"/>
    <s v="df166300-5a78-3502-a46a-832842197811"/>
    <x v="6"/>
    <n v="56876005"/>
    <s v="Drug rehabilitation and detoxification (regime/therapy)"/>
    <n v="146.18"/>
    <n v="146.18"/>
    <n v="96.18"/>
    <n v="6525002"/>
    <x v="91"/>
  </r>
  <r>
    <s v="31f368d9-3fdc-a15f-150c-6b612f029e55"/>
    <d v="2023-07-13T11:44:09"/>
    <d v="2023-07-13T11:59:09"/>
    <s v="31f368d9-3fdc-a15f-ccdc-fafa74a860e9"/>
    <s v="9ed61c49-1d0c-3774-b528-d75b50938fe2"/>
    <s v="92446aff-4837-3b39-945c-289f8646c375"/>
    <s v="df166300-5a78-3502-a46a-832842197811"/>
    <x v="1"/>
    <n v="185345009"/>
    <s v="Encounter for symptom (procedure)"/>
    <n v="85.55"/>
    <n v="3536.75"/>
    <n v="3486.75"/>
    <n v="43878008"/>
    <x v="18"/>
  </r>
  <r>
    <s v="31f368d9-3fdc-a15f-0904-5f5d5808bc80"/>
    <d v="2023-09-23T02:51:40"/>
    <d v="2023-09-23T04:03:24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0e0e-1c6607f83e71"/>
    <d v="2023-10-23T04:03:24"/>
    <d v="2023-10-23T05:30:32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b890-51a91f62b697"/>
    <d v="2023-11-22T04:30:32"/>
    <d v="2023-11-22T05:45:18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63ea-bef6773c836e"/>
    <d v="2023-12-22T05:45:18"/>
    <d v="2023-12-22T07:13:02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0772-aacabe0c0e1c"/>
    <d v="2024-05-19T16:37:01"/>
    <d v="2024-05-19T17:29:58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1379.75"/>
    <n v="1229.75"/>
    <n v="37320007"/>
    <x v="8"/>
  </r>
  <r>
    <s v="31f368d9-3fdc-a15f-6b05-51b7d954cb8b"/>
    <d v="2024-06-02T17:29:58"/>
    <d v="2024-06-02T18:13:32"/>
    <s v="31f368d9-3fdc-a15f-ccdc-fafa74a860e9"/>
    <s v="9ed61c49-1d0c-3774-b528-d75b50938fe2"/>
    <s v="92446aff-4837-3b39-945c-289f8646c375"/>
    <s v="df166300-5a78-3502-a46a-832842197811"/>
    <x v="1"/>
    <n v="390906007"/>
    <s v="Follow-up encounter (procedure)"/>
    <n v="85.55"/>
    <n v="516.95000000000005"/>
    <n v="466.95"/>
    <n v="37320007"/>
    <x v="8"/>
  </r>
  <r>
    <s v="31f368d9-3fdc-a15f-47b1-5b132c6afc02"/>
    <d v="2024-06-30T08:13:02"/>
    <d v="2024-06-30T09:25:03"/>
    <s v="31f368d9-3fdc-a15f-ccdc-fafa74a860e9"/>
    <s v="9ed61c49-1d0c-3774-b528-d75b50938fe2"/>
    <s v="92446aff-4837-3b39-945c-289f8646c375"/>
    <s v="df166300-5a78-3502-a46a-832842197811"/>
    <x v="1"/>
    <n v="185347001"/>
    <s v="Encounter for problem (procedure)"/>
    <n v="85.55"/>
    <n v="516.95000000000005"/>
    <n v="466.95"/>
    <n v="6525002"/>
    <x v="91"/>
  </r>
  <r>
    <s v="31f368d9-3fdc-a15f-983c-364acd5b9e4d"/>
    <d v="2024-12-24T08:25:03"/>
    <d v="2024-12-24T10:25:03"/>
    <s v="31f368d9-3fdc-a15f-ccdc-fafa74a860e9"/>
    <s v="1ce0d1a3-b507-3ad1-afc5-b25bfe48b8dc"/>
    <s v="cb04fbb5-a1db-3c86-b415-a99bac8c6060"/>
    <s v="df166300-5a78-3502-a46a-832842197811"/>
    <x v="3"/>
    <n v="50849002"/>
    <s v="Emergency room admission (procedure)"/>
    <n v="146.18"/>
    <n v="146.18"/>
    <n v="96.18"/>
    <n v="1149222004"/>
    <x v="92"/>
  </r>
  <r>
    <s v="31f368d9-3fdc-a15f-3ef4-2c7e91d66a36"/>
    <d v="2025-01-23T10:44:09"/>
    <d v="2025-01-23T11:28:15"/>
    <s v="31f368d9-3fdc-a15f-ccdc-fafa74a860e9"/>
    <s v="9ed61c49-1d0c-3774-b528-d75b50938fe2"/>
    <s v="92446aff-4837-3b39-945c-289f8646c375"/>
    <s v="df166300-5a78-3502-a46a-832842197811"/>
    <x v="0"/>
    <n v="162673000"/>
    <s v="General examination of patient (procedure)"/>
    <n v="136.80000000000001"/>
    <n v="785.58"/>
    <n v="685.58"/>
    <m/>
    <x v="0"/>
  </r>
  <r>
    <s v="31f368d9-3fdc-a15f-52cb-44f8e736ba9c"/>
    <d v="2025-02-06T10:44:09"/>
    <d v="2025-02-06T16:01:00"/>
    <s v="31f368d9-3fdc-a15f-ccdc-fafa74a860e9"/>
    <s v="9ed61c49-1d0c-3774-b528-d75b50938fe2"/>
    <s v="92446aff-4837-3b39-945c-289f8646c375"/>
    <s v="df166300-5a78-3502-a46a-832842197811"/>
    <x v="1"/>
    <n v="185349003"/>
    <s v="Encounter for check up (procedure)"/>
    <n v="85.55"/>
    <n v="4399.55"/>
    <n v="4349.55"/>
    <n v="103697008"/>
    <x v="3"/>
  </r>
  <r>
    <s v="ba47a33b-ffb6-25b9-5414-3c535e1e8514"/>
    <d v="2009-02-09T05:49:18"/>
    <d v="2009-02-09T06:04:18"/>
    <s v="ba47a33b-ffb6-25b9-e8bf-e7eabeaee1be"/>
    <s v="a5577e5c-b886-37a0-8eee-8ff6feb7ea6b"/>
    <s v="bd9c5236-4dad-30fa-aae5-786a333af0e0"/>
    <s v="26aab0cd-6aba-3e1b-ac5b-05c8867e762c"/>
    <x v="1"/>
    <n v="185345009"/>
    <s v="Encounter for symptom (procedure)"/>
    <n v="85.55"/>
    <n v="92.93"/>
    <n v="0"/>
    <n v="36971009"/>
    <x v="22"/>
  </r>
  <r>
    <s v="ba47a33b-ffb6-25b9-43b1-4589e4973f91"/>
    <d v="2014-03-17T07:49:18"/>
    <d v="2014-03-17T08:04:18"/>
    <s v="ba47a33b-ffb6-25b9-e8bf-e7eabeaee1be"/>
    <s v="9fdce5d5-d4d0-3156-a8d5-8757bfe4e9b3"/>
    <s v="6d2e424b-bfda-3eab-9dc2-909bdc230b33"/>
    <s v="26aab0cd-6aba-3e1b-ac5b-05c8867e762c"/>
    <x v="0"/>
    <n v="410620009"/>
    <s v="Well child visit (procedure)"/>
    <n v="136.80000000000001"/>
    <n v="704.2"/>
    <n v="0"/>
    <m/>
    <x v="0"/>
  </r>
  <r>
    <s v="ba47a33b-ffb6-25b9-1605-a8bd001eed93"/>
    <d v="2017-04-03T07:49:18"/>
    <d v="2017-04-03T08:04:18"/>
    <s v="ba47a33b-ffb6-25b9-e8bf-e7eabeaee1be"/>
    <s v="9fdce5d5-d4d0-3156-a8d5-8757bfe4e9b3"/>
    <s v="6d2e424b-bfda-3eab-9dc2-909bdc230b33"/>
    <s v="26aab0cd-6aba-3e1b-ac5b-05c8867e762c"/>
    <x v="0"/>
    <n v="410620009"/>
    <s v="Well child visit (procedure)"/>
    <n v="136.80000000000001"/>
    <n v="1567"/>
    <n v="0"/>
    <m/>
    <x v="0"/>
  </r>
  <r>
    <s v="ba47a33b-ffb6-25b9-c45d-978e3b58321f"/>
    <d v="2017-04-17T07:49:18"/>
    <d v="2017-04-17T11:06:04"/>
    <s v="ba47a33b-ffb6-25b9-e8bf-e7eabeaee1be"/>
    <s v="a5577e5c-b886-37a0-8eee-8ff6feb7ea6b"/>
    <s v="bd9c5236-4dad-30fa-aae5-786a333af0e0"/>
    <s v="26aab0cd-6aba-3e1b-ac5b-05c8867e762c"/>
    <x v="1"/>
    <n v="185349003"/>
    <s v="Encounter for check up (procedure)"/>
    <n v="85.55"/>
    <n v="3105.35"/>
    <n v="0"/>
    <n v="103697008"/>
    <x v="3"/>
  </r>
  <r>
    <s v="ba47a33b-ffb6-25b9-f3fa-ea6e809a0d93"/>
    <d v="2018-04-09T07:49:18"/>
    <d v="2018-04-09T08:22:42"/>
    <s v="ba47a33b-ffb6-25b9-e8bf-e7eabeaee1be"/>
    <s v="9fdce5d5-d4d0-3156-a8d5-8757bfe4e9b3"/>
    <s v="6d2e424b-bfda-3eab-9dc2-909bdc230b33"/>
    <s v="26aab0cd-6aba-3e1b-ac5b-05c8867e762c"/>
    <x v="0"/>
    <n v="162673000"/>
    <s v="General examination of patient (procedure)"/>
    <n v="136.80000000000001"/>
    <n v="1405.12"/>
    <n v="0"/>
    <m/>
    <x v="0"/>
  </r>
  <r>
    <s v="ba47a33b-ffb6-25b9-5530-f7e8945626fa"/>
    <d v="2018-04-23T07:49:18"/>
    <d v="2018-04-23T10:58:43"/>
    <s v="ba47a33b-ffb6-25b9-e8bf-e7eabeaee1be"/>
    <s v="a5577e5c-b886-37a0-8eee-8ff6feb7ea6b"/>
    <s v="bd9c5236-4dad-30fa-aae5-786a333af0e0"/>
    <s v="26aab0cd-6aba-3e1b-ac5b-05c8867e762c"/>
    <x v="1"/>
    <n v="185349003"/>
    <s v="Encounter for check up (procedure)"/>
    <n v="85.55"/>
    <n v="3105.35"/>
    <n v="0"/>
    <n v="66383009"/>
    <x v="17"/>
  </r>
  <r>
    <s v="ba47a33b-ffb6-25b9-7f12-cfc1920d9694"/>
    <d v="2019-04-15T07:49:18"/>
    <d v="2019-04-15T08:32:26"/>
    <s v="ba47a33b-ffb6-25b9-e8bf-e7eabeaee1be"/>
    <s v="9fdce5d5-d4d0-3156-a8d5-8757bfe4e9b3"/>
    <s v="6d2e424b-bfda-3eab-9dc2-909bdc230b33"/>
    <s v="26aab0cd-6aba-3e1b-ac5b-05c8867e762c"/>
    <x v="0"/>
    <n v="162673000"/>
    <s v="General examination of patient (procedure)"/>
    <n v="136.80000000000001"/>
    <n v="1567"/>
    <n v="0"/>
    <m/>
    <x v="0"/>
  </r>
  <r>
    <s v="ba47a33b-ffb6-25b9-cec2-15cf11ab8085"/>
    <d v="2019-04-22T07:49:18"/>
    <d v="2019-04-22T08:04:18"/>
    <s v="ba47a33b-ffb6-25b9-e8bf-e7eabeaee1be"/>
    <s v="a5577e5c-b886-37a0-8eee-8ff6feb7ea6b"/>
    <s v="bd9c5236-4dad-30fa-aae5-786a333af0e0"/>
    <s v="26aab0cd-6aba-3e1b-ac5b-05c8867e762c"/>
    <x v="2"/>
    <n v="185349003"/>
    <s v="Encounter for check up (procedure)"/>
    <n v="85.55"/>
    <n v="301.25"/>
    <n v="0"/>
    <m/>
    <x v="0"/>
  </r>
  <r>
    <s v="ba47a33b-ffb6-25b9-d6c3-f6c06f757824"/>
    <d v="2019-04-29T07:49:18"/>
    <d v="2019-04-29T08:04:18"/>
    <s v="ba47a33b-ffb6-25b9-e8bf-e7eabeaee1be"/>
    <s v="a5577e5c-b886-37a0-8eee-8ff6feb7ea6b"/>
    <s v="bd9c5236-4dad-30fa-aae5-786a333af0e0"/>
    <s v="26aab0cd-6aba-3e1b-ac5b-05c8867e762c"/>
    <x v="1"/>
    <n v="185345009"/>
    <s v="Encounter for symptom (procedure)"/>
    <n v="85.55"/>
    <n v="10606.55"/>
    <n v="3895.5"/>
    <n v="10509002"/>
    <x v="1"/>
  </r>
  <r>
    <s v="ba47a33b-ffb6-25b9-5e5e-c364892dda03"/>
    <d v="2020-05-04T07:49:18"/>
    <d v="2020-05-04T08:49:18"/>
    <s v="ba47a33b-ffb6-25b9-e8bf-e7eabeaee1be"/>
    <s v="880fad59-9c38-3a21-a39f-ccc801502ab3"/>
    <s v="ce9dd867-b6d5-35ac-8f8c-6905af6663a0"/>
    <s v="26aab0cd-6aba-3e1b-ac5b-05c8867e762c"/>
    <x v="3"/>
    <n v="50849002"/>
    <s v="Emergency room admission (procedure)"/>
    <n v="146.18"/>
    <n v="146.18"/>
    <n v="0"/>
    <n v="110030002"/>
    <x v="69"/>
  </r>
  <r>
    <s v="ba47a33b-ffb6-25b9-d209-6628e6c1d2e3"/>
    <d v="2020-07-10T07:49:18"/>
    <d v="2020-07-10T08:04:18"/>
    <s v="ba47a33b-ffb6-25b9-e8bf-e7eabeaee1be"/>
    <s v="a5577e5c-b886-37a0-8eee-8ff6feb7ea6b"/>
    <s v="bd9c5236-4dad-30fa-aae5-786a333af0e0"/>
    <s v="26aab0cd-6aba-3e1b-ac5b-05c8867e762c"/>
    <x v="1"/>
    <n v="185349003"/>
    <s v="Encounter for check up (procedure)"/>
    <n v="85.55"/>
    <n v="85.55"/>
    <n v="0"/>
    <n v="62106007"/>
    <x v="83"/>
  </r>
  <r>
    <s v="ba47a33b-ffb6-25b9-be09-e9874f96bff4"/>
    <d v="2021-06-07T07:49:18"/>
    <d v="2021-06-07T08:19:30"/>
    <s v="ba47a33b-ffb6-25b9-e8bf-e7eabeaee1be"/>
    <s v="a5577e5c-b886-37a0-8eee-8ff6feb7ea6b"/>
    <s v="bd9c5236-4dad-30fa-aae5-786a333af0e0"/>
    <s v="26aab0cd-6aba-3e1b-ac5b-05c8867e762c"/>
    <x v="2"/>
    <n v="185349003"/>
    <s v="Encounter for check up (procedure)"/>
    <n v="85.55"/>
    <n v="1135.53"/>
    <n v="0"/>
    <m/>
    <x v="0"/>
  </r>
  <r>
    <s v="ba47a33b-ffb6-25b9-672c-3e2fb493868e"/>
    <d v="2021-06-14T07:49:18"/>
    <d v="2021-06-14T08:04:18"/>
    <s v="ba47a33b-ffb6-25b9-e8bf-e7eabeaee1be"/>
    <s v="a5577e5c-b886-37a0-8eee-8ff6feb7ea6b"/>
    <s v="bd9c5236-4dad-30fa-aae5-786a333af0e0"/>
    <s v="26aab0cd-6aba-3e1b-ac5b-05c8867e762c"/>
    <x v="1"/>
    <n v="185345009"/>
    <s v="Encounter for symptom (procedure)"/>
    <n v="85.55"/>
    <n v="85.55"/>
    <n v="0"/>
    <n v="444814009"/>
    <x v="2"/>
  </r>
  <r>
    <s v="ba47a33b-ffb6-25b9-7b8a-1c8b72b30a33"/>
    <d v="2021-06-21T07:49:18"/>
    <d v="2021-06-21T10:57:25"/>
    <s v="ba47a33b-ffb6-25b9-e8bf-e7eabeaee1be"/>
    <s v="a5577e5c-b886-37a0-8eee-8ff6feb7ea6b"/>
    <s v="bd9c5236-4dad-30fa-aae5-786a333af0e0"/>
    <s v="26aab0cd-6aba-3e1b-ac5b-05c8867e762c"/>
    <x v="1"/>
    <n v="185349003"/>
    <s v="Encounter for check up (procedure)"/>
    <n v="85.55"/>
    <n v="3536.75"/>
    <n v="0"/>
    <n v="103697008"/>
    <x v="3"/>
  </r>
  <r>
    <s v="ba47a33b-ffb6-25b9-b0c8-1a15645fa443"/>
    <d v="2022-04-18T07:49:18"/>
    <d v="2022-04-18T08:23:32"/>
    <s v="ba47a33b-ffb6-25b9-e8bf-e7eabeaee1be"/>
    <s v="9fdce5d5-d4d0-3156-a8d5-8757bfe4e9b3"/>
    <s v="6d2e424b-bfda-3eab-9dc2-909bdc230b33"/>
    <s v="26aab0cd-6aba-3e1b-ac5b-05c8867e762c"/>
    <x v="0"/>
    <n v="162673000"/>
    <s v="General examination of patient (procedure)"/>
    <n v="136.80000000000001"/>
    <n v="840.2"/>
    <n v="0"/>
    <m/>
    <x v="0"/>
  </r>
  <r>
    <s v="ba47a33b-ffb6-25b9-0df3-0bac310fffd5"/>
    <d v="2022-05-02T07:49:18"/>
    <d v="2022-05-02T15:11:04"/>
    <s v="ba47a33b-ffb6-25b9-e8bf-e7eabeaee1be"/>
    <s v="a5577e5c-b886-37a0-8eee-8ff6feb7ea6b"/>
    <s v="bd9c5236-4dad-30fa-aae5-786a333af0e0"/>
    <s v="26aab0cd-6aba-3e1b-ac5b-05c8867e762c"/>
    <x v="1"/>
    <n v="185349003"/>
    <s v="Encounter for check up (procedure)"/>
    <n v="85.55"/>
    <n v="5262.35"/>
    <n v="83.09"/>
    <n v="103697008"/>
    <x v="3"/>
  </r>
  <r>
    <s v="ba47a33b-ffb6-25b9-19c7-47eb12ea68f9"/>
    <d v="2025-04-21T07:49:18"/>
    <d v="2025-04-21T08:28:27"/>
    <s v="ba47a33b-ffb6-25b9-e8bf-e7eabeaee1be"/>
    <s v="9fdce5d5-d4d0-3156-a8d5-8757bfe4e9b3"/>
    <s v="6d2e424b-bfda-3eab-9dc2-909bdc230b33"/>
    <s v="26aab0cd-6aba-3e1b-ac5b-05c8867e762c"/>
    <x v="0"/>
    <n v="162673000"/>
    <s v="General examination of patient (procedure)"/>
    <n v="136.80000000000001"/>
    <n v="1150.55"/>
    <n v="0"/>
    <m/>
    <x v="0"/>
  </r>
  <r>
    <s v="6d04a400-ad21-5951-fd6c-97f2f3f6b24b"/>
    <d v="2014-09-22T09:36:36"/>
    <d v="2014-09-22T09:51:36"/>
    <s v="6d04a400-ad21-5951-b092-c14b6358d4c5"/>
    <s v="b03b624d-c939-3688-986d-9555b8009a3b"/>
    <s v="d45fc162-fa83-341d-b666-2519cf41ac97"/>
    <s v="8fa6c185-e44e-3e34-8bd8-39be8694f4ce"/>
    <x v="0"/>
    <n v="410620009"/>
    <s v="Well child visit (procedure)"/>
    <n v="136.80000000000001"/>
    <n v="272.8"/>
    <n v="0"/>
    <m/>
    <x v="0"/>
  </r>
  <r>
    <s v="ba47a33b-ffb6-25b9-0502-41d04d0dff0e"/>
    <d v="2025-05-05T07:49:18"/>
    <d v="2025-05-05T10:03:26"/>
    <s v="ba47a33b-ffb6-25b9-e8bf-e7eabeaee1be"/>
    <s v="a5577e5c-b886-37a0-8eee-8ff6feb7ea6b"/>
    <s v="bd9c5236-4dad-30fa-aae5-786a333af0e0"/>
    <s v="26aab0cd-6aba-3e1b-ac5b-05c8867e762c"/>
    <x v="1"/>
    <n v="185349003"/>
    <s v="Encounter for check up (procedure)"/>
    <n v="85.55"/>
    <n v="2673.95"/>
    <n v="0"/>
    <n v="66383009"/>
    <x v="17"/>
  </r>
  <r>
    <s v="6d04a400-ad21-5951-4bb9-875736a9c20f"/>
    <d v="2016-10-03T09:36:36"/>
    <d v="2016-10-03T09:51:36"/>
    <s v="6d04a400-ad21-5951-b092-c14b6358d4c5"/>
    <s v="b03b624d-c939-3688-986d-9555b8009a3b"/>
    <s v="d45fc162-fa83-341d-b666-2519cf41ac97"/>
    <s v="8fa6c185-e44e-3e34-8bd8-39be8694f4ce"/>
    <x v="0"/>
    <n v="410620009"/>
    <s v="Well child visit (procedure)"/>
    <n v="136.80000000000001"/>
    <n v="347.38"/>
    <n v="0"/>
    <m/>
    <x v="0"/>
  </r>
  <r>
    <s v="6d04a400-ad21-5951-af21-ff993fe0895a"/>
    <d v="2017-02-16T05:36:36"/>
    <d v="2017-02-16T05:51:36"/>
    <s v="6d04a400-ad21-5951-b092-c14b6358d4c5"/>
    <s v="4f5e8f16-a31b-3071-8556-d7188ede313d"/>
    <s v="aa0f06f5-23d1-31ca-9753-ded5d109580a"/>
    <s v="8fa6c185-e44e-3e34-8bd8-39be8694f4ce"/>
    <x v="1"/>
    <n v="185345009"/>
    <s v="Encounter for symptom (procedure)"/>
    <n v="85.55"/>
    <n v="1283.79"/>
    <n v="0"/>
    <n v="195662009"/>
    <x v="9"/>
  </r>
  <r>
    <s v="6d04a400-ad21-5951-f752-c0a515e57157"/>
    <d v="2017-09-01T20:36:36"/>
    <d v="2017-09-01T21:00:31"/>
    <s v="6d04a400-ad21-5951-b092-c14b6358d4c5"/>
    <s v="4f5e8f16-a31b-3071-8556-d7188ede313d"/>
    <s v="aa0f06f5-23d1-31ca-9753-ded5d109580a"/>
    <s v="8fa6c185-e44e-3e34-8bd8-39be8694f4ce"/>
    <x v="1"/>
    <n v="185345009"/>
    <s v="Encounter for symptom (procedure)"/>
    <n v="85.55"/>
    <n v="393.24"/>
    <n v="0"/>
    <n v="10509002"/>
    <x v="1"/>
  </r>
  <r>
    <s v="ba47a33b-ffb6-25b9-7ee1-6891713b6063"/>
    <d v="2026-08-14T03:49:18"/>
    <d v="2026-08-14T04:04:18"/>
    <s v="ba47a33b-ffb6-25b9-e8bf-e7eabeaee1be"/>
    <s v="a5577e5c-b886-37a0-8eee-8ff6feb7ea6b"/>
    <s v="bd9c5236-4dad-30fa-aae5-786a333af0e0"/>
    <s v="26aab0cd-6aba-3e1b-ac5b-05c8867e762c"/>
    <x v="1"/>
    <n v="185345009"/>
    <s v="Encounter for symptom (procedure)"/>
    <n v="85.55"/>
    <n v="1702.28"/>
    <n v="0"/>
    <n v="195662009"/>
    <x v="9"/>
  </r>
  <r>
    <s v="6d04a400-ad21-5951-7ad8-d4471f79bf2a"/>
    <d v="2017-09-11T09:36:36"/>
    <d v="2017-09-11T09:51:36"/>
    <s v="6d04a400-ad21-5951-b092-c14b6358d4c5"/>
    <s v="4f5e8f16-a31b-3071-8556-d7188ede313d"/>
    <s v="aa0f06f5-23d1-31ca-9753-ded5d109580a"/>
    <s v="8fa6c185-e44e-3e34-8bd8-39be8694f4ce"/>
    <x v="2"/>
    <n v="185349003"/>
    <s v="Encounter for check up (procedure)"/>
    <n v="85.55"/>
    <n v="221.55"/>
    <n v="0"/>
    <m/>
    <x v="0"/>
  </r>
  <r>
    <s v="6d04a400-ad21-5951-f079-1f488aa0bb76"/>
    <d v="2017-10-09T09:36:36"/>
    <d v="2017-10-09T09:51:36"/>
    <s v="6d04a400-ad21-5951-b092-c14b6358d4c5"/>
    <s v="b03b624d-c939-3688-986d-9555b8009a3b"/>
    <s v="d45fc162-fa83-341d-b666-2519cf41ac97"/>
    <s v="8fa6c185-e44e-3e34-8bd8-39be8694f4ce"/>
    <x v="0"/>
    <n v="410620009"/>
    <s v="Well child visit (procedure)"/>
    <n v="136.80000000000001"/>
    <n v="136.80000000000001"/>
    <n v="0"/>
    <m/>
    <x v="0"/>
  </r>
  <r>
    <s v="35f80d0e-eaad-ef68-69b8-f702f94e3c94"/>
    <d v="1998-03-08T17:21:23"/>
    <d v="1998-03-08T17:51:53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704.2"/>
    <n v="0"/>
    <m/>
    <x v="0"/>
  </r>
  <r>
    <s v="35f80d0e-eaad-ef68-cb7e-1531b5b36851"/>
    <d v="2005-03-20T17:21:23"/>
    <d v="2005-03-20T18:09:03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704.2"/>
    <n v="0"/>
    <m/>
    <x v="0"/>
  </r>
  <r>
    <s v="35f80d0e-eaad-ef68-5241-e492de7c6e31"/>
    <d v="2011-03-27T18:21:23"/>
    <d v="2011-03-27T18:51:50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1059.8"/>
    <n v="0"/>
    <m/>
    <x v="0"/>
  </r>
  <r>
    <s v="35f80d0e-eaad-ef68-fe96-3f480d27680b"/>
    <d v="2014-03-30T18:21:23"/>
    <d v="2014-03-30T19:04:33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934.74"/>
    <n v="0"/>
    <m/>
    <x v="0"/>
  </r>
  <r>
    <s v="35f80d0e-eaad-ef68-3d94-cb3381a98bdd"/>
    <d v="2017-04-02T18:21:23"/>
    <d v="2017-04-02T19:04:01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1716.16"/>
    <n v="0"/>
    <m/>
    <x v="0"/>
  </r>
  <r>
    <s v="6d04a400-ad21-5951-2cd1-ec54d6e7ce07"/>
    <d v="2018-10-15T09:36:36"/>
    <d v="2018-10-15T09:51:36"/>
    <s v="6d04a400-ad21-5951-b092-c14b6358d4c5"/>
    <s v="b03b624d-c939-3688-986d-9555b8009a3b"/>
    <s v="d45fc162-fa83-341d-b666-2519cf41ac97"/>
    <s v="8fa6c185-e44e-3e34-8bd8-39be8694f4ce"/>
    <x v="0"/>
    <n v="410620009"/>
    <s v="Well child visit (procedure)"/>
    <n v="136.80000000000001"/>
    <n v="488.5"/>
    <n v="0"/>
    <m/>
    <x v="0"/>
  </r>
  <r>
    <s v="6d04a400-ad21-5951-3c15-a7ac5a7ec069"/>
    <d v="2019-04-10T01:36:36"/>
    <d v="2019-04-10T01:51:36"/>
    <s v="6d04a400-ad21-5951-b092-c14b6358d4c5"/>
    <s v="4f5e8f16-a31b-3071-8556-d7188ede313d"/>
    <s v="aa0f06f5-23d1-31ca-9753-ded5d109580a"/>
    <s v="8fa6c185-e44e-3e34-8bd8-39be8694f4ce"/>
    <x v="1"/>
    <n v="185345009"/>
    <s v="Encounter for symptom (procedure)"/>
    <n v="85.55"/>
    <n v="85.55"/>
    <n v="0"/>
    <n v="444814009"/>
    <x v="2"/>
  </r>
  <r>
    <s v="6d04a400-ad21-5951-34b2-2a6ea3fab830"/>
    <d v="2019-10-21T09:36:36"/>
    <d v="2019-10-21T09:51:36"/>
    <s v="6d04a400-ad21-5951-b092-c14b6358d4c5"/>
    <s v="b03b624d-c939-3688-986d-9555b8009a3b"/>
    <s v="d45fc162-fa83-341d-b666-2519cf41ac97"/>
    <s v="8fa6c185-e44e-3e34-8bd8-39be8694f4ce"/>
    <x v="0"/>
    <n v="410620009"/>
    <s v="Well child visit (procedure)"/>
    <n v="136.80000000000001"/>
    <n v="919.9"/>
    <n v="0"/>
    <m/>
    <x v="0"/>
  </r>
  <r>
    <s v="6d04a400-ad21-5951-e962-dbf00cc7a364"/>
    <d v="2019-10-28T09:36:36"/>
    <d v="2019-10-28T13:53:54"/>
    <s v="6d04a400-ad21-5951-b092-c14b6358d4c5"/>
    <s v="4f5e8f16-a31b-3071-8556-d7188ede313d"/>
    <s v="aa0f06f5-23d1-31ca-9753-ded5d109580a"/>
    <s v="8fa6c185-e44e-3e34-8bd8-39be8694f4ce"/>
    <x v="1"/>
    <n v="185349003"/>
    <s v="Encounter for check up (procedure)"/>
    <n v="85.55"/>
    <n v="3536.75"/>
    <n v="60.61"/>
    <n v="103697008"/>
    <x v="3"/>
  </r>
  <r>
    <s v="6d04a400-ad21-5951-ca30-09a88ee19627"/>
    <d v="2020-10-26T09:36:36"/>
    <d v="2020-10-26T09:51:36"/>
    <s v="6d04a400-ad21-5951-b092-c14b6358d4c5"/>
    <s v="b03b624d-c939-3688-986d-9555b8009a3b"/>
    <s v="d45fc162-fa83-341d-b666-2519cf41ac97"/>
    <s v="734afbd6-4794-363b-9bc0-6a3981533ed5"/>
    <x v="0"/>
    <n v="410620009"/>
    <s v="Well child visit (procedure)"/>
    <n v="136.80000000000001"/>
    <n v="488.5"/>
    <n v="0"/>
    <m/>
    <x v="0"/>
  </r>
  <r>
    <s v="6d04a400-ad21-5951-574d-5be71250da50"/>
    <d v="2021-11-01T09:36:36"/>
    <d v="2021-11-01T09:51:36"/>
    <s v="6d04a400-ad21-5951-b092-c14b6358d4c5"/>
    <s v="b03b624d-c939-3688-986d-9555b8009a3b"/>
    <s v="d45fc162-fa83-341d-b666-2519cf41ac97"/>
    <s v="734afbd6-4794-363b-9bc0-6a3981533ed5"/>
    <x v="0"/>
    <n v="410620009"/>
    <s v="Well child visit (procedure)"/>
    <n v="136.80000000000001"/>
    <n v="971.08"/>
    <n v="0"/>
    <m/>
    <x v="0"/>
  </r>
  <r>
    <s v="6d04a400-ad21-5951-551f-501403f02021"/>
    <d v="2022-11-07T08:36:36"/>
    <d v="2022-11-07T08:57:52"/>
    <s v="6d04a400-ad21-5951-b092-c14b6358d4c5"/>
    <s v="b03b624d-c939-3688-986d-9555b8009a3b"/>
    <s v="d45fc162-fa83-341d-b666-2519cf41ac97"/>
    <s v="734afbd6-4794-363b-9bc0-6a3981533ed5"/>
    <x v="0"/>
    <n v="410620009"/>
    <s v="Well child visit (procedure)"/>
    <n v="136.80000000000001"/>
    <n v="840.2"/>
    <n v="0"/>
    <m/>
    <x v="0"/>
  </r>
  <r>
    <s v="35f80d0e-eaad-ef68-a696-d68e420fca4c"/>
    <d v="2017-04-16T18:21:23"/>
    <d v="2017-04-16T23:52:24"/>
    <s v="35f80d0e-eaad-ef68-b762-3a1c12a872c1"/>
    <s v="a537b406-fdfa-36b4-84da-12512e7e6c63"/>
    <s v="b0b45170-bb6b-3e47-bbe2-9d3accb06aac"/>
    <s v="26aab0cd-6aba-3e1b-ac5b-05c8867e762c"/>
    <x v="1"/>
    <n v="185349003"/>
    <s v="Encounter for check up (procedure)"/>
    <n v="85.55"/>
    <n v="5262.35"/>
    <n v="608.66999999999996"/>
    <n v="66383009"/>
    <x v="17"/>
  </r>
  <r>
    <s v="6d04a400-ad21-5951-40e0-7557046f2a0e"/>
    <d v="2023-11-13T08:36:36"/>
    <d v="2023-11-13T08:51:36"/>
    <s v="6d04a400-ad21-5951-b092-c14b6358d4c5"/>
    <s v="b03b624d-c939-3688-986d-9555b8009a3b"/>
    <s v="d45fc162-fa83-341d-b666-2519cf41ac97"/>
    <s v="734afbd6-4794-363b-9bc0-6a3981533ed5"/>
    <x v="0"/>
    <n v="410620009"/>
    <s v="Well child visit (procedure)"/>
    <n v="136.80000000000001"/>
    <n v="840.2"/>
    <n v="0"/>
    <m/>
    <x v="0"/>
  </r>
  <r>
    <s v="6d04a400-ad21-5951-e9d2-4f70a8f5ee09"/>
    <d v="2023-11-27T08:36:36"/>
    <d v="2023-11-27T14:36:39"/>
    <s v="6d04a400-ad21-5951-b092-c14b6358d4c5"/>
    <s v="4f5e8f16-a31b-3071-8556-d7188ede313d"/>
    <s v="aa0f06f5-23d1-31ca-9753-ded5d109580a"/>
    <s v="734afbd6-4794-363b-9bc0-6a3981533ed5"/>
    <x v="1"/>
    <n v="185349003"/>
    <s v="Encounter for check up (procedure)"/>
    <n v="85.55"/>
    <n v="4830.95"/>
    <n v="3474.47"/>
    <n v="103697008"/>
    <x v="3"/>
  </r>
  <r>
    <s v="6d04a400-ad21-5951-90c9-7aa69bb76167"/>
    <d v="2024-04-07T01:36:36"/>
    <d v="2024-04-07T01:51:36"/>
    <s v="6d04a400-ad21-5951-b092-c14b6358d4c5"/>
    <s v="4f5e8f16-a31b-3071-8556-d7188ede313d"/>
    <s v="aa0f06f5-23d1-31ca-9753-ded5d109580a"/>
    <s v="734afbd6-4794-363b-9bc0-6a3981533ed5"/>
    <x v="1"/>
    <n v="185345009"/>
    <s v="Encounter for symptom (procedure)"/>
    <n v="85.55"/>
    <n v="85.55"/>
    <n v="68.44"/>
    <n v="444814009"/>
    <x v="2"/>
  </r>
  <r>
    <s v="6d04a400-ad21-5951-0901-234877623f4c"/>
    <d v="2024-10-17T09:36:36"/>
    <d v="2024-10-17T09:51:36"/>
    <s v="6d04a400-ad21-5951-b092-c14b6358d4c5"/>
    <s v="4f5e8f16-a31b-3071-8556-d7188ede313d"/>
    <s v="aa0f06f5-23d1-31ca-9753-ded5d109580a"/>
    <s v="734afbd6-4794-363b-9bc0-6a3981533ed5"/>
    <x v="2"/>
    <n v="698314001"/>
    <s v="Consultation for treatment (procedure)"/>
    <n v="142.58000000000001"/>
    <n v="142.58000000000001"/>
    <n v="114.06"/>
    <n v="389095005"/>
    <x v="15"/>
  </r>
  <r>
    <s v="6d04a400-ad21-5951-6af4-8ae651b636da"/>
    <d v="2024-11-18T08:36:36"/>
    <d v="2024-11-18T08:52:44"/>
    <s v="6d04a400-ad21-5951-b092-c14b6358d4c5"/>
    <s v="b03b624d-c939-3688-986d-9555b8009a3b"/>
    <s v="d45fc162-fa83-341d-b666-2519cf41ac97"/>
    <s v="734afbd6-4794-363b-9bc0-6a3981533ed5"/>
    <x v="0"/>
    <n v="410620009"/>
    <s v="Well child visit (procedure)"/>
    <n v="136.80000000000001"/>
    <n v="704.2"/>
    <n v="0"/>
    <m/>
    <x v="0"/>
  </r>
  <r>
    <s v="35f80d0e-eaad-ef68-706b-b45f4ac01d89"/>
    <d v="2020-01-19T17:21:23"/>
    <d v="2020-01-19T18:02:13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996.16"/>
    <n v="0"/>
    <m/>
    <x v="0"/>
  </r>
  <r>
    <s v="35f80d0e-eaad-ef68-693f-23ad8256f0a1"/>
    <d v="2020-02-02T17:21:23"/>
    <d v="2020-02-02T20:00:00"/>
    <s v="35f80d0e-eaad-ef68-b762-3a1c12a872c1"/>
    <s v="a537b406-fdfa-36b4-84da-12512e7e6c63"/>
    <s v="b0b45170-bb6b-3e47-bbe2-9d3accb06aac"/>
    <s v="26aab0cd-6aba-3e1b-ac5b-05c8867e762c"/>
    <x v="1"/>
    <n v="185349003"/>
    <s v="Encounter for check up (procedure)"/>
    <n v="85.55"/>
    <n v="3105.35"/>
    <n v="0"/>
    <n v="66383009"/>
    <x v="17"/>
  </r>
  <r>
    <s v="6d04a400-ad21-5951-6023-5408257a10d0"/>
    <d v="2024-12-02T08:36:36"/>
    <d v="2024-12-02T11:50:31"/>
    <s v="6d04a400-ad21-5951-b092-c14b6358d4c5"/>
    <s v="4f5e8f16-a31b-3071-8556-d7188ede313d"/>
    <s v="aa0f06f5-23d1-31ca-9753-ded5d109580a"/>
    <s v="734afbd6-4794-363b-9bc0-6a3981533ed5"/>
    <x v="1"/>
    <n v="185349003"/>
    <s v="Encounter for check up (procedure)"/>
    <n v="85.55"/>
    <n v="2673.95"/>
    <n v="1536.12"/>
    <n v="103697008"/>
    <x v="3"/>
  </r>
  <r>
    <s v="6d04a400-ad21-5951-56e0-437ae61fd491"/>
    <d v="2025-09-12T06:36:36"/>
    <d v="2025-09-12T06:51:36"/>
    <s v="6d04a400-ad21-5951-b092-c14b6358d4c5"/>
    <s v="4f5e8f16-a31b-3071-8556-d7188ede313d"/>
    <s v="aa0f06f5-23d1-31ca-9753-ded5d109580a"/>
    <s v="734afbd6-4794-363b-9bc0-6a3981533ed5"/>
    <x v="1"/>
    <n v="185345009"/>
    <s v="Encounter for symptom (procedure)"/>
    <n v="85.55"/>
    <n v="85.55"/>
    <n v="68.44"/>
    <n v="36971009"/>
    <x v="22"/>
  </r>
  <r>
    <s v="6d04a400-ad21-5951-89e1-00cc26473faa"/>
    <d v="2025-10-12T09:36:36"/>
    <d v="2025-10-12T09:51:36"/>
    <s v="6d04a400-ad21-5951-b092-c14b6358d4c5"/>
    <s v="4f5e8f16-a31b-3071-8556-d7188ede313d"/>
    <s v="aa0f06f5-23d1-31ca-9753-ded5d109580a"/>
    <s v="734afbd6-4794-363b-9bc0-6a3981533ed5"/>
    <x v="2"/>
    <n v="698314001"/>
    <s v="Consultation for treatment (procedure)"/>
    <n v="142.58000000000001"/>
    <n v="142.58000000000001"/>
    <n v="114.06"/>
    <n v="389095005"/>
    <x v="15"/>
  </r>
  <r>
    <s v="6d04a400-ad21-5951-7ee6-62d8ed373beb"/>
    <d v="2025-11-24T08:36:36"/>
    <d v="2025-11-24T08:51:36"/>
    <s v="6d04a400-ad21-5951-b092-c14b6358d4c5"/>
    <s v="b03b624d-c939-3688-986d-9555b8009a3b"/>
    <s v="d45fc162-fa83-341d-b666-2519cf41ac97"/>
    <s v="734afbd6-4794-363b-9bc0-6a3981533ed5"/>
    <x v="0"/>
    <n v="410620009"/>
    <s v="Well child visit (procedure)"/>
    <n v="136.80000000000001"/>
    <n v="1407.81"/>
    <n v="0"/>
    <m/>
    <x v="0"/>
  </r>
  <r>
    <s v="6d04a400-ad21-5951-6306-856c92ce3542"/>
    <d v="2026-01-26T08:36:36"/>
    <d v="2026-01-26T08:51:36"/>
    <s v="6d04a400-ad21-5951-b092-c14b6358d4c5"/>
    <s v="4f5e8f16-a31b-3071-8556-d7188ede313d"/>
    <s v="aa0f06f5-23d1-31ca-9753-ded5d109580a"/>
    <s v="734afbd6-4794-363b-9bc0-6a3981533ed5"/>
    <x v="1"/>
    <n v="424441002"/>
    <s v="Prenatal initial visit (regime/therapy)"/>
    <n v="142.58000000000001"/>
    <n v="37874.6"/>
    <n v="30259.52"/>
    <n v="72892002"/>
    <x v="4"/>
  </r>
  <r>
    <s v="35f80d0e-eaad-ef68-917b-3dc6baf1455f"/>
    <d v="2022-01-23T17:21:23"/>
    <d v="2022-01-23T18:17:12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1132.1600000000001"/>
    <n v="0"/>
    <m/>
    <x v="0"/>
  </r>
  <r>
    <s v="35f80d0e-eaad-ef68-31af-4a513c586746"/>
    <d v="2023-09-19T20:21:23"/>
    <d v="2023-09-19T20:36:23"/>
    <s v="35f80d0e-eaad-ef68-b762-3a1c12a872c1"/>
    <s v="a537b406-fdfa-36b4-84da-12512e7e6c63"/>
    <s v="b0b45170-bb6b-3e47-bbe2-9d3accb06aac"/>
    <s v="26aab0cd-6aba-3e1b-ac5b-05c8867e762c"/>
    <x v="1"/>
    <n v="185345009"/>
    <s v="Encounter for symptom (procedure)"/>
    <n v="85.55"/>
    <n v="2913.18"/>
    <n v="0"/>
    <n v="195662009"/>
    <x v="9"/>
  </r>
  <r>
    <s v="35f80d0e-eaad-ef68-ddd5-1723f9c5e829"/>
    <d v="2024-01-28T17:21:23"/>
    <d v="2024-01-28T18:00:33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1648.38"/>
    <n v="0"/>
    <m/>
    <x v="0"/>
  </r>
  <r>
    <s v="35f80d0e-eaad-ef68-1edb-7769f06f0926"/>
    <d v="2024-01-28T17:43:41"/>
    <d v="2024-01-28T18:43:41"/>
    <s v="35f80d0e-eaad-ef68-b762-3a1c12a872c1"/>
    <s v="6b9c5830-a278-38ff-887f-ccefd74cf8e8"/>
    <s v="cc231454-8c12-32c7-bbd4-a1ae234ebf40"/>
    <s v="26aab0cd-6aba-3e1b-ac5b-05c8867e762c"/>
    <x v="3"/>
    <n v="50849002"/>
    <s v="Emergency room admission (procedure)"/>
    <n v="146.18"/>
    <n v="146.18"/>
    <n v="0"/>
    <n v="110030002"/>
    <x v="69"/>
  </r>
  <r>
    <s v="35f80d0e-eaad-ef68-088a-488e466abff0"/>
    <d v="2024-02-11T17:21:23"/>
    <d v="2024-02-11T20:45:33"/>
    <s v="35f80d0e-eaad-ef68-b762-3a1c12a872c1"/>
    <s v="a537b406-fdfa-36b4-84da-12512e7e6c63"/>
    <s v="b0b45170-bb6b-3e47-bbe2-9d3accb06aac"/>
    <s v="26aab0cd-6aba-3e1b-ac5b-05c8867e762c"/>
    <x v="1"/>
    <n v="185349003"/>
    <s v="Encounter for check up (procedure)"/>
    <n v="85.55"/>
    <n v="3105.35"/>
    <n v="0"/>
    <n v="103697008"/>
    <x v="3"/>
  </r>
  <r>
    <s v="35f80d0e-eaad-ef68-5102-acbf462409bc"/>
    <d v="2024-04-06T18:43:41"/>
    <d v="2024-04-06T18:58:41"/>
    <s v="35f80d0e-eaad-ef68-b762-3a1c12a872c1"/>
    <s v="a537b406-fdfa-36b4-84da-12512e7e6c63"/>
    <s v="b0b45170-bb6b-3e47-bbe2-9d3accb06aac"/>
    <s v="26aab0cd-6aba-3e1b-ac5b-05c8867e762c"/>
    <x v="1"/>
    <n v="185349003"/>
    <s v="Encounter for check up (procedure)"/>
    <n v="85.55"/>
    <n v="85.55"/>
    <n v="0"/>
    <n v="62106007"/>
    <x v="83"/>
  </r>
  <r>
    <s v="6d04a400-ad21-5951-70ba-77254774085d"/>
    <d v="2026-02-23T08:36:36"/>
    <d v="2026-02-23T08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8847.5"/>
    <n v="8847.5"/>
    <n v="72892002"/>
    <x v="4"/>
  </r>
  <r>
    <s v="6d04a400-ad21-5951-46f1-f1dc384fbb73"/>
    <d v="2026-03-23T09:36:36"/>
    <d v="2026-03-23T09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12745.22"/>
    <n v="12745.22"/>
    <n v="72892002"/>
    <x v="4"/>
  </r>
  <r>
    <s v="6d04a400-ad21-5951-4984-4788fa57d50f"/>
    <d v="2026-04-20T09:36:36"/>
    <d v="2026-04-20T09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13636.56"/>
    <n v="13636.56"/>
    <n v="72892002"/>
    <x v="4"/>
  </r>
  <r>
    <s v="6d04a400-ad21-5951-106d-e646bfc4bab9"/>
    <d v="2026-05-18T09:36:36"/>
    <d v="2026-05-18T09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11451.02"/>
    <n v="11451.02"/>
    <n v="72892002"/>
    <x v="4"/>
  </r>
  <r>
    <s v="6d04a400-ad21-5951-cc8f-77e9cc71d96d"/>
    <d v="2026-06-15T09:36:36"/>
    <d v="2026-06-15T09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12676.63"/>
    <n v="12676.63"/>
    <n v="72892002"/>
    <x v="4"/>
  </r>
  <r>
    <s v="6d04a400-ad21-5951-0d8b-607caaae57dd"/>
    <d v="2026-07-13T09:36:36"/>
    <d v="2026-07-13T09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10095.36"/>
    <n v="10095.36"/>
    <n v="72892002"/>
    <x v="4"/>
  </r>
  <r>
    <s v="6d04a400-ad21-5951-f692-ac3894a064dd"/>
    <d v="2026-07-19T09:36:36"/>
    <d v="2026-07-19T10:36:36"/>
    <s v="6d04a400-ad21-5951-b092-c14b6358d4c5"/>
    <s v="2befa435-3070-3350-a15c-e43ac1e84b24"/>
    <s v="b48a74f7-71a4-3c10-bcfd-aec1146f52c8"/>
    <s v="734afbd6-4794-363b-9bc0-6a3981533ed5"/>
    <x v="3"/>
    <n v="50849002"/>
    <s v="Emergency room admission (procedure)"/>
    <n v="146.18"/>
    <n v="1008.98"/>
    <n v="1008.98"/>
    <n v="125605004"/>
    <x v="36"/>
  </r>
  <r>
    <s v="6d04a400-ad21-5951-436a-120042323aa6"/>
    <d v="2026-08-10T09:36:36"/>
    <d v="2026-08-10T09:51:36"/>
    <s v="6d04a400-ad21-5951-b092-c14b6358d4c5"/>
    <s v="4f5e8f16-a31b-3071-8556-d7188ede313d"/>
    <s v="aa0f06f5-23d1-31ca-9753-ded5d109580a"/>
    <s v="734afbd6-4794-363b-9bc0-6a3981533ed5"/>
    <x v="1"/>
    <n v="424619006"/>
    <s v="Prenatal visit (regime/therapy)"/>
    <n v="142.58000000000001"/>
    <n v="12313.82"/>
    <n v="12313.82"/>
    <n v="72892002"/>
    <x v="4"/>
  </r>
  <r>
    <s v="35f80d0e-eaad-ef68-2228-401c5da8a442"/>
    <d v="2024-04-12T18:21:23"/>
    <d v="2024-04-12T19:42:50"/>
    <s v="35f80d0e-eaad-ef68-b762-3a1c12a872c1"/>
    <s v="a537b406-fdfa-36b4-84da-12512e7e6c63"/>
    <s v="b0b45170-bb6b-3e47-bbe2-9d3accb06aac"/>
    <s v="26aab0cd-6aba-3e1b-ac5b-05c8867e762c"/>
    <x v="1"/>
    <n v="185345009"/>
    <s v="Encounter for symptom (procedure)"/>
    <n v="85.55"/>
    <n v="3179.93"/>
    <n v="1398.76"/>
    <n v="307426000"/>
    <x v="5"/>
  </r>
  <r>
    <s v="35f80d0e-eaad-ef68-60a0-b3f9fb295f95"/>
    <d v="2026-02-01T17:21:23"/>
    <d v="2026-02-01T18:06:10"/>
    <s v="35f80d0e-eaad-ef68-b762-3a1c12a872c1"/>
    <s v="42d4b607-f14d-370a-818e-40965685776c"/>
    <s v="170e1c2c-7711-3196-8348-2c91f2571c0f"/>
    <s v="26aab0cd-6aba-3e1b-ac5b-05c8867e762c"/>
    <x v="0"/>
    <n v="162673000"/>
    <s v="General examination of patient (procedure)"/>
    <n v="136.80000000000001"/>
    <n v="1143.6400000000001"/>
    <n v="0"/>
    <m/>
    <x v="0"/>
  </r>
  <r>
    <s v="35f80d0e-eaad-ef68-fb03-ec4fb9f55ffe"/>
    <d v="2026-06-15T07:21:23"/>
    <d v="2026-06-15T07:36:23"/>
    <s v="35f80d0e-eaad-ef68-b762-3a1c12a872c1"/>
    <s v="a537b406-fdfa-36b4-84da-12512e7e6c63"/>
    <s v="b0b45170-bb6b-3e47-bbe2-9d3accb06aac"/>
    <s v="26aab0cd-6aba-3e1b-ac5b-05c8867e762c"/>
    <x v="1"/>
    <n v="185345009"/>
    <s v="Encounter for symptom (procedure)"/>
    <n v="85.55"/>
    <n v="85.55"/>
    <n v="0"/>
    <n v="195662009"/>
    <x v="9"/>
  </r>
  <r>
    <s v="babc4b97-d859-0fe4-bbfc-a4df18b68fd6"/>
    <d v="2023-03-25T13:24:18"/>
    <d v="2023-03-25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347.38"/>
    <n v="247.38"/>
    <m/>
    <x v="0"/>
  </r>
  <r>
    <s v="babc4b97-d859-0fe4-6eff-4ee6e3189f68"/>
    <d v="2023-04-29T13:24:18"/>
    <d v="2023-04-29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272.8"/>
    <n v="272.8"/>
    <m/>
    <x v="0"/>
  </r>
  <r>
    <s v="babc4b97-d859-0fe4-ff76-c1c6f3f380ae"/>
    <d v="2023-07-01T13:24:18"/>
    <d v="2023-07-01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816.8"/>
    <n v="816.8"/>
    <m/>
    <x v="0"/>
  </r>
  <r>
    <s v="babc4b97-d859-0fe4-41ec-c0d7dbafc961"/>
    <d v="2023-09-02T13:24:18"/>
    <d v="2023-09-02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816.8"/>
    <n v="816.8"/>
    <m/>
    <x v="0"/>
  </r>
  <r>
    <s v="babc4b97-d859-0fe4-f14e-db81e375ce03"/>
    <d v="2023-12-02T12:24:18"/>
    <d v="2023-12-02T12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816.8"/>
    <n v="816.8"/>
    <m/>
    <x v="0"/>
  </r>
  <r>
    <s v="babc4b97-d859-0fe4-61f5-06596cdee7c7"/>
    <d v="2024-03-02T12:24:18"/>
    <d v="2024-03-02T12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999.6"/>
    <n v="999.6"/>
    <m/>
    <x v="0"/>
  </r>
  <r>
    <s v="babc4b97-d859-0fe4-cc50-d5a8f80bfb58"/>
    <d v="2024-03-09T12:24:18"/>
    <d v="2024-03-09T12:39:18"/>
    <s v="babc4b97-d859-0fe4-2874-fb6fe493ae6b"/>
    <s v="b9e35b8a-9831-32d8-a6dc-d7a546c126b0"/>
    <s v="0a7ae528-f029-3661-849c-03b0bf3a890b"/>
    <s v="df166300-5a78-3502-a46a-832842197811"/>
    <x v="1"/>
    <n v="185345009"/>
    <s v="Encounter for symptom (procedure)"/>
    <n v="85.55"/>
    <n v="85.55"/>
    <n v="35.549999999999997"/>
    <n v="444814009"/>
    <x v="2"/>
  </r>
  <r>
    <s v="babc4b97-d859-0fe4-fe3a-4dc9d99dc544"/>
    <d v="2024-06-01T13:24:18"/>
    <d v="2024-06-01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1032.5"/>
    <n v="932.5"/>
    <m/>
    <x v="0"/>
  </r>
  <r>
    <s v="babc4b97-d859-0fe4-8281-2f439f8d64f0"/>
    <d v="2024-08-31T13:24:18"/>
    <d v="2024-08-31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272.8"/>
    <n v="272.8"/>
    <m/>
    <x v="0"/>
  </r>
  <r>
    <s v="babc4b97-d859-0fe4-03bf-ddc3894e6449"/>
    <d v="2025-02-15T10:24:18"/>
    <d v="2025-02-15T10:39:18"/>
    <s v="babc4b97-d859-0fe4-2874-fb6fe493ae6b"/>
    <s v="b9e35b8a-9831-32d8-a6dc-d7a546c126b0"/>
    <s v="0a7ae528-f029-3661-849c-03b0bf3a890b"/>
    <s v="df166300-5a78-3502-a46a-832842197811"/>
    <x v="1"/>
    <n v="185345009"/>
    <s v="Encounter for symptom (procedure)"/>
    <n v="85.55"/>
    <n v="3536.75"/>
    <n v="3486.75"/>
    <n v="195662009"/>
    <x v="9"/>
  </r>
  <r>
    <s v="babc4b97-d859-0fe4-916a-8b4757efe7a8"/>
    <d v="2025-03-01T12:24:18"/>
    <d v="2025-03-01T12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272.8"/>
    <n v="272.8"/>
    <m/>
    <x v="0"/>
  </r>
  <r>
    <s v="babc4b97-d859-0fe4-bcb5-e3e9616955a1"/>
    <d v="2025-07-06T17:24:18"/>
    <d v="2025-07-06T17:39:18"/>
    <s v="babc4b97-d859-0fe4-2874-fb6fe493ae6b"/>
    <s v="b9e35b8a-9831-32d8-a6dc-d7a546c126b0"/>
    <s v="0a7ae528-f029-3661-849c-03b0bf3a890b"/>
    <s v="df166300-5a78-3502-a46a-832842197811"/>
    <x v="1"/>
    <n v="185345009"/>
    <s v="Encounter for symptom (procedure)"/>
    <n v="85.55"/>
    <n v="85.55"/>
    <n v="35.549999999999997"/>
    <n v="444814009"/>
    <x v="2"/>
  </r>
  <r>
    <s v="babc4b97-d859-0fe4-d27e-399e8e6870da"/>
    <d v="2025-08-30T13:24:18"/>
    <d v="2025-08-30T13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1135.5999999999999"/>
    <n v="1135.5999999999999"/>
    <m/>
    <x v="0"/>
  </r>
  <r>
    <s v="babc4b97-d859-0fe4-3974-1a0b7a72efff"/>
    <d v="2025-11-09T12:24:18"/>
    <d v="2025-11-09T12:39:18"/>
    <s v="babc4b97-d859-0fe4-2874-fb6fe493ae6b"/>
    <s v="b9e35b8a-9831-32d8-a6dc-d7a546c126b0"/>
    <s v="0a7ae528-f029-3661-849c-03b0bf3a890b"/>
    <s v="df166300-5a78-3502-a46a-832842197811"/>
    <x v="2"/>
    <n v="185345009"/>
    <s v="Encounter for symptom (procedure)"/>
    <n v="85.55"/>
    <n v="85.55"/>
    <n v="35.549999999999997"/>
    <n v="65363002"/>
    <x v="25"/>
  </r>
  <r>
    <s v="babc4b97-d859-0fe4-9639-6eb0311c38e4"/>
    <d v="2026-02-28T12:24:18"/>
    <d v="2026-02-28T12:39:18"/>
    <s v="babc4b97-d859-0fe4-2874-fb6fe493ae6b"/>
    <s v="1311c44a-85cb-3aea-a143-e5d7892ced8b"/>
    <s v="b8c18c77-9bda-36f3-aaaf-73d78b51da16"/>
    <s v="df166300-5a78-3502-a46a-832842197811"/>
    <x v="0"/>
    <n v="410620009"/>
    <s v="Well child visit (procedure)"/>
    <n v="136.80000000000001"/>
    <n v="272.8"/>
    <n v="272.8"/>
    <m/>
    <x v="0"/>
  </r>
  <r>
    <s v="bd4e49cb-391b-d08a-3f23-2047bb2227e9"/>
    <d v="2002-01-19T19:31:32"/>
    <d v="2002-01-19T19:46:32"/>
    <s v="bd4e49cb-391b-d08a-c7ab-b585e7bd5758"/>
    <s v="8d5880eb-1dd8-31ea-b7c5-21709f3bb341"/>
    <s v="314e6e4b-8b6e-330d-b3d4-14673ba82a2c"/>
    <s v="b046940f-1664-3047-bca7-dfa76be352a4"/>
    <x v="0"/>
    <n v="410620009"/>
    <s v="Well child visit (procedure)"/>
    <n v="136.80000000000001"/>
    <n v="919.9"/>
    <n v="0"/>
    <m/>
    <x v="0"/>
  </r>
  <r>
    <s v="bd4e49cb-391b-d08a-21fb-df5c75ed2fb5"/>
    <d v="2003-01-25T19:31:32"/>
    <d v="2003-01-25T20:22:24"/>
    <s v="bd4e49cb-391b-d08a-c7ab-b585e7bd5758"/>
    <s v="8d5880eb-1dd8-31ea-b7c5-21709f3bb341"/>
    <s v="314e6e4b-8b6e-330d-b3d4-14673ba82a2c"/>
    <s v="b046940f-1664-3047-bca7-dfa76be352a4"/>
    <x v="0"/>
    <n v="162673000"/>
    <s v="General examination of patient (procedure)"/>
    <n v="136.80000000000001"/>
    <n v="919.9"/>
    <n v="0"/>
    <m/>
    <x v="0"/>
  </r>
  <r>
    <s v="bd4e49cb-391b-d08a-356c-4a0d70fdd479"/>
    <d v="2007-02-03T19:31:32"/>
    <d v="2007-02-03T20:25:12"/>
    <s v="bd4e49cb-391b-d08a-c7ab-b585e7bd5758"/>
    <s v="8d5880eb-1dd8-31ea-b7c5-21709f3bb341"/>
    <s v="314e6e4b-8b6e-330d-b3d4-14673ba82a2c"/>
    <s v="b046940f-1664-3047-bca7-dfa76be352a4"/>
    <x v="0"/>
    <n v="162673000"/>
    <s v="General examination of patient (procedure)"/>
    <n v="136.80000000000001"/>
    <n v="1526.39"/>
    <n v="0"/>
    <m/>
    <x v="0"/>
  </r>
  <r>
    <s v="bd4e49cb-391b-d08a-5411-88ec3c1d6c9b"/>
    <d v="2015-09-05T20:31:32"/>
    <d v="2015-09-05T21:26:13"/>
    <s v="bd4e49cb-391b-d08a-c7ab-b585e7bd5758"/>
    <s v="0fedae9f-701f-3317-9b2f-69aea2202cdc"/>
    <s v="fae37961-d626-3bf6-a39d-622e472f5c3b"/>
    <s v="b046940f-1664-3047-bca7-dfa76be352a4"/>
    <x v="2"/>
    <n v="185349003"/>
    <s v="Encounter for check up (procedure)"/>
    <n v="85.55"/>
    <n v="727.53"/>
    <n v="0"/>
    <m/>
    <x v="0"/>
  </r>
  <r>
    <s v="bd4e49cb-391b-d08a-4ffd-fa01b36a84ea"/>
    <d v="2016-02-13T19:31:32"/>
    <d v="2016-02-13T20:28:35"/>
    <s v="bd4e49cb-391b-d08a-c7ab-b585e7bd5758"/>
    <s v="8d5880eb-1dd8-31ea-b7c5-21709f3bb341"/>
    <s v="314e6e4b-8b6e-330d-b3d4-14673ba82a2c"/>
    <s v="b046940f-1664-3047-bca7-dfa76be352a4"/>
    <x v="0"/>
    <n v="162673000"/>
    <s v="General examination of patient (procedure)"/>
    <n v="136.80000000000001"/>
    <n v="1703"/>
    <n v="0"/>
    <m/>
    <x v="0"/>
  </r>
  <r>
    <s v="bd4e49cb-391b-d08a-4fe8-bb711fd1e919"/>
    <d v="2019-02-16T19:31:32"/>
    <d v="2019-02-16T20:14:54"/>
    <s v="bd4e49cb-391b-d08a-c7ab-b585e7bd5758"/>
    <s v="8d5880eb-1dd8-31ea-b7c5-21709f3bb341"/>
    <s v="314e6e4b-8b6e-330d-b3d4-14673ba82a2c"/>
    <s v="b046940f-1664-3047-bca7-dfa76be352a4"/>
    <x v="0"/>
    <n v="162673000"/>
    <s v="General examination of patient (procedure)"/>
    <n v="136.80000000000001"/>
    <n v="1069.06"/>
    <n v="0"/>
    <m/>
    <x v="0"/>
  </r>
  <r>
    <s v="bd4e49cb-391b-d08a-c694-a691c95b3b73"/>
    <d v="2022-02-19T19:31:32"/>
    <d v="2022-02-19T20:30:39"/>
    <s v="bd4e49cb-391b-d08a-c7ab-b585e7bd5758"/>
    <s v="8d5880eb-1dd8-31ea-b7c5-21709f3bb341"/>
    <s v="314e6e4b-8b6e-330d-b3d4-14673ba82a2c"/>
    <s v="b046940f-1664-3047-bca7-dfa76be352a4"/>
    <x v="0"/>
    <n v="162673000"/>
    <s v="General examination of patient (procedure)"/>
    <n v="136.80000000000001"/>
    <n v="778.78"/>
    <n v="0"/>
    <m/>
    <x v="0"/>
  </r>
  <r>
    <s v="bd4e49cb-391b-d08a-d31c-1a950ec498b7"/>
    <d v="2022-03-05T19:31:32"/>
    <d v="2022-03-05T23:07:39"/>
    <s v="bd4e49cb-391b-d08a-c7ab-b585e7bd5758"/>
    <s v="0fedae9f-701f-3317-9b2f-69aea2202cdc"/>
    <s v="fae37961-d626-3bf6-a39d-622e472f5c3b"/>
    <s v="b046940f-1664-3047-bca7-dfa76be352a4"/>
    <x v="1"/>
    <n v="185349003"/>
    <s v="Encounter for check up (procedure)"/>
    <n v="85.55"/>
    <n v="3105.35"/>
    <n v="0"/>
    <n v="66383009"/>
    <x v="17"/>
  </r>
  <r>
    <s v="bd4e49cb-391b-d08a-997d-bf76aa8e6714"/>
    <d v="2024-12-07T19:31:32"/>
    <d v="2024-12-07T20:05:28"/>
    <s v="bd4e49cb-391b-d08a-c7ab-b585e7bd5758"/>
    <s v="8d5880eb-1dd8-31ea-b7c5-21709f3bb341"/>
    <s v="314e6e4b-8b6e-330d-b3d4-14673ba82a2c"/>
    <s v="b046940f-1664-3047-bca7-dfa76be352a4"/>
    <x v="0"/>
    <n v="162673000"/>
    <s v="General examination of patient (procedure)"/>
    <n v="136.80000000000001"/>
    <n v="1059.8"/>
    <n v="0"/>
    <m/>
    <x v="0"/>
  </r>
  <r>
    <s v="bd4e49cb-391b-d08a-0940-ea53c3961914"/>
    <d v="2024-12-21T19:31:32"/>
    <d v="2024-12-21T22:35:26"/>
    <s v="bd4e49cb-391b-d08a-c7ab-b585e7bd5758"/>
    <s v="0fedae9f-701f-3317-9b2f-69aea2202cdc"/>
    <s v="fae37961-d626-3bf6-a39d-622e472f5c3b"/>
    <s v="b046940f-1664-3047-bca7-dfa76be352a4"/>
    <x v="1"/>
    <n v="185349003"/>
    <s v="Encounter for check up (procedure)"/>
    <n v="85.55"/>
    <n v="3105.35"/>
    <n v="0"/>
    <n v="103697008"/>
    <x v="3"/>
  </r>
  <r>
    <s v="f6359fe4-4340-2820-7308-9148b78f5446"/>
    <d v="2016-11-06T19:54:50"/>
    <d v="2016-11-06T20:09:50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704.2"/>
    <n v="0"/>
    <m/>
    <x v="0"/>
  </r>
  <r>
    <s v="f6359fe4-4340-2820-5383-7e4bc56f8e6e"/>
    <d v="2016-11-13T19:54:50"/>
    <d v="2016-11-14T02:35:06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4830.95"/>
    <n v="724.6"/>
    <n v="66383009"/>
    <x v="17"/>
  </r>
  <r>
    <s v="f6359fe4-4340-2820-483a-b00504255d0d"/>
    <d v="2017-11-12T19:54:50"/>
    <d v="2017-11-12T20:09:50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1401.01"/>
    <n v="0"/>
    <m/>
    <x v="0"/>
  </r>
  <r>
    <s v="f6359fe4-4340-2820-0332-06e985d0febc"/>
    <d v="2017-12-23T19:54:50"/>
    <d v="2017-12-23T20:54:50"/>
    <s v="f6359fe4-4340-2820-8b76-593a45f5186c"/>
    <s v="76b7dbb5-0a02-32a4-9a01-3511f7e45016"/>
    <s v="6a287697-1fe2-393b-861e-fb6067399a5c"/>
    <s v="b046940f-1664-3047-bca7-dfa76be352a4"/>
    <x v="3"/>
    <n v="50849002"/>
    <s v="Emergency room admission (procedure)"/>
    <n v="146.18"/>
    <n v="1008.98"/>
    <n v="0"/>
    <n v="125605004"/>
    <x v="36"/>
  </r>
  <r>
    <s v="f6359fe4-4340-2820-f0b0-733a56e7f616"/>
    <d v="2018-01-07T07:54:50"/>
    <d v="2018-01-07T08:09:50"/>
    <s v="f6359fe4-4340-2820-8b76-593a45f5186c"/>
    <s v="eee00932-ca82-36bc-b7e8-e3fff6dbaeaa"/>
    <s v="25162b3c-536e-3fe6-af7b-eb5f22af6899"/>
    <s v="b046940f-1664-3047-bca7-dfa76be352a4"/>
    <x v="1"/>
    <n v="185345009"/>
    <s v="Encounter for symptom (procedure)"/>
    <n v="85.55"/>
    <n v="85.55"/>
    <n v="0"/>
    <n v="444814009"/>
    <x v="2"/>
  </r>
  <r>
    <s v="f6359fe4-4340-2820-5d09-4f7ab8a97e63"/>
    <d v="2018-01-23T20:29:20"/>
    <d v="2018-01-23T20:44:20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85.55"/>
    <n v="0"/>
    <n v="16114001"/>
    <x v="47"/>
  </r>
  <r>
    <s v="f6359fe4-4340-2820-d610-b19a302de696"/>
    <d v="2018-11-18T19:54:50"/>
    <d v="2018-11-18T20:16:21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840.2"/>
    <n v="0"/>
    <m/>
    <x v="0"/>
  </r>
  <r>
    <s v="f6359fe4-4340-2820-28ce-0d87f1a8a999"/>
    <d v="2018-12-02T19:54:50"/>
    <d v="2018-12-02T22:44:27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3536.75"/>
    <n v="0"/>
    <n v="103697008"/>
    <x v="3"/>
  </r>
  <r>
    <s v="f6359fe4-4340-2820-8e3e-2b9f3c11c6a2"/>
    <d v="2019-05-01T14:54:50"/>
    <d v="2019-05-01T15:09:50"/>
    <s v="f6359fe4-4340-2820-8b76-593a45f5186c"/>
    <s v="eee00932-ca82-36bc-b7e8-e3fff6dbaeaa"/>
    <s v="25162b3c-536e-3fe6-af7b-eb5f22af6899"/>
    <s v="b046940f-1664-3047-bca7-dfa76be352a4"/>
    <x v="1"/>
    <n v="185345009"/>
    <s v="Encounter for symptom (procedure)"/>
    <n v="85.55"/>
    <n v="85.55"/>
    <n v="0"/>
    <n v="444814009"/>
    <x v="2"/>
  </r>
  <r>
    <s v="f6359fe4-4340-2820-9598-c428ef56b1fc"/>
    <d v="2019-11-24T19:54:50"/>
    <d v="2019-11-24T20:15:10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840.2"/>
    <n v="0"/>
    <m/>
    <x v="0"/>
  </r>
  <r>
    <s v="f6359fe4-4340-2820-ea17-e48e479c13e3"/>
    <d v="2020-10-28T20:54:50"/>
    <d v="2020-10-28T21:09:50"/>
    <s v="f6359fe4-4340-2820-8b76-593a45f5186c"/>
    <s v="eee00932-ca82-36bc-b7e8-e3fff6dbaeaa"/>
    <s v="25162b3c-536e-3fe6-af7b-eb5f22af6899"/>
    <s v="b046940f-1664-3047-bca7-dfa76be352a4"/>
    <x v="2"/>
    <n v="698314001"/>
    <s v="Consultation for treatment (procedure)"/>
    <n v="142.58000000000001"/>
    <n v="142.58000000000001"/>
    <n v="0"/>
    <n v="389095005"/>
    <x v="15"/>
  </r>
  <r>
    <s v="f6359fe4-4340-2820-1df4-d4c62e30a5e6"/>
    <d v="2020-11-29T19:54:50"/>
    <d v="2020-11-29T20:22:18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704.2"/>
    <n v="0"/>
    <m/>
    <x v="0"/>
  </r>
  <r>
    <s v="f6359fe4-4340-2820-c0a4-bc208718bf62"/>
    <d v="2020-12-13T19:54:50"/>
    <d v="2020-12-13T22:07:26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3105.35"/>
    <n v="0"/>
    <n v="103697008"/>
    <x v="3"/>
  </r>
  <r>
    <s v="f6359fe4-4340-2820-4bf2-51bb284918ee"/>
    <d v="2021-06-06T20:54:50"/>
    <d v="2021-06-06T21:09:50"/>
    <s v="f6359fe4-4340-2820-8b76-593a45f5186c"/>
    <s v="eee00932-ca82-36bc-b7e8-e3fff6dbaeaa"/>
    <s v="25162b3c-536e-3fe6-af7b-eb5f22af6899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f6359fe4-4340-2820-e783-67b5484eeb19"/>
    <d v="2021-06-27T20:54:50"/>
    <d v="2021-06-27T21:09:50"/>
    <s v="f6359fe4-4340-2820-8b76-593a45f5186c"/>
    <s v="eee00932-ca82-36bc-b7e8-e3fff6dbaeaa"/>
    <s v="25162b3c-536e-3fe6-af7b-eb5f22af6899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f6359fe4-4340-2820-ffcd-d6bdf53b0139"/>
    <d v="2021-10-23T20:54:50"/>
    <d v="2021-10-23T21:09:50"/>
    <s v="f6359fe4-4340-2820-8b76-593a45f5186c"/>
    <s v="eee00932-ca82-36bc-b7e8-e3fff6dbaeaa"/>
    <s v="25162b3c-536e-3fe6-af7b-eb5f22af6899"/>
    <s v="b046940f-1664-3047-bca7-dfa76be352a4"/>
    <x v="2"/>
    <n v="698314001"/>
    <s v="Consultation for treatment (procedure)"/>
    <n v="142.58000000000001"/>
    <n v="142.58000000000001"/>
    <n v="99.81"/>
    <n v="389095005"/>
    <x v="15"/>
  </r>
  <r>
    <s v="f6359fe4-4340-2820-60ee-2451778574a2"/>
    <d v="2021-12-05T19:54:50"/>
    <d v="2021-12-05T20:13:10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1154.58"/>
    <n v="0"/>
    <m/>
    <x v="0"/>
  </r>
  <r>
    <s v="f6359fe4-4340-2820-62c1-04aa59722823"/>
    <d v="2021-12-08T21:54:50"/>
    <d v="2021-12-08T22:09:50"/>
    <s v="f6359fe4-4340-2820-8b76-593a45f5186c"/>
    <s v="eee00932-ca82-36bc-b7e8-e3fff6dbaeaa"/>
    <s v="25162b3c-536e-3fe6-af7b-eb5f22af6899"/>
    <s v="b046940f-1664-3047-bca7-dfa76be352a4"/>
    <x v="1"/>
    <n v="185345009"/>
    <s v="Encounter for symptom (procedure)"/>
    <n v="85.55"/>
    <n v="85.55"/>
    <n v="0"/>
    <n v="444814009"/>
    <x v="2"/>
  </r>
  <r>
    <s v="f6359fe4-4340-2820-f635-f33071bc4a11"/>
    <d v="2022-12-11T19:54:50"/>
    <d v="2022-12-11T20:09:50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914.78"/>
    <n v="0"/>
    <m/>
    <x v="0"/>
  </r>
  <r>
    <s v="f6359fe4-4340-2820-52aa-81e23c6c6d3c"/>
    <d v="2022-12-25T19:54:50"/>
    <d v="2022-12-25T23:23:21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3105.35"/>
    <n v="0"/>
    <n v="103697008"/>
    <x v="3"/>
  </r>
  <r>
    <s v="f6359fe4-4340-2820-130d-fcf71f6026f0"/>
    <d v="2023-05-16T21:29:20"/>
    <d v="2023-05-16T22:29:20"/>
    <s v="f6359fe4-4340-2820-8b76-593a45f5186c"/>
    <s v="76b7dbb5-0a02-32a4-9a01-3511f7e45016"/>
    <s v="6a287697-1fe2-393b-861e-fb6067399a5c"/>
    <s v="b046940f-1664-3047-bca7-dfa76be352a4"/>
    <x v="3"/>
    <n v="50849002"/>
    <s v="Emergency room admission (procedure)"/>
    <n v="146.18"/>
    <n v="1008.98"/>
    <n v="493.57"/>
    <n v="125605004"/>
    <x v="36"/>
  </r>
  <r>
    <s v="f6359fe4-4340-2820-dbf0-2540be91fedc"/>
    <d v="2023-08-25T21:54:24"/>
    <d v="2023-08-25T22:09:24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85.55"/>
    <n v="59.88"/>
    <n v="65966004"/>
    <x v="37"/>
  </r>
  <r>
    <s v="f6359fe4-4340-2820-4a88-232a015ed022"/>
    <d v="2023-12-17T19:54:50"/>
    <d v="2023-12-17T20:21:33"/>
    <s v="f6359fe4-4340-2820-8b76-593a45f5186c"/>
    <s v="db60692f-cbef-315b-9fce-38a7f015c482"/>
    <s v="d18b1f16-cabe-3735-9817-1e3f78540803"/>
    <s v="b046940f-1664-3047-bca7-dfa76be352a4"/>
    <x v="0"/>
    <n v="410620009"/>
    <s v="Well child visit (procedure)"/>
    <n v="136.80000000000001"/>
    <n v="704.2"/>
    <n v="0"/>
    <m/>
    <x v="0"/>
  </r>
  <r>
    <s v="f6359fe4-4340-2820-15f2-28fd558db9b1"/>
    <d v="2024-05-19T20:54:50"/>
    <d v="2024-05-19T21:09:50"/>
    <s v="f6359fe4-4340-2820-8b76-593a45f5186c"/>
    <s v="eee00932-ca82-36bc-b7e8-e3fff6dbaeaa"/>
    <s v="25162b3c-536e-3fe6-af7b-eb5f22af6899"/>
    <s v="b046940f-1664-3047-bca7-dfa76be352a4"/>
    <x v="1"/>
    <n v="424441002"/>
    <s v="Prenatal initial visit (regime/therapy)"/>
    <n v="142.58000000000001"/>
    <n v="49237.599999999999"/>
    <n v="31809.26"/>
    <n v="72892002"/>
    <x v="4"/>
  </r>
  <r>
    <s v="f6359fe4-4340-2820-5773-a219e6033404"/>
    <d v="2024-06-16T20:54:50"/>
    <d v="2024-06-16T21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7907.38"/>
    <n v="7907.38"/>
    <n v="72892002"/>
    <x v="4"/>
  </r>
  <r>
    <s v="f6359fe4-4340-2820-1e87-4871e76cb7a1"/>
    <d v="2024-07-14T20:54:50"/>
    <d v="2024-07-14T21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17315.98"/>
    <n v="17315.98"/>
    <n v="72892002"/>
    <x v="4"/>
  </r>
  <r>
    <s v="f6359fe4-4340-2820-2911-dfd19531fee7"/>
    <d v="2024-08-11T20:54:50"/>
    <d v="2024-08-11T21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18236.080000000002"/>
    <n v="18236.080000000002"/>
    <n v="72892002"/>
    <x v="4"/>
  </r>
  <r>
    <s v="f6359fe4-4340-2820-85c9-4afaacbf8b43"/>
    <d v="2024-09-08T20:54:50"/>
    <d v="2024-09-08T21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4665.96"/>
    <n v="4665.96"/>
    <n v="72892002"/>
    <x v="4"/>
  </r>
  <r>
    <s v="f6359fe4-4340-2820-5664-28f6e797cd46"/>
    <d v="2024-10-06T20:54:50"/>
    <d v="2024-10-06T21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11155.03"/>
    <n v="11155.03"/>
    <n v="72892002"/>
    <x v="4"/>
  </r>
  <r>
    <s v="f6359fe4-4340-2820-d2a2-cf8ddbf5b183"/>
    <d v="2024-11-03T19:54:50"/>
    <d v="2024-11-03T20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10237.16"/>
    <n v="4016.01"/>
    <n v="72892002"/>
    <x v="4"/>
  </r>
  <r>
    <s v="f6359fe4-4340-2820-defa-099c56e3f894"/>
    <d v="2024-12-01T19:54:50"/>
    <d v="2024-12-01T20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5528.76"/>
    <n v="3870.13"/>
    <n v="72892002"/>
    <x v="4"/>
  </r>
  <r>
    <s v="f6359fe4-4340-2820-9dd4-936ea1abad91"/>
    <d v="2024-12-03T19:54:50"/>
    <d v="2024-12-03T20:09:50"/>
    <s v="f6359fe4-4340-2820-8b76-593a45f5186c"/>
    <s v="eee00932-ca82-36bc-b7e8-e3fff6dbaeaa"/>
    <s v="25162b3c-536e-3fe6-af7b-eb5f22af6899"/>
    <s v="b046940f-1664-3047-bca7-dfa76be352a4"/>
    <x v="2"/>
    <n v="185347001"/>
    <s v="Encounter for problem (procedure)"/>
    <n v="85.55"/>
    <n v="85.55"/>
    <n v="59.88"/>
    <n v="82423001"/>
    <x v="33"/>
  </r>
  <r>
    <s v="f6359fe4-4340-2820-dc87-6fe4e6f73d9b"/>
    <d v="2024-12-15T19:54:50"/>
    <d v="2024-12-15T20:09:50"/>
    <s v="f6359fe4-4340-2820-8b76-593a45f5186c"/>
    <s v="eee00932-ca82-36bc-b7e8-e3fff6dbaeaa"/>
    <s v="25162b3c-536e-3fe6-af7b-eb5f22af6899"/>
    <s v="b046940f-1664-3047-bca7-dfa76be352a4"/>
    <x v="1"/>
    <n v="424619006"/>
    <s v="Prenatal visit (regime/therapy)"/>
    <n v="142.58000000000001"/>
    <n v="11451.02"/>
    <n v="8015.71"/>
    <n v="72892002"/>
    <x v="4"/>
  </r>
  <r>
    <s v="f6359fe4-4340-2820-2f2c-34b14f98e226"/>
    <d v="2024-12-22T19:54:50"/>
    <d v="2024-12-22T20:45:55"/>
    <s v="f6359fe4-4340-2820-8b76-593a45f5186c"/>
    <s v="db60692f-cbef-315b-9fce-38a7f015c482"/>
    <s v="d18b1f16-cabe-3735-9817-1e3f78540803"/>
    <s v="b046940f-1664-3047-bca7-dfa76be352a4"/>
    <x v="0"/>
    <n v="162673000"/>
    <s v="General examination of patient (procedure)"/>
    <n v="136.80000000000001"/>
    <n v="919.9"/>
    <n v="919.9"/>
    <m/>
    <x v="0"/>
  </r>
  <r>
    <s v="f6359fe4-4340-2820-2470-5338d34995a3"/>
    <d v="2024-12-29T19:54:50"/>
    <d v="2024-12-29T20:54:50"/>
    <s v="f6359fe4-4340-2820-8b76-593a45f5186c"/>
    <s v="76b7dbb5-0a02-32a4-9a01-3511f7e45016"/>
    <s v="6a287697-1fe2-393b-861e-fb6067399a5c"/>
    <s v="b046940f-1664-3047-bca7-dfa76be352a4"/>
    <x v="3"/>
    <n v="183460006"/>
    <s v="Obstetric emergency hospital admission (procedure)"/>
    <n v="146.18"/>
    <n v="577.58000000000004"/>
    <n v="577.58000000000004"/>
    <n v="72892002"/>
    <x v="4"/>
  </r>
  <r>
    <s v="f6359fe4-4340-2820-a650-adaf03554abc"/>
    <d v="2025-01-05T19:54:50"/>
    <d v="2025-01-05T23:24:59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3536.75"/>
    <n v="3536.75"/>
    <n v="103697008"/>
    <x v="3"/>
  </r>
  <r>
    <s v="f6359fe4-4340-2820-bd46-0f399631940f"/>
    <d v="2025-01-14T14:54:50"/>
    <d v="2025-01-14T15:09:50"/>
    <s v="f6359fe4-4340-2820-8b76-593a45f5186c"/>
    <s v="eee00932-ca82-36bc-b7e8-e3fff6dbaeaa"/>
    <s v="25162b3c-536e-3fe6-af7b-eb5f22af6899"/>
    <s v="b046940f-1664-3047-bca7-dfa76be352a4"/>
    <x v="1"/>
    <n v="390906007"/>
    <s v="Follow-up encounter (procedure)"/>
    <n v="85.55"/>
    <n v="85.55"/>
    <n v="85.55"/>
    <n v="82423001"/>
    <x v="33"/>
  </r>
  <r>
    <s v="f6359fe4-4340-2820-fed6-c36b23d56f1b"/>
    <d v="2025-01-13T19:54:50"/>
    <d v="2025-01-13T22:34:22"/>
    <s v="f6359fe4-4340-2820-8b76-593a45f5186c"/>
    <s v="76b7dbb5-0a02-32a4-9a01-3511f7e45016"/>
    <s v="6a287697-1fe2-393b-861e-fb6067399a5c"/>
    <s v="b046940f-1664-3047-bca7-dfa76be352a4"/>
    <x v="3"/>
    <n v="185345009"/>
    <s v="Encounter for symptom (procedure)"/>
    <n v="87.71"/>
    <n v="5488.25"/>
    <n v="5488.25"/>
    <n v="307426000"/>
    <x v="5"/>
  </r>
  <r>
    <s v="f6359fe4-4340-2820-87c9-b8c8c44686fb"/>
    <d v="2025-02-09T19:54:50"/>
    <d v="2025-02-09T20:09:50"/>
    <s v="f6359fe4-4340-2820-8b76-593a45f5186c"/>
    <s v="eee00932-ca82-36bc-b7e8-e3fff6dbaeaa"/>
    <s v="25162b3c-536e-3fe6-af7b-eb5f22af6899"/>
    <s v="b046940f-1664-3047-bca7-dfa76be352a4"/>
    <x v="1"/>
    <n v="169762003"/>
    <s v="Postnatal visit (regime/therapy)"/>
    <n v="142.58000000000001"/>
    <n v="1005.38"/>
    <n v="1005.38"/>
    <m/>
    <x v="0"/>
  </r>
  <r>
    <s v="f6359fe4-4340-2820-36c8-199f6a7f263e"/>
    <d v="2025-02-16T19:54:50"/>
    <d v="2025-02-16T20:09:50"/>
    <s v="f6359fe4-4340-2820-8b76-593a45f5186c"/>
    <s v="eee00932-ca82-36bc-b7e8-e3fff6dbaeaa"/>
    <s v="25162b3c-536e-3fe6-af7b-eb5f22af6899"/>
    <s v="b046940f-1664-3047-bca7-dfa76be352a4"/>
    <x v="2"/>
    <n v="698314001"/>
    <s v="Consultation for treatment (procedure)"/>
    <n v="142.58000000000001"/>
    <n v="142.58000000000001"/>
    <n v="142.58000000000001"/>
    <n v="389095005"/>
    <x v="15"/>
  </r>
  <r>
    <s v="f6359fe4-4340-2820-cc18-5e30d827de10"/>
    <d v="2025-03-15T15:54:50"/>
    <d v="2025-03-15T16:09:50"/>
    <s v="f6359fe4-4340-2820-8b76-593a45f5186c"/>
    <s v="eee00932-ca82-36bc-b7e8-e3fff6dbaeaa"/>
    <s v="25162b3c-536e-3fe6-af7b-eb5f22af6899"/>
    <s v="b046940f-1664-3047-bca7-dfa76be352a4"/>
    <x v="1"/>
    <n v="390906007"/>
    <s v="Follow-up encounter (procedure)"/>
    <n v="85.55"/>
    <n v="85.55"/>
    <n v="85.55"/>
    <n v="82423001"/>
    <x v="33"/>
  </r>
  <r>
    <s v="f6359fe4-4340-2820-9c35-43a0115bd17f"/>
    <d v="2025-06-12T18:54:50"/>
    <d v="2025-06-12T19:09:50"/>
    <s v="f6359fe4-4340-2820-8b76-593a45f5186c"/>
    <s v="eee00932-ca82-36bc-b7e8-e3fff6dbaeaa"/>
    <s v="25162b3c-536e-3fe6-af7b-eb5f22af6899"/>
    <s v="b046940f-1664-3047-bca7-dfa76be352a4"/>
    <x v="1"/>
    <n v="390906007"/>
    <s v="Follow-up encounter (procedure)"/>
    <n v="85.55"/>
    <n v="85.55"/>
    <n v="85.55"/>
    <n v="82423001"/>
    <x v="33"/>
  </r>
  <r>
    <s v="f6359fe4-4340-2820-0397-b7bd43183a4c"/>
    <d v="2025-06-24T10:54:50"/>
    <d v="2025-06-24T11:09:50"/>
    <s v="f6359fe4-4340-2820-8b76-593a45f5186c"/>
    <s v="eee00932-ca82-36bc-b7e8-e3fff6dbaeaa"/>
    <s v="25162b3c-536e-3fe6-af7b-eb5f22af6899"/>
    <s v="b046940f-1664-3047-bca7-dfa76be352a4"/>
    <x v="1"/>
    <n v="185345009"/>
    <s v="Encounter for symptom (procedure)"/>
    <n v="85.55"/>
    <n v="85.55"/>
    <n v="85.55"/>
    <n v="36971009"/>
    <x v="22"/>
  </r>
  <r>
    <s v="f6359fe4-4340-2820-9def-e431c5bc71ec"/>
    <d v="2025-07-27T10:54:50"/>
    <d v="2025-07-27T11:09:50"/>
    <s v="f6359fe4-4340-2820-8b76-593a45f5186c"/>
    <s v="eee00932-ca82-36bc-b7e8-e3fff6dbaeaa"/>
    <s v="25162b3c-536e-3fe6-af7b-eb5f22af6899"/>
    <s v="b046940f-1664-3047-bca7-dfa76be352a4"/>
    <x v="1"/>
    <n v="185345009"/>
    <s v="Encounter for symptom (procedure)"/>
    <n v="85.55"/>
    <n v="92.93"/>
    <n v="92.93"/>
    <n v="36971009"/>
    <x v="22"/>
  </r>
  <r>
    <s v="f6359fe4-4340-2820-237d-34e2e7358471"/>
    <d v="2025-12-28T19:54:50"/>
    <d v="2025-12-28T20:50:27"/>
    <s v="f6359fe4-4340-2820-8b76-593a45f5186c"/>
    <s v="db60692f-cbef-315b-9fce-38a7f015c482"/>
    <s v="d18b1f16-cabe-3735-9817-1e3f78540803"/>
    <s v="b046940f-1664-3047-bca7-dfa76be352a4"/>
    <x v="0"/>
    <n v="162673000"/>
    <s v="General examination of patient (procedure)"/>
    <n v="136.80000000000001"/>
    <n v="704.2"/>
    <n v="0"/>
    <m/>
    <x v="0"/>
  </r>
  <r>
    <s v="f6359fe4-4340-2820-73bc-94183d14c6f9"/>
    <d v="2026-01-11T19:54:50"/>
    <d v="2026-01-11T23:29:39"/>
    <s v="f6359fe4-4340-2820-8b76-593a45f5186c"/>
    <s v="eee00932-ca82-36bc-b7e8-e3fff6dbaeaa"/>
    <s v="25162b3c-536e-3fe6-af7b-eb5f22af6899"/>
    <s v="b046940f-1664-3047-bca7-dfa76be352a4"/>
    <x v="1"/>
    <n v="185349003"/>
    <s v="Encounter for check up (procedure)"/>
    <n v="85.55"/>
    <n v="3536.75"/>
    <n v="182.5"/>
    <n v="103697008"/>
    <x v="3"/>
  </r>
  <r>
    <s v="afb99eee-0bd5-8853-15a5-2be3e2e32e77"/>
    <d v="2013-11-15T03:46:09"/>
    <d v="2013-11-15T04:01:09"/>
    <s v="afb99eee-0bd5-8853-8a32-fad74da7b103"/>
    <s v="d613e441-68e8-3502-8adb-3f770a1276bf"/>
    <s v="2b8a0595-ada5-3e2e-8581-df33e711997e"/>
    <s v="b046940f-1664-3047-bca7-dfa76be352a4"/>
    <x v="0"/>
    <n v="410620009"/>
    <s v="Well child visit (procedure)"/>
    <n v="136.80000000000001"/>
    <n v="704.2"/>
    <n v="0"/>
    <m/>
    <x v="0"/>
  </r>
  <r>
    <s v="afb99eee-0bd5-8853-3805-cd952ecc5205"/>
    <d v="2015-11-27T03:46:09"/>
    <d v="2015-11-27T04:01:09"/>
    <s v="afb99eee-0bd5-8853-8a32-fad74da7b103"/>
    <s v="d613e441-68e8-3502-8adb-3f770a1276bf"/>
    <s v="2b8a0595-ada5-3e2e-8581-df33e711997e"/>
    <s v="b046940f-1664-3047-bca7-dfa76be352a4"/>
    <x v="0"/>
    <n v="410620009"/>
    <s v="Well child visit (procedure)"/>
    <n v="136.80000000000001"/>
    <n v="704.2"/>
    <n v="0"/>
    <m/>
    <x v="0"/>
  </r>
  <r>
    <s v="afb99eee-0bd5-8853-0faa-17a3365a3087"/>
    <d v="2016-12-02T03:46:09"/>
    <d v="2016-12-02T04:28:38"/>
    <s v="afb99eee-0bd5-8853-8a32-fad74da7b103"/>
    <s v="d613e441-68e8-3502-8adb-3f770a1276bf"/>
    <s v="2b8a0595-ada5-3e2e-8581-df33e711997e"/>
    <s v="b046940f-1664-3047-bca7-dfa76be352a4"/>
    <x v="0"/>
    <n v="162673000"/>
    <s v="General examination of patient (procedure)"/>
    <n v="136.80000000000001"/>
    <n v="919.9"/>
    <n v="0"/>
    <m/>
    <x v="0"/>
  </r>
  <r>
    <s v="afb99eee-0bd5-8853-edbf-ce89202267eb"/>
    <d v="2017-03-05T04:49:53"/>
    <d v="2017-03-05T05:49:53"/>
    <s v="afb99eee-0bd5-8853-8a32-fad74da7b103"/>
    <s v="b3b56527-d366-3353-bca9-266a12f23051"/>
    <s v="ea7373bf-fb81-3c05-aa90-fbbabd046cb2"/>
    <s v="b046940f-1664-3047-bca7-dfa76be352a4"/>
    <x v="3"/>
    <n v="50849002"/>
    <s v="Emergency room admission (procedure)"/>
    <n v="146.18"/>
    <n v="3860.78"/>
    <n v="241.93"/>
    <n v="125605004"/>
    <x v="36"/>
  </r>
  <r>
    <s v="afb99eee-0bd5-8853-1bb6-bb3c78ebf071"/>
    <d v="2017-06-05T06:26:32"/>
    <d v="2017-06-05T06:41:32"/>
    <s v="afb99eee-0bd5-8853-8a32-fad74da7b103"/>
    <s v="845fbd9b-2d1c-39a8-8261-28ae40e4fab2"/>
    <s v="3d00a08d-4cd0-366b-b61a-1badf6fe073a"/>
    <s v="b046940f-1664-3047-bca7-dfa76be352a4"/>
    <x v="1"/>
    <n v="185349003"/>
    <s v="Encounter for check up (procedure)"/>
    <n v="85.55"/>
    <n v="85.55"/>
    <n v="59.88"/>
    <n v="33737001"/>
    <x v="95"/>
  </r>
  <r>
    <s v="afb99eee-0bd5-8853-90d1-e852cf94376a"/>
    <d v="2017-12-08T03:46:09"/>
    <d v="2017-12-08T04:39:34"/>
    <s v="afb99eee-0bd5-8853-8a32-fad74da7b103"/>
    <s v="d613e441-68e8-3502-8adb-3f770a1276bf"/>
    <s v="2b8a0595-ada5-3e2e-8581-df33e711997e"/>
    <s v="b046940f-1664-3047-bca7-dfa76be352a4"/>
    <x v="0"/>
    <n v="162673000"/>
    <s v="General examination of patient (procedure)"/>
    <n v="136.80000000000001"/>
    <n v="704.2"/>
    <n v="0"/>
    <m/>
    <x v="0"/>
  </r>
  <r>
    <s v="afb99eee-0bd5-8853-df9b-b6c8b98e761f"/>
    <d v="2017-12-22T03:46:09"/>
    <d v="2017-12-22T07:00:03"/>
    <s v="afb99eee-0bd5-8853-8a32-fad74da7b103"/>
    <s v="845fbd9b-2d1c-39a8-8261-28ae40e4fab2"/>
    <s v="3d00a08d-4cd0-366b-b61a-1badf6fe073a"/>
    <s v="b046940f-1664-3047-bca7-dfa76be352a4"/>
    <x v="1"/>
    <n v="185349003"/>
    <s v="Encounter for check up (procedure)"/>
    <n v="85.55"/>
    <n v="3105.35"/>
    <n v="0"/>
    <n v="103697008"/>
    <x v="3"/>
  </r>
  <r>
    <s v="afb99eee-0bd5-8853-85b9-38c13bae933e"/>
    <d v="2019-01-13T03:46:09"/>
    <d v="2019-01-13T05:58:33"/>
    <s v="afb99eee-0bd5-8853-8a32-fad74da7b103"/>
    <s v="b3b56527-d366-3353-bca9-266a12f23051"/>
    <s v="ea7373bf-fb81-3c05-aa90-fbbabd046cb2"/>
    <s v="b046940f-1664-3047-bca7-dfa76be352a4"/>
    <x v="3"/>
    <n v="185345009"/>
    <s v="Encounter for symptom (procedure)"/>
    <n v="87.71"/>
    <n v="4476.29"/>
    <n v="74.36"/>
    <n v="307426000"/>
    <x v="5"/>
  </r>
  <r>
    <s v="afb99eee-0bd5-8853-f8a5-482b91ef8676"/>
    <d v="2020-12-11T03:46:09"/>
    <d v="2020-12-11T04:32:58"/>
    <s v="afb99eee-0bd5-8853-8a32-fad74da7b103"/>
    <s v="d613e441-68e8-3502-8adb-3f770a1276bf"/>
    <s v="2b8a0595-ada5-3e2e-8581-df33e711997e"/>
    <s v="b046940f-1664-3047-bca7-dfa76be352a4"/>
    <x v="0"/>
    <n v="162673000"/>
    <s v="General examination of patient (procedure)"/>
    <n v="136.80000000000001"/>
    <n v="1402.48"/>
    <n v="0"/>
    <m/>
    <x v="0"/>
  </r>
  <r>
    <s v="afb99eee-0bd5-8853-9ec5-71ff3ce88930"/>
    <d v="2020-12-25T03:46:09"/>
    <d v="2020-12-25T07:01:15"/>
    <s v="afb99eee-0bd5-8853-8a32-fad74da7b103"/>
    <s v="845fbd9b-2d1c-39a8-8261-28ae40e4fab2"/>
    <s v="3d00a08d-4cd0-366b-b61a-1badf6fe073a"/>
    <s v="b046940f-1664-3047-bca7-dfa76be352a4"/>
    <x v="1"/>
    <n v="185349003"/>
    <s v="Encounter for check up (procedure)"/>
    <n v="85.55"/>
    <n v="3105.35"/>
    <n v="5.48"/>
    <n v="66383009"/>
    <x v="17"/>
  </r>
  <r>
    <s v="afb99eee-0bd5-8853-09c5-6851ed87cd4f"/>
    <d v="2023-12-15T03:46:09"/>
    <d v="2023-12-15T04:43:03"/>
    <s v="afb99eee-0bd5-8853-8a32-fad74da7b103"/>
    <s v="d613e441-68e8-3502-8adb-3f770a1276bf"/>
    <s v="2b8a0595-ada5-3e2e-8581-df33e711997e"/>
    <s v="b046940f-1664-3047-bca7-dfa76be352a4"/>
    <x v="0"/>
    <n v="162673000"/>
    <s v="General examination of patient (procedure)"/>
    <n v="136.80000000000001"/>
    <n v="1363.62"/>
    <n v="0"/>
    <m/>
    <x v="0"/>
  </r>
  <r>
    <s v="afb99eee-0bd5-8853-4f69-7ce79ea777ff"/>
    <d v="2024-04-06T06:26:32"/>
    <d v="2024-04-06T07:26:32"/>
    <s v="afb99eee-0bd5-8853-8a32-fad74da7b103"/>
    <s v="b3b56527-d366-3353-bca9-266a12f23051"/>
    <s v="ea7373bf-fb81-3c05-aa90-fbbabd046cb2"/>
    <s v="b046940f-1664-3047-bca7-dfa76be352a4"/>
    <x v="3"/>
    <n v="50849002"/>
    <s v="Emergency room admission (procedure)"/>
    <n v="146.18"/>
    <n v="146.18"/>
    <n v="0"/>
    <n v="110030002"/>
    <x v="69"/>
  </r>
  <r>
    <s v="afb99eee-0bd5-8853-7a30-582aeea4aaa9"/>
    <d v="2024-05-16T06:26:32"/>
    <d v="2024-05-16T06:41:32"/>
    <s v="afb99eee-0bd5-8853-8a32-fad74da7b103"/>
    <s v="845fbd9b-2d1c-39a8-8261-28ae40e4fab2"/>
    <s v="3d00a08d-4cd0-366b-b61a-1badf6fe073a"/>
    <s v="b046940f-1664-3047-bca7-dfa76be352a4"/>
    <x v="1"/>
    <n v="185349003"/>
    <s v="Encounter for check up (procedure)"/>
    <n v="85.55"/>
    <n v="85.55"/>
    <n v="0"/>
    <n v="62564004"/>
    <x v="70"/>
  </r>
  <r>
    <s v="afb99eee-0bd5-8853-bcdd-40e5c43edcd6"/>
    <d v="2026-02-11T07:46:09"/>
    <d v="2026-02-11T08:01:09"/>
    <s v="afb99eee-0bd5-8853-8a32-fad74da7b103"/>
    <s v="845fbd9b-2d1c-39a8-8261-28ae40e4fab2"/>
    <s v="3d00a08d-4cd0-366b-b61a-1badf6fe073a"/>
    <s v="b046940f-1664-3047-bca7-dfa76be352a4"/>
    <x v="1"/>
    <n v="185345009"/>
    <s v="Encounter for symptom (procedure)"/>
    <n v="85.55"/>
    <n v="85.55"/>
    <n v="0"/>
    <n v="444814009"/>
    <x v="2"/>
  </r>
  <r>
    <s v="5dae1e9e-46fb-5537-1242-dd1af1cd2d13"/>
    <d v="2011-06-26T12:35:02"/>
    <d v="2011-06-26T13:01:54"/>
    <s v="5dae1e9e-46fb-5537-54f4-8837a56dd3d5"/>
    <s v="b574fc4f-313c-38a4-9baf-7e12e431a499"/>
    <s v="ffa29343-48ef-3bad-b921-69da80c7406d"/>
    <s v="26aab0cd-6aba-3e1b-ac5b-05c8867e762c"/>
    <x v="0"/>
    <n v="410620009"/>
    <s v="Well child visit (procedure)"/>
    <n v="136.80000000000001"/>
    <n v="568.20000000000005"/>
    <n v="0"/>
    <m/>
    <x v="0"/>
  </r>
  <r>
    <s v="5dae1e9e-46fb-5537-b057-71b5a1bf83e4"/>
    <d v="2012-07-01T12:35:02"/>
    <d v="2012-07-01T13:32:34"/>
    <s v="5dae1e9e-46fb-5537-54f4-8837a56dd3d5"/>
    <s v="b574fc4f-313c-38a4-9baf-7e12e431a499"/>
    <s v="ffa29343-48ef-3bad-b921-69da80c7406d"/>
    <s v="26aab0cd-6aba-3e1b-ac5b-05c8867e762c"/>
    <x v="0"/>
    <n v="162673000"/>
    <s v="General examination of patient (procedure)"/>
    <n v="136.80000000000001"/>
    <n v="704.2"/>
    <n v="0"/>
    <m/>
    <x v="0"/>
  </r>
  <r>
    <s v="5dae1e9e-46fb-5537-51a4-b7962c84954c"/>
    <d v="2016-07-10T12:35:02"/>
    <d v="2016-07-10T13:12:58"/>
    <s v="5dae1e9e-46fb-5537-54f4-8837a56dd3d5"/>
    <s v="b574fc4f-313c-38a4-9baf-7e12e431a499"/>
    <s v="ffa29343-48ef-3bad-b921-69da80c7406d"/>
    <s v="26aab0cd-6aba-3e1b-ac5b-05c8867e762c"/>
    <x v="0"/>
    <n v="162673000"/>
    <s v="General examination of patient (procedure)"/>
    <n v="136.80000000000001"/>
    <n v="1402.48"/>
    <n v="0"/>
    <m/>
    <x v="0"/>
  </r>
  <r>
    <s v="5dae1e9e-46fb-5537-161a-b77ab7c2bea5"/>
    <d v="2016-10-23T15:35:02"/>
    <d v="2016-10-23T15:50:02"/>
    <s v="5dae1e9e-46fb-5537-54f4-8837a56dd3d5"/>
    <s v="51370692-6296-3150-8672-559fc73f964f"/>
    <s v="e1580c61-8b11-3da0-a5d5-4b75ee0ab7c1"/>
    <s v="26aab0cd-6aba-3e1b-ac5b-05c8867e762c"/>
    <x v="1"/>
    <n v="185345009"/>
    <s v="Encounter for symptom (procedure)"/>
    <n v="85.55"/>
    <n v="85.55"/>
    <n v="0"/>
    <n v="195662009"/>
    <x v="9"/>
  </r>
  <r>
    <s v="5dae1e9e-46fb-5537-fbc7-4636187e7856"/>
    <d v="2016-11-11T11:49:09"/>
    <d v="2016-11-11T12:49:09"/>
    <s v="5dae1e9e-46fb-5537-54f4-8837a56dd3d5"/>
    <s v="263d1b03-1560-3fc3-b93d-c33a0cbd5837"/>
    <s v="42dfd2f9-1027-3e4c-a336-3858dcfcb492"/>
    <s v="26aab0cd-6aba-3e1b-ac5b-05c8867e762c"/>
    <x v="3"/>
    <n v="50849002"/>
    <s v="Emergency room admission (procedure)"/>
    <n v="146.18"/>
    <n v="5249.16"/>
    <n v="486.81"/>
    <n v="312608009"/>
    <x v="20"/>
  </r>
  <r>
    <s v="5dae1e9e-46fb-5537-99a1-12893e5755cd"/>
    <d v="2019-07-14T12:35:02"/>
    <d v="2019-07-14T13:09:30"/>
    <s v="5dae1e9e-46fb-5537-54f4-8837a56dd3d5"/>
    <s v="b574fc4f-313c-38a4-9baf-7e12e431a499"/>
    <s v="ffa29343-48ef-3bad-b921-69da80c7406d"/>
    <s v="26aab0cd-6aba-3e1b-ac5b-05c8867e762c"/>
    <x v="0"/>
    <n v="162673000"/>
    <s v="General examination of patient (procedure)"/>
    <n v="136.80000000000001"/>
    <n v="704.2"/>
    <n v="0"/>
    <m/>
    <x v="0"/>
  </r>
  <r>
    <s v="5dae1e9e-46fb-5537-e1e0-4a04a846e386"/>
    <d v="2019-07-28T12:35:02"/>
    <d v="2019-07-28T15:34:21"/>
    <s v="5dae1e9e-46fb-5537-54f4-8837a56dd3d5"/>
    <s v="51370692-6296-3150-8672-559fc73f964f"/>
    <s v="e1580c61-8b11-3da0-a5d5-4b75ee0ab7c1"/>
    <s v="26aab0cd-6aba-3e1b-ac5b-05c8867e762c"/>
    <x v="1"/>
    <n v="185349003"/>
    <s v="Encounter for check up (procedure)"/>
    <n v="85.55"/>
    <n v="3105.35"/>
    <n v="0"/>
    <n v="103697008"/>
    <x v="3"/>
  </r>
  <r>
    <s v="5dae1e9e-46fb-5537-74b8-9549758ccc22"/>
    <d v="2019-07-29T01:35:02"/>
    <d v="2019-07-29T01:50:02"/>
    <s v="5dae1e9e-46fb-5537-54f4-8837a56dd3d5"/>
    <s v="51370692-6296-3150-8672-559fc73f964f"/>
    <s v="e1580c61-8b11-3da0-a5d5-4b75ee0ab7c1"/>
    <s v="26aab0cd-6aba-3e1b-ac5b-05c8867e762c"/>
    <x v="1"/>
    <n v="185345009"/>
    <s v="Encounter for symptom (procedure)"/>
    <n v="85.55"/>
    <n v="85.55"/>
    <n v="0"/>
    <n v="444814009"/>
    <x v="2"/>
  </r>
  <r>
    <s v="5dae1e9e-46fb-5537-9c47-dda3e0853bf8"/>
    <d v="2020-05-12T12:35:02"/>
    <d v="2020-05-12T14:16:13"/>
    <s v="5dae1e9e-46fb-5537-54f4-8837a56dd3d5"/>
    <s v="51370692-6296-3150-8672-559fc73f964f"/>
    <s v="e1580c61-8b11-3da0-a5d5-4b75ee0ab7c1"/>
    <s v="26aab0cd-6aba-3e1b-ac5b-05c8867e762c"/>
    <x v="1"/>
    <n v="185345009"/>
    <s v="Encounter for symptom (procedure)"/>
    <n v="85.55"/>
    <n v="9695.2000000000007"/>
    <n v="2238.69"/>
    <n v="307426000"/>
    <x v="5"/>
  </r>
  <r>
    <s v="5dae1e9e-46fb-5537-7905-d5b116a7684d"/>
    <d v="2021-06-06T12:35:02"/>
    <d v="2021-06-06T12:50:02"/>
    <s v="5dae1e9e-46fb-5537-54f4-8837a56dd3d5"/>
    <s v="51370692-6296-3150-8672-559fc73f964f"/>
    <s v="e1580c61-8b11-3da0-a5d5-4b75ee0ab7c1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5dae1e9e-46fb-5537-84df-e96a3955193b"/>
    <d v="2021-07-04T12:35:02"/>
    <d v="2021-07-04T12:50:02"/>
    <s v="5dae1e9e-46fb-5537-54f4-8837a56dd3d5"/>
    <s v="51370692-6296-3150-8672-559fc73f964f"/>
    <s v="e1580c61-8b11-3da0-a5d5-4b75ee0ab7c1"/>
    <s v="26aab0cd-6aba-3e1b-ac5b-05c8867e762c"/>
    <x v="2"/>
    <n v="33879002"/>
    <s v="Administration of vaccine to produce active immunity (procedure)"/>
    <n v="142.58000000000001"/>
    <n v="278.58"/>
    <n v="0"/>
    <m/>
    <x v="0"/>
  </r>
  <r>
    <s v="5dae1e9e-46fb-5537-8571-4d3f6aac60ec"/>
    <d v="2022-07-17T12:35:02"/>
    <d v="2022-07-17T13:22:30"/>
    <s v="5dae1e9e-46fb-5537-54f4-8837a56dd3d5"/>
    <s v="b574fc4f-313c-38a4-9baf-7e12e431a499"/>
    <s v="ffa29343-48ef-3bad-b921-69da80c7406d"/>
    <s v="26aab0cd-6aba-3e1b-ac5b-05c8867e762c"/>
    <x v="0"/>
    <n v="162673000"/>
    <s v="General examination of patient (procedure)"/>
    <n v="136.80000000000001"/>
    <n v="778.78"/>
    <n v="0"/>
    <m/>
    <x v="0"/>
  </r>
  <r>
    <s v="5dae1e9e-46fb-5537-6709-cde62031ab8b"/>
    <d v="2022-07-31T12:35:02"/>
    <d v="2022-07-31T15:56:35"/>
    <s v="5dae1e9e-46fb-5537-54f4-8837a56dd3d5"/>
    <s v="51370692-6296-3150-8672-559fc73f964f"/>
    <s v="e1580c61-8b11-3da0-a5d5-4b75ee0ab7c1"/>
    <s v="26aab0cd-6aba-3e1b-ac5b-05c8867e762c"/>
    <x v="1"/>
    <n v="185349003"/>
    <s v="Encounter for check up (procedure)"/>
    <n v="85.55"/>
    <n v="3536.75"/>
    <n v="0"/>
    <n v="103697008"/>
    <x v="3"/>
  </r>
  <r>
    <s v="5dae1e9e-46fb-5537-7169-c9cc4970ff02"/>
    <d v="2023-05-31T16:35:02"/>
    <d v="2023-05-31T16:50:02"/>
    <s v="5dae1e9e-46fb-5537-54f4-8837a56dd3d5"/>
    <s v="51370692-6296-3150-8672-559fc73f964f"/>
    <s v="e1580c61-8b11-3da0-a5d5-4b75ee0ab7c1"/>
    <s v="26aab0cd-6aba-3e1b-ac5b-05c8867e762c"/>
    <x v="1"/>
    <n v="185345009"/>
    <s v="Encounter for symptom (procedure)"/>
    <n v="85.55"/>
    <n v="85.55"/>
    <n v="0"/>
    <n v="195662009"/>
    <x v="9"/>
  </r>
  <r>
    <s v="5dae1e9e-46fb-5537-dce8-72bf16a56bed"/>
    <d v="2024-12-22T12:31:10"/>
    <d v="2024-12-22T13:31:10"/>
    <s v="5dae1e9e-46fb-5537-54f4-8837a56dd3d5"/>
    <s v="263d1b03-1560-3fc3-b93d-c33a0cbd5837"/>
    <s v="42dfd2f9-1027-3e4c-a336-3858dcfcb492"/>
    <s v="26aab0cd-6aba-3e1b-ac5b-05c8867e762c"/>
    <x v="3"/>
    <n v="50849002"/>
    <s v="Emergency room admission (procedure)"/>
    <n v="146.18"/>
    <n v="146.18"/>
    <n v="0"/>
    <n v="384709000"/>
    <x v="13"/>
  </r>
  <r>
    <s v="5dae1e9e-46fb-5537-0f23-81832fad892d"/>
    <d v="2025-07-20T12:35:02"/>
    <d v="2025-07-20T13:25:52"/>
    <s v="5dae1e9e-46fb-5537-54f4-8837a56dd3d5"/>
    <s v="b574fc4f-313c-38a4-9baf-7e12e431a499"/>
    <s v="ffa29343-48ef-3bad-b921-69da80c7406d"/>
    <s v="26aab0cd-6aba-3e1b-ac5b-05c8867e762c"/>
    <x v="0"/>
    <n v="162673000"/>
    <s v="General examination of patient (procedure)"/>
    <n v="136.80000000000001"/>
    <n v="914.78"/>
    <n v="0"/>
    <m/>
    <x v="0"/>
  </r>
  <r>
    <s v="5dae1e9e-46fb-5537-afa8-0390702661fe"/>
    <d v="2026-05-31T17:35:02"/>
    <d v="2026-05-31T17:50:02"/>
    <s v="5dae1e9e-46fb-5537-54f4-8837a56dd3d5"/>
    <s v="51370692-6296-3150-8672-559fc73f964f"/>
    <s v="e1580c61-8b11-3da0-a5d5-4b75ee0ab7c1"/>
    <s v="26aab0cd-6aba-3e1b-ac5b-05c8867e762c"/>
    <x v="1"/>
    <n v="185345009"/>
    <s v="Encounter for symptom (procedure)"/>
    <n v="85.55"/>
    <n v="948.35"/>
    <n v="0"/>
    <n v="195662009"/>
    <x v="9"/>
  </r>
  <r>
    <s v="d309f605-948b-962f-26e5-b691d755a749"/>
    <d v="1979-08-26T18:44:41"/>
    <d v="1979-08-26T19:28:31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704.2"/>
    <n v="0"/>
    <m/>
    <x v="0"/>
  </r>
  <r>
    <s v="d309f605-948b-962f-2dc2-599abbf403bf"/>
    <d v="1990-04-14T21:44:41"/>
    <d v="1990-04-17T16:36:06"/>
    <s v="d309f605-948b-962f-ca72-878ce8b8d154"/>
    <s v="c7542447-e06e-32cb-b6db-243c23a0dbc2"/>
    <s v="60561eb9-6e44-3ad6-bc0c-5f1ba81054c6"/>
    <s v="e03e23c9-4df1-3eb6-a62d-f70f02301496"/>
    <x v="6"/>
    <n v="185347001"/>
    <s v="Encounter for problem (procedure)"/>
    <n v="87.71"/>
    <n v="5423.98"/>
    <n v="0"/>
    <n v="74400008"/>
    <x v="28"/>
  </r>
  <r>
    <s v="d309f605-948b-962f-99b2-a6ef82c45fd6"/>
    <d v="1991-06-02T18:44:41"/>
    <d v="1991-06-02T19:40:49"/>
    <s v="d309f605-948b-962f-ca72-878ce8b8d154"/>
    <s v="c7542447-e06e-32cb-b6db-243c23a0dbc2"/>
    <s v="60561eb9-6e44-3ad6-bc0c-5f1ba81054c6"/>
    <s v="df166300-5a78-3502-a46a-832842197811"/>
    <x v="2"/>
    <n v="185349003"/>
    <s v="Encounter for check up (procedure)"/>
    <n v="85.55"/>
    <n v="652.95000000000005"/>
    <n v="602.95000000000005"/>
    <m/>
    <x v="0"/>
  </r>
  <r>
    <s v="d309f605-948b-962f-430b-695b4f1e59b4"/>
    <d v="1997-07-20T18:44:41"/>
    <d v="1997-07-20T19:28:45"/>
    <s v="d309f605-948b-962f-ca72-878ce8b8d154"/>
    <s v="65eda534-1bdc-3192-8d02-1c3764447790"/>
    <s v="155c3597-60b7-3268-ad21-c3bf4b25db99"/>
    <s v="df166300-5a78-3502-a46a-832842197811"/>
    <x v="0"/>
    <n v="162673000"/>
    <s v="General examination of patient (procedure)"/>
    <n v="136.80000000000001"/>
    <n v="704.2"/>
    <n v="554.20000000000005"/>
    <m/>
    <x v="0"/>
  </r>
  <r>
    <s v="d309f605-948b-962f-b1af-601bf5cca4f8"/>
    <d v="2000-07-12T18:44:41"/>
    <d v="2000-07-12T18:59:41"/>
    <s v="d309f605-948b-962f-ca72-878ce8b8d154"/>
    <s v="c7542447-e06e-32cb-b6db-243c23a0dbc2"/>
    <s v="60561eb9-6e44-3ad6-bc0c-5f1ba81054c6"/>
    <s v="e03e23c9-4df1-3eb6-a62d-f70f02301496"/>
    <x v="1"/>
    <n v="424619006"/>
    <s v="Prenatal visit (regime/therapy)"/>
    <n v="142.58000000000001"/>
    <n v="1005.38"/>
    <n v="0"/>
    <n v="156073000"/>
    <x v="26"/>
  </r>
  <r>
    <s v="d309f605-948b-962f-22ab-02d08a386a33"/>
    <d v="2000-08-06T18:44:41"/>
    <d v="2000-08-06T19:15:43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917"/>
    <n v="0"/>
    <m/>
    <x v="0"/>
  </r>
  <r>
    <s v="d309f605-948b-962f-a238-6cc733821be2"/>
    <d v="2004-09-12T18:44:41"/>
    <d v="2004-09-12T19:38:00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1075.8599999999999"/>
    <n v="0"/>
    <m/>
    <x v="0"/>
  </r>
  <r>
    <s v="d309f605-948b-962f-69d1-702a8fdd184d"/>
    <d v="2008-10-05T18:44:41"/>
    <d v="2008-10-05T19:28:26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785.58"/>
    <n v="0"/>
    <m/>
    <x v="0"/>
  </r>
  <r>
    <s v="d309f605-948b-962f-7b26-abd4ab9442f3"/>
    <d v="2014-11-09T17:44:41"/>
    <d v="2014-11-09T18:29:26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1648.38"/>
    <n v="0"/>
    <m/>
    <x v="0"/>
  </r>
  <r>
    <s v="d309f605-948b-962f-aef2-ab00c90a3c80"/>
    <d v="2015-11-15T17:44:41"/>
    <d v="2015-11-15T18:26:35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860.16"/>
    <n v="0"/>
    <m/>
    <x v="0"/>
  </r>
  <r>
    <s v="d309f605-948b-962f-c3f0-b822f83778ef"/>
    <d v="2016-01-31T17:44:41"/>
    <d v="2016-01-31T18:26:53"/>
    <s v="d309f605-948b-962f-ca72-878ce8b8d154"/>
    <s v="c7542447-e06e-32cb-b6db-243c23a0dbc2"/>
    <s v="60561eb9-6e44-3ad6-bc0c-5f1ba81054c6"/>
    <s v="e03e23c9-4df1-3eb6-a62d-f70f02301496"/>
    <x v="2"/>
    <n v="185349003"/>
    <s v="Encounter for check up (procedure)"/>
    <n v="85.55"/>
    <n v="734.33"/>
    <n v="0"/>
    <m/>
    <x v="0"/>
  </r>
  <r>
    <s v="d309f605-948b-962f-67fc-0b12733f6ba5"/>
    <d v="2016-11-20T17:44:41"/>
    <d v="2016-11-20T18:27:11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724.16"/>
    <n v="0"/>
    <m/>
    <x v="0"/>
  </r>
  <r>
    <s v="d309f605-948b-962f-8cdc-22ab604e0896"/>
    <d v="2016-12-04T17:44:41"/>
    <d v="2016-12-04T23:21:06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4399.55"/>
    <n v="0"/>
    <n v="66383009"/>
    <x v="17"/>
  </r>
  <r>
    <s v="d309f605-948b-962f-8d3f-52ffe40a9eb6"/>
    <d v="2017-05-24T16:44:41"/>
    <d v="2017-05-24T16:59:41"/>
    <s v="d309f605-948b-962f-ca72-878ce8b8d154"/>
    <s v="c7542447-e06e-32cb-b6db-243c23a0dbc2"/>
    <s v="60561eb9-6e44-3ad6-bc0c-5f1ba81054c6"/>
    <s v="e03e23c9-4df1-3eb6-a62d-f70f02301496"/>
    <x v="1"/>
    <n v="185345009"/>
    <s v="Encounter for symptom (procedure)"/>
    <n v="85.55"/>
    <n v="85.55"/>
    <n v="0"/>
    <n v="444814009"/>
    <x v="2"/>
  </r>
  <r>
    <s v="d309f605-948b-962f-b697-67f8d7e2c62f"/>
    <d v="2017-11-26T17:44:41"/>
    <d v="2017-11-26T18:18:23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1209.29"/>
    <n v="0"/>
    <m/>
    <x v="0"/>
  </r>
  <r>
    <s v="d309f605-948b-962f-5179-e61f81de96bb"/>
    <d v="2017-12-10T17:44:41"/>
    <d v="2017-12-10T18:31:22"/>
    <s v="d309f605-948b-962f-ca72-878ce8b8d154"/>
    <s v="c7542447-e06e-32cb-b6db-243c23a0dbc2"/>
    <s v="60561eb9-6e44-3ad6-bc0c-5f1ba81054c6"/>
    <s v="e03e23c9-4df1-3eb6-a62d-f70f02301496"/>
    <x v="2"/>
    <n v="185349003"/>
    <s v="Encounter for check up (procedure)"/>
    <n v="85.55"/>
    <n v="598.33000000000004"/>
    <n v="0"/>
    <m/>
    <x v="0"/>
  </r>
  <r>
    <s v="d309f605-948b-962f-3ad5-97b60c790f70"/>
    <d v="2017-12-17T17:44:41"/>
    <d v="2017-12-17T17:59:41"/>
    <s v="d309f605-948b-962f-ca72-878ce8b8d154"/>
    <s v="c7542447-e06e-32cb-b6db-243c23a0dbc2"/>
    <s v="60561eb9-6e44-3ad6-bc0c-5f1ba81054c6"/>
    <s v="e03e23c9-4df1-3eb6-a62d-f70f02301496"/>
    <x v="1"/>
    <n v="185345009"/>
    <s v="Encounter for symptom (procedure)"/>
    <n v="85.55"/>
    <n v="85.55"/>
    <n v="0"/>
    <n v="444814009"/>
    <x v="2"/>
  </r>
  <r>
    <s v="d309f605-948b-962f-15ec-f8be0002d2b0"/>
    <d v="2017-12-24T17:44:41"/>
    <d v="2017-12-24T21:59:41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3968.15"/>
    <n v="0"/>
    <n v="103697008"/>
    <x v="3"/>
  </r>
  <r>
    <s v="d309f605-948b-962f-25c3-ecca6415c4c7"/>
    <d v="2018-12-02T17:44:41"/>
    <d v="2018-12-02T18:29:03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1001.28"/>
    <n v="0"/>
    <m/>
    <x v="0"/>
  </r>
  <r>
    <s v="d309f605-948b-962f-be9c-b038c8df1ac2"/>
    <d v="2018-12-16T17:44:41"/>
    <d v="2018-12-16T21:39:34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3536.75"/>
    <n v="0"/>
    <n v="66383009"/>
    <x v="17"/>
  </r>
  <r>
    <s v="d309f605-948b-962f-fdeb-fc421f7e8adf"/>
    <d v="2019-12-08T17:44:41"/>
    <d v="2019-12-08T18:31:19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860.16"/>
    <n v="0"/>
    <m/>
    <x v="0"/>
  </r>
  <r>
    <s v="d309f605-948b-962f-9831-f76b2d118a01"/>
    <d v="2020-08-22T03:44:41"/>
    <d v="2020-08-22T03:59:41"/>
    <s v="d309f605-948b-962f-ca72-878ce8b8d154"/>
    <s v="c7542447-e06e-32cb-b6db-243c23a0dbc2"/>
    <s v="60561eb9-6e44-3ad6-bc0c-5f1ba81054c6"/>
    <s v="e03e23c9-4df1-3eb6-a62d-f70f02301496"/>
    <x v="1"/>
    <n v="185345009"/>
    <s v="Encounter for symptom (procedure)"/>
    <n v="85.55"/>
    <n v="85.55"/>
    <n v="0"/>
    <n v="444814009"/>
    <x v="2"/>
  </r>
  <r>
    <s v="d309f605-948b-962f-e455-7698bb43f126"/>
    <d v="2020-12-13T17:44:41"/>
    <d v="2020-12-13T18:36:52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860.16"/>
    <n v="0"/>
    <m/>
    <x v="0"/>
  </r>
  <r>
    <s v="d309f605-948b-962f-f6a3-68812a41a249"/>
    <d v="2020-12-27T17:44:41"/>
    <d v="2020-12-27T17:59:41"/>
    <s v="d309f605-948b-962f-ca72-878ce8b8d154"/>
    <s v="c7542447-e06e-32cb-b6db-243c23a0dbc2"/>
    <s v="60561eb9-6e44-3ad6-bc0c-5f1ba81054c6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d309f605-948b-962f-7641-0028d20130ed"/>
    <d v="2021-01-24T17:44:41"/>
    <d v="2021-01-24T17:59:41"/>
    <s v="d309f605-948b-962f-ca72-878ce8b8d154"/>
    <s v="c7542447-e06e-32cb-b6db-243c23a0dbc2"/>
    <s v="60561eb9-6e44-3ad6-bc0c-5f1ba81054c6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d309f605-948b-962f-8925-118904de168e"/>
    <d v="2021-07-02T19:44:19"/>
    <d v="2021-07-02T20:15:24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5755.59"/>
    <n v="0"/>
    <n v="275978004"/>
    <x v="29"/>
  </r>
  <r>
    <s v="d309f605-948b-962f-ee7e-65b380f22273"/>
    <d v="2021-12-19T17:44:41"/>
    <d v="2021-12-19T18:32:22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778.78"/>
    <n v="0"/>
    <m/>
    <x v="0"/>
  </r>
  <r>
    <s v="d309f605-948b-962f-b739-cc8e762f090a"/>
    <d v="2022-12-25T17:44:41"/>
    <d v="2022-12-25T18:21:19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1002.96"/>
    <n v="0"/>
    <m/>
    <x v="0"/>
  </r>
  <r>
    <s v="d309f605-948b-962f-7096-d3364a0d5d46"/>
    <d v="2023-12-31T17:44:41"/>
    <d v="2023-12-31T18:44:38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778.78"/>
    <n v="0"/>
    <m/>
    <x v="0"/>
  </r>
  <r>
    <s v="d309f605-948b-962f-07d1-75d5c126723c"/>
    <d v="2024-01-14T17:44:41"/>
    <d v="2024-01-14T23:12:30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5693.75"/>
    <n v="0"/>
    <n v="66383009"/>
    <x v="17"/>
  </r>
  <r>
    <s v="d309f605-948b-962f-bd06-3b1af4e111c9"/>
    <d v="2024-04-29T19:10:06"/>
    <d v="2024-04-29T20:10:06"/>
    <s v="d309f605-948b-962f-ca72-878ce8b8d154"/>
    <s v="e68de1a0-767e-3466-b9a6-43948ee073d3"/>
    <s v="a660d3e5-6770-3a81-a586-77b312f5ef69"/>
    <s v="e03e23c9-4df1-3eb6-a62d-f70f02301496"/>
    <x v="3"/>
    <n v="50849002"/>
    <s v="Emergency room admission (procedure)"/>
    <n v="146.18"/>
    <n v="4140.8900000000003"/>
    <n v="0"/>
    <n v="312608009"/>
    <x v="20"/>
  </r>
  <r>
    <s v="d309f605-948b-962f-4719-7cc04182600e"/>
    <d v="2024-05-26T10:44:41"/>
    <d v="2024-05-26T10:59:41"/>
    <s v="d309f605-948b-962f-ca72-878ce8b8d154"/>
    <s v="c7542447-e06e-32cb-b6db-243c23a0dbc2"/>
    <s v="60561eb9-6e44-3ad6-bc0c-5f1ba81054c6"/>
    <s v="e03e23c9-4df1-3eb6-a62d-f70f02301496"/>
    <x v="1"/>
    <n v="185345009"/>
    <s v="Encounter for symptom (procedure)"/>
    <n v="85.55"/>
    <n v="85.55"/>
    <n v="0"/>
    <n v="195662009"/>
    <x v="9"/>
  </r>
  <r>
    <s v="d309f605-948b-962f-fbb1-e25930735097"/>
    <d v="2024-09-06T01:44:41"/>
    <d v="2024-09-06T01:59:41"/>
    <s v="d309f605-948b-962f-ca72-878ce8b8d154"/>
    <s v="c7542447-e06e-32cb-b6db-243c23a0dbc2"/>
    <s v="60561eb9-6e44-3ad6-bc0c-5f1ba81054c6"/>
    <s v="e03e23c9-4df1-3eb6-a62d-f70f02301496"/>
    <x v="1"/>
    <n v="185345009"/>
    <s v="Encounter for symptom (procedure)"/>
    <n v="85.55"/>
    <n v="1319.31"/>
    <n v="0"/>
    <n v="195662009"/>
    <x v="9"/>
  </r>
  <r>
    <s v="d309f605-948b-962f-ad66-08d072919154"/>
    <d v="2024-09-15T18:44:41"/>
    <d v="2024-09-15T19:35:57"/>
    <s v="d309f605-948b-962f-ca72-878ce8b8d154"/>
    <s v="c7542447-e06e-32cb-b6db-243c23a0dbc2"/>
    <s v="60561eb9-6e44-3ad6-bc0c-5f1ba81054c6"/>
    <s v="e03e23c9-4df1-3eb6-a62d-f70f02301496"/>
    <x v="2"/>
    <n v="185349003"/>
    <s v="Encounter for check up (procedure)"/>
    <n v="85.55"/>
    <n v="950.03"/>
    <n v="0"/>
    <m/>
    <x v="0"/>
  </r>
  <r>
    <s v="d309f605-948b-962f-9557-b6b037bb8e8c"/>
    <d v="2024-09-29T18:44:41"/>
    <d v="2024-09-29T22:30:50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3105.35"/>
    <n v="0"/>
    <n v="66383009"/>
    <x v="17"/>
  </r>
  <r>
    <s v="d309f605-948b-962f-0322-36df06ef3f81"/>
    <d v="2025-01-05T17:44:41"/>
    <d v="2025-01-05T18:20:39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785.58"/>
    <n v="0"/>
    <m/>
    <x v="0"/>
  </r>
  <r>
    <s v="d309f605-948b-962f-5f1e-6c724ee1e8f2"/>
    <d v="2026-01-11T17:44:41"/>
    <d v="2026-01-11T18:20:25"/>
    <s v="d309f605-948b-962f-ca72-878ce8b8d154"/>
    <s v="65eda534-1bdc-3192-8d02-1c3764447790"/>
    <s v="155c3597-60b7-3268-ad21-c3bf4b25db99"/>
    <s v="e03e23c9-4df1-3eb6-a62d-f70f02301496"/>
    <x v="0"/>
    <n v="162673000"/>
    <s v="General examination of patient (procedure)"/>
    <n v="136.80000000000001"/>
    <n v="1143.6400000000001"/>
    <n v="0"/>
    <m/>
    <x v="0"/>
  </r>
  <r>
    <s v="d309f605-948b-962f-cceb-91f058e832e9"/>
    <d v="2026-01-25T17:44:41"/>
    <d v="2026-01-25T20:24:18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3105.35"/>
    <n v="0"/>
    <n v="66383009"/>
    <x v="17"/>
  </r>
  <r>
    <s v="d309f605-948b-962f-6942-a8474a694c1c"/>
    <d v="2026-07-02T20:15:24"/>
    <d v="2026-07-02T20:41:25"/>
    <s v="d309f605-948b-962f-ca72-878ce8b8d154"/>
    <s v="c7542447-e06e-32cb-b6db-243c23a0dbc2"/>
    <s v="60561eb9-6e44-3ad6-bc0c-5f1ba81054c6"/>
    <s v="e03e23c9-4df1-3eb6-a62d-f70f02301496"/>
    <x v="1"/>
    <n v="185349003"/>
    <s v="Encounter for check up (procedure)"/>
    <n v="85.55"/>
    <n v="12300.61"/>
    <n v="0"/>
    <n v="275978004"/>
    <x v="29"/>
  </r>
  <r>
    <s v="2fb99851-6f31-04a6-4d28-9d8ae64514d4"/>
    <d v="1967-01-11T01:00:32"/>
    <d v="1967-01-11T01:15:32"/>
    <s v="2fb99851-6f31-04a6-be96-6fef4663e208"/>
    <s v="a2cc09de-c1e2-3126-8c09-d49f95225281"/>
    <s v="3c7aa1c1-9d69-3425-b601-48988bab0163"/>
    <s v="26aab0cd-6aba-3e1b-ac5b-05c8867e762c"/>
    <x v="1"/>
    <n v="185345009"/>
    <s v="Encounter for symptom (procedure)"/>
    <n v="85.55"/>
    <n v="516.95000000000005"/>
    <n v="0"/>
    <n v="233678006"/>
    <x v="12"/>
  </r>
  <r>
    <s v="2fb99851-6f31-04a6-0268-e9f77ee0222f"/>
    <d v="1980-07-02T02:00:32"/>
    <d v="1980-07-02T02:48:40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704.2"/>
    <n v="0"/>
    <m/>
    <x v="0"/>
  </r>
  <r>
    <s v="2fb99851-6f31-04a6-195b-654ed0adf1a7"/>
    <d v="1981-07-08T02:00:32"/>
    <d v="1981-07-08T02:59:15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991.73"/>
    <n v="0"/>
    <m/>
    <x v="0"/>
  </r>
  <r>
    <s v="2fb99851-6f31-04a6-4d82-e0de6deb91e4"/>
    <d v="2002-11-06T01:00:32"/>
    <d v="2002-11-06T01:37:07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223.22"/>
    <n v="0"/>
    <m/>
    <x v="0"/>
  </r>
  <r>
    <s v="2fb99851-6f31-04a6-1db3-62dc1329694b"/>
    <d v="2003-11-12T01:00:32"/>
    <d v="2003-11-12T01:38:50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856.21"/>
    <n v="0"/>
    <m/>
    <x v="0"/>
  </r>
  <r>
    <s v="2fb99851-6f31-04a6-84d3-cef01e27b250"/>
    <d v="2004-11-17T01:00:32"/>
    <d v="2004-11-17T01:47:29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860.16"/>
    <n v="0"/>
    <m/>
    <x v="0"/>
  </r>
  <r>
    <s v="2fb99851-6f31-04a6-17ca-81e0949f3e51"/>
    <d v="2012-05-09T02:00:32"/>
    <d v="2012-05-09T02:51:16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24235.56"/>
    <n v="10884.94"/>
    <n v="275978004"/>
    <x v="29"/>
  </r>
  <r>
    <s v="2fb99851-6f31-04a6-f1e5-b5e0300f5959"/>
    <d v="2013-07-15T02:36:16"/>
    <d v="2013-07-15T03:16:49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10592.54"/>
    <n v="2699.13"/>
    <n v="68496003"/>
    <x v="61"/>
  </r>
  <r>
    <s v="2fb99851-6f31-04a6-8ffc-b70d7783d61e"/>
    <d v="2014-01-31T01:00:32"/>
    <d v="2014-01-31T01:15:32"/>
    <s v="2fb99851-6f31-04a6-be96-6fef4663e208"/>
    <s v="a2cc09de-c1e2-3126-8c09-d49f95225281"/>
    <s v="3c7aa1c1-9d69-3425-b601-48988bab0163"/>
    <s v="26aab0cd-6aba-3e1b-ac5b-05c8867e762c"/>
    <x v="2"/>
    <n v="185347001"/>
    <s v="Encounter for problem (procedure)"/>
    <n v="85.55"/>
    <n v="85.55"/>
    <n v="85.55"/>
    <n v="82423001"/>
    <x v="33"/>
  </r>
  <r>
    <s v="2fb99851-6f31-04a6-dba7-9fd96ce9a1a5"/>
    <d v="2016-01-20T01:00:32"/>
    <d v="2016-01-20T01:32:50"/>
    <s v="2fb99851-6f31-04a6-be96-6fef4663e208"/>
    <s v="f1664435-2eca-3eff-bd1a-13701e7ad1bd"/>
    <s v="7a40e3fd-1c53-3d13-a07b-3a50ad3d68ba"/>
    <s v="a735bf55-83e9-331a-899d-a82a60b9f60c"/>
    <x v="0"/>
    <n v="162673000"/>
    <s v="General examination of patient (procedure)"/>
    <n v="136.80000000000001"/>
    <n v="1648.38"/>
    <n v="1318.7"/>
    <m/>
    <x v="0"/>
  </r>
  <r>
    <s v="2fb99851-6f31-04a6-b68b-40facb0688ee"/>
    <d v="2016-04-25T02:00:32"/>
    <d v="2016-04-25T02:54:57"/>
    <s v="2fb99851-6f31-04a6-be96-6fef4663e208"/>
    <s v="74ab949d-17ac-3309-83a0-13b4405c66aa"/>
    <s v="35fedf4a-4da7-315e-a103-dbcfea0540fa"/>
    <s v="a735bf55-83e9-331a-899d-a82a60b9f60c"/>
    <x v="1"/>
    <n v="185347001"/>
    <s v="Encounter for problem (procedure)"/>
    <n v="85.55"/>
    <n v="948.35"/>
    <n v="758.68"/>
    <n v="60573004"/>
    <x v="87"/>
  </r>
  <r>
    <s v="2fb99851-6f31-04a6-5517-80f33d270d39"/>
    <d v="2017-01-25T01:00:32"/>
    <d v="2017-01-25T01:56:41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391.17"/>
    <n v="0"/>
    <m/>
    <x v="0"/>
  </r>
  <r>
    <s v="2fb99851-6f31-04a6-59fb-e7314435ea01"/>
    <d v="2017-02-08T01:00:32"/>
    <d v="2017-02-08T04:49:27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3536.75"/>
    <n v="0"/>
    <n v="66383009"/>
    <x v="17"/>
  </r>
  <r>
    <s v="2fb99851-6f31-04a6-2253-acf007a91710"/>
    <d v="2017-12-10T01:24:57"/>
    <d v="2017-12-10T02:00:07"/>
    <s v="2fb99851-6f31-04a6-be96-6fef4663e208"/>
    <s v="74ab949d-17ac-3309-83a0-13b4405c66aa"/>
    <s v="35fedf4a-4da7-315e-a103-dbcfea0540fa"/>
    <s v="26aab0cd-6aba-3e1b-ac5b-05c8867e762c"/>
    <x v="1"/>
    <n v="185347001"/>
    <s v="Encounter for problem (procedure)"/>
    <n v="85.55"/>
    <n v="948.35"/>
    <n v="0"/>
    <n v="60573004"/>
    <x v="87"/>
  </r>
  <r>
    <s v="2fb99851-6f31-04a6-0abc-d8e024627c42"/>
    <d v="2018-01-31T01:00:32"/>
    <d v="2018-01-31T01:54:48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001.28"/>
    <n v="0"/>
    <m/>
    <x v="0"/>
  </r>
  <r>
    <s v="2fb99851-6f31-04a6-3737-e69ff0b35080"/>
    <d v="2018-12-30T06:00:32"/>
    <d v="2018-12-30T06:15:32"/>
    <s v="2fb99851-6f31-04a6-be96-6fef4663e208"/>
    <s v="a2cc09de-c1e2-3126-8c09-d49f95225281"/>
    <s v="3c7aa1c1-9d69-3425-b601-48988bab0163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2fb99851-6f31-04a6-48a7-b803821336b7"/>
    <d v="2019-02-06T01:00:32"/>
    <d v="2019-02-06T01:33:33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853.36"/>
    <n v="0"/>
    <m/>
    <x v="0"/>
  </r>
  <r>
    <s v="2fb99851-6f31-04a6-f0ea-ad10d1035d81"/>
    <d v="2019-02-20T01:00:32"/>
    <d v="2019-02-20T04:13:27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3105.35"/>
    <n v="0"/>
    <n v="103697008"/>
    <x v="3"/>
  </r>
  <r>
    <s v="2fb99851-6f31-04a6-bed7-087479477279"/>
    <d v="2019-02-24T01:30:07"/>
    <d v="2019-02-24T02:22:38"/>
    <s v="2fb99851-6f31-04a6-be96-6fef4663e208"/>
    <s v="74ab949d-17ac-3309-83a0-13b4405c66aa"/>
    <s v="35fedf4a-4da7-315e-a103-dbcfea0540fa"/>
    <s v="26aab0cd-6aba-3e1b-ac5b-05c8867e762c"/>
    <x v="1"/>
    <n v="185347001"/>
    <s v="Encounter for problem (procedure)"/>
    <n v="85.55"/>
    <n v="948.35"/>
    <n v="0"/>
    <n v="60573004"/>
    <x v="87"/>
  </r>
  <r>
    <s v="2fb99851-6f31-04a6-6c34-51e2499c0960"/>
    <d v="2019-12-14T02:00:32"/>
    <d v="2019-12-14T02:15:32"/>
    <s v="2fb99851-6f31-04a6-be96-6fef4663e208"/>
    <s v="a2cc09de-c1e2-3126-8c09-d49f95225281"/>
    <s v="3c7aa1c1-9d69-3425-b601-48988bab0163"/>
    <s v="26aab0cd-6aba-3e1b-ac5b-05c8867e762c"/>
    <x v="1"/>
    <n v="185345009"/>
    <s v="Encounter for symptom (procedure)"/>
    <n v="85.55"/>
    <n v="85.55"/>
    <n v="0"/>
    <n v="36971009"/>
    <x v="22"/>
  </r>
  <r>
    <s v="2fb99851-6f31-04a6-b711-b50c762ac16e"/>
    <d v="2020-02-12T01:00:32"/>
    <d v="2020-02-12T01:49:47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069.06"/>
    <n v="0"/>
    <m/>
    <x v="0"/>
  </r>
  <r>
    <s v="2fb99851-6f31-04a6-f87c-db91f57cb640"/>
    <d v="2020-02-26T01:00:32"/>
    <d v="2020-02-26T03:40:33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2673.95"/>
    <n v="0"/>
    <n v="103697008"/>
    <x v="3"/>
  </r>
  <r>
    <s v="2fb99851-6f31-04a6-7ac7-16c96f2b492e"/>
    <d v="2020-05-07T02:52:38"/>
    <d v="2020-05-07T03:39:02"/>
    <s v="2fb99851-6f31-04a6-be96-6fef4663e208"/>
    <s v="74ab949d-17ac-3309-83a0-13b4405c66aa"/>
    <s v="35fedf4a-4da7-315e-a103-dbcfea0540fa"/>
    <s v="26aab0cd-6aba-3e1b-ac5b-05c8867e762c"/>
    <x v="1"/>
    <n v="185347001"/>
    <s v="Encounter for problem (procedure)"/>
    <n v="85.55"/>
    <n v="948.35"/>
    <n v="0"/>
    <n v="60573004"/>
    <x v="87"/>
  </r>
  <r>
    <s v="2fb99851-6f31-04a6-c9a6-2396adbaf3f5"/>
    <d v="2020-12-12T02:09:02"/>
    <d v="2020-12-12T02:51:21"/>
    <s v="2fb99851-6f31-04a6-be96-6fef4663e208"/>
    <s v="74ab949d-17ac-3309-83a0-13b4405c66aa"/>
    <s v="35fedf4a-4da7-315e-a103-dbcfea0540fa"/>
    <s v="26aab0cd-6aba-3e1b-ac5b-05c8867e762c"/>
    <x v="1"/>
    <n v="185347001"/>
    <s v="Encounter for problem (procedure)"/>
    <n v="85.55"/>
    <n v="948.35"/>
    <n v="0"/>
    <n v="60573004"/>
    <x v="87"/>
  </r>
  <r>
    <s v="2fb99851-6f31-04a6-a75d-f5733c6fcc13"/>
    <d v="2020-12-19T06:00:32"/>
    <d v="2020-12-19T07:00:32"/>
    <s v="2fb99851-6f31-04a6-be96-6fef4663e208"/>
    <s v="bdc3ee76-9cf3-316d-b202-a8da1ea3fa20"/>
    <s v="48297ce4-843c-3ee5-b27b-96097c3922ee"/>
    <s v="26aab0cd-6aba-3e1b-ac5b-05c8867e762c"/>
    <x v="3"/>
    <n v="183478001"/>
    <s v="Emergency hospital admission for asthma (procedure)"/>
    <n v="146.18"/>
    <n v="146.18"/>
    <n v="0"/>
    <n v="195967001"/>
    <x v="38"/>
  </r>
  <r>
    <s v="2fb99851-6f31-04a6-9350-eccafc81f222"/>
    <d v="2020-12-20T12:00:32"/>
    <d v="2020-12-20T12:15:32"/>
    <s v="2fb99851-6f31-04a6-be96-6fef4663e208"/>
    <s v="a2cc09de-c1e2-3126-8c09-d49f95225281"/>
    <s v="3c7aa1c1-9d69-3425-b601-48988bab0163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2fb99851-6f31-04a6-7d9d-98c0d1f35619"/>
    <d v="2021-02-17T01:00:32"/>
    <d v="2021-02-17T01:34:09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001.28"/>
    <n v="0"/>
    <m/>
    <x v="0"/>
  </r>
  <r>
    <s v="2fb99851-6f31-04a6-1b48-49e45dc62843"/>
    <d v="2021-03-03T01:00:32"/>
    <d v="2021-03-03T04:37:16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3105.35"/>
    <n v="0"/>
    <n v="66383009"/>
    <x v="17"/>
  </r>
  <r>
    <s v="2fb99851-6f31-04a6-0f84-4b050d6f7a6a"/>
    <d v="2021-11-26T02:21:21"/>
    <d v="2021-11-26T03:15:03"/>
    <s v="2fb99851-6f31-04a6-be96-6fef4663e208"/>
    <s v="74ab949d-17ac-3309-83a0-13b4405c66aa"/>
    <s v="35fedf4a-4da7-315e-a103-dbcfea0540fa"/>
    <s v="26aab0cd-6aba-3e1b-ac5b-05c8867e762c"/>
    <x v="1"/>
    <n v="185347001"/>
    <s v="Encounter for problem (procedure)"/>
    <n v="85.55"/>
    <n v="948.35"/>
    <n v="0"/>
    <n v="60573004"/>
    <x v="87"/>
  </r>
  <r>
    <s v="2fb99851-6f31-04a6-dbd2-c0496d1c6149"/>
    <d v="2021-11-26T02:45:03"/>
    <d v="2021-11-27T02:45:03"/>
    <s v="2fb99851-6f31-04a6-be96-6fef4663e208"/>
    <s v="74ab949d-17ac-3309-83a0-13b4405c66aa"/>
    <s v="35fedf4a-4da7-315e-a103-dbcfea0540fa"/>
    <s v="26aab0cd-6aba-3e1b-ac5b-05c8867e762c"/>
    <x v="6"/>
    <n v="185347001"/>
    <s v="Encounter for problem (procedure)"/>
    <n v="87.71"/>
    <n v="1813.31"/>
    <n v="0"/>
    <n v="60573004"/>
    <x v="87"/>
  </r>
  <r>
    <s v="2fb99851-6f31-04a6-f276-296736180c50"/>
    <d v="2021-11-30T03:27:21"/>
    <d v="2021-11-30T03:42:21"/>
    <s v="2fb99851-6f31-04a6-be96-6fef4663e208"/>
    <s v="74ab949d-17ac-3309-83a0-13b4405c66aa"/>
    <s v="35fedf4a-4da7-315e-a103-dbcfea0540fa"/>
    <s v="26aab0cd-6aba-3e1b-ac5b-05c8867e762c"/>
    <x v="1"/>
    <n v="185347001"/>
    <s v="Encounter for problem (procedure)"/>
    <n v="85.55"/>
    <n v="1379.75"/>
    <n v="0"/>
    <n v="60573004"/>
    <x v="87"/>
  </r>
  <r>
    <s v="2fb99851-6f31-04a6-235b-a55a4086b77f"/>
    <d v="2021-12-15T03:27:21"/>
    <d v="2021-12-15T05:13:00"/>
    <s v="2fb99851-6f31-04a6-be96-6fef4663e208"/>
    <s v="74ab949d-17ac-3309-83a0-13b4405c66aa"/>
    <s v="35fedf4a-4da7-315e-a103-dbcfea0540fa"/>
    <s v="26aab0cd-6aba-3e1b-ac5b-05c8867e762c"/>
    <x v="1"/>
    <n v="390906007"/>
    <s v="Follow-up encounter (procedure)"/>
    <n v="85.55"/>
    <n v="19396.86"/>
    <n v="10466.57"/>
    <n v="60573004"/>
    <x v="87"/>
  </r>
  <r>
    <s v="2fb99851-6f31-04a6-f9c4-1b6d63d22c23"/>
    <d v="2021-12-29T01:00:32"/>
    <d v="2021-12-29T03:34:37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2673.95"/>
    <n v="2673.95"/>
    <n v="60573004"/>
    <x v="87"/>
  </r>
  <r>
    <s v="2fb99851-6f31-04a6-4f8d-d21893f31461"/>
    <d v="2022-01-25T06:43:00"/>
    <d v="2022-01-26T06:43:00"/>
    <s v="2fb99851-6f31-04a6-be96-6fef4663e208"/>
    <s v="74ab949d-17ac-3309-83a0-13b4405c66aa"/>
    <s v="35fedf4a-4da7-315e-a103-dbcfea0540fa"/>
    <s v="26aab0cd-6aba-3e1b-ac5b-05c8867e762c"/>
    <x v="6"/>
    <n v="32485007"/>
    <s v="Hospital admission (procedure)"/>
    <n v="146.18"/>
    <n v="6681.02"/>
    <n v="6681.02"/>
    <n v="60573004"/>
    <x v="87"/>
  </r>
  <r>
    <s v="2fb99851-6f31-04a6-c0b0-4fb0f129519a"/>
    <d v="2022-01-25T13:28:38"/>
    <d v="2022-01-26T14:12:31"/>
    <s v="2fb99851-6f31-04a6-be96-6fef4663e208"/>
    <s v="74ab949d-17ac-3309-83a0-13b4405c66aa"/>
    <s v="35fedf4a-4da7-315e-a103-dbcfea0540fa"/>
    <s v="26aab0cd-6aba-3e1b-ac5b-05c8867e762c"/>
    <x v="6"/>
    <n v="305351004"/>
    <s v="Admission to intensive care unit (procedure)"/>
    <n v="146.18"/>
    <n v="1185.25"/>
    <n v="1185.25"/>
    <n v="1231000119100"/>
    <x v="96"/>
  </r>
  <r>
    <s v="2fb99851-6f31-04a6-0acd-2c26255c94f2"/>
    <d v="2022-01-26T13:57:31"/>
    <d v="2022-01-27T13:57:31"/>
    <s v="2fb99851-6f31-04a6-be96-6fef4663e208"/>
    <s v="74ab949d-17ac-3309-83a0-13b4405c66aa"/>
    <s v="35fedf4a-4da7-315e-a103-dbcfea0540fa"/>
    <s v="26aab0cd-6aba-3e1b-ac5b-05c8867e762c"/>
    <x v="6"/>
    <n v="305342007"/>
    <s v="Admission to ward (procedure)"/>
    <n v="146.18"/>
    <n v="801.32"/>
    <n v="801.32"/>
    <n v="1231000119100"/>
    <x v="96"/>
  </r>
  <r>
    <s v="2fb99851-6f31-04a6-e967-abe6b39b2153"/>
    <d v="2022-02-23T01:00:32"/>
    <d v="2022-02-23T01:35:00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785.58"/>
    <n v="785.58"/>
    <m/>
    <x v="0"/>
  </r>
  <r>
    <s v="2fb99851-6f31-04a6-f664-b4e645110d9b"/>
    <d v="2022-03-09T01:00:32"/>
    <d v="2022-03-09T04:10:59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3536.75"/>
    <n v="3536.75"/>
    <n v="103697008"/>
    <x v="3"/>
  </r>
  <r>
    <s v="2fb99851-6f31-04a6-72dc-6290eb88d561"/>
    <d v="2022-06-13T13:00:32"/>
    <d v="2022-06-13T13:15:32"/>
    <s v="2fb99851-6f31-04a6-be96-6fef4663e208"/>
    <s v="a2cc09de-c1e2-3126-8c09-d49f95225281"/>
    <s v="3c7aa1c1-9d69-3425-b601-48988bab0163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2fb99851-6f31-04a6-2796-357f4e97ffb1"/>
    <d v="2023-03-01T01:00:32"/>
    <d v="2023-03-01T01:47:38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075.8599999999999"/>
    <n v="0"/>
    <m/>
    <x v="0"/>
  </r>
  <r>
    <s v="2fb99851-6f31-04a6-cbc8-701d027e3e39"/>
    <d v="2023-12-05T12:00:32"/>
    <d v="2023-12-05T12:15:32"/>
    <s v="2fb99851-6f31-04a6-be96-6fef4663e208"/>
    <s v="a2cc09de-c1e2-3126-8c09-d49f95225281"/>
    <s v="3c7aa1c1-9d69-3425-b601-48988bab0163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2fb99851-6f31-04a6-853b-3cb011eacf9a"/>
    <d v="2024-03-06T01:00:32"/>
    <d v="2024-03-06T01:31:27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1591.25"/>
    <n v="0"/>
    <m/>
    <x v="0"/>
  </r>
  <r>
    <s v="f67eaca3-2366-7ee2-0c19-e7100ba0010c"/>
    <d v="2004-09-19T06:44:48"/>
    <d v="2004-09-19T07:44:48"/>
    <s v="f67eaca3-2366-7ee2-6887-a5bd449b54a6"/>
    <s v="7c625dc4-2593-31eb-95fd-6a912832b8bb"/>
    <s v="169391fc-ad69-3e4b-920a-65ba14555cd5"/>
    <s v="e03e23c9-4df1-3eb6-a62d-f70f02301496"/>
    <x v="3"/>
    <n v="50849002"/>
    <s v="Emergency room admission (procedure)"/>
    <n v="146.18"/>
    <n v="146.18"/>
    <n v="0"/>
    <n v="124171000119105"/>
    <x v="90"/>
  </r>
  <r>
    <s v="f67eaca3-2366-7ee2-46ba-e2d6b629b0cd"/>
    <d v="2008-04-13T06:44:48"/>
    <d v="2008-04-13T07:33:10"/>
    <s v="f67eaca3-2366-7ee2-6887-a5bd449b54a6"/>
    <s v="76baa51d-0d0f-359d-a07b-7b999a43d42e"/>
    <s v="f6113ec1-2366-34b8-aaac-cb111909a4c1"/>
    <s v="b046940f-1664-3047-bca7-dfa76be352a4"/>
    <x v="0"/>
    <n v="162673000"/>
    <s v="General examination of patient (procedure)"/>
    <n v="136.80000000000001"/>
    <n v="704.2"/>
    <n v="0"/>
    <m/>
    <x v="0"/>
  </r>
  <r>
    <s v="f67eaca3-2366-7ee2-cc5c-cff15dec09b3"/>
    <d v="2012-04-22T06:44:48"/>
    <d v="2012-04-22T07:38:33"/>
    <s v="f67eaca3-2366-7ee2-6887-a5bd449b54a6"/>
    <s v="76baa51d-0d0f-359d-a07b-7b999a43d42e"/>
    <s v="f6113ec1-2366-34b8-aaac-cb111909a4c1"/>
    <s v="b046940f-1664-3047-bca7-dfa76be352a4"/>
    <x v="0"/>
    <n v="162673000"/>
    <s v="General examination of patient (procedure)"/>
    <n v="136.80000000000001"/>
    <n v="1547.5"/>
    <n v="0"/>
    <m/>
    <x v="0"/>
  </r>
  <r>
    <s v="f67eaca3-2366-7ee2-a734-84fcd0caec04"/>
    <d v="2014-02-04T05:44:48"/>
    <d v="2014-02-04T05:59:48"/>
    <s v="f67eaca3-2366-7ee2-6887-a5bd449b54a6"/>
    <s v="b242f971-3c74-3778-b148-81366c1e6a3f"/>
    <s v="e3afa206-f364-36d7-9673-521ae8858395"/>
    <s v="b046940f-1664-3047-bca7-dfa76be352a4"/>
    <x v="2"/>
    <n v="185347001"/>
    <s v="Encounter for problem (procedure)"/>
    <n v="85.55"/>
    <n v="85.55"/>
    <n v="0"/>
    <n v="82423001"/>
    <x v="33"/>
  </r>
  <r>
    <s v="f67eaca3-2366-7ee2-3799-4acf1a1de18e"/>
    <d v="2015-04-26T06:44:48"/>
    <d v="2015-04-26T07:31:07"/>
    <s v="f67eaca3-2366-7ee2-6887-a5bd449b54a6"/>
    <s v="76baa51d-0d0f-359d-a07b-7b999a43d42e"/>
    <s v="f6113ec1-2366-34b8-aaac-cb111909a4c1"/>
    <s v="b046940f-1664-3047-bca7-dfa76be352a4"/>
    <x v="0"/>
    <n v="162673000"/>
    <s v="General examination of patient (procedure)"/>
    <n v="136.80000000000001"/>
    <n v="1539.05"/>
    <n v="0"/>
    <m/>
    <x v="0"/>
  </r>
  <r>
    <s v="f67eaca3-2366-7ee2-fc60-fbf043b952bd"/>
    <d v="2018-04-29T06:44:48"/>
    <d v="2018-04-29T07:33:44"/>
    <s v="f67eaca3-2366-7ee2-6887-a5bd449b54a6"/>
    <s v="76baa51d-0d0f-359d-a07b-7b999a43d42e"/>
    <s v="f6113ec1-2366-34b8-aaac-cb111909a4c1"/>
    <s v="b046940f-1664-3047-bca7-dfa76be352a4"/>
    <x v="0"/>
    <n v="162673000"/>
    <s v="General examination of patient (procedure)"/>
    <n v="136.80000000000001"/>
    <n v="853.36"/>
    <n v="0"/>
    <m/>
    <x v="0"/>
  </r>
  <r>
    <s v="f67eaca3-2366-7ee2-a3ab-903a0ec33dd8"/>
    <d v="2018-05-13T06:44:48"/>
    <d v="2018-05-13T09:13:04"/>
    <s v="f67eaca3-2366-7ee2-6887-a5bd449b54a6"/>
    <s v="b242f971-3c74-3778-b148-81366c1e6a3f"/>
    <s v="e3afa206-f364-36d7-9673-521ae8858395"/>
    <s v="b046940f-1664-3047-bca7-dfa76be352a4"/>
    <x v="1"/>
    <n v="185349003"/>
    <s v="Encounter for check up (procedure)"/>
    <n v="85.55"/>
    <n v="3105.35"/>
    <n v="0"/>
    <n v="103697008"/>
    <x v="3"/>
  </r>
  <r>
    <s v="f67eaca3-2366-7ee2-5953-8a766ff348ad"/>
    <d v="2021-05-02T06:44:48"/>
    <d v="2021-05-02T07:35:42"/>
    <s v="f67eaca3-2366-7ee2-6887-a5bd449b54a6"/>
    <s v="76baa51d-0d0f-359d-a07b-7b999a43d42e"/>
    <s v="f6113ec1-2366-34b8-aaac-cb111909a4c1"/>
    <s v="b046940f-1664-3047-bca7-dfa76be352a4"/>
    <x v="0"/>
    <n v="162673000"/>
    <s v="General examination of patient (procedure)"/>
    <n v="136.80000000000001"/>
    <n v="989.36"/>
    <n v="0"/>
    <m/>
    <x v="0"/>
  </r>
  <r>
    <s v="f67eaca3-2366-7ee2-b442-d111ca4856ce"/>
    <d v="2024-05-05T06:44:48"/>
    <d v="2024-05-05T07:25:18"/>
    <s v="f67eaca3-2366-7ee2-6887-a5bd449b54a6"/>
    <s v="76baa51d-0d0f-359d-a07b-7b999a43d42e"/>
    <s v="f6113ec1-2366-34b8-aaac-cb111909a4c1"/>
    <s v="b046940f-1664-3047-bca7-dfa76be352a4"/>
    <x v="0"/>
    <n v="162673000"/>
    <s v="General examination of patient (procedure)"/>
    <n v="136.80000000000001"/>
    <n v="1205.92"/>
    <n v="0"/>
    <m/>
    <x v="0"/>
  </r>
  <r>
    <s v="f67eaca3-2366-7ee2-2413-da64226ebcb7"/>
    <d v="2024-05-19T06:44:48"/>
    <d v="2024-05-19T10:00:46"/>
    <s v="f67eaca3-2366-7ee2-6887-a5bd449b54a6"/>
    <s v="b242f971-3c74-3778-b148-81366c1e6a3f"/>
    <s v="e3afa206-f364-36d7-9673-521ae8858395"/>
    <s v="b046940f-1664-3047-bca7-dfa76be352a4"/>
    <x v="1"/>
    <n v="185349003"/>
    <s v="Encounter for check up (procedure)"/>
    <n v="85.55"/>
    <n v="2673.95"/>
    <n v="0"/>
    <n v="66383009"/>
    <x v="17"/>
  </r>
  <r>
    <s v="2fb99851-6f31-04a6-a164-4d4afd7fd165"/>
    <d v="2024-03-20T02:00:32"/>
    <d v="2024-03-20T04:19:32"/>
    <s v="2fb99851-6f31-04a6-be96-6fef4663e208"/>
    <s v="a2cc09de-c1e2-3126-8c09-d49f95225281"/>
    <s v="3c7aa1c1-9d69-3425-b601-48988bab0163"/>
    <s v="26aab0cd-6aba-3e1b-ac5b-05c8867e762c"/>
    <x v="1"/>
    <n v="185349003"/>
    <s v="Encounter for check up (procedure)"/>
    <n v="85.55"/>
    <n v="3105.35"/>
    <n v="0"/>
    <n v="66383009"/>
    <x v="17"/>
  </r>
  <r>
    <s v="f67eaca3-2366-7ee2-d47e-0bb88333ecb7"/>
    <d v="2025-02-10T17:44:48"/>
    <d v="2025-02-10T17:59:48"/>
    <s v="f67eaca3-2366-7ee2-6887-a5bd449b54a6"/>
    <s v="b242f971-3c74-3778-b148-81366c1e6a3f"/>
    <s v="e3afa206-f364-36d7-9673-521ae8858395"/>
    <s v="b046940f-1664-3047-bca7-dfa76be352a4"/>
    <x v="1"/>
    <n v="185345009"/>
    <s v="Encounter for symptom (procedure)"/>
    <n v="85.55"/>
    <n v="85.55"/>
    <n v="0"/>
    <n v="195662009"/>
    <x v="9"/>
  </r>
  <r>
    <s v="f67eaca3-2366-7ee2-1a60-2279df6a6a3e"/>
    <d v="2025-05-26T14:44:48"/>
    <d v="2025-05-26T14:59:48"/>
    <s v="f67eaca3-2366-7ee2-6887-a5bd449b54a6"/>
    <s v="b242f971-3c74-3778-b148-81366c1e6a3f"/>
    <s v="e3afa206-f364-36d7-9673-521ae8858395"/>
    <s v="b046940f-1664-3047-bca7-dfa76be352a4"/>
    <x v="1"/>
    <n v="185345009"/>
    <s v="Encounter for symptom (procedure)"/>
    <n v="85.55"/>
    <n v="948.35"/>
    <n v="0"/>
    <n v="195662009"/>
    <x v="9"/>
  </r>
  <r>
    <s v="2fb99851-6f31-04a6-59e4-931bc06a7a0d"/>
    <d v="2025-03-12T02:00:32"/>
    <d v="2025-03-12T02:59:06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785.58"/>
    <n v="0"/>
    <m/>
    <x v="0"/>
  </r>
  <r>
    <s v="2fb99851-6f31-04a6-8b95-3d8709bf97f8"/>
    <d v="2025-05-28T13:00:32"/>
    <d v="2025-05-28T13:15:32"/>
    <s v="2fb99851-6f31-04a6-be96-6fef4663e208"/>
    <s v="a2cc09de-c1e2-3126-8c09-d49f95225281"/>
    <s v="3c7aa1c1-9d69-3425-b601-48988bab0163"/>
    <s v="26aab0cd-6aba-3e1b-ac5b-05c8867e762c"/>
    <x v="1"/>
    <n v="394701000"/>
    <s v="Asthma follow-up (regime/therapy)"/>
    <n v="142.58000000000001"/>
    <n v="142.58000000000001"/>
    <n v="0"/>
    <n v="195967001"/>
    <x v="38"/>
  </r>
  <r>
    <s v="2fb99851-6f31-04a6-ae35-369a1f3ec38b"/>
    <d v="2026-01-23T02:51:56"/>
    <d v="2026-01-23T03:51:56"/>
    <s v="2fb99851-6f31-04a6-be96-6fef4663e208"/>
    <s v="bdc3ee76-9cf3-316d-b202-a8da1ea3fa20"/>
    <s v="48297ce4-843c-3ee5-b27b-96097c3922ee"/>
    <s v="26aab0cd-6aba-3e1b-ac5b-05c8867e762c"/>
    <x v="3"/>
    <n v="50849002"/>
    <s v="Emergency room admission (procedure)"/>
    <n v="146.18"/>
    <n v="4140.8900000000003"/>
    <n v="0"/>
    <n v="312608009"/>
    <x v="20"/>
  </r>
  <r>
    <s v="2fb99851-6f31-04a6-52a1-1d3ccc55cd97"/>
    <d v="2026-03-18T02:00:32"/>
    <d v="2026-03-18T02:39:57"/>
    <s v="2fb99851-6f31-04a6-be96-6fef4663e208"/>
    <s v="f1664435-2eca-3eff-bd1a-13701e7ad1bd"/>
    <s v="7a40e3fd-1c53-3d13-a07b-3a50ad3d68ba"/>
    <s v="26aab0cd-6aba-3e1b-ac5b-05c8867e762c"/>
    <x v="0"/>
    <n v="162673000"/>
    <s v="General examination of patient (procedure)"/>
    <n v="136.80000000000001"/>
    <n v="860.16"/>
    <n v="0"/>
    <m/>
    <x v="0"/>
  </r>
  <r>
    <s v="96de62ae-1b00-58d8-a648-7abdae336627"/>
    <d v="2001-08-15T06:32:30"/>
    <d v="2001-08-15T06:47:30"/>
    <s v="96de62ae-1b00-58d8-77f9-cd25414e16be"/>
    <s v="bac9dc0c-cb0f-3fa6-aa12-819dd0fb922a"/>
    <s v="47684c3a-477d-374f-b29a-529866226a70"/>
    <s v="e03e23c9-4df1-3eb6-a62d-f70f02301496"/>
    <x v="1"/>
    <n v="185345009"/>
    <s v="Encounter for symptom (procedure)"/>
    <n v="85.55"/>
    <n v="85.55"/>
    <n v="0"/>
    <n v="232353008"/>
    <x v="16"/>
  </r>
  <r>
    <s v="96de62ae-1b00-58d8-8fd6-6d160d9dcd1e"/>
    <d v="2001-08-16T11:32:30"/>
    <d v="2001-08-16T12:01:01"/>
    <s v="96de62ae-1b00-58d8-77f9-cd25414e16be"/>
    <s v="bac9dc0c-cb0f-3fa6-aa12-819dd0fb922a"/>
    <s v="47684c3a-477d-374f-b29a-529866226a70"/>
    <s v="e03e23c9-4df1-3eb6-a62d-f70f02301496"/>
    <x v="1"/>
    <n v="185347001"/>
    <s v="Encounter for problem (procedure)"/>
    <n v="85.55"/>
    <n v="516.95000000000005"/>
    <n v="0"/>
    <n v="609328004"/>
    <x v="11"/>
  </r>
  <r>
    <s v="96de62ae-1b00-58d8-ba8a-7041954632c7"/>
    <d v="2012-08-22T06:32:30"/>
    <d v="2012-08-22T06:47:30"/>
    <s v="96de62ae-1b00-58d8-77f9-cd25414e16be"/>
    <s v="3d5fbf38-c781-3e04-8c7e-5a402611b7d4"/>
    <s v="6c4e41ee-3ecf-303b-89e3-c590131bf36e"/>
    <s v="b046940f-1664-3047-bca7-dfa76be352a4"/>
    <x v="0"/>
    <n v="410620009"/>
    <s v="Well child visit (procedure)"/>
    <n v="136.80000000000001"/>
    <n v="704.2"/>
    <n v="0"/>
    <m/>
    <x v="0"/>
  </r>
  <r>
    <s v="96de62ae-1b00-58d8-d6ac-0efa0fe6a7d7"/>
    <d v="2015-09-09T06:32:30"/>
    <d v="2015-09-09T06:47:30"/>
    <s v="96de62ae-1b00-58d8-77f9-cd25414e16be"/>
    <s v="3d5fbf38-c781-3e04-8c7e-5a402611b7d4"/>
    <s v="6c4e41ee-3ecf-303b-89e3-c590131bf36e"/>
    <s v="b046940f-1664-3047-bca7-dfa76be352a4"/>
    <x v="0"/>
    <n v="410620009"/>
    <s v="Well child visit (procedure)"/>
    <n v="136.80000000000001"/>
    <n v="704.2"/>
    <n v="704.2"/>
    <m/>
    <x v="0"/>
  </r>
  <r>
    <s v="96de62ae-1b00-58d8-bb3e-4952e7ab03a0"/>
    <d v="2016-06-30T06:32:30"/>
    <d v="2016-06-30T06:47:30"/>
    <s v="96de62ae-1b00-58d8-77f9-cd25414e16be"/>
    <s v="18061fd5-fda8-3e2d-87f0-0f3c87211bcc"/>
    <s v="430ccdd9-d3bd-3fbb-814e-543a1ce358a6"/>
    <s v="b046940f-1664-3047-bca7-dfa76be352a4"/>
    <x v="2"/>
    <n v="698314001"/>
    <s v="Consultation for treatment (procedure)"/>
    <n v="142.58000000000001"/>
    <n v="142.58000000000001"/>
    <n v="142.58000000000001"/>
    <n v="389095005"/>
    <x v="15"/>
  </r>
  <r>
    <s v="96de62ae-1b00-58d8-ccde-929337c6e2fe"/>
    <d v="2016-08-26T06:32:30"/>
    <d v="2016-08-26T06:47:30"/>
    <s v="96de62ae-1b00-58d8-77f9-cd25414e16be"/>
    <s v="18061fd5-fda8-3e2d-87f0-0f3c87211bcc"/>
    <s v="430ccdd9-d3bd-3fbb-814e-543a1ce358a6"/>
    <s v="b046940f-1664-3047-bca7-dfa76be352a4"/>
    <x v="2"/>
    <n v="185347001"/>
    <s v="Encounter for problem (procedure)"/>
    <n v="85.55"/>
    <n v="85.55"/>
    <n v="0"/>
    <n v="82423001"/>
    <x v="33"/>
  </r>
  <r>
    <s v="96de62ae-1b00-58d8-21c9-6b23fd7f879d"/>
    <d v="2016-08-29T06:32:30"/>
    <d v="2016-08-29T07:27:41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0"/>
    <n v="82423001"/>
    <x v="33"/>
  </r>
  <r>
    <s v="96de62ae-1b00-58d8-3c39-7ca562e50f29"/>
    <d v="2016-09-01T07:27:41"/>
    <d v="2016-09-01T08:20:56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0"/>
    <n v="82423001"/>
    <x v="33"/>
  </r>
  <r>
    <s v="96de62ae-1b00-58d8-75f5-b66d3e4b751c"/>
    <d v="2016-09-04T08:20:56"/>
    <d v="2016-09-04T09:15:15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0"/>
    <n v="82423001"/>
    <x v="33"/>
  </r>
  <r>
    <s v="96de62ae-1b00-58d8-7b91-6d05d9cf3b46"/>
    <d v="2016-09-14T06:32:30"/>
    <d v="2016-09-14T07:11:49"/>
    <s v="96de62ae-1b00-58d8-77f9-cd25414e16be"/>
    <s v="3d5fbf38-c781-3e04-8c7e-5a402611b7d4"/>
    <s v="6c4e41ee-3ecf-303b-89e3-c590131bf36e"/>
    <s v="b046940f-1664-3047-bca7-dfa76be352a4"/>
    <x v="0"/>
    <n v="162673000"/>
    <s v="General examination of patient (procedure)"/>
    <n v="136.80000000000001"/>
    <n v="1264.8699999999999"/>
    <n v="0"/>
    <m/>
    <x v="0"/>
  </r>
  <r>
    <s v="96de62ae-1b00-58d8-bb43-eb97aad1a4e0"/>
    <d v="2016-09-21T06:32:30"/>
    <d v="2016-09-21T07:20:58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0"/>
    <n v="82423001"/>
    <x v="33"/>
  </r>
  <r>
    <s v="96de62ae-1b00-58d8-a7f8-7f03d3736317"/>
    <d v="2016-09-24T07:20:58"/>
    <d v="2016-09-24T08:16:31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0"/>
    <n v="82423001"/>
    <x v="33"/>
  </r>
  <r>
    <s v="96de62ae-1b00-58d8-d46c-64e302626139"/>
    <d v="2016-09-27T08:16:31"/>
    <d v="2016-09-27T09:09:42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206.01"/>
    <n v="82423001"/>
    <x v="33"/>
  </r>
  <r>
    <s v="96de62ae-1b00-58d8-7427-d9a87e775aae"/>
    <d v="2016-10-05T06:32:30"/>
    <d v="2016-10-05T10:08:41"/>
    <s v="96de62ae-1b00-58d8-77f9-cd25414e16be"/>
    <s v="bac9dc0c-cb0f-3fa6-aa12-819dd0fb922a"/>
    <s v="47684c3a-477d-374f-b29a-529866226a70"/>
    <s v="b046940f-1664-3047-bca7-dfa76be352a4"/>
    <x v="1"/>
    <n v="185349003"/>
    <s v="Encounter for check up (procedure)"/>
    <n v="85.55"/>
    <n v="3536.75"/>
    <n v="2475.7199999999998"/>
    <n v="66383009"/>
    <x v="17"/>
  </r>
  <r>
    <s v="96de62ae-1b00-58d8-8b39-45654d4ac370"/>
    <d v="2016-10-12T06:32:30"/>
    <d v="2016-10-12T07:20:00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401.79"/>
    <n v="82423001"/>
    <x v="33"/>
  </r>
  <r>
    <s v="96de62ae-1b00-58d8-9ebd-be0a3d8ee7c1"/>
    <d v="2016-10-15T07:20:00"/>
    <d v="2016-10-15T08:08:04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401.79"/>
    <n v="82423001"/>
    <x v="33"/>
  </r>
  <r>
    <s v="96de62ae-1b00-58d8-8f4a-21fd62665b63"/>
    <d v="2016-10-18T08:08:04"/>
    <d v="2016-10-18T08:55:49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401.79"/>
    <n v="82423001"/>
    <x v="33"/>
  </r>
  <r>
    <s v="96de62ae-1b00-58d8-fde9-a4a9bbdf2395"/>
    <d v="2016-10-21T08:55:49"/>
    <d v="2016-10-21T09:53:12"/>
    <s v="96de62ae-1b00-58d8-77f9-cd25414e16be"/>
    <s v="bac9dc0c-cb0f-3fa6-aa12-819dd0fb922a"/>
    <s v="47684c3a-477d-374f-b29a-529866226a70"/>
    <s v="b046940f-1664-3047-bca7-dfa76be352a4"/>
    <x v="1"/>
    <n v="308335008"/>
    <s v="Patient encounter procedure (procedure)"/>
    <n v="142.58000000000001"/>
    <n v="573.98"/>
    <n v="401.79"/>
    <n v="82423001"/>
    <x v="33"/>
  </r>
  <r>
    <s v="96de62ae-1b00-58d8-d8e9-13d96f91b588"/>
    <d v="2017-06-25T06:32:30"/>
    <d v="2017-06-25T06:47:30"/>
    <s v="96de62ae-1b00-58d8-77f9-cd25414e16be"/>
    <s v="18061fd5-fda8-3e2d-87f0-0f3c87211bcc"/>
    <s v="430ccdd9-d3bd-3fbb-814e-543a1ce358a6"/>
    <s v="b046940f-1664-3047-bca7-dfa76be352a4"/>
    <x v="2"/>
    <n v="698314001"/>
    <s v="Consultation for treatment (procedure)"/>
    <n v="142.58000000000001"/>
    <n v="142.58000000000001"/>
    <n v="99.81"/>
    <n v="389095005"/>
    <x v="15"/>
  </r>
  <r>
    <s v="96de62ae-1b00-58d8-3f28-a091f75a16d9"/>
    <d v="2017-07-07T08:39:26"/>
    <d v="2017-07-07T09:39:26"/>
    <s v="96de62ae-1b00-58d8-77f9-cd25414e16be"/>
    <s v="94ac48ba-e215-3ab9-ba88-a0b926d29cef"/>
    <s v="b30e58ed-699e-3382-a179-77e448498dab"/>
    <s v="b046940f-1664-3047-bca7-dfa76be352a4"/>
    <x v="3"/>
    <n v="50849002"/>
    <s v="Emergency room admission (procedure)"/>
    <n v="146.18"/>
    <n v="146.18"/>
    <n v="102.33"/>
    <n v="110030002"/>
    <x v="69"/>
  </r>
  <r>
    <s v="96de62ae-1b00-58d8-f9ed-ef5f5461ff56"/>
    <d v="2017-09-04T08:39:26"/>
    <d v="2017-09-04T08:54:26"/>
    <s v="96de62ae-1b00-58d8-77f9-cd25414e16be"/>
    <s v="bac9dc0c-cb0f-3fa6-aa12-819dd0fb922a"/>
    <s v="47684c3a-477d-374f-b29a-529866226a70"/>
    <s v="b046940f-1664-3047-bca7-dfa76be352a4"/>
    <x v="1"/>
    <n v="185349003"/>
    <s v="Encounter for check up (procedure)"/>
    <n v="85.55"/>
    <n v="85.55"/>
    <n v="0"/>
    <n v="62106007"/>
    <x v="83"/>
  </r>
  <r>
    <s v="96de62ae-1b00-58d8-b121-8a158420ef20"/>
    <d v="2017-09-20T06:32:30"/>
    <d v="2017-09-20T07:05:33"/>
    <s v="96de62ae-1b00-58d8-77f9-cd25414e16be"/>
    <s v="3d5fbf38-c781-3e04-8c7e-5a402611b7d4"/>
    <s v="6c4e41ee-3ecf-303b-89e3-c590131bf36e"/>
    <s v="b046940f-1664-3047-bca7-dfa76be352a4"/>
    <x v="0"/>
    <n v="162673000"/>
    <s v="General examination of patient (procedure)"/>
    <n v="136.80000000000001"/>
    <n v="1224.0899999999999"/>
    <n v="0"/>
    <m/>
    <x v="0"/>
  </r>
  <r>
    <s v="96de62ae-1b00-58d8-d4d4-f1585aac38f6"/>
    <d v="2017-10-04T06:32:30"/>
    <d v="2017-10-04T09:08:44"/>
    <s v="96de62ae-1b00-58d8-77f9-cd25414e16be"/>
    <s v="bac9dc0c-cb0f-3fa6-aa12-819dd0fb922a"/>
    <s v="47684c3a-477d-374f-b29a-529866226a70"/>
    <s v="b046940f-1664-3047-bca7-dfa76be352a4"/>
    <x v="1"/>
    <n v="185349003"/>
    <s v="Encounter for check up (procedure)"/>
    <n v="85.55"/>
    <n v="2673.95"/>
    <n v="0"/>
    <n v="103697008"/>
    <x v="3"/>
  </r>
  <r>
    <s v="96de62ae-1b00-58d8-acb1-dceb57768a22"/>
    <d v="2018-06-20T06:32:30"/>
    <d v="2018-06-20T06:47:30"/>
    <s v="96de62ae-1b00-58d8-77f9-cd25414e16be"/>
    <s v="18061fd5-fda8-3e2d-87f0-0f3c87211bcc"/>
    <s v="430ccdd9-d3bd-3fbb-814e-543a1ce358a6"/>
    <s v="b046940f-1664-3047-bca7-dfa76be352a4"/>
    <x v="2"/>
    <n v="698314001"/>
    <s v="Consultation for treatment (procedure)"/>
    <n v="142.58000000000001"/>
    <n v="142.58000000000001"/>
    <n v="0"/>
    <n v="389095005"/>
    <x v="15"/>
  </r>
  <r>
    <s v="96de62ae-1b00-58d8-ab4e-a1be02e75e59"/>
    <d v="2019-08-30T08:39:26"/>
    <d v="2019-08-30T09:39:26"/>
    <s v="96de62ae-1b00-58d8-77f9-cd25414e16be"/>
    <s v="94ac48ba-e215-3ab9-ba88-a0b926d29cef"/>
    <s v="b30e58ed-699e-3382-a179-77e448498dab"/>
    <s v="b046940f-1664-3047-bca7-dfa76be352a4"/>
    <x v="3"/>
    <n v="50849002"/>
    <s v="Emergency room admission (procedure)"/>
    <n v="146.18"/>
    <n v="4140.8900000000003"/>
    <n v="0"/>
    <n v="312608009"/>
    <x v="20"/>
  </r>
  <r>
    <s v="96de62ae-1b00-58d8-540d-480caac366bb"/>
    <d v="2019-11-06T05:32:30"/>
    <d v="2019-11-06T05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47574.65"/>
    <n v="33082.97"/>
    <n v="72892002"/>
    <x v="4"/>
  </r>
  <r>
    <s v="96de62ae-1b00-58d8-43de-1d0bb08f0242"/>
    <d v="2019-11-06T05:32:30"/>
    <d v="2019-11-06T06:36:57"/>
    <s v="96de62ae-1b00-58d8-77f9-cd25414e16be"/>
    <s v="bac9dc0c-cb0f-3fa6-aa12-819dd0fb922a"/>
    <s v="47684c3a-477d-374f-b29a-529866226a70"/>
    <s v="b046940f-1664-3047-bca7-dfa76be352a4"/>
    <x v="1"/>
    <n v="185347001"/>
    <s v="Encounter for problem (procedure)"/>
    <n v="85.55"/>
    <n v="1557.86"/>
    <n v="1557.86"/>
    <n v="271737000"/>
    <x v="32"/>
  </r>
  <r>
    <s v="96de62ae-1b00-58d8-099c-413d6eb434c2"/>
    <d v="2019-12-04T06:36:57"/>
    <d v="2019-12-04T06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3743.11"/>
    <n v="13743.11"/>
    <n v="72892002"/>
    <x v="4"/>
  </r>
  <r>
    <s v="96de62ae-1b00-58d8-ba8b-326e22edc018"/>
    <d v="2020-01-01T06:36:57"/>
    <d v="2020-01-01T06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7502.27"/>
    <n v="7502.27"/>
    <n v="72892002"/>
    <x v="4"/>
  </r>
  <r>
    <s v="96de62ae-1b00-58d8-2645-bcb8f0ac1cd3"/>
    <d v="2020-01-29T06:36:57"/>
    <d v="2020-01-29T06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7576.02"/>
    <n v="7576.02"/>
    <n v="72892002"/>
    <x v="4"/>
  </r>
  <r>
    <s v="96de62ae-1b00-58d8-1cf9-787e757e00b4"/>
    <d v="2020-02-26T06:36:57"/>
    <d v="2020-02-26T06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1451.02"/>
    <n v="11451.02"/>
    <n v="72892002"/>
    <x v="4"/>
  </r>
  <r>
    <s v="96de62ae-1b00-58d8-48ab-279d7ce62623"/>
    <d v="2020-03-25T07:36:57"/>
    <d v="2020-03-25T07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0538.66"/>
    <n v="10538.66"/>
    <n v="72892002"/>
    <x v="4"/>
  </r>
  <r>
    <s v="96de62ae-1b00-58d8-ae06-8b595746b2c3"/>
    <d v="2020-04-22T07:36:57"/>
    <d v="2020-04-22T07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6420.45"/>
    <n v="6420.45"/>
    <n v="72892002"/>
    <x v="4"/>
  </r>
  <r>
    <s v="96de62ae-1b00-58d8-56fd-b0ad1815bf59"/>
    <d v="2020-05-20T07:36:57"/>
    <d v="2020-05-20T07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9422.94"/>
    <n v="9422.94"/>
    <n v="72892002"/>
    <x v="4"/>
  </r>
  <r>
    <s v="96de62ae-1b00-58d8-87ee-826b2e281fa6"/>
    <d v="2020-06-03T07:36:57"/>
    <d v="2020-06-03T07:51:57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5329.58"/>
    <n v="5329.58"/>
    <n v="72892002"/>
    <x v="4"/>
  </r>
  <r>
    <s v="96de62ae-1b00-58d8-1d13-b3cc3bfca318"/>
    <d v="2020-06-10T07:36:57"/>
    <d v="2020-06-10T08:36:57"/>
    <s v="96de62ae-1b00-58d8-77f9-cd25414e16be"/>
    <s v="94ac48ba-e215-3ab9-ba88-a0b926d29cef"/>
    <s v="b30e58ed-699e-3382-a179-77e448498dab"/>
    <s v="b046940f-1664-3047-bca7-dfa76be352a4"/>
    <x v="3"/>
    <n v="183460006"/>
    <s v="Obstetric emergency hospital admission (procedure)"/>
    <n v="146.18"/>
    <n v="2341.3000000000002"/>
    <n v="2341.3000000000002"/>
    <n v="72892002"/>
    <x v="4"/>
  </r>
  <r>
    <s v="96de62ae-1b00-58d8-e3e3-734c935982c9"/>
    <d v="2020-07-22T07:36:57"/>
    <d v="2020-07-22T07:51:57"/>
    <s v="96de62ae-1b00-58d8-77f9-cd25414e16be"/>
    <s v="bac9dc0c-cb0f-3fa6-aa12-819dd0fb922a"/>
    <s v="47684c3a-477d-374f-b29a-529866226a70"/>
    <s v="b046940f-1664-3047-bca7-dfa76be352a4"/>
    <x v="1"/>
    <n v="169762003"/>
    <s v="Postnatal visit (regime/therapy)"/>
    <n v="142.58000000000001"/>
    <n v="1005.38"/>
    <n v="0"/>
    <m/>
    <x v="0"/>
  </r>
  <r>
    <s v="96de62ae-1b00-58d8-002f-476d133856a5"/>
    <d v="2020-09-23T06:32:30"/>
    <d v="2020-09-23T07:02:32"/>
    <s v="96de62ae-1b00-58d8-77f9-cd25414e16be"/>
    <s v="3d5fbf38-c781-3e04-8c7e-5a402611b7d4"/>
    <s v="6c4e41ee-3ecf-303b-89e3-c590131bf36e"/>
    <s v="b046940f-1664-3047-bca7-dfa76be352a4"/>
    <x v="0"/>
    <n v="162673000"/>
    <s v="General examination of patient (procedure)"/>
    <n v="136.80000000000001"/>
    <n v="1186.78"/>
    <n v="0"/>
    <m/>
    <x v="0"/>
  </r>
  <r>
    <s v="96de62ae-1b00-58d8-6fde-19cd28e9965a"/>
    <d v="2021-07-07T06:32:30"/>
    <d v="2021-07-07T06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44180.49"/>
    <n v="29310.84"/>
    <n v="72892002"/>
    <x v="4"/>
  </r>
  <r>
    <s v="96de62ae-1b00-58d8-f36a-54a9baf56621"/>
    <d v="2021-08-04T06:32:30"/>
    <d v="2021-08-04T06:47:30"/>
    <s v="96de62ae-1b00-58d8-77f9-cd25414e16be"/>
    <s v="18061fd5-fda8-3e2d-87f0-0f3c87211bcc"/>
    <s v="430ccdd9-d3bd-3fbb-814e-543a1ce358a6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96de62ae-1b00-58d8-35ce-0656c77e2791"/>
    <d v="2021-08-04T06:32:30"/>
    <d v="2021-08-04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7488.45"/>
    <n v="9286.92"/>
    <n v="72892002"/>
    <x v="4"/>
  </r>
  <r>
    <s v="96de62ae-1b00-58d8-fbd1-bf9a4cb5c73a"/>
    <d v="2021-09-01T06:32:30"/>
    <d v="2021-09-01T06:47:30"/>
    <s v="96de62ae-1b00-58d8-77f9-cd25414e16be"/>
    <s v="18061fd5-fda8-3e2d-87f0-0f3c87211bcc"/>
    <s v="430ccdd9-d3bd-3fbb-814e-543a1ce358a6"/>
    <s v="b046940f-1664-3047-bca7-dfa76be352a4"/>
    <x v="2"/>
    <n v="33879002"/>
    <s v="Administration of vaccine to produce active immunity (procedure)"/>
    <n v="142.58000000000001"/>
    <n v="278.58"/>
    <n v="195.01"/>
    <m/>
    <x v="0"/>
  </r>
  <r>
    <s v="96de62ae-1b00-58d8-323e-19047c4e32a3"/>
    <d v="2021-09-01T06:32:30"/>
    <d v="2021-09-01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9012.56"/>
    <n v="6308.79"/>
    <n v="72892002"/>
    <x v="4"/>
  </r>
  <r>
    <s v="96de62ae-1b00-58d8-3b53-b11920496057"/>
    <d v="2021-09-29T06:32:30"/>
    <d v="2021-09-29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1451.02"/>
    <n v="11451.02"/>
    <n v="72892002"/>
    <x v="4"/>
  </r>
  <r>
    <s v="96de62ae-1b00-58d8-f91c-4677cb9e09c0"/>
    <d v="2021-10-27T06:32:30"/>
    <d v="2021-10-27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8236.080000000002"/>
    <n v="18236.080000000002"/>
    <n v="72892002"/>
    <x v="4"/>
  </r>
  <r>
    <s v="96de62ae-1b00-58d8-5558-a56fec8d5996"/>
    <d v="2021-11-24T05:32:30"/>
    <d v="2021-11-24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5506.22"/>
    <n v="15506.22"/>
    <n v="72892002"/>
    <x v="4"/>
  </r>
  <r>
    <s v="96de62ae-1b00-58d8-90ac-59b131edfbee"/>
    <d v="2021-12-22T05:32:30"/>
    <d v="2021-12-22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1451.02"/>
    <n v="11451.02"/>
    <n v="72892002"/>
    <x v="4"/>
  </r>
  <r>
    <s v="96de62ae-1b00-58d8-759a-27a36515473e"/>
    <d v="2022-01-19T05:32:30"/>
    <d v="2022-01-19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9711.18"/>
    <n v="9711.18"/>
    <n v="72892002"/>
    <x v="4"/>
  </r>
  <r>
    <s v="96de62ae-1b00-58d8-df76-0e71d34541ca"/>
    <d v="2022-02-02T05:32:30"/>
    <d v="2022-02-02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1358.64"/>
    <n v="11358.64"/>
    <n v="72892002"/>
    <x v="4"/>
  </r>
  <r>
    <s v="96de62ae-1b00-58d8-75ee-736315680328"/>
    <d v="2022-02-09T05:32:30"/>
    <d v="2022-02-09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5067.13"/>
    <n v="5067.13"/>
    <n v="72892002"/>
    <x v="4"/>
  </r>
  <r>
    <s v="96de62ae-1b00-58d8-5fef-bd77e286db67"/>
    <d v="2022-02-16T05:32:30"/>
    <d v="2022-02-16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8236.080000000002"/>
    <n v="18236.080000000002"/>
    <n v="72892002"/>
    <x v="4"/>
  </r>
  <r>
    <s v="96de62ae-1b00-58d8-bee9-3324559018fd"/>
    <d v="2022-02-23T05:32:30"/>
    <d v="2022-02-23T06:32:30"/>
    <s v="96de62ae-1b00-58d8-77f9-cd25414e16be"/>
    <s v="94ac48ba-e215-3ab9-ba88-a0b926d29cef"/>
    <s v="b30e58ed-699e-3382-a179-77e448498dab"/>
    <s v="b046940f-1664-3047-bca7-dfa76be352a4"/>
    <x v="3"/>
    <n v="183460006"/>
    <s v="Obstetric emergency hospital admission (procedure)"/>
    <n v="146.18"/>
    <n v="2925.6"/>
    <n v="2925.6"/>
    <n v="72892002"/>
    <x v="4"/>
  </r>
  <r>
    <s v="96de62ae-1b00-58d8-0d1f-bf008ab7c27a"/>
    <d v="2022-04-06T06:32:30"/>
    <d v="2022-04-06T06:47:30"/>
    <s v="96de62ae-1b00-58d8-77f9-cd25414e16be"/>
    <s v="bac9dc0c-cb0f-3fa6-aa12-819dd0fb922a"/>
    <s v="47684c3a-477d-374f-b29a-529866226a70"/>
    <s v="b046940f-1664-3047-bca7-dfa76be352a4"/>
    <x v="1"/>
    <n v="169762003"/>
    <s v="Postnatal visit (regime/therapy)"/>
    <n v="142.58000000000001"/>
    <n v="1005.38"/>
    <n v="1005.38"/>
    <m/>
    <x v="0"/>
  </r>
  <r>
    <s v="96de62ae-1b00-58d8-4627-bd2a5b9ac37e"/>
    <d v="2022-11-23T05:32:30"/>
    <d v="2022-11-23T05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16240.27"/>
    <n v="8218.19"/>
    <n v="72892002"/>
    <x v="4"/>
  </r>
  <r>
    <s v="96de62ae-1b00-58d8-5e86-79cac319f315"/>
    <d v="2022-12-01T05:32:30"/>
    <d v="2022-12-01T05:47:30"/>
    <s v="96de62ae-1b00-58d8-77f9-cd25414e16be"/>
    <s v="bac9dc0c-cb0f-3fa6-aa12-819dd0fb922a"/>
    <s v="47684c3a-477d-374f-b29a-529866226a70"/>
    <s v="b046940f-1664-3047-bca7-dfa76be352a4"/>
    <x v="1"/>
    <n v="270427003"/>
    <s v="Patient-initiated encounter (procedure)"/>
    <n v="85.55"/>
    <n v="4444.9799999999996"/>
    <n v="3111.48"/>
    <n v="72892002"/>
    <x v="4"/>
  </r>
  <r>
    <s v="96de62ae-1b00-58d8-f8ce-5aca60a4a79f"/>
    <d v="2022-12-10T05:32:30"/>
    <d v="2022-12-10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868.18"/>
    <n v="1868.18"/>
    <n v="72892002"/>
    <x v="4"/>
  </r>
  <r>
    <s v="96de62ae-1b00-58d8-887e-ede75aea9149"/>
    <d v="2023-04-19T06:32:30"/>
    <d v="2023-04-19T06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43102.46"/>
    <n v="43102.46"/>
    <n v="72892002"/>
    <x v="4"/>
  </r>
  <r>
    <s v="96de62ae-1b00-58d8-68dc-79344b817895"/>
    <d v="2023-05-17T06:32:30"/>
    <d v="2023-05-17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0283.450000000001"/>
    <n v="10283.450000000001"/>
    <n v="72892002"/>
    <x v="4"/>
  </r>
  <r>
    <s v="96de62ae-1b00-58d8-2b69-a39ebac2eed0"/>
    <d v="2023-06-14T06:32:30"/>
    <d v="2023-06-14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3945.14"/>
    <n v="13945.14"/>
    <n v="72892002"/>
    <x v="4"/>
  </r>
  <r>
    <s v="96de62ae-1b00-58d8-3213-ccc5f91012c0"/>
    <d v="2023-07-12T06:32:30"/>
    <d v="2023-07-12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0686.12"/>
    <n v="10686.12"/>
    <n v="72892002"/>
    <x v="4"/>
  </r>
  <r>
    <s v="96de62ae-1b00-58d8-f2e7-ed9c00d2feaa"/>
    <d v="2023-08-09T06:32:30"/>
    <d v="2023-08-09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3466.33"/>
    <n v="6276.43"/>
    <n v="72892002"/>
    <x v="4"/>
  </r>
  <r>
    <s v="96de62ae-1b00-58d8-46f8-3388c83b38e5"/>
    <d v="2023-09-06T06:32:30"/>
    <d v="2023-09-06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4800.07"/>
    <n v="10360.06"/>
    <n v="72892002"/>
    <x v="4"/>
  </r>
  <r>
    <s v="96de62ae-1b00-58d8-7249-c6a512457854"/>
    <d v="2023-09-27T06:32:30"/>
    <d v="2023-09-27T07:24:26"/>
    <s v="96de62ae-1b00-58d8-77f9-cd25414e16be"/>
    <s v="3d5fbf38-c781-3e04-8c7e-5a402611b7d4"/>
    <s v="6c4e41ee-3ecf-303b-89e3-c590131bf36e"/>
    <s v="b046940f-1664-3047-bca7-dfa76be352a4"/>
    <x v="0"/>
    <n v="162673000"/>
    <s v="General examination of patient (procedure)"/>
    <n v="136.80000000000001"/>
    <n v="704.2"/>
    <n v="704.2"/>
    <m/>
    <x v="0"/>
  </r>
  <r>
    <s v="96de62ae-1b00-58d8-a284-80d2e9094e7e"/>
    <d v="2023-10-04T06:32:30"/>
    <d v="2023-10-04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1660.14"/>
    <n v="11660.14"/>
    <n v="72892002"/>
    <x v="4"/>
  </r>
  <r>
    <s v="96de62ae-1b00-58d8-e6f5-95c6cb8867b0"/>
    <d v="2023-11-01T06:32:30"/>
    <d v="2023-11-01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8117.16"/>
    <n v="8117.16"/>
    <n v="72892002"/>
    <x v="4"/>
  </r>
  <r>
    <s v="96de62ae-1b00-58d8-03c9-86a918b6bfd8"/>
    <d v="2023-11-15T05:32:30"/>
    <d v="2023-11-15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1451.02"/>
    <n v="11451.02"/>
    <n v="72892002"/>
    <x v="4"/>
  </r>
  <r>
    <s v="96de62ae-1b00-58d8-e174-bef0d6b1fc13"/>
    <d v="2023-11-22T05:32:30"/>
    <d v="2023-11-22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6133.42"/>
    <n v="6133.42"/>
    <n v="72892002"/>
    <x v="4"/>
  </r>
  <r>
    <s v="96de62ae-1b00-58d8-dc24-f385882f945a"/>
    <d v="2023-11-29T05:32:30"/>
    <d v="2023-11-29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7714.49"/>
    <n v="7714.49"/>
    <n v="72892002"/>
    <x v="4"/>
  </r>
  <r>
    <s v="96de62ae-1b00-58d8-88a7-096f0c873e59"/>
    <d v="2023-12-06T05:32:30"/>
    <d v="2023-12-06T06:32:30"/>
    <s v="96de62ae-1b00-58d8-77f9-cd25414e16be"/>
    <s v="94ac48ba-e215-3ab9-ba88-a0b926d29cef"/>
    <s v="b30e58ed-699e-3382-a179-77e448498dab"/>
    <s v="b046940f-1664-3047-bca7-dfa76be352a4"/>
    <x v="3"/>
    <n v="183460006"/>
    <s v="Obstetric emergency hospital admission (procedure)"/>
    <n v="146.18"/>
    <n v="3610.7"/>
    <n v="3610.7"/>
    <n v="72892002"/>
    <x v="4"/>
  </r>
  <r>
    <s v="96de62ae-1b00-58d8-c093-b4e1f6aea15e"/>
    <d v="2024-01-17T05:32:30"/>
    <d v="2024-01-17T05:47:30"/>
    <s v="96de62ae-1b00-58d8-77f9-cd25414e16be"/>
    <s v="bac9dc0c-cb0f-3fa6-aa12-819dd0fb922a"/>
    <s v="47684c3a-477d-374f-b29a-529866226a70"/>
    <s v="b046940f-1664-3047-bca7-dfa76be352a4"/>
    <x v="1"/>
    <n v="169762003"/>
    <s v="Postnatal visit (regime/therapy)"/>
    <n v="142.58000000000001"/>
    <n v="1005.38"/>
    <n v="1005.38"/>
    <m/>
    <x v="0"/>
  </r>
  <r>
    <s v="96de62ae-1b00-58d8-74fa-28d56b673c41"/>
    <d v="2024-04-24T06:32:30"/>
    <d v="2024-04-24T06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13239.03"/>
    <n v="13239.03"/>
    <n v="72892002"/>
    <x v="4"/>
  </r>
  <r>
    <s v="96de62ae-1b00-58d8-20be-c483dc0a8d93"/>
    <d v="2024-05-12T06:32:30"/>
    <d v="2024-05-12T06:47:30"/>
    <s v="96de62ae-1b00-58d8-77f9-cd25414e16be"/>
    <s v="bac9dc0c-cb0f-3fa6-aa12-819dd0fb922a"/>
    <s v="47684c3a-477d-374f-b29a-529866226a70"/>
    <s v="b046940f-1664-3047-bca7-dfa76be352a4"/>
    <x v="1"/>
    <n v="270427003"/>
    <s v="Patient-initiated encounter (procedure)"/>
    <n v="85.55"/>
    <n v="4444.9799999999996"/>
    <n v="4444.9799999999996"/>
    <n v="72892002"/>
    <x v="4"/>
  </r>
  <r>
    <s v="96de62ae-1b00-58d8-a96b-9b2d924bd06b"/>
    <d v="2024-05-22T06:32:30"/>
    <d v="2024-05-22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868.18"/>
    <n v="1868.18"/>
    <n v="72892002"/>
    <x v="4"/>
  </r>
  <r>
    <s v="96de62ae-1b00-58d8-3559-dc426825b94a"/>
    <d v="2024-07-16T09:07:04"/>
    <d v="2024-07-16T10:07:04"/>
    <s v="96de62ae-1b00-58d8-77f9-cd25414e16be"/>
    <s v="94ac48ba-e215-3ab9-ba88-a0b926d29cef"/>
    <s v="b30e58ed-699e-3382-a179-77e448498dab"/>
    <s v="b046940f-1664-3047-bca7-dfa76be352a4"/>
    <x v="3"/>
    <n v="50849002"/>
    <s v="Emergency room admission (procedure)"/>
    <n v="146.18"/>
    <n v="1008.98"/>
    <n v="1008.98"/>
    <n v="125605004"/>
    <x v="36"/>
  </r>
  <r>
    <s v="96de62ae-1b00-58d8-76b8-c588a67bd272"/>
    <d v="2024-11-09T08:32:58"/>
    <d v="2024-11-09T08:47:58"/>
    <s v="96de62ae-1b00-58d8-77f9-cd25414e16be"/>
    <s v="bac9dc0c-cb0f-3fa6-aa12-819dd0fb922a"/>
    <s v="47684c3a-477d-374f-b29a-529866226a70"/>
    <s v="b046940f-1664-3047-bca7-dfa76be352a4"/>
    <x v="1"/>
    <n v="185349003"/>
    <s v="Encounter for check up (procedure)"/>
    <n v="85.55"/>
    <n v="85.55"/>
    <n v="0"/>
    <n v="65966004"/>
    <x v="37"/>
  </r>
  <r>
    <s v="96de62ae-1b00-58d8-41de-915819c8ee68"/>
    <d v="2025-01-22T05:32:30"/>
    <d v="2025-01-22T05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6453.97"/>
    <n v="1427.66"/>
    <n v="72892002"/>
    <x v="4"/>
  </r>
  <r>
    <s v="96de62ae-1b00-58d8-8da8-2c6cdfe71e2e"/>
    <d v="2025-02-05T05:32:30"/>
    <d v="2025-02-05T05:47:30"/>
    <s v="96de62ae-1b00-58d8-77f9-cd25414e16be"/>
    <s v="bac9dc0c-cb0f-3fa6-aa12-819dd0fb922a"/>
    <s v="47684c3a-477d-374f-b29a-529866226a70"/>
    <s v="b046940f-1664-3047-bca7-dfa76be352a4"/>
    <x v="1"/>
    <n v="270427003"/>
    <s v="Patient-initiated encounter (procedure)"/>
    <n v="85.55"/>
    <n v="8149.9"/>
    <n v="5704.92"/>
    <n v="72892002"/>
    <x v="4"/>
  </r>
  <r>
    <s v="96de62ae-1b00-58d8-75dd-abb4c63cdf6f"/>
    <d v="2025-02-20T05:32:30"/>
    <d v="2025-02-20T05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443.68"/>
    <n v="1010.58"/>
    <n v="72892002"/>
    <x v="4"/>
  </r>
  <r>
    <s v="96de62ae-1b00-58d8-3abe-a2e98b58c4d8"/>
    <d v="2025-02-21T15:32:30"/>
    <d v="2025-02-21T15:47:30"/>
    <s v="96de62ae-1b00-58d8-77f9-cd25414e16be"/>
    <s v="bac9dc0c-cb0f-3fa6-aa12-819dd0fb922a"/>
    <s v="47684c3a-477d-374f-b29a-529866226a70"/>
    <s v="b046940f-1664-3047-bca7-dfa76be352a4"/>
    <x v="1"/>
    <n v="185345009"/>
    <s v="Encounter for symptom (procedure)"/>
    <n v="85.55"/>
    <n v="85.55"/>
    <n v="59.88"/>
    <n v="444814009"/>
    <x v="2"/>
  </r>
  <r>
    <s v="96de62ae-1b00-58d8-5e38-dfe7538b3416"/>
    <d v="2025-05-02T07:32:30"/>
    <d v="2025-05-02T07:49:24"/>
    <s v="96de62ae-1b00-58d8-77f9-cd25414e16be"/>
    <s v="bac9dc0c-cb0f-3fa6-aa12-819dd0fb922a"/>
    <s v="47684c3a-477d-374f-b29a-529866226a70"/>
    <s v="b046940f-1664-3047-bca7-dfa76be352a4"/>
    <x v="1"/>
    <n v="185345009"/>
    <s v="Encounter for symptom (procedure)"/>
    <n v="85.55"/>
    <n v="411.1"/>
    <n v="287.76"/>
    <n v="10509002"/>
    <x v="1"/>
  </r>
  <r>
    <s v="96de62ae-1b00-58d8-7246-170c1ce21ece"/>
    <d v="2025-05-14T06:32:30"/>
    <d v="2025-05-14T07:07:23"/>
    <s v="96de62ae-1b00-58d8-77f9-cd25414e16be"/>
    <s v="3e97ce4f-3ad7-3cea-883f-e2bb4ca89d83"/>
    <s v="f23915b5-5720-379f-ba7d-f5b290934bfc"/>
    <s v="b046940f-1664-3047-bca7-dfa76be352a4"/>
    <x v="4"/>
    <n v="702927004"/>
    <s v="Urgent care clinic (environment)"/>
    <n v="142.58000000000001"/>
    <n v="709.98"/>
    <n v="496.99"/>
    <m/>
    <x v="0"/>
  </r>
  <r>
    <s v="96de62ae-1b00-58d8-ec19-187e459c54e7"/>
    <d v="2025-07-23T06:32:30"/>
    <d v="2025-07-23T06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40157.480000000003"/>
    <n v="24960.22"/>
    <n v="72892002"/>
    <x v="4"/>
  </r>
  <r>
    <s v="96de62ae-1b00-58d8-c34d-ee3086cf28cd"/>
    <d v="2025-08-20T06:32:30"/>
    <d v="2025-08-20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8117.16"/>
    <n v="8117.16"/>
    <n v="72892002"/>
    <x v="4"/>
  </r>
  <r>
    <s v="96de62ae-1b00-58d8-0026-65513933ac66"/>
    <d v="2025-09-17T06:32:30"/>
    <d v="2025-09-17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42.58000000000001"/>
    <n v="142.58000000000001"/>
    <n v="72892002"/>
    <x v="4"/>
  </r>
  <r>
    <s v="96de62ae-1b00-58d8-163c-a1d70110eabf"/>
    <d v="2025-10-07T06:32:30"/>
    <d v="2025-10-07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005.38"/>
    <n v="1005.38"/>
    <n v="267253006"/>
    <x v="34"/>
  </r>
  <r>
    <s v="96de62ae-1b00-58d8-e5f7-1db340e55d0c"/>
    <d v="2026-04-08T06:32:30"/>
    <d v="2026-04-08T06:47:30"/>
    <s v="96de62ae-1b00-58d8-77f9-cd25414e16be"/>
    <s v="bac9dc0c-cb0f-3fa6-aa12-819dd0fb922a"/>
    <s v="47684c3a-477d-374f-b29a-529866226a70"/>
    <s v="b046940f-1664-3047-bca7-dfa76be352a4"/>
    <x v="1"/>
    <n v="424441002"/>
    <s v="Prenatal initial visit (regime/therapy)"/>
    <n v="142.58000000000001"/>
    <n v="46623.3"/>
    <n v="46623.3"/>
    <n v="72892002"/>
    <x v="4"/>
  </r>
  <r>
    <s v="96de62ae-1b00-58d8-fe0f-aa735a2690e0"/>
    <d v="2026-05-06T06:32:30"/>
    <d v="2026-05-06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6150.3"/>
    <n v="6150.3"/>
    <n v="72892002"/>
    <x v="4"/>
  </r>
  <r>
    <s v="96de62ae-1b00-58d8-6726-f3eb1bad1882"/>
    <d v="2026-06-03T06:32:30"/>
    <d v="2026-06-03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14446.87"/>
    <n v="14446.87"/>
    <n v="72892002"/>
    <x v="4"/>
  </r>
  <r>
    <s v="96de62ae-1b00-58d8-5d75-fdee6514d0b0"/>
    <d v="2026-07-01T06:32:30"/>
    <d v="2026-07-01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8322.19"/>
    <n v="8322.19"/>
    <n v="72892002"/>
    <x v="4"/>
  </r>
  <r>
    <s v="96de62ae-1b00-58d8-b3f4-2687e26a1540"/>
    <d v="2026-07-29T06:32:30"/>
    <d v="2026-07-29T06:47:30"/>
    <s v="96de62ae-1b00-58d8-77f9-cd25414e16be"/>
    <s v="bac9dc0c-cb0f-3fa6-aa12-819dd0fb922a"/>
    <s v="47684c3a-477d-374f-b29a-529866226a70"/>
    <s v="b046940f-1664-3047-bca7-dfa76be352a4"/>
    <x v="1"/>
    <n v="424619006"/>
    <s v="Prenatal visit (regime/therapy)"/>
    <n v="142.58000000000001"/>
    <n v="5919.65"/>
    <n v="993.76"/>
    <n v="72892002"/>
    <x v="4"/>
  </r>
  <r>
    <s v="46fcc34a-97a1-f038-ce5a-a68dbde9c1b7"/>
    <d v="1990-04-04T22:56:05"/>
    <d v="1990-04-04T23:11:05"/>
    <s v="46fcc34a-97a1-f038-9bb1-4ae87116ae61"/>
    <s v="845fbd9b-2d1c-39a8-8261-28ae40e4fab2"/>
    <s v="3d00a08d-4cd0-366b-b61a-1badf6fe073a"/>
    <s v="8fa6c185-e44e-3e34-8bd8-39be8694f4ce"/>
    <x v="1"/>
    <n v="185345009"/>
    <s v="Encounter for symptom (procedure)"/>
    <n v="85.55"/>
    <n v="85.55"/>
    <n v="0"/>
    <n v="367498001"/>
    <x v="59"/>
  </r>
  <r>
    <s v="46fcc34a-97a1-f038-dbf2-fa76c7f7110b"/>
    <d v="1990-04-16T16:56:05"/>
    <d v="1990-04-16T17:29:45"/>
    <s v="46fcc34a-97a1-f038-9bb1-4ae87116ae61"/>
    <s v="845fbd9b-2d1c-39a8-8261-28ae40e4fab2"/>
    <s v="3d00a08d-4cd0-366b-b61a-1badf6fe073a"/>
    <s v="8fa6c185-e44e-3e34-8bd8-39be8694f4ce"/>
    <x v="1"/>
    <n v="185347001"/>
    <s v="Encounter for problem (procedure)"/>
    <n v="85.55"/>
    <n v="516.95000000000005"/>
    <n v="0"/>
    <n v="609328004"/>
    <x v="11"/>
  </r>
  <r>
    <s v="46fcc34a-97a1-f038-b4bb-0a4d9109b5fc"/>
    <d v="2001-07-24T22:56:05"/>
    <d v="2001-07-24T23:12:32"/>
    <s v="46fcc34a-97a1-f038-9bb1-4ae87116ae61"/>
    <s v="d613e441-68e8-3502-8adb-3f770a1276bf"/>
    <s v="2b8a0595-ada5-3e2e-8581-df33e711997e"/>
    <s v="0133f751-9229-3cfd-815f-b6d4979bdd6a"/>
    <x v="0"/>
    <n v="410620009"/>
    <s v="Well child visit (procedure)"/>
    <n v="136.80000000000001"/>
    <n v="642.78"/>
    <n v="385.67"/>
    <m/>
    <x v="0"/>
  </r>
  <r>
    <s v="46fcc34a-97a1-f038-cdd8-cc9cb065766b"/>
    <d v="2003-08-05T22:56:05"/>
    <d v="2003-08-05T23:30:08"/>
    <s v="46fcc34a-97a1-f038-9bb1-4ae87116ae61"/>
    <s v="d613e441-68e8-3502-8adb-3f770a1276bf"/>
    <s v="2b8a0595-ada5-3e2e-8581-df33e711997e"/>
    <s v="0133f751-9229-3cfd-815f-b6d4979bdd6a"/>
    <x v="0"/>
    <n v="162673000"/>
    <s v="General examination of patient (procedure)"/>
    <n v="136.80000000000001"/>
    <n v="704.2"/>
    <n v="0"/>
    <m/>
    <x v="0"/>
  </r>
  <r>
    <s v="46fcc34a-97a1-f038-5fa6-f301ae898671"/>
    <d v="2008-10-17T22:56:05"/>
    <d v="2008-10-17T23:11:05"/>
    <s v="46fcc34a-97a1-f038-9bb1-4ae87116ae61"/>
    <s v="845fbd9b-2d1c-39a8-8261-28ae40e4fab2"/>
    <s v="3d00a08d-4cd0-366b-b61a-1badf6fe073a"/>
    <s v="0133f751-9229-3cfd-815f-b6d4979bdd6a"/>
    <x v="1"/>
    <n v="424619006"/>
    <s v="Prenatal visit (regime/therapy)"/>
    <n v="142.58000000000001"/>
    <n v="1005.38"/>
    <n v="603.23"/>
    <n v="156073000"/>
    <x v="26"/>
  </r>
  <r>
    <s v="46fcc34a-97a1-f038-2013-a1445cc983b6"/>
    <d v="2014-01-30T21:56:05"/>
    <d v="2014-01-30T22:11:05"/>
    <s v="46fcc34a-97a1-f038-9bb1-4ae87116ae61"/>
    <s v="845fbd9b-2d1c-39a8-8261-28ae40e4fab2"/>
    <s v="3d00a08d-4cd0-366b-b61a-1badf6fe073a"/>
    <s v="0133f751-9229-3cfd-815f-b6d4979bdd6a"/>
    <x v="2"/>
    <n v="185347001"/>
    <s v="Encounter for problem (procedure)"/>
    <n v="85.55"/>
    <n v="85.55"/>
    <n v="51.33"/>
    <n v="82423001"/>
    <x v="33"/>
  </r>
  <r>
    <s v="46fcc34a-97a1-f038-3016-022093fe87df"/>
    <d v="2014-04-22T12:56:05"/>
    <d v="2014-04-22T13:11:05"/>
    <s v="46fcc34a-97a1-f038-9bb1-4ae87116ae61"/>
    <s v="845fbd9b-2d1c-39a8-8261-28ae40e4fab2"/>
    <s v="3d00a08d-4cd0-366b-b61a-1badf6fe073a"/>
    <s v="0133f751-9229-3cfd-815f-b6d4979bdd6a"/>
    <x v="1"/>
    <n v="390906007"/>
    <s v="Follow-up encounter (procedure)"/>
    <n v="85.55"/>
    <n v="85.55"/>
    <n v="51.33"/>
    <n v="82423001"/>
    <x v="33"/>
  </r>
  <r>
    <s v="46fcc34a-97a1-f038-cf8f-2b43cd9da3dd"/>
    <d v="2015-02-03T21:56:05"/>
    <d v="2015-02-03T22:26:30"/>
    <s v="46fcc34a-97a1-f038-9bb1-4ae87116ae61"/>
    <s v="ab701a70-a658-340e-8f69-ee196a7d40c6"/>
    <s v="fb885f7c-4155-39b9-bc7e-e1a1c5ebcf1f"/>
    <s v="a735bf55-83e9-331a-899d-a82a60b9f60c"/>
    <x v="4"/>
    <n v="702927004"/>
    <s v="Urgent care clinic (environment)"/>
    <n v="142.58000000000001"/>
    <n v="709.98"/>
    <n v="567.98"/>
    <m/>
    <x v="0"/>
  </r>
  <r>
    <s v="46fcc34a-97a1-f038-e100-75afc3eb2b59"/>
    <d v="2015-09-01T22:56:05"/>
    <d v="2015-09-01T23:50:07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778.78"/>
    <n v="623.02"/>
    <m/>
    <x v="0"/>
  </r>
  <r>
    <s v="46fcc34a-97a1-f038-426b-3a0f8a44dfd7"/>
    <d v="2016-03-15T22:56:05"/>
    <d v="2016-03-15T23:11:05"/>
    <s v="46fcc34a-97a1-f038-9bb1-4ae87116ae61"/>
    <s v="845fbd9b-2d1c-39a8-8261-28ae40e4fab2"/>
    <s v="3d00a08d-4cd0-366b-b61a-1badf6fe073a"/>
    <s v="a735bf55-83e9-331a-899d-a82a60b9f60c"/>
    <x v="1"/>
    <n v="424441002"/>
    <s v="Prenatal initial visit (regime/therapy)"/>
    <n v="142.58000000000001"/>
    <n v="46494.99"/>
    <n v="46494.99"/>
    <n v="72892002"/>
    <x v="4"/>
  </r>
  <r>
    <s v="46fcc34a-97a1-f038-4f9e-dd80bd7b8b1c"/>
    <d v="2016-08-30T22:56:05"/>
    <d v="2016-08-30T23:11:05"/>
    <s v="46fcc34a-97a1-f038-9bb1-4ae87116ae61"/>
    <s v="845fbd9b-2d1c-39a8-8261-28ae40e4fab2"/>
    <s v="3d00a08d-4cd0-366b-b61a-1badf6fe073a"/>
    <s v="d18ef2e6-ef40-324c-be54-34a5ee865625"/>
    <x v="1"/>
    <n v="424619006"/>
    <s v="Prenatal visit (regime/therapy)"/>
    <n v="142.58000000000001"/>
    <n v="10241.82"/>
    <n v="10206.82"/>
    <n v="72892002"/>
    <x v="4"/>
  </r>
  <r>
    <s v="46fcc34a-97a1-f038-3e3d-e5681d587a20"/>
    <d v="2016-09-06T22:56:05"/>
    <d v="2016-09-06T23:54:44"/>
    <s v="46fcc34a-97a1-f038-9bb1-4ae87116ae61"/>
    <s v="d613e441-68e8-3502-8adb-3f770a1276bf"/>
    <s v="2b8a0595-ada5-3e2e-8581-df33e711997e"/>
    <s v="d18ef2e6-ef40-324c-be54-34a5ee865625"/>
    <x v="0"/>
    <n v="162673000"/>
    <s v="General examination of patient (procedure)"/>
    <n v="136.80000000000001"/>
    <n v="1055.9000000000001"/>
    <n v="1055.9000000000001"/>
    <m/>
    <x v="0"/>
  </r>
  <r>
    <s v="46fcc34a-97a1-f038-b630-3ffe3455a7da"/>
    <d v="2016-09-27T22:56:05"/>
    <d v="2016-09-27T23:11:05"/>
    <s v="46fcc34a-97a1-f038-9bb1-4ae87116ae61"/>
    <s v="845fbd9b-2d1c-39a8-8261-28ae40e4fab2"/>
    <s v="3d00a08d-4cd0-366b-b61a-1badf6fe073a"/>
    <s v="d18ef2e6-ef40-324c-be54-34a5ee865625"/>
    <x v="1"/>
    <n v="424619006"/>
    <s v="Prenatal visit (regime/therapy)"/>
    <n v="142.58000000000001"/>
    <n v="6988.97"/>
    <n v="6953.97"/>
    <n v="72892002"/>
    <x v="4"/>
  </r>
  <r>
    <s v="46fcc34a-97a1-f038-e968-203ac44b060f"/>
    <d v="2016-10-11T22:56:05"/>
    <d v="2016-10-11T23:56:05"/>
    <s v="46fcc34a-97a1-f038-9bb1-4ae87116ae61"/>
    <s v="b3b56527-d366-3353-bca9-266a12f23051"/>
    <s v="ea7373bf-fb81-3c05-aa90-fbbabd046cb2"/>
    <s v="d18ef2e6-ef40-324c-be54-34a5ee865625"/>
    <x v="3"/>
    <n v="183460006"/>
    <s v="Obstetric emergency hospital admission (procedure)"/>
    <n v="146.18"/>
    <n v="14589.21"/>
    <n v="14554.21"/>
    <n v="72892002"/>
    <x v="4"/>
  </r>
  <r>
    <s v="46fcc34a-97a1-f038-5563-19c776e8b2ec"/>
    <d v="2016-11-22T21:56:05"/>
    <d v="2016-11-22T22:11:05"/>
    <s v="46fcc34a-97a1-f038-9bb1-4ae87116ae61"/>
    <s v="845fbd9b-2d1c-39a8-8261-28ae40e4fab2"/>
    <s v="3d00a08d-4cd0-366b-b61a-1badf6fe073a"/>
    <s v="d18ef2e6-ef40-324c-be54-34a5ee865625"/>
    <x v="1"/>
    <n v="169762003"/>
    <s v="Postnatal visit (regime/therapy)"/>
    <n v="142.58000000000001"/>
    <n v="1005.38"/>
    <n v="970.38"/>
    <m/>
    <x v="0"/>
  </r>
  <r>
    <s v="46fcc34a-97a1-f038-b5bb-442ce514d044"/>
    <d v="2017-09-12T22:56:05"/>
    <d v="2017-09-12T23:31:31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704.2"/>
    <n v="480.91"/>
    <m/>
    <x v="0"/>
  </r>
  <r>
    <s v="46fcc34a-97a1-f038-1e7a-8285f098736d"/>
    <d v="2017-09-26T22:56:05"/>
    <d v="2017-09-27T04:29:59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4830.95"/>
    <n v="3864.76"/>
    <n v="66383009"/>
    <x v="17"/>
  </r>
  <r>
    <s v="46fcc34a-97a1-f038-d193-226822c2b206"/>
    <d v="2018-09-18T22:56:05"/>
    <d v="2018-09-18T23:52:42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853.36"/>
    <n v="600.23"/>
    <m/>
    <x v="0"/>
  </r>
  <r>
    <s v="46fcc34a-97a1-f038-a123-d4747d8d1080"/>
    <d v="2018-10-02T22:56:05"/>
    <d v="2018-10-03T04:26:54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4399.55"/>
    <n v="3519.64"/>
    <n v="66383009"/>
    <x v="17"/>
  </r>
  <r>
    <s v="46fcc34a-97a1-f038-8c70-e6130a71adab"/>
    <d v="2018-11-29T21:56:05"/>
    <d v="2018-11-29T22:11:05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46fcc34a-97a1-f038-a1dc-9c43c877ecb3"/>
    <d v="2018-12-04T06:56:05"/>
    <d v="2018-12-04T08:02:59"/>
    <s v="46fcc34a-97a1-f038-9bb1-4ae87116ae61"/>
    <s v="845fbd9b-2d1c-39a8-8261-28ae40e4fab2"/>
    <s v="3d00a08d-4cd0-366b-b61a-1badf6fe073a"/>
    <s v="a735bf55-83e9-331a-899d-a82a60b9f60c"/>
    <x v="2"/>
    <n v="308335008"/>
    <s v="Patient encounter procedure (procedure)"/>
    <n v="142.58000000000001"/>
    <n v="7230.64"/>
    <n v="5784.51"/>
    <n v="389095005"/>
    <x v="15"/>
  </r>
  <r>
    <s v="46fcc34a-97a1-f038-94de-709570a0e6ad"/>
    <d v="2019-09-24T22:56:05"/>
    <d v="2019-09-24T23:55:38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704.2"/>
    <n v="480.91"/>
    <m/>
    <x v="0"/>
  </r>
  <r>
    <s v="46fcc34a-97a1-f038-37c4-96e01dab3dbd"/>
    <d v="2019-10-08T22:56:05"/>
    <d v="2019-10-09T02:54:46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3536.75"/>
    <n v="2829.4"/>
    <n v="66383009"/>
    <x v="17"/>
  </r>
  <r>
    <s v="46fcc34a-97a1-f038-eb4d-396682727acc"/>
    <d v="2019-12-03T21:56:05"/>
    <d v="2019-12-03T22:30:57"/>
    <s v="46fcc34a-97a1-f038-9bb1-4ae87116ae61"/>
    <s v="845fbd9b-2d1c-39a8-8261-28ae40e4fab2"/>
    <s v="3d00a08d-4cd0-366b-b61a-1badf6fe073a"/>
    <s v="a735bf55-83e9-331a-899d-a82a60b9f60c"/>
    <x v="2"/>
    <n v="185349003"/>
    <s v="Encounter for check up (procedure)"/>
    <n v="85.55"/>
    <n v="516.95000000000005"/>
    <n v="413.56"/>
    <m/>
    <x v="0"/>
  </r>
  <r>
    <s v="46fcc34a-97a1-f038-4c69-07f645cc67af"/>
    <d v="2019-12-10T21:56:05"/>
    <d v="2019-12-10T22:11:05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46fcc34a-97a1-f038-6407-6e95fa1328c5"/>
    <d v="2019-12-10T21:56:05"/>
    <d v="2019-12-10T22:11:05"/>
    <s v="46fcc34a-97a1-f038-9bb1-4ae87116ae61"/>
    <s v="845fbd9b-2d1c-39a8-8261-28ae40e4fab2"/>
    <s v="3d00a08d-4cd0-366b-b61a-1badf6fe073a"/>
    <s v="a735bf55-83e9-331a-899d-a82a60b9f60c"/>
    <x v="1"/>
    <n v="185345009"/>
    <s v="Encounter for symptom (procedure)"/>
    <n v="85.55"/>
    <n v="85.55"/>
    <n v="68.44"/>
    <n v="444814009"/>
    <x v="2"/>
  </r>
  <r>
    <s v="46fcc34a-97a1-f038-e16b-fcc656d95b8d"/>
    <d v="2019-12-17T21:56:05"/>
    <d v="2019-12-18T02:16:34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3536.75"/>
    <n v="2829.4"/>
    <n v="103697008"/>
    <x v="3"/>
  </r>
  <r>
    <s v="46fcc34a-97a1-f038-6bcf-83aaefd136d9"/>
    <d v="2020-09-29T22:56:05"/>
    <d v="2020-09-29T23:54:37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966.28"/>
    <n v="690.57"/>
    <m/>
    <x v="0"/>
  </r>
  <r>
    <s v="46fcc34a-97a1-f038-0d91-706248ffcf2b"/>
    <d v="2020-12-04T21:56:05"/>
    <d v="2020-12-04T22:30:01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5783.94"/>
    <n v="12627.15"/>
    <n v="389095005"/>
    <x v="15"/>
  </r>
  <r>
    <s v="46fcc34a-97a1-f038-4e3e-c1be2f453fe4"/>
    <d v="2021-03-30T22:56:05"/>
    <d v="2021-03-30T23:11:05"/>
    <s v="46fcc34a-97a1-f038-9bb1-4ae87116ae61"/>
    <s v="845fbd9b-2d1c-39a8-8261-28ae40e4fab2"/>
    <s v="3d00a08d-4cd0-366b-b61a-1badf6fe073a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46fcc34a-97a1-f038-ea5f-befb62c6a10d"/>
    <d v="2021-10-05T22:56:05"/>
    <d v="2021-10-05T23:41:35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994.48"/>
    <n v="713.13"/>
    <m/>
    <x v="0"/>
  </r>
  <r>
    <s v="46fcc34a-97a1-f038-bd44-289b75cb8bea"/>
    <d v="2021-11-29T22:30:01"/>
    <d v="2021-11-29T22:45:01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46fcc34a-97a1-f038-2b3b-9e41c2377c9a"/>
    <d v="2021-12-04T18:30:01"/>
    <d v="2021-12-04T19:29:46"/>
    <s v="46fcc34a-97a1-f038-9bb1-4ae87116ae61"/>
    <s v="845fbd9b-2d1c-39a8-8261-28ae40e4fab2"/>
    <s v="3d00a08d-4cd0-366b-b61a-1badf6fe073a"/>
    <s v="a735bf55-83e9-331a-899d-a82a60b9f60c"/>
    <x v="2"/>
    <n v="308335008"/>
    <s v="Patient encounter procedure (procedure)"/>
    <n v="142.58000000000001"/>
    <n v="4052.91"/>
    <n v="3242.32"/>
    <n v="389095005"/>
    <x v="15"/>
  </r>
  <r>
    <s v="46fcc34a-97a1-f038-440f-d5968d40d953"/>
    <d v="2022-10-11T22:56:05"/>
    <d v="2022-10-11T23:30:09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704.2"/>
    <n v="480.91"/>
    <m/>
    <x v="0"/>
  </r>
  <r>
    <s v="46fcc34a-97a1-f038-e122-e77d0b78d268"/>
    <d v="2022-10-25T22:56:05"/>
    <d v="2022-10-26T01:58:48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3536.75"/>
    <n v="2829.4"/>
    <n v="66383009"/>
    <x v="17"/>
  </r>
  <r>
    <s v="46fcc34a-97a1-f038-dc38-aec4048893e4"/>
    <d v="2022-11-29T19:29:46"/>
    <d v="2022-11-29T19:44:46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46fcc34a-97a1-f038-d625-857794e18e71"/>
    <d v="2023-10-17T22:56:05"/>
    <d v="2023-10-17T23:43:53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994.48"/>
    <n v="713.13"/>
    <m/>
    <x v="0"/>
  </r>
  <r>
    <s v="46fcc34a-97a1-f038-c2bb-a19436b83a5a"/>
    <d v="2023-10-31T22:56:05"/>
    <d v="2023-11-01T06:18:41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4830.95"/>
    <n v="3864.76"/>
    <n v="66383009"/>
    <x v="17"/>
  </r>
  <r>
    <s v="46fcc34a-97a1-f038-d6af-c8b94f7cae43"/>
    <d v="2023-12-12T21:56:05"/>
    <d v="2023-12-12T23:01:06"/>
    <s v="46fcc34a-97a1-f038-9bb1-4ae87116ae61"/>
    <s v="845fbd9b-2d1c-39a8-8261-28ae40e4fab2"/>
    <s v="3d00a08d-4cd0-366b-b61a-1badf6fe073a"/>
    <s v="a735bf55-83e9-331a-899d-a82a60b9f60c"/>
    <x v="2"/>
    <n v="308335008"/>
    <s v="Patient encounter procedure (procedure)"/>
    <n v="142.58000000000001"/>
    <n v="15783.94"/>
    <n v="12627.15"/>
    <n v="389095005"/>
    <x v="15"/>
  </r>
  <r>
    <s v="46fcc34a-97a1-f038-f0c2-bbc4ad58eb48"/>
    <d v="2024-10-22T22:56:05"/>
    <d v="2024-10-22T23:40:18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994.48"/>
    <n v="713.13"/>
    <m/>
    <x v="0"/>
  </r>
  <r>
    <s v="46fcc34a-97a1-f038-eef3-961f5ab34eed"/>
    <d v="2024-11-18T19:29:46"/>
    <d v="2024-11-18T19:44:46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46fcc34a-97a1-f038-7ddb-8f7b34964e31"/>
    <d v="2025-10-28T22:56:05"/>
    <d v="2025-10-28T23:47:21"/>
    <s v="46fcc34a-97a1-f038-9bb1-4ae87116ae61"/>
    <s v="d613e441-68e8-3502-8adb-3f770a1276bf"/>
    <s v="2b8a0595-ada5-3e2e-8581-df33e711997e"/>
    <s v="a735bf55-83e9-331a-899d-a82a60b9f60c"/>
    <x v="0"/>
    <n v="162673000"/>
    <s v="General examination of patient (procedure)"/>
    <n v="136.80000000000001"/>
    <n v="840.2"/>
    <n v="589.71"/>
    <m/>
    <x v="0"/>
  </r>
  <r>
    <s v="46fcc34a-97a1-f038-48b3-91f86928270d"/>
    <d v="2025-11-11T21:56:05"/>
    <d v="2025-11-12T04:49:32"/>
    <s v="46fcc34a-97a1-f038-9bb1-4ae87116ae61"/>
    <s v="845fbd9b-2d1c-39a8-8261-28ae40e4fab2"/>
    <s v="3d00a08d-4cd0-366b-b61a-1badf6fe073a"/>
    <s v="a735bf55-83e9-331a-899d-a82a60b9f60c"/>
    <x v="1"/>
    <n v="185349003"/>
    <s v="Encounter for check up (procedure)"/>
    <n v="85.55"/>
    <n v="5262.35"/>
    <n v="4209.88"/>
    <n v="66383009"/>
    <x v="17"/>
  </r>
  <r>
    <s v="46fcc34a-97a1-f038-771f-2a8271a9c2ed"/>
    <d v="2025-11-25T21:56:05"/>
    <d v="2025-11-25T22:11:05"/>
    <s v="46fcc34a-97a1-f038-9bb1-4ae87116ae61"/>
    <s v="845fbd9b-2d1c-39a8-8261-28ae40e4fab2"/>
    <s v="3d00a08d-4cd0-366b-b61a-1badf6fe073a"/>
    <s v="a735bf55-83e9-331a-899d-a82a60b9f60c"/>
    <x v="2"/>
    <n v="698314001"/>
    <s v="Consultation for treatment (procedure)"/>
    <n v="142.58000000000001"/>
    <n v="142.58000000000001"/>
    <n v="114.06"/>
    <n v="389095005"/>
    <x v="15"/>
  </r>
  <r>
    <s v="46fcc34a-97a1-f038-f819-acf5c7c5c053"/>
    <d v="2025-11-28T02:56:05"/>
    <d v="2025-11-28T03:55:41"/>
    <s v="46fcc34a-97a1-f038-9bb1-4ae87116ae61"/>
    <s v="845fbd9b-2d1c-39a8-8261-28ae40e4fab2"/>
    <s v="3d00a08d-4cd0-366b-b61a-1badf6fe073a"/>
    <s v="a735bf55-83e9-331a-899d-a82a60b9f60c"/>
    <x v="2"/>
    <n v="308335008"/>
    <s v="Patient encounter procedure (procedure)"/>
    <n v="142.58000000000001"/>
    <n v="4052.91"/>
    <n v="3242.32"/>
    <n v="389095005"/>
    <x v="15"/>
  </r>
  <r>
    <s v="6c4283c9-228b-2774-2eb7-5438fa1a67bf"/>
    <d v="2002-10-10T05:23:55"/>
    <d v="2002-10-10T05:38:55"/>
    <s v="6c4283c9-228b-2774-7d25-fbb5a14bdc1b"/>
    <s v="05fcf001-ab24-3d7d-85f7-f64942d82738"/>
    <s v="9876dc61-49f0-3488-809b-5dc9adac813b"/>
    <s v="df166300-5a78-3502-a46a-832842197811"/>
    <x v="1"/>
    <n v="185345009"/>
    <s v="Encounter for symptom (procedure)"/>
    <n v="85.55"/>
    <n v="92.93"/>
    <n v="42.93"/>
    <n v="75498004"/>
    <x v="14"/>
  </r>
  <r>
    <s v="6c4283c9-228b-2774-ea88-056fbac733c7"/>
    <d v="2004-01-24T12:23:55"/>
    <d v="2004-01-24T13:17:31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704.2"/>
    <n v="554.20000000000005"/>
    <m/>
    <x v="0"/>
  </r>
  <r>
    <s v="6c4283c9-228b-2774-6722-5d93ecde9b63"/>
    <d v="2008-02-02T12:23:55"/>
    <d v="2008-02-02T13:01:07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1402.48"/>
    <n v="1302.48"/>
    <m/>
    <x v="0"/>
  </r>
  <r>
    <s v="6c4283c9-228b-2774-a411-ef7ccbed7d33"/>
    <d v="2014-02-08T12:23:55"/>
    <d v="2014-02-08T13:09:55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1158.1500000000001"/>
    <n v="1058.1500000000001"/>
    <m/>
    <x v="0"/>
  </r>
  <r>
    <s v="6c4283c9-228b-2774-3553-acf37271f642"/>
    <d v="2017-02-11T12:23:55"/>
    <d v="2017-02-11T12:54:48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914.78"/>
    <n v="814.78"/>
    <m/>
    <x v="0"/>
  </r>
  <r>
    <s v="6c4283c9-228b-2774-aba6-52c67258b141"/>
    <d v="2017-02-25T12:23:55"/>
    <d v="2017-02-25T15:40:37"/>
    <s v="6c4283c9-228b-2774-7d25-fbb5a14bdc1b"/>
    <s v="05fcf001-ab24-3d7d-85f7-f64942d82738"/>
    <s v="9876dc61-49f0-3488-809b-5dc9adac813b"/>
    <s v="df166300-5a78-3502-a46a-832842197811"/>
    <x v="1"/>
    <n v="185349003"/>
    <s v="Encounter for check up (procedure)"/>
    <n v="85.55"/>
    <n v="3105.35"/>
    <n v="3055.35"/>
    <n v="103697008"/>
    <x v="3"/>
  </r>
  <r>
    <s v="6c4283c9-228b-2774-33eb-9530ace867be"/>
    <d v="2019-10-17T16:23:55"/>
    <d v="2019-10-17T16:38:55"/>
    <s v="6c4283c9-228b-2774-7d25-fbb5a14bdc1b"/>
    <s v="05fcf001-ab24-3d7d-85f7-f64942d82738"/>
    <s v="9876dc61-49f0-3488-809b-5dc9adac813b"/>
    <s v="df166300-5a78-3502-a46a-832842197811"/>
    <x v="1"/>
    <n v="185345009"/>
    <s v="Encounter for symptom (procedure)"/>
    <n v="85.55"/>
    <n v="3536.75"/>
    <n v="3386.75"/>
    <n v="195662009"/>
    <x v="9"/>
  </r>
  <r>
    <s v="6c4283c9-228b-2774-ce5b-e47a6bcb6b58"/>
    <d v="2020-02-15T12:23:55"/>
    <d v="2020-02-15T12:59:43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1214.08"/>
    <n v="1114.08"/>
    <m/>
    <x v="0"/>
  </r>
  <r>
    <s v="6c4283c9-228b-2774-fc3f-930a19118264"/>
    <d v="2020-02-22T12:23:55"/>
    <d v="2020-02-22T13:31:50"/>
    <s v="6c4283c9-228b-2774-7d25-fbb5a14bdc1b"/>
    <s v="05fcf001-ab24-3d7d-85f7-f64942d82738"/>
    <s v="9876dc61-49f0-3488-809b-5dc9adac813b"/>
    <s v="df166300-5a78-3502-a46a-832842197811"/>
    <x v="1"/>
    <n v="185347001"/>
    <s v="Encounter for problem (procedure)"/>
    <n v="85.55"/>
    <n v="1184.58"/>
    <n v="1134.58"/>
    <n v="271737000"/>
    <x v="32"/>
  </r>
  <r>
    <s v="6c4283c9-228b-2774-120c-a8dad592b537"/>
    <d v="2020-03-07T12:23:55"/>
    <d v="2020-03-07T18:35:20"/>
    <s v="6c4283c9-228b-2774-7d25-fbb5a14bdc1b"/>
    <s v="05fcf001-ab24-3d7d-85f7-f64942d82738"/>
    <s v="9876dc61-49f0-3488-809b-5dc9adac813b"/>
    <s v="df166300-5a78-3502-a46a-832842197811"/>
    <x v="1"/>
    <n v="185349003"/>
    <s v="Encounter for check up (procedure)"/>
    <n v="85.55"/>
    <n v="4399.55"/>
    <n v="4349.55"/>
    <n v="66383009"/>
    <x v="17"/>
  </r>
  <r>
    <s v="6c4283c9-228b-2774-2ecd-23605fbffc3a"/>
    <d v="2021-02-06T12:23:55"/>
    <d v="2021-02-06T12:38:55"/>
    <s v="6c4283c9-228b-2774-7d25-fbb5a14bdc1b"/>
    <s v="05fcf001-ab24-3d7d-85f7-f64942d82738"/>
    <s v="9876dc61-49f0-3488-809b-5dc9adac813b"/>
    <s v="df166300-5a78-3502-a46a-832842197811"/>
    <x v="2"/>
    <n v="33879002"/>
    <s v="Administration of vaccine to produce active immunity (procedure)"/>
    <n v="142.58000000000001"/>
    <n v="278.58"/>
    <n v="128.58000000000001"/>
    <m/>
    <x v="0"/>
  </r>
  <r>
    <s v="6c4283c9-228b-2774-4c2e-5f297d1a47b2"/>
    <d v="2021-02-27T12:23:55"/>
    <d v="2021-02-27T12:38:55"/>
    <s v="6c4283c9-228b-2774-7d25-fbb5a14bdc1b"/>
    <s v="05fcf001-ab24-3d7d-85f7-f64942d82738"/>
    <s v="9876dc61-49f0-3488-809b-5dc9adac813b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6c4283c9-228b-2774-b59d-cebb9b8ac5f2"/>
    <d v="2023-02-18T12:23:55"/>
    <d v="2023-02-18T13:03:56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860.16"/>
    <n v="760.16"/>
    <m/>
    <x v="0"/>
  </r>
  <r>
    <s v="6c4283c9-228b-2774-aa27-8bdbb87a9904"/>
    <d v="2025-12-06T12:23:55"/>
    <d v="2025-12-06T13:06:04"/>
    <s v="6c4283c9-228b-2774-7d25-fbb5a14bdc1b"/>
    <s v="f6a306cf-7bd6-35f4-a6b7-2d07d273914c"/>
    <s v="59f88cb1-79de-3625-bf4b-8650be4b9da9"/>
    <s v="df166300-5a78-3502-a46a-832842197811"/>
    <x v="0"/>
    <n v="162673000"/>
    <s v="General examination of patient (procedure)"/>
    <n v="136.80000000000001"/>
    <n v="1238.32"/>
    <n v="1138.32"/>
    <m/>
    <x v="0"/>
  </r>
  <r>
    <s v="30889246-5f7d-9305-6614-726a4fb16834"/>
    <d v="1960-03-25T05:39:49"/>
    <d v="1960-03-25T05:54:49"/>
    <s v="30889246-5f7d-9305-542f-55cb89e1f4de"/>
    <s v="dd9914b0-9491-3330-a890-d34e95e497ea"/>
    <s v="ed130f82-72d5-3eac-a7ef-5657103dab1e"/>
    <s v="e03e23c9-4df1-3eb6-a62d-f70f02301496"/>
    <x v="0"/>
    <n v="410620009"/>
    <s v="Well child visit (procedure)"/>
    <n v="136.80000000000001"/>
    <n v="733.34"/>
    <n v="0"/>
    <m/>
    <x v="0"/>
  </r>
  <r>
    <s v="30889246-5f7d-9305-51d7-6fb5afd81835"/>
    <d v="1960-04-01T05:39:49"/>
    <d v="1960-04-01T08:24:35"/>
    <s v="30889246-5f7d-9305-542f-55cb89e1f4de"/>
    <s v="2f67494e-f17e-3248-ba68-3ca42913cca1"/>
    <s v="5a83dcd0-74c0-3f71-8fa5-4b57a00b2e25"/>
    <s v="e03e23c9-4df1-3eb6-a62d-f70f02301496"/>
    <x v="3"/>
    <n v="50849002"/>
    <s v="Emergency room admission (procedure)"/>
    <n v="146.18"/>
    <n v="4407.08"/>
    <n v="0"/>
    <n v="128613002"/>
    <x v="97"/>
  </r>
  <r>
    <s v="30889246-5f7d-9305-4a13-36b0de74f304"/>
    <d v="1960-04-29T06:39:49"/>
    <d v="1960-04-29T06:54:49"/>
    <s v="30889246-5f7d-9305-542f-55cb89e1f4de"/>
    <s v="dd9914b0-9491-3330-a890-d34e95e497ea"/>
    <s v="ed130f82-72d5-3eac-a7ef-5657103dab1e"/>
    <s v="e03e23c9-4df1-3eb6-a62d-f70f02301496"/>
    <x v="0"/>
    <n v="410620009"/>
    <s v="Well child visit (procedure)"/>
    <n v="136.80000000000001"/>
    <n v="136.80000000000001"/>
    <n v="0"/>
    <m/>
    <x v="0"/>
  </r>
  <r>
    <s v="30889246-5f7d-9305-1fc6-b14d9308937e"/>
    <d v="1960-07-01T06:39:49"/>
    <d v="1960-07-01T06:54:49"/>
    <s v="30889246-5f7d-9305-542f-55cb89e1f4de"/>
    <s v="dd9914b0-9491-3330-a890-d34e95e497ea"/>
    <s v="ed130f82-72d5-3eac-a7ef-5657103dab1e"/>
    <s v="e03e23c9-4df1-3eb6-a62d-f70f02301496"/>
    <x v="0"/>
    <n v="410620009"/>
    <s v="Well child visit (procedure)"/>
    <n v="136.80000000000001"/>
    <n v="636.87"/>
    <n v="0"/>
    <m/>
    <x v="0"/>
  </r>
  <r>
    <s v="30889246-5f7d-9305-890d-e32a05fcef38"/>
    <d v="1960-09-02T06:39:49"/>
    <d v="1960-09-02T06:54:49"/>
    <s v="30889246-5f7d-9305-542f-55cb89e1f4de"/>
    <s v="dd9914b0-9491-3330-a890-d34e95e497ea"/>
    <s v="ed130f82-72d5-3eac-a7ef-5657103dab1e"/>
    <s v="e03e23c9-4df1-3eb6-a62d-f70f02301496"/>
    <x v="0"/>
    <n v="410620009"/>
    <s v="Well child visit (procedure)"/>
    <n v="136.80000000000001"/>
    <n v="272.8"/>
    <n v="0"/>
    <m/>
    <x v="0"/>
  </r>
  <r>
    <s v="30889246-5f7d-9305-cdc7-c5a7ce794dbf"/>
    <d v="1960-12-02T05:39:49"/>
    <d v="1960-12-02T05:54:49"/>
    <s v="30889246-5f7d-9305-542f-55cb89e1f4de"/>
    <s v="dd9914b0-9491-3330-a890-d34e95e497ea"/>
    <s v="ed130f82-72d5-3eac-a7ef-5657103dab1e"/>
    <s v="e03e23c9-4df1-3eb6-a62d-f70f02301496"/>
    <x v="0"/>
    <n v="410620009"/>
    <s v="Well child visit (procedure)"/>
    <n v="136.80000000000001"/>
    <n v="408.8"/>
    <n v="0"/>
    <m/>
    <x v="0"/>
  </r>
  <r>
    <s v="30889246-5f7d-9305-88a0-699375c58b3c"/>
    <d v="1961-03-03T05:39:49"/>
    <d v="1961-03-03T05:54:49"/>
    <s v="30889246-5f7d-9305-542f-55cb89e1f4de"/>
    <s v="dd9914b0-9491-3330-a890-d34e95e497ea"/>
    <s v="ed130f82-72d5-3eac-a7ef-5657103dab1e"/>
    <s v="e03e23c9-4df1-3eb6-a62d-f70f02301496"/>
    <x v="0"/>
    <n v="410620009"/>
    <s v="Well child visit (procedure)"/>
    <n v="136.80000000000001"/>
    <n v="136.80000000000001"/>
    <n v="0"/>
    <m/>
    <x v="0"/>
  </r>
  <r>
    <s v="30889246-5f7d-9305-57b9-e97cd5e221b2"/>
    <d v="1961-06-02T06:39:49"/>
    <d v="1961-06-02T06:54:49"/>
    <s v="30889246-5f7d-9305-542f-55cb89e1f4de"/>
    <s v="dd9914b0-9491-3330-a890-d34e95e497ea"/>
    <s v="ed130f82-72d5-3eac-a7ef-5657103dab1e"/>
    <s v="a735bf55-83e9-331a-899d-a82a60b9f60c"/>
    <x v="0"/>
    <n v="410620009"/>
    <s v="Well child visit (procedure)"/>
    <n v="136.80000000000001"/>
    <n v="504.51"/>
    <n v="217.21"/>
    <m/>
    <x v="0"/>
  </r>
  <r>
    <s v="30889246-5f7d-9305-7e77-76f2c3ab3ab0"/>
    <d v="1961-07-28T06:39:49"/>
    <d v="1961-08-23T06:39:49"/>
    <s v="30889246-5f7d-9305-542f-55cb89e1f4de"/>
    <s v="a418cf76-2ee3-3736-a752-29ee33e86015"/>
    <s v="364dc66e-7bd0-3580-85d7-327b98af39d5"/>
    <s v="a735bf55-83e9-331a-899d-a82a60b9f60c"/>
    <x v="5"/>
    <n v="305336008"/>
    <s v="Admission to hospice (procedure)"/>
    <n v="137.53"/>
    <n v="11353.93"/>
    <n v="9083.14"/>
    <m/>
    <x v="0"/>
  </r>
  <r>
    <s v="30889246-5f7d-9305-46a9-78e82d3b58f3"/>
    <d v="1961-08-25T06:39:49"/>
    <d v="1961-08-25T06:54:49"/>
    <s v="30889246-5f7d-9305-542f-55cb89e1f4de"/>
    <s v="dd9914b0-9491-3330-a890-d34e95e497ea"/>
    <s v="ed130f82-72d5-3eac-a7ef-5657103dab1e"/>
    <s v="a735bf55-83e9-331a-899d-a82a60b9f60c"/>
    <x v="0"/>
    <n v="308646001"/>
    <s v="Death Certification"/>
    <n v="136.80000000000001"/>
    <n v="211.38"/>
    <n v="169.1"/>
    <n v="95281009"/>
    <x v="98"/>
  </r>
  <r>
    <s v="e7c068bb-6d29-27d3-c566-e9879612d896"/>
    <d v="2011-01-04T19:33:56"/>
    <d v="2011-01-04T19:48:56"/>
    <s v="e7c068bb-6d29-27d3-0b8b-ec0406cc91b7"/>
    <s v="6873525f-1680-3ceb-b536-270d44b46e2e"/>
    <s v="7a149352-0c69-3fc5-a0c6-3fe04570289c"/>
    <s v="df166300-5a78-3502-a46a-832842197811"/>
    <x v="0"/>
    <n v="410620009"/>
    <s v="Well child visit (procedure)"/>
    <n v="136.80000000000001"/>
    <n v="940.76"/>
    <n v="840.76"/>
    <m/>
    <x v="0"/>
  </r>
  <r>
    <s v="e7c068bb-6d29-27d3-da28-3198f3409f14"/>
    <d v="2013-01-15T19:33:56"/>
    <d v="2013-01-15T20:32:20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704.2"/>
    <n v="604.20000000000005"/>
    <m/>
    <x v="0"/>
  </r>
  <r>
    <s v="e7c068bb-6d29-27d3-5b6f-4b5bacc6de6e"/>
    <d v="2014-01-30T19:33:56"/>
    <d v="2014-01-30T19:48:56"/>
    <s v="e7c068bb-6d29-27d3-0b8b-ec0406cc91b7"/>
    <s v="6cf8a214-8d57-3267-85e5-7719e15cd63e"/>
    <s v="5a65232f-4323-3b7d-a9a5-a001f6c323a8"/>
    <s v="df166300-5a78-3502-a46a-832842197811"/>
    <x v="2"/>
    <n v="185347001"/>
    <s v="Encounter for problem (procedure)"/>
    <n v="85.55"/>
    <n v="85.55"/>
    <n v="35.549999999999997"/>
    <n v="82423001"/>
    <x v="33"/>
  </r>
  <r>
    <s v="e7c068bb-6d29-27d3-6fd6-3a5c484bebeb"/>
    <d v="2015-02-17T19:33:56"/>
    <d v="2015-02-17T20:12:11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186.78"/>
    <n v="1166.72"/>
    <m/>
    <x v="0"/>
  </r>
  <r>
    <s v="e7c068bb-6d29-27d3-2c1f-47120101c451"/>
    <d v="2015-10-05T20:33:56"/>
    <d v="2015-10-05T20:48:56"/>
    <s v="e7c068bb-6d29-27d3-0b8b-ec0406cc91b7"/>
    <s v="6cf8a214-8d57-3267-85e5-7719e15cd63e"/>
    <s v="5a65232f-4323-3b7d-a9a5-a001f6c323a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7c068bb-6d29-27d3-39bc-42cc6ba0cc2a"/>
    <d v="2016-02-23T19:33:56"/>
    <d v="2016-02-23T20:28:00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840.2"/>
    <n v="820.14"/>
    <m/>
    <x v="0"/>
  </r>
  <r>
    <s v="e7c068bb-6d29-27d3-c7f8-f6d872840853"/>
    <d v="2016-08-07T11:33:56"/>
    <d v="2016-08-07T11:48:56"/>
    <s v="e7c068bb-6d29-27d3-0b8b-ec0406cc91b7"/>
    <s v="6cf8a214-8d57-3267-85e5-7719e15cd63e"/>
    <s v="5a65232f-4323-3b7d-a9a5-a001f6c323a8"/>
    <s v="df166300-5a78-3502-a46a-832842197811"/>
    <x v="1"/>
    <n v="185345009"/>
    <s v="Encounter for symptom (procedure)"/>
    <n v="85.55"/>
    <n v="85.55"/>
    <n v="35.549999999999997"/>
    <n v="444814009"/>
    <x v="2"/>
  </r>
  <r>
    <s v="e7c068bb-6d29-27d3-1166-594175012e73"/>
    <d v="2016-10-03T02:21:21"/>
    <d v="2016-10-03T02:36:21"/>
    <s v="e7c068bb-6d29-27d3-0b8b-ec0406cc91b7"/>
    <s v="6cf8a214-8d57-3267-85e5-7719e15cd63e"/>
    <s v="5a65232f-4323-3b7d-a9a5-a001f6c323a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7c068bb-6d29-27d3-8fb9-a62a41e9d0ac"/>
    <d v="2017-02-28T19:33:56"/>
    <d v="2017-02-28T20:12:31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318.2"/>
    <n v="1298.1400000000001"/>
    <m/>
    <x v="0"/>
  </r>
  <r>
    <s v="e7c068bb-6d29-27d3-8800-9a31f3e5320e"/>
    <d v="2017-09-28T01:33:56"/>
    <d v="2017-09-28T01:48:56"/>
    <s v="e7c068bb-6d29-27d3-0b8b-ec0406cc91b7"/>
    <s v="6cf8a214-8d57-3267-85e5-7719e15cd63e"/>
    <s v="5a65232f-4323-3b7d-a9a5-a001f6c323a8"/>
    <s v="df166300-5a78-3502-a46a-832842197811"/>
    <x v="1"/>
    <n v="185345009"/>
    <s v="Encounter for symptom (procedure)"/>
    <n v="85.55"/>
    <n v="85.55"/>
    <n v="35.549999999999997"/>
    <n v="444814009"/>
    <x v="2"/>
  </r>
  <r>
    <s v="e7c068bb-6d29-27d3-e040-5dbd2ecc6d6f"/>
    <d v="2018-03-06T19:33:56"/>
    <d v="2018-03-06T20:15:42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704.2"/>
    <n v="684.14"/>
    <m/>
    <x v="0"/>
  </r>
  <r>
    <s v="e7c068bb-6d29-27d3-a0cd-a8701715cdbf"/>
    <d v="2018-09-23T02:21:21"/>
    <d v="2018-09-23T02:36:21"/>
    <s v="e7c068bb-6d29-27d3-0b8b-ec0406cc91b7"/>
    <s v="6cf8a214-8d57-3267-85e5-7719e15cd63e"/>
    <s v="5a65232f-4323-3b7d-a9a5-a001f6c323a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e7c068bb-6d29-27d3-4e94-72e18f23c10f"/>
    <d v="2019-03-12T20:33:56"/>
    <d v="2019-03-12T21:07:58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064.92"/>
    <n v="1044.8599999999999"/>
    <m/>
    <x v="0"/>
  </r>
  <r>
    <s v="e7c068bb-6d29-27d3-a5b5-a0997a1e8c70"/>
    <d v="2019-03-19T20:33:56"/>
    <d v="2019-03-19T21:40:54"/>
    <s v="e7c068bb-6d29-27d3-0b8b-ec0406cc91b7"/>
    <s v="6cf8a214-8d57-3267-85e5-7719e15cd63e"/>
    <s v="5a65232f-4323-3b7d-a9a5-a001f6c323a8"/>
    <s v="df166300-5a78-3502-a46a-832842197811"/>
    <x v="1"/>
    <n v="185347001"/>
    <s v="Encounter for problem (procedure)"/>
    <n v="85.55"/>
    <n v="1059.1600000000001"/>
    <n v="1009.16"/>
    <n v="271737000"/>
    <x v="32"/>
  </r>
  <r>
    <s v="e7c068bb-6d29-27d3-a5fc-d35e0946ae56"/>
    <d v="2019-04-02T20:33:56"/>
    <d v="2019-04-02T23:22:33"/>
    <s v="e7c068bb-6d29-27d3-0b8b-ec0406cc91b7"/>
    <s v="6cf8a214-8d57-3267-85e5-7719e15cd63e"/>
    <s v="5a65232f-4323-3b7d-a9a5-a001f6c323a8"/>
    <s v="df166300-5a78-3502-a46a-832842197811"/>
    <x v="1"/>
    <n v="185349003"/>
    <s v="Encounter for check up (procedure)"/>
    <n v="85.55"/>
    <n v="3105.35"/>
    <n v="3055.35"/>
    <n v="103697008"/>
    <x v="3"/>
  </r>
  <r>
    <s v="e7c068bb-6d29-27d3-4ad3-b806ad68e7b4"/>
    <d v="2019-09-18T02:21:21"/>
    <d v="2019-09-18T03:08:47"/>
    <s v="e7c068bb-6d29-27d3-0b8b-ec0406cc91b7"/>
    <s v="6cf8a214-8d57-3267-85e5-7719e15cd63e"/>
    <s v="5a65232f-4323-3b7d-a9a5-a001f6c323a8"/>
    <s v="df166300-5a78-3502-a46a-832842197811"/>
    <x v="2"/>
    <n v="698314001"/>
    <s v="Consultation for treatment (procedure)"/>
    <n v="142.58000000000001"/>
    <n v="573.98"/>
    <n v="523.98"/>
    <n v="183996000"/>
    <x v="35"/>
  </r>
  <r>
    <s v="e7c068bb-6d29-27d3-4c01-7fed36009e51"/>
    <d v="2019-09-29T03:08:47"/>
    <d v="2019-09-30T03:08:47"/>
    <s v="e7c068bb-6d29-27d3-0b8b-ec0406cc91b7"/>
    <s v="6cf8a214-8d57-3267-85e5-7719e15cd63e"/>
    <s v="5a65232f-4323-3b7d-a9a5-a001f6c323a8"/>
    <s v="df166300-5a78-3502-a46a-832842197811"/>
    <x v="6"/>
    <n v="305408004"/>
    <s v="Admission to surgical department (procedure)"/>
    <n v="146.18"/>
    <n v="3817.64"/>
    <n v="3767.64"/>
    <n v="183996000"/>
    <x v="35"/>
  </r>
  <r>
    <s v="e7c068bb-6d29-27d3-58c8-a84034e72d1b"/>
    <d v="2020-03-17T20:33:56"/>
    <d v="2020-03-17T21:29:46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634.3"/>
    <n v="1614.24"/>
    <m/>
    <x v="0"/>
  </r>
  <r>
    <s v="e7c068bb-6d29-27d3-6e93-f067fa5a8a72"/>
    <d v="2020-03-31T20:33:56"/>
    <d v="2020-04-01T00:06:37"/>
    <s v="e7c068bb-6d29-27d3-0b8b-ec0406cc91b7"/>
    <s v="6cf8a214-8d57-3267-85e5-7719e15cd63e"/>
    <s v="5a65232f-4323-3b7d-a9a5-a001f6c323a8"/>
    <s v="df166300-5a78-3502-a46a-832842197811"/>
    <x v="1"/>
    <n v="185349003"/>
    <s v="Encounter for check up (procedure)"/>
    <n v="85.55"/>
    <n v="3536.75"/>
    <n v="3486.75"/>
    <n v="66383009"/>
    <x v="17"/>
  </r>
  <r>
    <s v="e7c068bb-6d29-27d3-cb24-398a8add7512"/>
    <d v="2020-10-13T20:33:56"/>
    <d v="2020-10-13T21:35:12"/>
    <s v="e7c068bb-6d29-27d3-0b8b-ec0406cc91b7"/>
    <s v="6cf8a214-8d57-3267-85e5-7719e15cd63e"/>
    <s v="5a65232f-4323-3b7d-a9a5-a001f6c323a8"/>
    <s v="df166300-5a78-3502-a46a-832842197811"/>
    <x v="2"/>
    <n v="308335008"/>
    <s v="Patient encounter procedure (procedure)"/>
    <n v="142.58000000000001"/>
    <n v="4052.91"/>
    <n v="4002.91"/>
    <n v="389095005"/>
    <x v="15"/>
  </r>
  <r>
    <s v="e7c068bb-6d29-27d3-d178-26f36dedabb2"/>
    <d v="2021-03-06T23:33:56"/>
    <d v="2021-03-06T23:48:56"/>
    <s v="e7c068bb-6d29-27d3-0b8b-ec0406cc91b7"/>
    <s v="6cf8a214-8d57-3267-85e5-7719e15cd63e"/>
    <s v="5a65232f-4323-3b7d-a9a5-a001f6c323a8"/>
    <s v="df166300-5a78-3502-a46a-832842197811"/>
    <x v="1"/>
    <n v="185345009"/>
    <s v="Encounter for symptom (procedure)"/>
    <n v="85.55"/>
    <n v="85.55"/>
    <n v="0"/>
    <n v="444814009"/>
    <x v="2"/>
  </r>
  <r>
    <s v="e7c068bb-6d29-27d3-3ba5-7c6572777ae0"/>
    <d v="2021-03-23T20:33:56"/>
    <d v="2021-03-23T21:11:22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648.38"/>
    <n v="1648.38"/>
    <m/>
    <x v="0"/>
  </r>
  <r>
    <s v="e7c068bb-6d29-27d3-e450-149b766f50bc"/>
    <d v="2021-03-30T20:33:56"/>
    <d v="2021-03-30T20:48:56"/>
    <s v="e7c068bb-6d29-27d3-0b8b-ec0406cc91b7"/>
    <s v="6cf8a214-8d57-3267-85e5-7719e15cd63e"/>
    <s v="5a65232f-4323-3b7d-a9a5-a001f6c323a8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e7c068bb-6d29-27d3-fca9-d6cd6c516c69"/>
    <d v="2021-04-27T20:33:56"/>
    <d v="2021-04-27T20:48:56"/>
    <s v="e7c068bb-6d29-27d3-0b8b-ec0406cc91b7"/>
    <s v="6cf8a214-8d57-3267-85e5-7719e15cd63e"/>
    <s v="5a65232f-4323-3b7d-a9a5-a001f6c323a8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e7c068bb-6d29-27d3-8f8b-d81034517071"/>
    <d v="2022-03-29T20:33:56"/>
    <d v="2022-03-29T21:09:52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778.78"/>
    <n v="758.72"/>
    <m/>
    <x v="0"/>
  </r>
  <r>
    <s v="e7c068bb-6d29-27d3-9ec4-e35b2664fc79"/>
    <d v="2023-04-04T20:33:56"/>
    <d v="2023-04-04T21:22:04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001.28"/>
    <n v="981.22"/>
    <m/>
    <x v="0"/>
  </r>
  <r>
    <s v="e7c068bb-6d29-27d3-c888-6b02b3fc5a4d"/>
    <d v="2024-04-09T20:33:56"/>
    <d v="2024-04-09T21:25:39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1722.96"/>
    <n v="1702.9"/>
    <m/>
    <x v="0"/>
  </r>
  <r>
    <s v="e7c068bb-6d29-27d3-bc0e-7e364a230489"/>
    <d v="2025-04-15T20:33:56"/>
    <d v="2025-04-15T21:09:32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996.16"/>
    <n v="976.1"/>
    <m/>
    <x v="0"/>
  </r>
  <r>
    <s v="e7c068bb-6d29-27d3-f8d9-5c1c5f495a1a"/>
    <d v="2025-10-14T20:33:56"/>
    <d v="2025-10-14T21:19:55"/>
    <s v="e7c068bb-6d29-27d3-0b8b-ec0406cc91b7"/>
    <s v="6cf8a214-8d57-3267-85e5-7719e15cd63e"/>
    <s v="5a65232f-4323-3b7d-a9a5-a001f6c323a8"/>
    <s v="df166300-5a78-3502-a46a-832842197811"/>
    <x v="2"/>
    <n v="308335008"/>
    <s v="Patient encounter procedure (procedure)"/>
    <n v="142.58000000000001"/>
    <n v="5826.56"/>
    <n v="5776.56"/>
    <n v="389095005"/>
    <x v="15"/>
  </r>
  <r>
    <s v="e7c068bb-6d29-27d3-0903-c8e40bcf3904"/>
    <d v="2025-10-15T11:33:56"/>
    <d v="2025-10-15T11:48:56"/>
    <s v="e7c068bb-6d29-27d3-0b8b-ec0406cc91b7"/>
    <s v="6cf8a214-8d57-3267-85e5-7719e15cd63e"/>
    <s v="5a65232f-4323-3b7d-a9a5-a001f6c323a8"/>
    <s v="df166300-5a78-3502-a46a-832842197811"/>
    <x v="1"/>
    <n v="185345009"/>
    <s v="Encounter for symptom (procedure)"/>
    <n v="85.55"/>
    <n v="85.55"/>
    <n v="35.549999999999997"/>
    <n v="444814009"/>
    <x v="2"/>
  </r>
  <r>
    <s v="e7c068bb-6d29-27d3-f148-975a090b9ce7"/>
    <d v="2026-04-21T20:33:56"/>
    <d v="2026-04-21T21:13:46"/>
    <s v="e7c068bb-6d29-27d3-0b8b-ec0406cc91b7"/>
    <s v="6873525f-1680-3ceb-b536-270d44b46e2e"/>
    <s v="7a149352-0c69-3fc5-a0c6-3fe04570289c"/>
    <s v="df166300-5a78-3502-a46a-832842197811"/>
    <x v="0"/>
    <n v="162673000"/>
    <s v="General examination of patient (procedure)"/>
    <n v="136.80000000000001"/>
    <n v="785.58"/>
    <n v="765.52"/>
    <m/>
    <x v="0"/>
  </r>
  <r>
    <s v="e7c068bb-6d29-27d3-259d-e6dfeecc1883"/>
    <d v="2026-05-05T20:33:56"/>
    <d v="2026-05-06T02:26:19"/>
    <s v="e7c068bb-6d29-27d3-0b8b-ec0406cc91b7"/>
    <s v="6cf8a214-8d57-3267-85e5-7719e15cd63e"/>
    <s v="5a65232f-4323-3b7d-a9a5-a001f6c323a8"/>
    <s v="df166300-5a78-3502-a46a-832842197811"/>
    <x v="1"/>
    <n v="185349003"/>
    <s v="Encounter for check up (procedure)"/>
    <n v="85.55"/>
    <n v="4399.55"/>
    <n v="4349.55"/>
    <n v="103697008"/>
    <x v="3"/>
  </r>
  <r>
    <s v="ee4b7339-ca58-b6af-25b4-c3d0e1131a2e"/>
    <d v="2026-05-26T23:20:17"/>
    <d v="2026-05-26T23:35:17"/>
    <s v="ee4b7339-ca58-b6af-c199-04b6d5761c73"/>
    <s v="4f59f709-8b84-3d27-a04b-c6b7b5544413"/>
    <s v="3daf431a-3ee8-3650-92b8-ffd9c5b5197b"/>
    <s v="26aab0cd-6aba-3e1b-ac5b-05c8867e762c"/>
    <x v="0"/>
    <n v="410620009"/>
    <s v="Well child visit (procedure)"/>
    <n v="136.80000000000001"/>
    <n v="347.38"/>
    <n v="0"/>
    <m/>
    <x v="0"/>
  </r>
  <r>
    <s v="ee4b7339-ca58-b6af-b531-32344964d5bf"/>
    <d v="2026-06-30T23:20:17"/>
    <d v="2026-06-30T23:35:17"/>
    <s v="ee4b7339-ca58-b6af-c199-04b6d5761c73"/>
    <s v="4f59f709-8b84-3d27-a04b-c6b7b5544413"/>
    <s v="3daf431a-3ee8-3650-92b8-ffd9c5b5197b"/>
    <s v="26aab0cd-6aba-3e1b-ac5b-05c8867e762c"/>
    <x v="0"/>
    <n v="410620009"/>
    <s v="Well child visit (procedure)"/>
    <n v="136.80000000000001"/>
    <n v="272.8"/>
    <n v="0"/>
    <m/>
    <x v="0"/>
  </r>
  <r>
    <s v="3935e8a9-9b9f-fd00-9255-8c54f868d817"/>
    <d v="1981-10-27T12:51:49"/>
    <d v="1981-10-27T13:19:12"/>
    <s v="3935e8a9-9b9f-fd00-fe22-bcb810d0330b"/>
    <s v="aad05540-c9cb-3805-b3c4-f9b9d9b42b2e"/>
    <s v="f3d5ec38-244e-30ff-85e8-06914fcd3fa2"/>
    <s v="df166300-5a78-3502-a46a-832842197811"/>
    <x v="0"/>
    <n v="410620009"/>
    <s v="Well child visit (procedure)"/>
    <n v="136.80000000000001"/>
    <n v="1567"/>
    <n v="1417"/>
    <m/>
    <x v="0"/>
  </r>
  <r>
    <s v="3935e8a9-9b9f-fd00-bfbb-ebe3bc23efbc"/>
    <d v="1986-11-25T12:51:49"/>
    <d v="1986-11-25T13:34:19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704.2"/>
    <n v="554.20000000000005"/>
    <m/>
    <x v="0"/>
  </r>
  <r>
    <s v="3935e8a9-9b9f-fd00-af08-066ece111ae6"/>
    <d v="1989-07-24T00:51:49"/>
    <d v="1989-07-28T11:43:08"/>
    <s v="3935e8a9-9b9f-fd00-fe22-bcb810d0330b"/>
    <s v="0fab3c4e-a028-39a6-b15a-be5a88b6aa2a"/>
    <s v="1ad39563-df37-3584-aade-bb256157159e"/>
    <s v="df166300-5a78-3502-a46a-832842197811"/>
    <x v="6"/>
    <n v="185347001"/>
    <s v="Encounter for problem (procedure)"/>
    <n v="87.71"/>
    <n v="7266.96"/>
    <n v="7213.14"/>
    <n v="74400008"/>
    <x v="28"/>
  </r>
  <r>
    <s v="3935e8a9-9b9f-fd00-b41e-ead636c6f291"/>
    <d v="1993-12-07T12:51:49"/>
    <d v="1993-12-07T13:27:55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704.2"/>
    <n v="554.20000000000005"/>
    <m/>
    <x v="0"/>
  </r>
  <r>
    <s v="3935e8a9-9b9f-fd00-4467-5f3948d8bb98"/>
    <d v="1995-11-15T15:34:30"/>
    <d v="1995-11-15T15:49:30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60.13"/>
    <n v="110.13"/>
    <n v="271737000"/>
    <x v="32"/>
  </r>
  <r>
    <s v="3935e8a9-9b9f-fd00-4d5e-1c98bc1ff197"/>
    <d v="1998-06-21T13:51:49"/>
    <d v="1998-06-21T14:06:49"/>
    <s v="3935e8a9-9b9f-fd00-fe22-bcb810d0330b"/>
    <s v="0fab3c4e-a028-39a6-b15a-be5a88b6aa2a"/>
    <s v="1ad39563-df37-3584-aade-bb256157159e"/>
    <s v="df166300-5a78-3502-a46a-832842197811"/>
    <x v="1"/>
    <n v="424619006"/>
    <s v="Prenatal visit (regime/therapy)"/>
    <n v="142.58000000000001"/>
    <n v="2842.05"/>
    <n v="2792.05"/>
    <n v="156073000"/>
    <x v="26"/>
  </r>
  <r>
    <s v="3935e8a9-9b9f-fd00-da8e-18385a395926"/>
    <d v="2003-11-15T14:56:26"/>
    <d v="2003-11-16T14:56:26"/>
    <s v="3935e8a9-9b9f-fd00-fe22-bcb810d0330b"/>
    <s v="0fab3c4e-a028-39a6-b15a-be5a88b6aa2a"/>
    <s v="1ad39563-df37-3584-aade-bb256157159e"/>
    <s v="df166300-5a78-3502-a46a-832842197811"/>
    <x v="6"/>
    <n v="305408004"/>
    <s v="Admission to surgical department (procedure)"/>
    <n v="146.18"/>
    <n v="3817.64"/>
    <n v="3767.64"/>
    <n v="183996000"/>
    <x v="35"/>
  </r>
  <r>
    <s v="3935e8a9-9b9f-fd00-fa63-b04827d22a9a"/>
    <d v="2008-09-30T13:51:49"/>
    <d v="2008-09-30T14:30:34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914.78"/>
    <n v="814.78"/>
    <m/>
    <x v="0"/>
  </r>
  <r>
    <s v="3935e8a9-9b9f-fd00-510c-a0a8a6dd88e4"/>
    <d v="2009-03-24T13:51:49"/>
    <d v="2009-03-24T14:06:49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85.55"/>
    <n v="35.549999999999997"/>
    <n v="239873007"/>
    <x v="51"/>
  </r>
  <r>
    <s v="3935e8a9-9b9f-fd00-679b-309c21d5dee6"/>
    <d v="2012-10-09T13:51:49"/>
    <d v="2012-10-09T14:46:41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1695.61"/>
    <n v="1595.61"/>
    <m/>
    <x v="0"/>
  </r>
  <r>
    <s v="3935e8a9-9b9f-fd00-7d38-1afd4b2c2f0c"/>
    <d v="2012-10-30T13:51:49"/>
    <d v="2012-10-30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85.55"/>
    <n v="35.549999999999997"/>
    <n v="55822004"/>
    <x v="52"/>
  </r>
  <r>
    <s v="3935e8a9-9b9f-fd00-589c-a52f5b761fb3"/>
    <d v="2014-10-14T13:51:49"/>
    <d v="2014-10-14T14:45:31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1633.89"/>
    <n v="1533.89"/>
    <m/>
    <x v="0"/>
  </r>
  <r>
    <s v="3935e8a9-9b9f-fd00-f058-15c868cb049c"/>
    <d v="2015-10-30T13:51:49"/>
    <d v="2015-10-30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84.71"/>
    <n v="55822004"/>
    <x v="52"/>
  </r>
  <r>
    <s v="3935e8a9-9b9f-fd00-d8d3-994db01ae588"/>
    <d v="2016-10-18T13:51:49"/>
    <d v="2016-10-18T14:45:48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1103.76"/>
    <n v="1003.76"/>
    <m/>
    <x v="0"/>
  </r>
  <r>
    <s v="3935e8a9-9b9f-fd00-2837-796fd528a3a6"/>
    <d v="2016-10-29T13:51:49"/>
    <d v="2016-10-29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184.71"/>
    <n v="55822004"/>
    <x v="52"/>
  </r>
  <r>
    <s v="3935e8a9-9b9f-fd00-7161-c51526fc28ba"/>
    <d v="2017-10-29T13:51:49"/>
    <d v="2017-10-29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84.71"/>
    <n v="55822004"/>
    <x v="52"/>
  </r>
  <r>
    <s v="3935e8a9-9b9f-fd00-0073-a6f989a74fda"/>
    <d v="2017-11-13T13:17:35"/>
    <d v="2017-11-13T14:17:35"/>
    <s v="3935e8a9-9b9f-fd00-fe22-bcb810d0330b"/>
    <s v="e1818b21-4458-3b9c-b2b8-7ed6f57ae078"/>
    <s v="5a2ef0ce-4a09-31f5-8496-3ac4e406a0c8"/>
    <s v="df166300-5a78-3502-a46a-832842197811"/>
    <x v="3"/>
    <n v="50849002"/>
    <s v="Emergency room admission (procedure)"/>
    <n v="146.18"/>
    <n v="1008.98"/>
    <n v="958.98"/>
    <n v="125605004"/>
    <x v="36"/>
  </r>
  <r>
    <s v="3935e8a9-9b9f-fd00-2f65-03c4677664d9"/>
    <d v="2017-11-21T12:51:49"/>
    <d v="2017-11-21T13:38:09"/>
    <s v="3935e8a9-9b9f-fd00-fe22-bcb810d0330b"/>
    <s v="0fab3c4e-a028-39a6-b15a-be5a88b6aa2a"/>
    <s v="1ad39563-df37-3584-aade-bb256157159e"/>
    <s v="df166300-5a78-3502-a46a-832842197811"/>
    <x v="2"/>
    <n v="308335008"/>
    <s v="Patient encounter procedure (procedure)"/>
    <n v="142.58000000000001"/>
    <n v="18227.599999999999"/>
    <n v="18177.599999999999"/>
    <n v="389095005"/>
    <x v="15"/>
  </r>
  <r>
    <s v="3935e8a9-9b9f-fd00-fd90-0ae2d0fc8d14"/>
    <d v="2017-12-24T13:53:10"/>
    <d v="2017-12-24T14:08:10"/>
    <s v="3935e8a9-9b9f-fd00-fe22-bcb810d0330b"/>
    <s v="0fab3c4e-a028-39a6-b15a-be5a88b6aa2a"/>
    <s v="1ad39563-df37-3584-aade-bb256157159e"/>
    <s v="df166300-5a78-3502-a46a-832842197811"/>
    <x v="1"/>
    <n v="185349003"/>
    <s v="Encounter for check up (procedure)"/>
    <n v="85.55"/>
    <n v="85.55"/>
    <n v="35.549999999999997"/>
    <n v="16114001"/>
    <x v="47"/>
  </r>
  <r>
    <s v="3935e8a9-9b9f-fd00-3c31-c7c86cef34f2"/>
    <d v="2018-09-25T13:51:49"/>
    <d v="2018-09-25T14:29:48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1423.92"/>
    <n v="1323.92"/>
    <m/>
    <x v="0"/>
  </r>
  <r>
    <s v="3935e8a9-9b9f-fd00-531c-df0984d68b15"/>
    <d v="2018-10-02T13:51:49"/>
    <d v="2018-10-02T14:26:44"/>
    <s v="3935e8a9-9b9f-fd00-fe22-bcb810d0330b"/>
    <s v="0fab3c4e-a028-39a6-b15a-be5a88b6aa2a"/>
    <s v="1ad39563-df37-3584-aade-bb256157159e"/>
    <s v="df166300-5a78-3502-a46a-832842197811"/>
    <x v="1"/>
    <n v="185349003"/>
    <s v="Encounter for check up (procedure)"/>
    <n v="85.55"/>
    <n v="12980.02"/>
    <n v="12930.02"/>
    <n v="275978004"/>
    <x v="29"/>
  </r>
  <r>
    <s v="3935e8a9-9b9f-fd00-6f3d-57c8c8043d53"/>
    <d v="2018-10-29T13:51:49"/>
    <d v="2018-10-29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184.71"/>
    <n v="55822004"/>
    <x v="52"/>
  </r>
  <r>
    <s v="3935e8a9-9b9f-fd00-e504-c570996807d4"/>
    <d v="2019-10-01T13:51:49"/>
    <d v="2019-10-01T14:27:24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1559.1"/>
    <n v="1459.1"/>
    <m/>
    <x v="0"/>
  </r>
  <r>
    <s v="3935e8a9-9b9f-fd00-c602-1511937e431b"/>
    <d v="2019-10-29T13:51:49"/>
    <d v="2019-10-29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184.71"/>
    <n v="55822004"/>
    <x v="52"/>
  </r>
  <r>
    <s v="3935e8a9-9b9f-fd00-b7f4-9ee31aee329e"/>
    <d v="2020-10-06T13:51:49"/>
    <d v="2020-10-06T14:46:02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778.78"/>
    <n v="678.78"/>
    <m/>
    <x v="0"/>
  </r>
  <r>
    <s v="3935e8a9-9b9f-fd00-af55-ac996bbfe052"/>
    <d v="2020-10-28T13:51:49"/>
    <d v="2020-10-28T14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184.71"/>
    <n v="55822004"/>
    <x v="52"/>
  </r>
  <r>
    <s v="3935e8a9-9b9f-fd00-1e7a-5a722875630a"/>
    <d v="2021-03-23T13:51:49"/>
    <d v="2021-03-23T14:06:49"/>
    <s v="3935e8a9-9b9f-fd00-fe22-bcb810d0330b"/>
    <s v="0fab3c4e-a028-39a6-b15a-be5a88b6aa2a"/>
    <s v="1ad39563-df37-3584-aade-bb256157159e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3935e8a9-9b9f-fd00-a011-0fcae35527f9"/>
    <d v="2021-04-20T13:51:49"/>
    <d v="2021-04-20T14:06:49"/>
    <s v="3935e8a9-9b9f-fd00-fe22-bcb810d0330b"/>
    <s v="0fab3c4e-a028-39a6-b15a-be5a88b6aa2a"/>
    <s v="1ad39563-df37-3584-aade-bb256157159e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3935e8a9-9b9f-fd00-b318-0d90d352be50"/>
    <d v="2021-07-22T13:51:49"/>
    <d v="2021-07-24T03:00:55"/>
    <s v="3935e8a9-9b9f-fd00-fe22-bcb810d0330b"/>
    <s v="0fab3c4e-a028-39a6-b15a-be5a88b6aa2a"/>
    <s v="1ad39563-df37-3584-aade-bb256157159e"/>
    <s v="df166300-5a78-3502-a46a-832842197811"/>
    <x v="1"/>
    <n v="86013001"/>
    <s v="Periodic reevaluation and management of healthy individual (procedure)"/>
    <n v="142.58000000000001"/>
    <n v="5487.97"/>
    <n v="5437.97"/>
    <n v="268547008"/>
    <x v="99"/>
  </r>
  <r>
    <s v="3935e8a9-9b9f-fd00-d0ae-706f2919fbfc"/>
    <d v="2021-07-27T12:00:55"/>
    <d v="2021-07-27T12:56:19"/>
    <s v="3935e8a9-9b9f-fd00-fe22-bcb810d0330b"/>
    <s v="0fab3c4e-a028-39a6-b15a-be5a88b6aa2a"/>
    <s v="1ad39563-df37-3584-aade-bb256157159e"/>
    <s v="df166300-5a78-3502-a46a-832842197811"/>
    <x v="1"/>
    <n v="223484005"/>
    <s v="Discussion about treatment (procedure)"/>
    <n v="142.58000000000001"/>
    <n v="573.98"/>
    <n v="523.98"/>
    <n v="254837009"/>
    <x v="100"/>
  </r>
  <r>
    <s v="3935e8a9-9b9f-fd00-b20d-6a67d0f3d199"/>
    <d v="2021-08-02T07:56:19"/>
    <d v="2021-08-04T12:26:19"/>
    <s v="3935e8a9-9b9f-fd00-fe22-bcb810d0330b"/>
    <s v="0fab3c4e-a028-39a6-b15a-be5a88b6aa2a"/>
    <s v="1ad39563-df37-3584-aade-bb256157159e"/>
    <s v="df166300-5a78-3502-a46a-832842197811"/>
    <x v="6"/>
    <n v="185347001"/>
    <s v="Encounter for problem (procedure)"/>
    <n v="87.71"/>
    <n v="519.11"/>
    <n v="469.11"/>
    <n v="254837009"/>
    <x v="100"/>
  </r>
  <r>
    <s v="3935e8a9-9b9f-fd00-62fc-7cef8b010fa7"/>
    <d v="2021-08-11T21:26:19"/>
    <d v="2021-08-11T21:49:37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1fbd-0a0a6f776c85"/>
    <d v="2021-08-13T02:34:37"/>
    <d v="2021-08-13T02:59:02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f505-cfcd53056e57"/>
    <d v="2021-08-14T08:44:02"/>
    <d v="2021-08-14T09:14:24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bf4d-c61fc5ca9191"/>
    <d v="2021-08-15T14:12:24"/>
    <d v="2021-08-15T14:34:0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243.03"/>
    <n v="1193.03"/>
    <n v="254837009"/>
    <x v="100"/>
  </r>
  <r>
    <s v="3935e8a9-9b9f-fd00-79cf-b1cd178c7b3b"/>
    <d v="2021-08-17T01:17:06"/>
    <d v="2021-08-17T01:47:44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13c1-6af48e5445e9"/>
    <d v="2021-08-18T08:06:44"/>
    <d v="2021-08-18T08:38:4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ff9f-9d5de7eb2ae4"/>
    <d v="2021-08-19T09:36:46"/>
    <d v="2021-08-19T09:53:30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3ca1-40b5ca718095"/>
    <d v="2021-08-20T19:28:30"/>
    <d v="2021-08-20T20:06:38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0699-0cc44c4b48db"/>
    <d v="2021-08-22T05:47:38"/>
    <d v="2021-08-22T06:05:22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0fce-d74ec18f7962"/>
    <d v="2021-08-23T18:03:22"/>
    <d v="2021-08-23T18:38:05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4d21-1dfcf247c0d5"/>
    <d v="2021-08-23T04:51:49"/>
    <d v="2021-08-23T05:06:49"/>
    <s v="3935e8a9-9b9f-fd00-fe22-bcb810d0330b"/>
    <s v="0fab3c4e-a028-39a6-b15a-be5a88b6aa2a"/>
    <s v="1ad39563-df37-3584-aade-bb256157159e"/>
    <s v="df166300-5a78-3502-a46a-832842197811"/>
    <x v="1"/>
    <n v="185345009"/>
    <s v="Encounter for symptom (procedure)"/>
    <n v="85.55"/>
    <n v="85.55"/>
    <n v="35.549999999999997"/>
    <n v="444814009"/>
    <x v="2"/>
  </r>
  <r>
    <s v="3935e8a9-9b9f-fd00-8837-383d9d4698f1"/>
    <d v="2021-08-25T06:09:05"/>
    <d v="2021-08-25T06:40:48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824.36"/>
    <n v="774.36"/>
    <n v="254837009"/>
    <x v="100"/>
  </r>
  <r>
    <s v="3935e8a9-9b9f-fd00-25b2-3b8cf5f931f4"/>
    <d v="2021-08-26T08:15:48"/>
    <d v="2021-08-26T08:50:3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839.26"/>
    <n v="789.26"/>
    <n v="254837009"/>
    <x v="100"/>
  </r>
  <r>
    <s v="3935e8a9-9b9f-fd00-631d-f5f90741d01c"/>
    <d v="2021-08-27T08:53:36"/>
    <d v="2021-08-27T09:16:09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267.24"/>
    <n v="1217.24"/>
    <n v="254837009"/>
    <x v="100"/>
  </r>
  <r>
    <s v="3935e8a9-9b9f-fd00-0178-e3da9b1a45bb"/>
    <d v="2021-08-28T16:19:09"/>
    <d v="2021-08-28T16:47:45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d1b3-86708d72ca92"/>
    <d v="2021-08-29T23:44:45"/>
    <d v="2021-08-30T00:15:28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faf4-158af67e98f9"/>
    <d v="2021-08-31T01:01:28"/>
    <d v="2021-08-31T01:23:21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a022-02157e088859"/>
    <d v="2021-09-01T10:14:21"/>
    <d v="2021-09-01T10:33:53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0364-61662a56035f"/>
    <d v="2021-09-02T17:19:53"/>
    <d v="2021-09-02T17:44:51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6077-fd5c7981e6b6"/>
    <d v="2021-09-03T21:02:51"/>
    <d v="2021-09-03T21:23:2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a35a-194c83fffbc5"/>
    <d v="2021-09-05T04:11:26"/>
    <d v="2021-09-05T04:47:25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991.73"/>
    <n v="941.73"/>
    <n v="254837009"/>
    <x v="100"/>
  </r>
  <r>
    <s v="3935e8a9-9b9f-fd00-899a-67c4ddddbff5"/>
    <d v="2021-09-06T10:36:25"/>
    <d v="2021-09-06T11:09:2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ac8a-cd4c1ab611cb"/>
    <d v="2021-09-07T18:28:26"/>
    <d v="2021-09-07T18:58:38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258.51"/>
    <n v="1208.51"/>
    <n v="254837009"/>
    <x v="100"/>
  </r>
  <r>
    <s v="3935e8a9-9b9f-fd00-59d4-939d13cbce4c"/>
    <d v="2021-09-09T01:33:38"/>
    <d v="2021-09-09T01:50:0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231.17"/>
    <n v="1181.17"/>
    <n v="254837009"/>
    <x v="100"/>
  </r>
  <r>
    <s v="3935e8a9-9b9f-fd00-c9b4-7f1c331043d6"/>
    <d v="2021-09-10T06:27:06"/>
    <d v="2021-09-10T06:47:4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ba03-34a5042ec588"/>
    <d v="2021-09-11T14:10:46"/>
    <d v="2021-09-11T14:30:0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1264-19bf315a653b"/>
    <d v="2021-09-12T15:20:06"/>
    <d v="2021-09-12T15:41:50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642.08000000000004"/>
    <n v="592.08000000000004"/>
    <n v="254837009"/>
    <x v="100"/>
  </r>
  <r>
    <s v="3935e8a9-9b9f-fd00-71de-024a5ee21425"/>
    <d v="2021-09-13T19:00:50"/>
    <d v="2021-09-13T19:32:0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ff86-4596631140d5"/>
    <d v="2021-09-15T03:37:06"/>
    <d v="2021-09-15T04:16:06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42da-cf445be14e55"/>
    <d v="2021-09-16T06:09:06"/>
    <d v="2021-09-16T06:27:00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b1ba-e0fef5349643"/>
    <d v="2021-09-17T13:20:00"/>
    <d v="2021-09-17T13:55:15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258.75"/>
    <n v="1208.75"/>
    <n v="254837009"/>
    <x v="100"/>
  </r>
  <r>
    <s v="3935e8a9-9b9f-fd00-2f93-d9e922aaa9da"/>
    <d v="2021-09-18T23:32:15"/>
    <d v="2021-09-19T00:06:31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45.08000000000004"/>
    <n v="495.08"/>
    <n v="254837009"/>
    <x v="100"/>
  </r>
  <r>
    <s v="3935e8a9-9b9f-fd00-0a61-2b40b2de69db"/>
    <d v="2021-09-20T02:23:31"/>
    <d v="2021-09-20T02:43:14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1359.9"/>
    <n v="1309.9000000000001"/>
    <n v="254837009"/>
    <x v="100"/>
  </r>
  <r>
    <s v="3935e8a9-9b9f-fd00-2c20-192aaf84232d"/>
    <d v="2021-09-21T06:28:14"/>
    <d v="2021-09-21T06:45:39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3bd8-25eab98bf978"/>
    <d v="2021-09-22T16:36:39"/>
    <d v="2021-09-22T16:56:40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512.63"/>
    <n v="462.63"/>
    <n v="254837009"/>
    <x v="100"/>
  </r>
  <r>
    <s v="3935e8a9-9b9f-fd00-189a-a18a667cb4b7"/>
    <d v="2021-09-26T14:56:40"/>
    <d v="2021-09-26T15:11:40"/>
    <s v="3935e8a9-9b9f-fd00-fe22-bcb810d0330b"/>
    <s v="0fab3c4e-a028-39a6-b15a-be5a88b6aa2a"/>
    <s v="1ad39563-df37-3584-aade-bb256157159e"/>
    <s v="df166300-5a78-3502-a46a-832842197811"/>
    <x v="1"/>
    <n v="185347001"/>
    <s v="Encounter for problem (procedure)"/>
    <n v="85.55"/>
    <n v="85.55"/>
    <n v="35.549999999999997"/>
    <n v="254837009"/>
    <x v="100"/>
  </r>
  <r>
    <s v="3935e8a9-9b9f-fd00-04d5-06c90af879b5"/>
    <d v="2021-10-12T13:51:49"/>
    <d v="2021-10-12T14:46:11"/>
    <s v="3935e8a9-9b9f-fd00-fe22-bcb810d0330b"/>
    <s v="aad05540-c9cb-3805-b3c4-f9b9d9b42b2e"/>
    <s v="f3d5ec38-244e-30ff-85e8-06914fcd3fa2"/>
    <s v="d18ef2e6-ef40-324c-be54-34a5ee865625"/>
    <x v="0"/>
    <n v="162673000"/>
    <s v="General examination of patient (procedure)"/>
    <n v="136.80000000000001"/>
    <n v="1000.83"/>
    <n v="1000.83"/>
    <m/>
    <x v="0"/>
  </r>
  <r>
    <s v="3935e8a9-9b9f-fd00-2f20-4410135456fe"/>
    <d v="2021-10-28T13:51:49"/>
    <d v="2021-10-28T14:06:49"/>
    <s v="3935e8a9-9b9f-fd00-fe22-bcb810d0330b"/>
    <s v="0fab3c4e-a028-39a6-b15a-be5a88b6aa2a"/>
    <s v="1ad39563-df37-3584-aade-bb256157159e"/>
    <s v="d18ef2e6-ef40-324c-be54-34a5ee865625"/>
    <x v="1"/>
    <n v="390906007"/>
    <s v="Follow-up encounter (procedure)"/>
    <n v="85.55"/>
    <n v="234.71"/>
    <n v="199.71"/>
    <n v="55822004"/>
    <x v="52"/>
  </r>
  <r>
    <s v="3935e8a9-9b9f-fd00-0477-6cfcb1a888b6"/>
    <d v="2021-11-23T12:51:49"/>
    <d v="2021-11-23T13:54:50"/>
    <s v="3935e8a9-9b9f-fd00-fe22-bcb810d0330b"/>
    <s v="0fab3c4e-a028-39a6-b15a-be5a88b6aa2a"/>
    <s v="1ad39563-df37-3584-aade-bb256157159e"/>
    <s v="d18ef2e6-ef40-324c-be54-34a5ee865625"/>
    <x v="2"/>
    <n v="308335008"/>
    <s v="Patient encounter procedure (procedure)"/>
    <n v="142.58000000000001"/>
    <n v="18081.02"/>
    <n v="18046.02"/>
    <n v="389095005"/>
    <x v="15"/>
  </r>
  <r>
    <s v="3935e8a9-9b9f-fd00-7e93-3d07582fbc7a"/>
    <d v="2022-01-20T13:56:40"/>
    <d v="2022-01-20T14:40:55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85d9-e8c3301dffae"/>
    <d v="2022-05-25T15:40:55"/>
    <d v="2022-05-25T16:17:18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3259-79827d698512"/>
    <d v="2022-09-24T16:17:18"/>
    <d v="2022-09-24T16:59:18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c0f4-bb8b7529770c"/>
    <d v="2022-09-24T16:59:18"/>
    <d v="2022-09-24T17:22:49"/>
    <s v="3935e8a9-9b9f-fd00-fe22-bcb810d0330b"/>
    <s v="0fab3c4e-a028-39a6-b15a-be5a88b6aa2a"/>
    <s v="1ad39563-df37-3584-aade-bb256157159e"/>
    <s v="d18ef2e6-ef40-324c-be54-34a5ee865625"/>
    <x v="1"/>
    <n v="410410006"/>
    <s v="Screening surveillance (regime/therapy)"/>
    <n v="142.58000000000001"/>
    <n v="250.7"/>
    <n v="215.7"/>
    <n v="254837009"/>
    <x v="100"/>
  </r>
  <r>
    <s v="3935e8a9-9b9f-fd00-38f0-4af8f9fb1765"/>
    <d v="2022-09-24T17:22:49"/>
    <d v="2022-09-24T17:38:40"/>
    <s v="3935e8a9-9b9f-fd00-fe22-bcb810d0330b"/>
    <s v="0fab3c4e-a028-39a6-b15a-be5a88b6aa2a"/>
    <s v="1ad39563-df37-3584-aade-bb256157159e"/>
    <s v="d18ef2e6-ef40-324c-be54-34a5ee865625"/>
    <x v="1"/>
    <n v="185389009"/>
    <s v="Follow-up visit (procedure)"/>
    <n v="85.55"/>
    <n v="16468.32"/>
    <n v="16433.32"/>
    <n v="254837009"/>
    <x v="100"/>
  </r>
  <r>
    <s v="3935e8a9-9b9f-fd00-4dcd-9c9aacf6f669"/>
    <d v="2022-10-18T13:51:49"/>
    <d v="2022-10-18T14:23:10"/>
    <s v="3935e8a9-9b9f-fd00-fe22-bcb810d0330b"/>
    <s v="aad05540-c9cb-3805-b3c4-f9b9d9b42b2e"/>
    <s v="f3d5ec38-244e-30ff-85e8-06914fcd3fa2"/>
    <s v="d18ef2e6-ef40-324c-be54-34a5ee865625"/>
    <x v="0"/>
    <n v="162673000"/>
    <s v="General examination of patient (procedure)"/>
    <n v="136.80000000000001"/>
    <n v="1567"/>
    <n v="1567"/>
    <m/>
    <x v="0"/>
  </r>
  <r>
    <s v="3935e8a9-9b9f-fd00-b095-b2cea29553f0"/>
    <d v="2022-10-28T13:51:49"/>
    <d v="2022-10-28T14:06:49"/>
    <s v="3935e8a9-9b9f-fd00-fe22-bcb810d0330b"/>
    <s v="0fab3c4e-a028-39a6-b15a-be5a88b6aa2a"/>
    <s v="1ad39563-df37-3584-aade-bb256157159e"/>
    <s v="d18ef2e6-ef40-324c-be54-34a5ee865625"/>
    <x v="1"/>
    <n v="390906007"/>
    <s v="Follow-up encounter (procedure)"/>
    <n v="85.55"/>
    <n v="234.71"/>
    <n v="199.71"/>
    <n v="55822004"/>
    <x v="52"/>
  </r>
  <r>
    <s v="3935e8a9-9b9f-fd00-df3d-87daf73113bc"/>
    <d v="2023-01-22T16:38:40"/>
    <d v="2023-01-22T17:11:43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4a28-b1f4ecab4e28"/>
    <d v="2023-05-14T18:11:43"/>
    <d v="2023-05-14T18:42:56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9334-31a3c20cf1ad"/>
    <d v="2023-08-31T18:42:56"/>
    <d v="2023-08-31T19:16:37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633a-65679d46b798"/>
    <d v="2023-08-31T19:16:37"/>
    <d v="2023-08-31T19:39:58"/>
    <s v="3935e8a9-9b9f-fd00-fe22-bcb810d0330b"/>
    <s v="0fab3c4e-a028-39a6-b15a-be5a88b6aa2a"/>
    <s v="1ad39563-df37-3584-aade-bb256157159e"/>
    <s v="d18ef2e6-ef40-324c-be54-34a5ee865625"/>
    <x v="1"/>
    <n v="410410006"/>
    <s v="Screening surveillance (regime/therapy)"/>
    <n v="142.58000000000001"/>
    <n v="325.49"/>
    <n v="290.49"/>
    <n v="254837009"/>
    <x v="100"/>
  </r>
  <r>
    <s v="3935e8a9-9b9f-fd00-d25b-0e215817c85d"/>
    <d v="2023-08-31T19:39:58"/>
    <d v="2023-08-31T19:56:00"/>
    <s v="3935e8a9-9b9f-fd00-fe22-bcb810d0330b"/>
    <s v="0fab3c4e-a028-39a6-b15a-be5a88b6aa2a"/>
    <s v="1ad39563-df37-3584-aade-bb256157159e"/>
    <s v="d18ef2e6-ef40-324c-be54-34a5ee865625"/>
    <x v="1"/>
    <n v="185389009"/>
    <s v="Follow-up visit (procedure)"/>
    <n v="85.55"/>
    <n v="4452.09"/>
    <n v="4417.09"/>
    <n v="254837009"/>
    <x v="100"/>
  </r>
  <r>
    <s v="3935e8a9-9b9f-fd00-9555-d2aea15a1512"/>
    <d v="2023-10-02T14:26:44"/>
    <d v="2023-10-02T15:00:14"/>
    <s v="3935e8a9-9b9f-fd00-fe22-bcb810d0330b"/>
    <s v="0fab3c4e-a028-39a6-b15a-be5a88b6aa2a"/>
    <s v="1ad39563-df37-3584-aade-bb256157159e"/>
    <s v="d18ef2e6-ef40-324c-be54-34a5ee865625"/>
    <x v="1"/>
    <n v="185349003"/>
    <s v="Encounter for check up (procedure)"/>
    <n v="85.55"/>
    <n v="13308.34"/>
    <n v="13273.34"/>
    <n v="275978004"/>
    <x v="29"/>
  </r>
  <r>
    <s v="3935e8a9-9b9f-fd00-c2f5-567c256783ec"/>
    <d v="2023-10-24T13:51:49"/>
    <d v="2023-10-24T14:41:16"/>
    <s v="3935e8a9-9b9f-fd00-fe22-bcb810d0330b"/>
    <s v="aad05540-c9cb-3805-b3c4-f9b9d9b42b2e"/>
    <s v="f3d5ec38-244e-30ff-85e8-06914fcd3fa2"/>
    <s v="d18ef2e6-ef40-324c-be54-34a5ee865625"/>
    <x v="0"/>
    <n v="162673000"/>
    <s v="General examination of patient (procedure)"/>
    <n v="136.80000000000001"/>
    <n v="919.9"/>
    <n v="919.9"/>
    <m/>
    <x v="0"/>
  </r>
  <r>
    <s v="3935e8a9-9b9f-fd00-0244-3fce3ae21480"/>
    <d v="2023-10-28T13:51:49"/>
    <d v="2023-10-28T14:06:49"/>
    <s v="3935e8a9-9b9f-fd00-fe22-bcb810d0330b"/>
    <s v="0fab3c4e-a028-39a6-b15a-be5a88b6aa2a"/>
    <s v="1ad39563-df37-3584-aade-bb256157159e"/>
    <s v="d18ef2e6-ef40-324c-be54-34a5ee865625"/>
    <x v="1"/>
    <n v="390906007"/>
    <s v="Follow-up encounter (procedure)"/>
    <n v="85.55"/>
    <n v="234.71"/>
    <n v="199.71"/>
    <n v="55822004"/>
    <x v="52"/>
  </r>
  <r>
    <s v="3935e8a9-9b9f-fd00-bb2b-051bb92e0057"/>
    <d v="2023-12-12T18:56:00"/>
    <d v="2023-12-12T19:39:18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5120-5f223c8c886d"/>
    <d v="2024-03-27T20:39:18"/>
    <d v="2024-03-27T21:17:07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baa9-41ca3cc78385"/>
    <d v="2024-07-09T21:17:07"/>
    <d v="2024-07-09T21:58:32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09b2-6e1f294655dc"/>
    <d v="2024-07-09T21:58:32"/>
    <d v="2024-07-09T22:23:10"/>
    <s v="3935e8a9-9b9f-fd00-fe22-bcb810d0330b"/>
    <s v="0fab3c4e-a028-39a6-b15a-be5a88b6aa2a"/>
    <s v="1ad39563-df37-3584-aade-bb256157159e"/>
    <s v="d18ef2e6-ef40-324c-be54-34a5ee865625"/>
    <x v="1"/>
    <n v="410410006"/>
    <s v="Screening surveillance (regime/therapy)"/>
    <n v="142.58000000000001"/>
    <n v="211.6"/>
    <n v="176.6"/>
    <n v="254837009"/>
    <x v="100"/>
  </r>
  <r>
    <s v="3935e8a9-9b9f-fd00-6a3f-c2d9ad289ef9"/>
    <d v="2024-07-09T22:23:10"/>
    <d v="2024-07-09T22:38:10"/>
    <s v="3935e8a9-9b9f-fd00-fe22-bcb810d0330b"/>
    <s v="0fab3c4e-a028-39a6-b15a-be5a88b6aa2a"/>
    <s v="1ad39563-df37-3584-aade-bb256157159e"/>
    <s v="d18ef2e6-ef40-324c-be54-34a5ee865625"/>
    <x v="1"/>
    <n v="185389009"/>
    <s v="Follow-up visit (procedure)"/>
    <n v="85.55"/>
    <n v="4810.24"/>
    <n v="4775.24"/>
    <n v="254837009"/>
    <x v="100"/>
  </r>
  <r>
    <s v="3935e8a9-9b9f-fd00-b35c-00dc043bb08a"/>
    <d v="2024-10-29T13:51:49"/>
    <d v="2024-10-29T14:40:04"/>
    <s v="3935e8a9-9b9f-fd00-fe22-bcb810d0330b"/>
    <s v="aad05540-c9cb-3805-b3c4-f9b9d9b42b2e"/>
    <s v="f3d5ec38-244e-30ff-85e8-06914fcd3fa2"/>
    <s v="df166300-5a78-3502-a46a-832842197811"/>
    <x v="0"/>
    <n v="162673000"/>
    <s v="General examination of patient (procedure)"/>
    <n v="136.80000000000001"/>
    <n v="1053.79"/>
    <n v="953.79"/>
    <m/>
    <x v="0"/>
  </r>
  <r>
    <s v="3935e8a9-9b9f-fd00-ded9-cfd4cb410daa"/>
    <d v="2024-11-05T12:51:49"/>
    <d v="2024-11-05T13:27:14"/>
    <s v="3935e8a9-9b9f-fd00-fe22-bcb810d0330b"/>
    <s v="0fab3c4e-a028-39a6-b15a-be5a88b6aa2a"/>
    <s v="1ad39563-df37-3584-aade-bb256157159e"/>
    <s v="df166300-5a78-3502-a46a-832842197811"/>
    <x v="1"/>
    <n v="439740005"/>
    <s v="Postoperative follow-up visit (procedure)"/>
    <n v="142.58000000000001"/>
    <n v="573.98"/>
    <n v="523.98"/>
    <n v="254837009"/>
    <x v="100"/>
  </r>
  <r>
    <s v="3935e8a9-9b9f-fd00-e52e-fbb94fd27c0e"/>
    <d v="2024-11-12T12:51:49"/>
    <d v="2024-11-12T13:06:49"/>
    <s v="3935e8a9-9b9f-fd00-fe22-bcb810d0330b"/>
    <s v="0fab3c4e-a028-39a6-b15a-be5a88b6aa2a"/>
    <s v="1ad39563-df37-3584-aade-bb256157159e"/>
    <s v="df166300-5a78-3502-a46a-832842197811"/>
    <x v="1"/>
    <n v="390906007"/>
    <s v="Follow-up encounter (procedure)"/>
    <n v="85.55"/>
    <n v="234.71"/>
    <n v="184.71"/>
    <n v="55822004"/>
    <x v="52"/>
  </r>
  <r>
    <s v="3935e8a9-9b9f-fd00-e72e-d1584ba5dba4"/>
    <d v="2025-02-22T13:27:14"/>
    <d v="2025-02-22T14:11:38"/>
    <s v="3935e8a9-9b9f-fd00-fe22-bcb810d0330b"/>
    <s v="0fab3c4e-a028-39a6-b15a-be5a88b6aa2a"/>
    <s v="1ad39563-df37-3584-aade-bb256157159e"/>
    <s v="df166300-5a78-3502-a46a-832842197811"/>
    <x v="1"/>
    <n v="439740005"/>
    <s v="Postoperative follow-up visit (procedure)"/>
    <n v="142.58000000000001"/>
    <n v="573.98"/>
    <n v="523.98"/>
    <n v="254837009"/>
    <x v="100"/>
  </r>
  <r>
    <s v="3935e8a9-9b9f-fd00-89f8-7d497781b4aa"/>
    <d v="2025-06-21T15:11:38"/>
    <d v="2025-06-21T15:56:34"/>
    <s v="3935e8a9-9b9f-fd00-fe22-bcb810d0330b"/>
    <s v="0fab3c4e-a028-39a6-b15a-be5a88b6aa2a"/>
    <s v="1ad39563-df37-3584-aade-bb256157159e"/>
    <s v="df166300-5a78-3502-a46a-832842197811"/>
    <x v="1"/>
    <n v="439740005"/>
    <s v="Postoperative follow-up visit (procedure)"/>
    <n v="142.58000000000001"/>
    <n v="573.98"/>
    <n v="523.98"/>
    <n v="254837009"/>
    <x v="100"/>
  </r>
  <r>
    <s v="3935e8a9-9b9f-fd00-3b09-aec53007b767"/>
    <d v="2025-06-21T15:56:34"/>
    <d v="2025-06-21T16:18:04"/>
    <s v="3935e8a9-9b9f-fd00-fe22-bcb810d0330b"/>
    <s v="0fab3c4e-a028-39a6-b15a-be5a88b6aa2a"/>
    <s v="1ad39563-df37-3584-aade-bb256157159e"/>
    <s v="df166300-5a78-3502-a46a-832842197811"/>
    <x v="1"/>
    <n v="410410006"/>
    <s v="Screening surveillance (regime/therapy)"/>
    <n v="142.58000000000001"/>
    <n v="211.6"/>
    <n v="161.6"/>
    <n v="254837009"/>
    <x v="100"/>
  </r>
  <r>
    <s v="3935e8a9-9b9f-fd00-6f5a-addafe74b61f"/>
    <d v="2025-06-21T16:18:04"/>
    <d v="2025-06-21T16:42:27"/>
    <s v="3935e8a9-9b9f-fd00-fe22-bcb810d0330b"/>
    <s v="0fab3c4e-a028-39a6-b15a-be5a88b6aa2a"/>
    <s v="1ad39563-df37-3584-aade-bb256157159e"/>
    <s v="df166300-5a78-3502-a46a-832842197811"/>
    <x v="1"/>
    <n v="185389009"/>
    <s v="Follow-up visit (procedure)"/>
    <n v="85.55"/>
    <n v="4181.24"/>
    <n v="4131.24"/>
    <n v="254837009"/>
    <x v="100"/>
  </r>
  <r>
    <s v="3935e8a9-9b9f-fd00-4e3c-a3a7a2844fdc"/>
    <d v="2025-10-03T14:53:10"/>
    <d v="2025-10-03T15:53:10"/>
    <s v="3935e8a9-9b9f-fd00-fe22-bcb810d0330b"/>
    <s v="e1818b21-4458-3b9c-b2b8-7ed6f57ae078"/>
    <s v="5a2ef0ce-4a09-31f5-8496-3ac4e406a0c8"/>
    <s v="d18ef2e6-ef40-324c-be54-34a5ee865625"/>
    <x v="3"/>
    <n v="50849002"/>
    <s v="Emergency room admission (procedure)"/>
    <n v="146.18"/>
    <n v="4140.8900000000003"/>
    <n v="4105.8900000000003"/>
    <n v="312608009"/>
    <x v="20"/>
  </r>
  <r>
    <s v="3935e8a9-9b9f-fd00-1a8a-166bb8f633df"/>
    <d v="2025-10-11T16:42:27"/>
    <d v="2025-10-11T17:20:39"/>
    <s v="3935e8a9-9b9f-fd00-fe22-bcb810d0330b"/>
    <s v="0fab3c4e-a028-39a6-b15a-be5a88b6aa2a"/>
    <s v="1ad39563-df37-3584-aade-bb256157159e"/>
    <s v="d18ef2e6-ef40-324c-be54-34a5ee865625"/>
    <x v="1"/>
    <n v="439740005"/>
    <s v="Postoperative follow-up visit (procedure)"/>
    <n v="142.58000000000001"/>
    <n v="573.98"/>
    <n v="538.98"/>
    <n v="254837009"/>
    <x v="100"/>
  </r>
  <r>
    <s v="3935e8a9-9b9f-fd00-6a25-dffcdd4d1757"/>
    <d v="2025-11-04T12:51:49"/>
    <d v="2025-11-04T13:48:20"/>
    <s v="3935e8a9-9b9f-fd00-fe22-bcb810d0330b"/>
    <s v="aad05540-c9cb-3805-b3c4-f9b9d9b42b2e"/>
    <s v="f3d5ec38-244e-30ff-85e8-06914fcd3fa2"/>
    <s v="d18ef2e6-ef40-324c-be54-34a5ee865625"/>
    <x v="0"/>
    <n v="162673000"/>
    <s v="General examination of patient (procedure)"/>
    <n v="136.80000000000001"/>
    <n v="1078.96"/>
    <n v="1078.96"/>
    <m/>
    <x v="0"/>
  </r>
  <r>
    <s v="3935e8a9-9b9f-fd00-e7e2-f55efcd70e26"/>
    <d v="2025-11-12T12:51:49"/>
    <d v="2025-11-12T13:06:49"/>
    <s v="3935e8a9-9b9f-fd00-fe22-bcb810d0330b"/>
    <s v="0fab3c4e-a028-39a6-b15a-be5a88b6aa2a"/>
    <s v="1ad39563-df37-3584-aade-bb256157159e"/>
    <s v="d18ef2e6-ef40-324c-be54-34a5ee865625"/>
    <x v="1"/>
    <n v="390906007"/>
    <s v="Follow-up encounter (procedure)"/>
    <n v="85.55"/>
    <n v="234.71"/>
    <n v="199.71"/>
    <n v="55822004"/>
    <x v="52"/>
  </r>
  <r>
    <s v="3935e8a9-9b9f-fd00-f341-be90057d6841"/>
    <d v="2025-11-25T12:51:49"/>
    <d v="2025-11-25T13:56:30"/>
    <s v="3935e8a9-9b9f-fd00-fe22-bcb810d0330b"/>
    <s v="0fab3c4e-a028-39a6-b15a-be5a88b6aa2a"/>
    <s v="1ad39563-df37-3584-aade-bb256157159e"/>
    <s v="d18ef2e6-ef40-324c-be54-34a5ee865625"/>
    <x v="2"/>
    <n v="308335008"/>
    <s v="Patient encounter procedure (procedure)"/>
    <n v="142.58000000000001"/>
    <n v="7963.24"/>
    <n v="7928.24"/>
    <n v="389095005"/>
    <x v="15"/>
  </r>
  <r>
    <s v="3935e8a9-9b9f-fd00-4cd8-60ab19af8bc2"/>
    <d v="2026-01-29T16:20:39"/>
    <d v="2026-01-29T16:56:25"/>
    <s v="3935e8a9-9b9f-fd00-fe22-bcb810d0330b"/>
    <s v="0fab3c4e-a028-39a6-b15a-be5a88b6aa2a"/>
    <s v="1ad39563-df37-3584-aade-bb256157159e"/>
    <s v="d18ef2e6-ef40-324c-be54-34a5ee865625"/>
    <x v="8"/>
    <n v="439740005"/>
    <s v="Postoperative follow-up visit (procedure)"/>
    <n v="125"/>
    <n v="556.4"/>
    <n v="521.4"/>
    <n v="254837009"/>
    <x v="100"/>
  </r>
  <r>
    <s v="3935e8a9-9b9f-fd00-de3d-7e468b533423"/>
    <d v="2026-05-13T17:56:25"/>
    <d v="2026-05-13T18:28:23"/>
    <s v="3935e8a9-9b9f-fd00-fe22-bcb810d0330b"/>
    <s v="0fab3c4e-a028-39a6-b15a-be5a88b6aa2a"/>
    <s v="1ad39563-df37-3584-aade-bb256157159e"/>
    <s v="d18ef2e6-ef40-324c-be54-34a5ee865625"/>
    <x v="8"/>
    <n v="439740005"/>
    <s v="Postoperative follow-up visit (procedure)"/>
    <n v="125"/>
    <n v="556.4"/>
    <n v="521.4"/>
    <n v="254837009"/>
    <x v="100"/>
  </r>
  <r>
    <s v="3935e8a9-9b9f-fd00-9685-84fbb0a3e620"/>
    <d v="2026-05-13T18:28:23"/>
    <d v="2026-05-13T18:52:44"/>
    <s v="3935e8a9-9b9f-fd00-fe22-bcb810d0330b"/>
    <s v="0fab3c4e-a028-39a6-b15a-be5a88b6aa2a"/>
    <s v="1ad39563-df37-3584-aade-bb256157159e"/>
    <s v="d18ef2e6-ef40-324c-be54-34a5ee865625"/>
    <x v="1"/>
    <n v="410410006"/>
    <s v="Screening surveillance (regime/therapy)"/>
    <n v="142.58000000000001"/>
    <n v="211.6"/>
    <n v="176.6"/>
    <n v="254837009"/>
    <x v="100"/>
  </r>
  <r>
    <s v="3935e8a9-9b9f-fd00-1c04-6f89aa1a0644"/>
    <d v="2026-05-13T18:52:44"/>
    <d v="2026-05-13T19:21:50"/>
    <s v="3935e8a9-9b9f-fd00-fe22-bcb810d0330b"/>
    <s v="0fab3c4e-a028-39a6-b15a-be5a88b6aa2a"/>
    <s v="1ad39563-df37-3584-aade-bb256157159e"/>
    <s v="d18ef2e6-ef40-324c-be54-34a5ee865625"/>
    <x v="1"/>
    <n v="185389009"/>
    <s v="Follow-up visit (procedure)"/>
    <n v="85.55"/>
    <n v="7217.28"/>
    <n v="7182.28"/>
    <n v="254837009"/>
    <x v="100"/>
  </r>
  <r>
    <s v="1dabc422-e007-d5ee-ffe2-fae7892313c7"/>
    <d v="2018-05-07T02:48:16"/>
    <d v="2018-05-07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347.38"/>
    <n v="247.38"/>
    <m/>
    <x v="0"/>
  </r>
  <r>
    <s v="1dabc422-e007-d5ee-49f6-977d0c0b33a1"/>
    <d v="2018-06-11T02:48:16"/>
    <d v="2018-06-11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272.8"/>
    <n v="272.8"/>
    <m/>
    <x v="0"/>
  </r>
  <r>
    <s v="1dabc422-e007-d5ee-997c-ede7bcd16575"/>
    <d v="2018-08-13T02:48:16"/>
    <d v="2018-08-13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816.8"/>
    <n v="816.8"/>
    <m/>
    <x v="0"/>
  </r>
  <r>
    <s v="1dabc422-e007-d5ee-eb50-50f3a1b9bbaf"/>
    <d v="2018-10-15T02:48:16"/>
    <d v="2018-10-15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1131.26"/>
    <n v="1131.26"/>
    <m/>
    <x v="0"/>
  </r>
  <r>
    <s v="1dabc422-e007-d5ee-c402-66134e4e73b2"/>
    <d v="2019-01-14T01:48:16"/>
    <d v="2019-01-14T02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816.8"/>
    <n v="816.8"/>
    <m/>
    <x v="0"/>
  </r>
  <r>
    <s v="1dabc422-e007-d5ee-dffd-3797fc297e14"/>
    <d v="2019-04-15T02:48:16"/>
    <d v="2019-04-15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136.80000000000001"/>
    <n v="136.80000000000001"/>
    <m/>
    <x v="0"/>
  </r>
  <r>
    <s v="1dabc422-e007-d5ee-695a-fc5d9eb7608d"/>
    <d v="2019-07-15T02:48:16"/>
    <d v="2019-07-15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816.8"/>
    <n v="716.8"/>
    <m/>
    <x v="0"/>
  </r>
  <r>
    <s v="1dabc422-e007-d5ee-d200-75babeef2bb3"/>
    <d v="2019-10-14T02:48:16"/>
    <d v="2019-10-14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272.8"/>
    <n v="272.8"/>
    <m/>
    <x v="0"/>
  </r>
  <r>
    <s v="1dabc422-e007-d5ee-36c8-2d31cf2d8e1d"/>
    <d v="2020-03-27T02:48:16"/>
    <d v="2020-03-27T03:03:16"/>
    <s v="1dabc422-e007-d5ee-791f-9e08a8fd9b6a"/>
    <s v="883f57b8-89c6-3dc4-b6da-047705c88623"/>
    <s v="4cdc0bdd-b122-3be4-9bf8-9a72d6b3b363"/>
    <s v="df166300-5a78-3502-a46a-832842197811"/>
    <x v="2"/>
    <n v="185345009"/>
    <s v="Encounter for symptom (procedure)"/>
    <n v="85.55"/>
    <n v="85.55"/>
    <n v="35.549999999999997"/>
    <n v="65363002"/>
    <x v="25"/>
  </r>
  <r>
    <s v="1dabc422-e007-d5ee-4c8e-89010111c2b4"/>
    <d v="2020-04-13T02:48:16"/>
    <d v="2020-04-13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967.54"/>
    <n v="967.54"/>
    <m/>
    <x v="0"/>
  </r>
  <r>
    <s v="1dabc422-e007-d5ee-4c5c-cb1c3f24009f"/>
    <d v="2020-08-26T03:48:16"/>
    <d v="2020-08-26T04:03:16"/>
    <s v="1dabc422-e007-d5ee-791f-9e08a8fd9b6a"/>
    <s v="883f57b8-89c6-3dc4-b6da-047705c88623"/>
    <s v="4cdc0bdd-b122-3be4-9bf8-9a72d6b3b363"/>
    <s v="df166300-5a78-3502-a46a-832842197811"/>
    <x v="1"/>
    <n v="185345009"/>
    <s v="Encounter for symptom (procedure)"/>
    <n v="85.55"/>
    <n v="85.55"/>
    <n v="0"/>
    <n v="43878008"/>
    <x v="18"/>
  </r>
  <r>
    <s v="1dabc422-e007-d5ee-5692-08f636ba36ba"/>
    <d v="2020-10-12T02:48:16"/>
    <d v="2020-10-12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892.34"/>
    <n v="859.45"/>
    <m/>
    <x v="0"/>
  </r>
  <r>
    <s v="1dabc422-e007-d5ee-ed1d-8621d22c8281"/>
    <d v="2021-04-12T02:48:16"/>
    <d v="2021-04-12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919.9"/>
    <n v="919.9"/>
    <m/>
    <x v="0"/>
  </r>
  <r>
    <s v="1dabc422-e007-d5ee-d391-5e79e6a4a0e0"/>
    <d v="2021-04-19T02:48:16"/>
    <d v="2021-04-19T09:08:56"/>
    <s v="1dabc422-e007-d5ee-791f-9e08a8fd9b6a"/>
    <s v="883f57b8-89c6-3dc4-b6da-047705c88623"/>
    <s v="4cdc0bdd-b122-3be4-9bf8-9a72d6b3b363"/>
    <s v="df166300-5a78-3502-a46a-832842197811"/>
    <x v="1"/>
    <n v="185349003"/>
    <s v="Encounter for check up (procedure)"/>
    <n v="85.55"/>
    <n v="4830.95"/>
    <n v="4780.95"/>
    <n v="103697008"/>
    <x v="3"/>
  </r>
  <r>
    <s v="1dabc422-e007-d5ee-2199-8012d8d02d9c"/>
    <d v="2021-08-03T02:48:16"/>
    <d v="2021-08-03T03:03:16"/>
    <s v="1dabc422-e007-d5ee-791f-9e08a8fd9b6a"/>
    <s v="883f57b8-89c6-3dc4-b6da-047705c88623"/>
    <s v="4cdc0bdd-b122-3be4-9bf8-9a72d6b3b363"/>
    <s v="df166300-5a78-3502-a46a-832842197811"/>
    <x v="2"/>
    <n v="185345009"/>
    <s v="Encounter for symptom (procedure)"/>
    <n v="85.55"/>
    <n v="85.55"/>
    <n v="35.549999999999997"/>
    <n v="65363002"/>
    <x v="25"/>
  </r>
  <r>
    <s v="1dabc422-e007-d5ee-582a-a91500bafd3a"/>
    <d v="2021-10-11T02:48:16"/>
    <d v="2021-10-11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352.5"/>
    <n v="352.5"/>
    <m/>
    <x v="0"/>
  </r>
  <r>
    <s v="1dabc422-e007-d5ee-230b-6924b1f4220f"/>
    <d v="2022-04-11T02:48:16"/>
    <d v="2022-04-11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919.9"/>
    <n v="919.9"/>
    <m/>
    <x v="0"/>
  </r>
  <r>
    <s v="1dabc422-e007-d5ee-e5c3-99c5cde95736"/>
    <d v="2022-04-18T02:48:16"/>
    <d v="2022-04-18T06:54:19"/>
    <s v="1dabc422-e007-d5ee-791f-9e08a8fd9b6a"/>
    <s v="883f57b8-89c6-3dc4-b6da-047705c88623"/>
    <s v="4cdc0bdd-b122-3be4-9bf8-9a72d6b3b363"/>
    <s v="df166300-5a78-3502-a46a-832842197811"/>
    <x v="1"/>
    <n v="185349003"/>
    <s v="Encounter for check up (procedure)"/>
    <n v="85.55"/>
    <n v="3536.75"/>
    <n v="3486.75"/>
    <n v="103697008"/>
    <x v="3"/>
  </r>
  <r>
    <s v="1dabc422-e007-d5ee-6aa6-8b44a027df8b"/>
    <d v="2022-04-25T02:48:16"/>
    <d v="2022-04-25T06:20:16"/>
    <s v="1dabc422-e007-d5ee-791f-9e08a8fd9b6a"/>
    <s v="76281d34-caff-30e0-8545-bcdf33182109"/>
    <s v="046efffa-5f3f-3d01-8a0e-43057e2be60a"/>
    <s v="df166300-5a78-3502-a46a-832842197811"/>
    <x v="3"/>
    <n v="50849002"/>
    <s v="Emergency room admission (procedure)"/>
    <n v="146.18"/>
    <n v="577.58000000000004"/>
    <n v="527.58000000000004"/>
    <n v="283545005"/>
    <x v="101"/>
  </r>
  <r>
    <s v="1dabc422-e007-d5ee-9e07-de5e66483682"/>
    <d v="2022-04-25T06:20:16"/>
    <d v="2022-05-06T06:35:16"/>
    <s v="1dabc422-e007-d5ee-791f-9e08a8fd9b6a"/>
    <s v="4932efc0-a23f-3f57-803e-554caa6ae7a8"/>
    <s v="b3cd9f66-f1f3-37fe-8f24-c839b43946fa"/>
    <s v="df166300-5a78-3502-a46a-832842197811"/>
    <x v="7"/>
    <n v="32485007"/>
    <s v="Hospital admission (procedure)"/>
    <n v="110.92"/>
    <n v="10936.78"/>
    <n v="10886.78"/>
    <n v="25675004"/>
    <x v="46"/>
  </r>
  <r>
    <s v="1dabc422-e007-d5ee-4cc9-3f740040d606"/>
    <d v="2022-07-01T06:20:16"/>
    <d v="2022-07-01T06:35:16"/>
    <s v="1dabc422-e007-d5ee-791f-9e08a8fd9b6a"/>
    <s v="883f57b8-89c6-3dc4-b6da-047705c88623"/>
    <s v="4cdc0bdd-b122-3be4-9bf8-9a72d6b3b363"/>
    <s v="df166300-5a78-3502-a46a-832842197811"/>
    <x v="1"/>
    <n v="185349003"/>
    <s v="Encounter for check up (procedure)"/>
    <n v="85.55"/>
    <n v="85.55"/>
    <n v="0"/>
    <n v="262574004"/>
    <x v="102"/>
  </r>
  <r>
    <s v="1dabc422-e007-d5ee-b08d-fd785cc1cee6"/>
    <d v="2023-04-17T02:48:16"/>
    <d v="2023-04-17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1463.9"/>
    <n v="1399.45"/>
    <m/>
    <x v="0"/>
  </r>
  <r>
    <s v="1dabc422-e007-d5ee-30aa-1357d47ed457"/>
    <d v="2023-04-24T02:48:16"/>
    <d v="2023-04-24T06:08:34"/>
    <s v="1dabc422-e007-d5ee-791f-9e08a8fd9b6a"/>
    <s v="883f57b8-89c6-3dc4-b6da-047705c88623"/>
    <s v="4cdc0bdd-b122-3be4-9bf8-9a72d6b3b363"/>
    <s v="df166300-5a78-3502-a46a-832842197811"/>
    <x v="1"/>
    <n v="185349003"/>
    <s v="Encounter for check up (procedure)"/>
    <n v="85.55"/>
    <n v="2673.95"/>
    <n v="2623.95"/>
    <n v="103697008"/>
    <x v="3"/>
  </r>
  <r>
    <s v="1dabc422-e007-d5ee-bb02-414ecad9934f"/>
    <d v="2023-11-26T19:48:16"/>
    <d v="2023-11-26T20:03:16"/>
    <s v="1dabc422-e007-d5ee-791f-9e08a8fd9b6a"/>
    <s v="883f57b8-89c6-3dc4-b6da-047705c88623"/>
    <s v="4cdc0bdd-b122-3be4-9bf8-9a72d6b3b363"/>
    <s v="df166300-5a78-3502-a46a-832842197811"/>
    <x v="1"/>
    <n v="185345009"/>
    <s v="Encounter for symptom (procedure)"/>
    <n v="85.55"/>
    <n v="1108.6500000000001"/>
    <n v="958.65"/>
    <n v="195662009"/>
    <x v="9"/>
  </r>
  <r>
    <s v="1dabc422-e007-d5ee-8047-410d3cdc599a"/>
    <d v="2024-04-22T02:48:16"/>
    <d v="2024-04-22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929.42"/>
    <n v="929.42"/>
    <m/>
    <x v="0"/>
  </r>
  <r>
    <s v="1dabc422-e007-d5ee-e4e1-7d5732d523c7"/>
    <d v="2025-04-28T02:48:16"/>
    <d v="2025-04-28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919.9"/>
    <n v="819.9"/>
    <m/>
    <x v="0"/>
  </r>
  <r>
    <s v="1dabc422-e007-d5ee-6ed0-a0f80627124d"/>
    <d v="2025-05-05T02:48:16"/>
    <d v="2025-05-05T05:36:38"/>
    <s v="1dabc422-e007-d5ee-791f-9e08a8fd9b6a"/>
    <s v="883f57b8-89c6-3dc4-b6da-047705c88623"/>
    <s v="4cdc0bdd-b122-3be4-9bf8-9a72d6b3b363"/>
    <s v="df166300-5a78-3502-a46a-832842197811"/>
    <x v="1"/>
    <n v="185349003"/>
    <s v="Encounter for check up (procedure)"/>
    <n v="85.55"/>
    <n v="3536.75"/>
    <n v="3486.75"/>
    <n v="103697008"/>
    <x v="3"/>
  </r>
  <r>
    <s v="1dabc422-e007-d5ee-d3a4-159aad9323a6"/>
    <d v="2025-09-29T08:48:16"/>
    <d v="2025-09-29T09:03:16"/>
    <s v="1dabc422-e007-d5ee-791f-9e08a8fd9b6a"/>
    <s v="883f57b8-89c6-3dc4-b6da-047705c88623"/>
    <s v="4cdc0bdd-b122-3be4-9bf8-9a72d6b3b363"/>
    <s v="df166300-5a78-3502-a46a-832842197811"/>
    <x v="1"/>
    <n v="185345009"/>
    <s v="Encounter for symptom (procedure)"/>
    <n v="85.55"/>
    <n v="3536.75"/>
    <n v="3386.75"/>
    <n v="195662009"/>
    <x v="9"/>
  </r>
  <r>
    <s v="1dabc422-e007-d5ee-f191-effcc10bb427"/>
    <d v="2026-05-04T02:48:16"/>
    <d v="2026-05-04T03:03:16"/>
    <s v="1dabc422-e007-d5ee-791f-9e08a8fd9b6a"/>
    <s v="e5d50afe-8c7d-35f5-96f5-fb8941403b0f"/>
    <s v="228d7c8a-0dea-37e2-83b6-7865d1c495ca"/>
    <s v="df166300-5a78-3502-a46a-832842197811"/>
    <x v="0"/>
    <n v="410620009"/>
    <s v="Well child visit (procedure)"/>
    <n v="136.80000000000001"/>
    <n v="272.8"/>
    <n v="272.8"/>
    <m/>
    <x v="0"/>
  </r>
  <r>
    <s v="1dabc422-e007-d5ee-9fe8-f0a90cc9a3f1"/>
    <d v="2026-06-10T06:20:16"/>
    <d v="2026-06-10T06:35:16"/>
    <s v="1dabc422-e007-d5ee-791f-9e08a8fd9b6a"/>
    <s v="883f57b8-89c6-3dc4-b6da-047705c88623"/>
    <s v="4cdc0bdd-b122-3be4-9bf8-9a72d6b3b363"/>
    <s v="df166300-5a78-3502-a46a-832842197811"/>
    <x v="1"/>
    <n v="185347001"/>
    <s v="Encounter for problem (procedure)"/>
    <n v="85.55"/>
    <n v="85.55"/>
    <n v="0"/>
    <n v="307731004"/>
    <x v="48"/>
  </r>
  <r>
    <s v="1dabc422-e007-d5ee-747f-8f639a19ff30"/>
    <d v="2026-08-06T06:20:16"/>
    <d v="2026-08-06T06:35:16"/>
    <s v="1dabc422-e007-d5ee-791f-9e08a8fd9b6a"/>
    <s v="883f57b8-89c6-3dc4-b6da-047705c88623"/>
    <s v="4cdc0bdd-b122-3be4-9bf8-9a72d6b3b363"/>
    <s v="df166300-5a78-3502-a46a-832842197811"/>
    <x v="1"/>
    <n v="185349003"/>
    <s v="Encounter for check up (procedure)"/>
    <n v="85.55"/>
    <n v="85.55"/>
    <n v="0"/>
    <n v="307731004"/>
    <x v="48"/>
  </r>
  <r>
    <s v="3732fde5-efc6-d57a-79bf-e3e04b39e22e"/>
    <d v="1978-05-19T06:39:49"/>
    <d v="1978-05-19T07:26:51"/>
    <s v="3732fde5-efc6-d57a-517b-0500f2177181"/>
    <s v="a4b91172-69e7-3895-bd89-b9a0868de5c2"/>
    <s v="6686a8c8-2230-3b1d-ad5f-b42219997fd5"/>
    <s v="e03e23c9-4df1-3eb6-a62d-f70f02301496"/>
    <x v="0"/>
    <n v="162673000"/>
    <s v="General examination of patient (procedure)"/>
    <n v="136.80000000000001"/>
    <n v="704.2"/>
    <n v="0"/>
    <m/>
    <x v="0"/>
  </r>
  <r>
    <s v="3732fde5-efc6-d57a-0793-f144f041af74"/>
    <d v="2007-11-12T05:39:49"/>
    <d v="2007-11-12T05:54:49"/>
    <s v="3732fde5-efc6-d57a-517b-0500f2177181"/>
    <s v="aade280a-3b90-3e48-9648-91109a964a63"/>
    <s v="d38fde76-27d5-3434-b796-06c020e825f7"/>
    <s v="734afbd6-4794-363b-9bc0-6a3981533ed5"/>
    <x v="1"/>
    <n v="185347001"/>
    <s v="Encounter for problem (procedure)"/>
    <n v="85.55"/>
    <n v="85.55"/>
    <n v="0"/>
    <n v="239873007"/>
    <x v="51"/>
  </r>
  <r>
    <s v="3732fde5-efc6-d57a-220f-3a7f37fe4522"/>
    <d v="2008-04-18T06:39:49"/>
    <d v="2008-04-18T07:24:16"/>
    <s v="3732fde5-efc6-d57a-517b-0500f2177181"/>
    <s v="a4b91172-69e7-3895-bd89-b9a0868de5c2"/>
    <s v="6686a8c8-2230-3b1d-ad5f-b42219997fd5"/>
    <s v="734afbd6-4794-363b-9bc0-6a3981533ed5"/>
    <x v="0"/>
    <n v="162673000"/>
    <s v="General examination of patient (procedure)"/>
    <n v="136.80000000000001"/>
    <n v="704.2"/>
    <n v="0"/>
    <m/>
    <x v="0"/>
  </r>
  <r>
    <s v="3732fde5-efc6-d57a-04a1-88c5c87cf692"/>
    <d v="2012-05-11T06:39:49"/>
    <d v="2012-05-11T07:17:50"/>
    <s v="3732fde5-efc6-d57a-517b-0500f2177181"/>
    <s v="a4b91172-69e7-3895-bd89-b9a0868de5c2"/>
    <s v="6686a8c8-2230-3b1d-ad5f-b42219997fd5"/>
    <s v="734afbd6-4794-363b-9bc0-6a3981533ed5"/>
    <x v="0"/>
    <n v="162673000"/>
    <s v="General examination of patient (procedure)"/>
    <n v="136.80000000000001"/>
    <n v="778.78"/>
    <n v="0"/>
    <m/>
    <x v="0"/>
  </r>
  <r>
    <s v="3732fde5-efc6-d57a-88f7-6c8a4edce6e3"/>
    <d v="2016-06-03T06:39:49"/>
    <d v="2016-06-03T07:11:42"/>
    <s v="3732fde5-efc6-d57a-517b-0500f2177181"/>
    <s v="a4b91172-69e7-3895-bd89-b9a0868de5c2"/>
    <s v="6686a8c8-2230-3b1d-ad5f-b42219997fd5"/>
    <s v="8fa6c185-e44e-3e34-8bd8-39be8694f4ce"/>
    <x v="0"/>
    <n v="162673000"/>
    <s v="General examination of patient (procedure)"/>
    <n v="136.80000000000001"/>
    <n v="927.94"/>
    <n v="0"/>
    <m/>
    <x v="0"/>
  </r>
  <r>
    <s v="3732fde5-efc6-d57a-0520-6184d092114d"/>
    <d v="2016-06-24T06:39:49"/>
    <d v="2016-06-24T06:54:49"/>
    <s v="3732fde5-efc6-d57a-517b-0500f2177181"/>
    <s v="aade280a-3b90-3e48-9648-91109a964a63"/>
    <s v="d38fde76-27d5-3434-b796-06c020e825f7"/>
    <s v="8fa6c185-e44e-3e34-8bd8-39be8694f4ce"/>
    <x v="1"/>
    <n v="390906007"/>
    <s v="Follow-up encounter (procedure)"/>
    <n v="85.55"/>
    <n v="85.55"/>
    <n v="0"/>
    <n v="55822004"/>
    <x v="52"/>
  </r>
  <r>
    <s v="3732fde5-efc6-d57a-2ad1-50b9e41abf46"/>
    <d v="2017-06-09T06:39:49"/>
    <d v="2017-06-09T07:23:14"/>
    <s v="3732fde5-efc6-d57a-517b-0500f2177181"/>
    <s v="a4b91172-69e7-3895-bd89-b9a0868de5c2"/>
    <s v="6686a8c8-2230-3b1d-ad5f-b42219997fd5"/>
    <s v="8fa6c185-e44e-3e34-8bd8-39be8694f4ce"/>
    <x v="0"/>
    <n v="162673000"/>
    <s v="General examination of patient (procedure)"/>
    <n v="136.80000000000001"/>
    <n v="704.2"/>
    <n v="0"/>
    <m/>
    <x v="0"/>
  </r>
  <r>
    <s v="3732fde5-efc6-d57a-ddc3-4358f4d15145"/>
    <d v="2017-06-23T06:39:49"/>
    <d v="2017-06-23T10:22:54"/>
    <s v="3732fde5-efc6-d57a-517b-0500f2177181"/>
    <s v="aade280a-3b90-3e48-9648-91109a964a63"/>
    <s v="d38fde76-27d5-3434-b796-06c020e825f7"/>
    <s v="8fa6c185-e44e-3e34-8bd8-39be8694f4ce"/>
    <x v="1"/>
    <n v="185349003"/>
    <s v="Encounter for check up (procedure)"/>
    <n v="85.55"/>
    <n v="3105.35"/>
    <n v="0"/>
    <n v="103697008"/>
    <x v="3"/>
  </r>
  <r>
    <s v="3732fde5-efc6-d57a-e54f-bb5e158fe3d0"/>
    <d v="2017-06-24T06:39:49"/>
    <d v="2017-06-24T06:54:49"/>
    <s v="3732fde5-efc6-d57a-517b-0500f2177181"/>
    <s v="aade280a-3b90-3e48-9648-91109a964a63"/>
    <s v="d38fde76-27d5-3434-b796-06c020e825f7"/>
    <s v="8fa6c185-e44e-3e34-8bd8-39be8694f4ce"/>
    <x v="1"/>
    <n v="390906007"/>
    <s v="Follow-up encounter (procedure)"/>
    <n v="85.55"/>
    <n v="234.71"/>
    <n v="0"/>
    <n v="55822004"/>
    <x v="52"/>
  </r>
  <r>
    <s v="3732fde5-efc6-d57a-0c0f-5258ae49bf4e"/>
    <d v="2018-06-15T06:39:49"/>
    <d v="2018-06-15T07:26:39"/>
    <s v="3732fde5-efc6-d57a-517b-0500f2177181"/>
    <s v="a4b91172-69e7-3895-bd89-b9a0868de5c2"/>
    <s v="6686a8c8-2230-3b1d-ad5f-b42219997fd5"/>
    <s v="8fa6c185-e44e-3e34-8bd8-39be8694f4ce"/>
    <x v="0"/>
    <n v="162673000"/>
    <s v="General examination of patient (procedure)"/>
    <n v="136.80000000000001"/>
    <n v="778.78"/>
    <n v="0"/>
    <m/>
    <x v="0"/>
  </r>
  <r>
    <s v="3732fde5-efc6-d57a-82f0-65485cba9875"/>
    <d v="2018-06-24T06:39:49"/>
    <d v="2018-06-24T06:54:49"/>
    <s v="3732fde5-efc6-d57a-517b-0500f2177181"/>
    <s v="aade280a-3b90-3e48-9648-91109a964a63"/>
    <s v="d38fde76-27d5-3434-b796-06c020e825f7"/>
    <s v="8fa6c185-e44e-3e34-8bd8-39be8694f4ce"/>
    <x v="1"/>
    <n v="390906007"/>
    <s v="Follow-up encounter (procedure)"/>
    <n v="85.55"/>
    <n v="234.71"/>
    <n v="0"/>
    <n v="55822004"/>
    <x v="52"/>
  </r>
  <r>
    <s v="3732fde5-efc6-d57a-105c-58e6664f3efa"/>
    <d v="2019-06-21T06:39:49"/>
    <d v="2019-06-21T07:34:16"/>
    <s v="3732fde5-efc6-d57a-517b-0500f2177181"/>
    <s v="a4b91172-69e7-3895-bd89-b9a0868de5c2"/>
    <s v="6686a8c8-2230-3b1d-ad5f-b42219997fd5"/>
    <s v="8fa6c185-e44e-3e34-8bd8-39be8694f4ce"/>
    <x v="0"/>
    <n v="162673000"/>
    <s v="General examination of patient (procedure)"/>
    <n v="136.80000000000001"/>
    <n v="919.9"/>
    <n v="0"/>
    <m/>
    <x v="0"/>
  </r>
  <r>
    <s v="3732fde5-efc6-d57a-7773-b123991c509a"/>
    <d v="2019-06-24T06:39:49"/>
    <d v="2019-06-24T06:54:49"/>
    <s v="3732fde5-efc6-d57a-517b-0500f2177181"/>
    <s v="aade280a-3b90-3e48-9648-91109a964a63"/>
    <s v="d38fde76-27d5-3434-b796-06c020e825f7"/>
    <s v="8fa6c185-e44e-3e34-8bd8-39be8694f4ce"/>
    <x v="1"/>
    <n v="390906007"/>
    <s v="Follow-up encounter (procedure)"/>
    <n v="85.55"/>
    <n v="234.71"/>
    <n v="0"/>
    <n v="55822004"/>
    <x v="52"/>
  </r>
  <r>
    <s v="3732fde5-efc6-d57a-60d9-7e3435cb75a4"/>
    <d v="2020-03-25T07:37:51"/>
    <d v="2020-03-25T08:19:40"/>
    <s v="3732fde5-efc6-d57a-517b-0500f2177181"/>
    <s v="aade280a-3b90-3e48-9648-91109a964a63"/>
    <s v="d38fde76-27d5-3434-b796-06c020e825f7"/>
    <s v="8fa6c185-e44e-3e34-8bd8-39be8694f4ce"/>
    <x v="1"/>
    <n v="185349003"/>
    <s v="Encounter for check up (procedure)"/>
    <n v="85.55"/>
    <n v="10429.950000000001"/>
    <n v="4960.99"/>
    <n v="275978004"/>
    <x v="29"/>
  </r>
  <r>
    <s v="3732fde5-efc6-d57a-495c-e18dfeb5ad8c"/>
    <d v="2020-03-31T06:39:49"/>
    <d v="2020-03-31T07:42:05"/>
    <s v="3732fde5-efc6-d57a-517b-0500f2177181"/>
    <s v="aade280a-3b90-3e48-9648-91109a964a63"/>
    <s v="d38fde76-27d5-3434-b796-06c020e825f7"/>
    <s v="8fa6c185-e44e-3e34-8bd8-39be8694f4ce"/>
    <x v="8"/>
    <n v="185317003"/>
    <s v="Telephone encounter (procedure)"/>
    <n v="75"/>
    <n v="1437.36"/>
    <n v="0"/>
    <n v="307426000"/>
    <x v="5"/>
  </r>
  <r>
    <s v="3732fde5-efc6-d57a-36a1-6c3ebef58fe0"/>
    <d v="2020-04-01T19:42:05"/>
    <d v="2020-04-01T21:45:01"/>
    <s v="3732fde5-efc6-d57a-517b-0500f2177181"/>
    <s v="2f67494e-f17e-3248-ba68-3ca42913cca1"/>
    <s v="5a83dcd0-74c0-3f71-8fa5-4b57a00b2e25"/>
    <s v="8fa6c185-e44e-3e34-8bd8-39be8694f4ce"/>
    <x v="3"/>
    <n v="390906007"/>
    <s v="Follow-up encounter (procedure)"/>
    <n v="87.71"/>
    <n v="3613.49"/>
    <n v="476.55"/>
    <n v="307426000"/>
    <x v="5"/>
  </r>
  <r>
    <s v="3732fde5-efc6-d57a-2f7f-cbbe4aff7f41"/>
    <d v="2020-06-26T06:39:49"/>
    <d v="2020-06-26T07:37:10"/>
    <s v="3732fde5-efc6-d57a-517b-0500f2177181"/>
    <s v="a4b91172-69e7-3895-bd89-b9a0868de5c2"/>
    <s v="6686a8c8-2230-3b1d-ad5f-b42219997fd5"/>
    <s v="8fa6c185-e44e-3e34-8bd8-39be8694f4ce"/>
    <x v="0"/>
    <n v="162673000"/>
    <s v="General examination of patient (procedure)"/>
    <n v="136.80000000000001"/>
    <n v="1045.07"/>
    <n v="731.55"/>
    <m/>
    <x v="0"/>
  </r>
  <r>
    <s v="3732fde5-efc6-d57a-aafc-3ee4323a41c3"/>
    <d v="2020-07-03T06:39:49"/>
    <d v="2020-07-03T06:54:49"/>
    <s v="3732fde5-efc6-d57a-517b-0500f2177181"/>
    <s v="aade280a-3b90-3e48-9648-91109a964a63"/>
    <s v="d38fde76-27d5-3434-b796-06c020e825f7"/>
    <s v="8fa6c185-e44e-3e34-8bd8-39be8694f4ce"/>
    <x v="1"/>
    <n v="390906007"/>
    <s v="Follow-up encounter (procedure)"/>
    <n v="85.55"/>
    <n v="234.71"/>
    <n v="164.3"/>
    <n v="55822004"/>
    <x v="52"/>
  </r>
  <r>
    <s v="3732fde5-efc6-d57a-1386-f506588b63cb"/>
    <d v="2020-07-10T06:39:49"/>
    <d v="2020-07-10T12:34:35"/>
    <s v="3732fde5-efc6-d57a-517b-0500f2177181"/>
    <s v="aade280a-3b90-3e48-9648-91109a964a63"/>
    <s v="d38fde76-27d5-3434-b796-06c020e825f7"/>
    <s v="8fa6c185-e44e-3e34-8bd8-39be8694f4ce"/>
    <x v="1"/>
    <n v="185349003"/>
    <s v="Encounter for check up (procedure)"/>
    <n v="85.55"/>
    <n v="4830.95"/>
    <n v="3381.66"/>
    <n v="66383009"/>
    <x v="17"/>
  </r>
  <r>
    <s v="3732fde5-efc6-d57a-5b8d-a480950d5ccb"/>
    <d v="2020-08-29T06:39:49"/>
    <d v="2020-08-29T08:13:48"/>
    <s v="3732fde5-efc6-d57a-517b-0500f2177181"/>
    <s v="aade280a-3b90-3e48-9648-91109a964a63"/>
    <s v="d38fde76-27d5-3434-b796-06c020e825f7"/>
    <s v="8fa6c185-e44e-3e34-8bd8-39be8694f4ce"/>
    <x v="1"/>
    <n v="185345009"/>
    <s v="Encounter for symptom (procedure)"/>
    <n v="85.55"/>
    <n v="235.76"/>
    <n v="165.04"/>
    <n v="840544004"/>
    <x v="30"/>
  </r>
  <r>
    <s v="3732fde5-efc6-d57a-244c-7303d2836565"/>
    <d v="2020-08-29T08:13:48"/>
    <d v="2020-09-07T09:00:16"/>
    <s v="3732fde5-efc6-d57a-517b-0500f2177181"/>
    <s v="aade280a-3b90-3e48-9648-91109a964a63"/>
    <s v="d38fde76-27d5-3434-b796-06c020e825f7"/>
    <s v="8fa6c185-e44e-3e34-8bd8-39be8694f4ce"/>
    <x v="6"/>
    <n v="1505002"/>
    <s v="Hospital admission for isolation (procedure)"/>
    <n v="146.18"/>
    <n v="15413.48"/>
    <n v="10789.62"/>
    <n v="840539006"/>
    <x v="103"/>
  </r>
  <r>
    <s v="3732fde5-efc6-d57a-0be9-8d9d22713faf"/>
    <d v="2021-01-22T05:39:49"/>
    <d v="2021-01-22T05:54:49"/>
    <s v="3732fde5-efc6-d57a-517b-0500f2177181"/>
    <s v="aade280a-3b90-3e48-9648-91109a964a63"/>
    <s v="d38fde76-27d5-3434-b796-06c020e825f7"/>
    <s v="8fa6c185-e44e-3e34-8bd8-39be8694f4ce"/>
    <x v="2"/>
    <n v="33879002"/>
    <s v="Administration of vaccine to produce active immunity (procedure)"/>
    <n v="142.58000000000001"/>
    <n v="278.58"/>
    <n v="278.58"/>
    <m/>
    <x v="0"/>
  </r>
  <r>
    <s v="3732fde5-efc6-d57a-dc05-04a39c6e8387"/>
    <d v="2021-02-19T05:39:49"/>
    <d v="2021-02-19T05:54:49"/>
    <s v="3732fde5-efc6-d57a-517b-0500f2177181"/>
    <s v="aade280a-3b90-3e48-9648-91109a964a63"/>
    <s v="d38fde76-27d5-3434-b796-06c020e825f7"/>
    <s v="8fa6c185-e44e-3e34-8bd8-39be8694f4ce"/>
    <x v="2"/>
    <n v="33879002"/>
    <s v="Administration of vaccine to produce active immunity (procedure)"/>
    <n v="142.58000000000001"/>
    <n v="278.58"/>
    <n v="278.58"/>
    <m/>
    <x v="0"/>
  </r>
  <r>
    <s v="3732fde5-efc6-d57a-1c15-0f3aac2481f1"/>
    <d v="2021-07-02T06:39:49"/>
    <d v="2021-07-02T07:27:57"/>
    <s v="3732fde5-efc6-d57a-517b-0500f2177181"/>
    <s v="a4b91172-69e7-3895-bd89-b9a0868de5c2"/>
    <s v="6686a8c8-2230-3b1d-ad5f-b42219997fd5"/>
    <s v="734afbd6-4794-363b-9bc0-6a3981533ed5"/>
    <x v="0"/>
    <n v="162673000"/>
    <s v="General examination of patient (procedure)"/>
    <n v="136.80000000000001"/>
    <n v="989.36"/>
    <n v="0"/>
    <m/>
    <x v="0"/>
  </r>
  <r>
    <s v="3732fde5-efc6-d57a-a710-2eb0a64c6eef"/>
    <d v="2021-07-03T06:39:49"/>
    <d v="2021-07-03T06:54:49"/>
    <s v="3732fde5-efc6-d57a-517b-0500f2177181"/>
    <s v="aade280a-3b90-3e48-9648-91109a964a63"/>
    <s v="d38fde76-27d5-3434-b796-06c020e825f7"/>
    <s v="734afbd6-4794-363b-9bc0-6a3981533ed5"/>
    <x v="1"/>
    <n v="390906007"/>
    <s v="Follow-up encounter (procedure)"/>
    <n v="85.55"/>
    <n v="234.71"/>
    <n v="0"/>
    <n v="55822004"/>
    <x v="52"/>
  </r>
  <r>
    <s v="3732fde5-efc6-d57a-4290-bac0578594c4"/>
    <d v="2022-07-08T06:39:49"/>
    <d v="2022-07-08T07:36:40"/>
    <s v="3732fde5-efc6-d57a-517b-0500f2177181"/>
    <s v="a4b91172-69e7-3895-bd89-b9a0868de5c2"/>
    <s v="6686a8c8-2230-3b1d-ad5f-b42219997fd5"/>
    <s v="734afbd6-4794-363b-9bc0-6a3981533ed5"/>
    <x v="0"/>
    <n v="162673000"/>
    <s v="General examination of patient (procedure)"/>
    <n v="136.80000000000001"/>
    <n v="704.2"/>
    <n v="0"/>
    <m/>
    <x v="0"/>
  </r>
  <r>
    <s v="3732fde5-efc6-d57a-656a-45cd54c64340"/>
    <d v="2022-07-15T06:39:49"/>
    <d v="2022-07-15T06:54:49"/>
    <s v="3732fde5-efc6-d57a-517b-0500f2177181"/>
    <s v="aade280a-3b90-3e48-9648-91109a964a63"/>
    <s v="d38fde76-27d5-3434-b796-06c020e825f7"/>
    <s v="734afbd6-4794-363b-9bc0-6a3981533ed5"/>
    <x v="1"/>
    <n v="390906007"/>
    <s v="Follow-up encounter (procedure)"/>
    <n v="85.55"/>
    <n v="234.71"/>
    <n v="0"/>
    <n v="55822004"/>
    <x v="52"/>
  </r>
  <r>
    <s v="3732fde5-efc6-d57a-8cc4-c12fde87e9b0"/>
    <d v="2023-07-14T06:39:49"/>
    <d v="2023-07-14T07:33:57"/>
    <s v="3732fde5-efc6-d57a-517b-0500f2177181"/>
    <s v="a4b91172-69e7-3895-bd89-b9a0868de5c2"/>
    <s v="6686a8c8-2230-3b1d-ad5f-b42219997fd5"/>
    <s v="734afbd6-4794-363b-9bc0-6a3981533ed5"/>
    <x v="0"/>
    <n v="162673000"/>
    <s v="General examination of patient (procedure)"/>
    <n v="136.80000000000001"/>
    <n v="919.9"/>
    <n v="0"/>
    <m/>
    <x v="0"/>
  </r>
  <r>
    <s v="3732fde5-efc6-d57a-fd13-1f02a1221868"/>
    <d v="2023-07-15T06:39:49"/>
    <d v="2023-07-15T06:54:49"/>
    <s v="3732fde5-efc6-d57a-517b-0500f2177181"/>
    <s v="aade280a-3b90-3e48-9648-91109a964a63"/>
    <s v="d38fde76-27d5-3434-b796-06c020e825f7"/>
    <s v="734afbd6-4794-363b-9bc0-6a3981533ed5"/>
    <x v="1"/>
    <n v="390906007"/>
    <s v="Follow-up encounter (procedure)"/>
    <n v="85.55"/>
    <n v="234.71"/>
    <n v="0"/>
    <n v="55822004"/>
    <x v="52"/>
  </r>
  <r>
    <s v="3732fde5-efc6-d57a-65e5-dceafa38ca2f"/>
    <d v="2023-07-28T06:39:49"/>
    <d v="2023-07-28T10:14:58"/>
    <s v="3732fde5-efc6-d57a-517b-0500f2177181"/>
    <s v="aade280a-3b90-3e48-9648-91109a964a63"/>
    <s v="d38fde76-27d5-3434-b796-06c020e825f7"/>
    <s v="734afbd6-4794-363b-9bc0-6a3981533ed5"/>
    <x v="1"/>
    <n v="185349003"/>
    <s v="Encounter for check up (procedure)"/>
    <n v="85.55"/>
    <n v="3105.35"/>
    <n v="2348.23"/>
    <n v="103697008"/>
    <x v="3"/>
  </r>
  <r>
    <s v="3732fde5-efc6-d57a-f3e3-ed3ea674f94e"/>
    <d v="2024-07-19T06:39:49"/>
    <d v="2024-07-19T07:11:04"/>
    <s v="3732fde5-efc6-d57a-517b-0500f2177181"/>
    <s v="a4b91172-69e7-3895-bd89-b9a0868de5c2"/>
    <s v="6686a8c8-2230-3b1d-ad5f-b42219997fd5"/>
    <s v="0133f751-9229-3cfd-815f-b6d4979bdd6a"/>
    <x v="0"/>
    <n v="162673000"/>
    <s v="General examination of patient (procedure)"/>
    <n v="136.80000000000001"/>
    <n v="778.78"/>
    <n v="0"/>
    <m/>
    <x v="0"/>
  </r>
  <r>
    <s v="3732fde5-efc6-d57a-ddea-4bd3c30a6eaf"/>
    <d v="2024-07-26T06:39:49"/>
    <d v="2024-07-26T06:54:49"/>
    <s v="3732fde5-efc6-d57a-517b-0500f2177181"/>
    <s v="aade280a-3b90-3e48-9648-91109a964a63"/>
    <s v="d38fde76-27d5-3434-b796-06c020e825f7"/>
    <s v="0133f751-9229-3cfd-815f-b6d4979bdd6a"/>
    <x v="1"/>
    <n v="390906007"/>
    <s v="Follow-up encounter (procedure)"/>
    <n v="85.55"/>
    <n v="234.71"/>
    <n v="0"/>
    <n v="55822004"/>
    <x v="52"/>
  </r>
  <r>
    <s v="3732fde5-efc6-d57a-847c-1f58b45e68f2"/>
    <d v="2025-03-01T01:39:49"/>
    <d v="2025-03-01T01:54:49"/>
    <s v="3732fde5-efc6-d57a-517b-0500f2177181"/>
    <s v="aade280a-3b90-3e48-9648-91109a964a63"/>
    <s v="d38fde76-27d5-3434-b796-06c020e825f7"/>
    <s v="0133f751-9229-3cfd-815f-b6d4979bdd6a"/>
    <x v="1"/>
    <n v="185345009"/>
    <s v="Encounter for symptom (procedure)"/>
    <n v="85.55"/>
    <n v="85.55"/>
    <n v="0"/>
    <n v="444814009"/>
    <x v="2"/>
  </r>
  <r>
    <s v="3732fde5-efc6-d57a-e00b-aed566976d1b"/>
    <d v="2025-03-25T08:19:40"/>
    <d v="2025-03-25T09:01:03"/>
    <s v="3732fde5-efc6-d57a-517b-0500f2177181"/>
    <s v="aade280a-3b90-3e48-9648-91109a964a63"/>
    <s v="d38fde76-27d5-3434-b796-06c020e825f7"/>
    <s v="0133f751-9229-3cfd-815f-b6d4979bdd6a"/>
    <x v="1"/>
    <n v="185349003"/>
    <s v="Encounter for check up (procedure)"/>
    <n v="85.55"/>
    <n v="5138.45"/>
    <n v="88.11"/>
    <n v="275978004"/>
    <x v="29"/>
  </r>
  <r>
    <s v="3732fde5-efc6-d57a-fd09-bf267684e413"/>
    <d v="2025-03-28T06:39:49"/>
    <d v="2025-04-02T06:54:49"/>
    <s v="3732fde5-efc6-d57a-517b-0500f2177181"/>
    <s v="8f22037a-070f-3fcf-8f39-fa879f0ae107"/>
    <s v="05e4e2bb-75df-350a-a145-c26ae13d1646"/>
    <s v="a735bf55-83e9-331a-899d-a82a60b9f60c"/>
    <x v="7"/>
    <n v="32485007"/>
    <s v="Hospital admission (procedure)"/>
    <n v="110.92"/>
    <n v="4856.32"/>
    <n v="3698.66"/>
    <n v="25675004"/>
    <x v="46"/>
  </r>
  <r>
    <s v="3732fde5-efc6-d57a-14d2-1a5bfba44ffe"/>
    <d v="2025-07-25T06:39:49"/>
    <d v="2025-07-25T07:26:36"/>
    <s v="3732fde5-efc6-d57a-517b-0500f2177181"/>
    <s v="a4b91172-69e7-3895-bd89-b9a0868de5c2"/>
    <s v="6686a8c8-2230-3b1d-ad5f-b42219997fd5"/>
    <s v="a735bf55-83e9-331a-899d-a82a60b9f60c"/>
    <x v="0"/>
    <n v="162673000"/>
    <s v="General examination of patient (procedure)"/>
    <n v="136.80000000000001"/>
    <n v="1703"/>
    <n v="1362.4"/>
    <m/>
    <x v="0"/>
  </r>
  <r>
    <s v="3732fde5-efc6-d57a-ce46-cee24523c019"/>
    <d v="2025-07-26T06:39:49"/>
    <d v="2025-07-26T06:54:49"/>
    <s v="3732fde5-efc6-d57a-517b-0500f2177181"/>
    <s v="aade280a-3b90-3e48-9648-91109a964a63"/>
    <s v="d38fde76-27d5-3434-b796-06c020e825f7"/>
    <s v="a735bf55-83e9-331a-899d-a82a60b9f60c"/>
    <x v="1"/>
    <n v="390906007"/>
    <s v="Follow-up encounter (procedure)"/>
    <n v="85.55"/>
    <n v="234.71"/>
    <n v="187.76"/>
    <n v="55822004"/>
    <x v="52"/>
  </r>
  <r>
    <s v="3732fde5-efc6-d57a-c6cb-bb598642f9ef"/>
    <d v="2026-07-31T06:39:49"/>
    <d v="2026-07-31T07:35:17"/>
    <s v="3732fde5-efc6-d57a-517b-0500f2177181"/>
    <s v="a4b91172-69e7-3895-bd89-b9a0868de5c2"/>
    <s v="6686a8c8-2230-3b1d-ad5f-b42219997fd5"/>
    <s v="a735bf55-83e9-331a-899d-a82a60b9f60c"/>
    <x v="0"/>
    <n v="162673000"/>
    <s v="General examination of patient (procedure)"/>
    <n v="136.80000000000001"/>
    <n v="914.78"/>
    <n v="547.33000000000004"/>
    <m/>
    <x v="0"/>
  </r>
  <r>
    <s v="3732fde5-efc6-d57a-0be1-1dfc33a723af"/>
    <d v="2026-08-07T06:39:49"/>
    <d v="2026-08-07T06:54:49"/>
    <s v="3732fde5-efc6-d57a-517b-0500f2177181"/>
    <s v="aade280a-3b90-3e48-9648-91109a964a63"/>
    <s v="d38fde76-27d5-3434-b796-06c020e825f7"/>
    <s v="a735bf55-83e9-331a-899d-a82a60b9f60c"/>
    <x v="1"/>
    <n v="390906007"/>
    <s v="Follow-up encounter (procedure)"/>
    <n v="85.55"/>
    <n v="234.71"/>
    <n v="187.76"/>
    <n v="55822004"/>
    <x v="52"/>
  </r>
  <r>
    <s v="3732fde5-efc6-d57a-7ce6-486c5a0ccaf9"/>
    <d v="2026-08-14T06:39:49"/>
    <d v="2026-08-14T07:14:40"/>
    <s v="3732fde5-efc6-d57a-517b-0500f2177181"/>
    <s v="aade280a-3b90-3e48-9648-91109a964a63"/>
    <s v="d38fde76-27d5-3434-b796-06c020e825f7"/>
    <s v="a735bf55-83e9-331a-899d-a82a60b9f60c"/>
    <x v="1"/>
    <n v="185349003"/>
    <s v="Encounter for check up (procedure)"/>
    <n v="85.55"/>
    <n v="516.95000000000005"/>
    <n v="413.56"/>
    <n v="66383009"/>
    <x v="17"/>
  </r>
  <r>
    <s v="9c26986a-d81d-62f0-7f4f-20589bb87ae1"/>
    <d v="2002-02-07T03:34:42"/>
    <d v="2002-02-07T04:03:14"/>
    <s v="9c26986a-d81d-62f0-ee7a-ab8bb6377434"/>
    <s v="b5b380d2-df21-3389-abf0-08551c7e1f2d"/>
    <s v="16522b44-0fe3-3bd5-ae6f-e87db0c891f2"/>
    <s v="b046940f-1664-3047-bca7-dfa76be352a4"/>
    <x v="1"/>
    <n v="185347001"/>
    <s v="Encounter for problem (procedure)"/>
    <n v="85.55"/>
    <n v="516.95000000000005"/>
    <n v="0"/>
    <n v="609328004"/>
    <x v="11"/>
  </r>
  <r>
    <s v="9c26986a-d81d-62f0-3acc-f267aad55165"/>
    <d v="2004-02-22T20:34:42"/>
    <d v="2004-02-22T20:49:42"/>
    <s v="9c26986a-d81d-62f0-ee7a-ab8bb6377434"/>
    <s v="b5b380d2-df21-3389-abf0-08551c7e1f2d"/>
    <s v="16522b44-0fe3-3bd5-ae6f-e87db0c891f2"/>
    <s v="a735bf55-83e9-331a-899d-a82a60b9f60c"/>
    <x v="1"/>
    <n v="185345009"/>
    <s v="Encounter for symptom (procedure)"/>
    <n v="85.55"/>
    <n v="85.55"/>
    <n v="0"/>
    <n v="446096008"/>
    <x v="44"/>
  </r>
  <r>
    <s v="9c26986a-d81d-62f0-ecce-961c5addb697"/>
    <d v="2014-03-25T21:34:42"/>
    <d v="2014-03-25T22:01:20"/>
    <s v="9c26986a-d81d-62f0-ee7a-ab8bb6377434"/>
    <s v="9b8a7a25-b923-3710-9f3c-d42919a3f54f"/>
    <s v="d30fad99-3add-3b0b-8990-285481947e7d"/>
    <s v="a735bf55-83e9-331a-899d-a82a60b9f60c"/>
    <x v="0"/>
    <n v="410620009"/>
    <s v="Well child visit (procedure)"/>
    <n v="136.80000000000001"/>
    <n v="914.78"/>
    <n v="545.41999999999996"/>
    <m/>
    <x v="0"/>
  </r>
  <r>
    <s v="9c26986a-d81d-62f0-6c15-a006bccb0aa7"/>
    <d v="2016-04-05T21:34:42"/>
    <d v="2016-04-05T22:11:10"/>
    <s v="9c26986a-d81d-62f0-ee7a-ab8bb6377434"/>
    <s v="9b8a7a25-b923-3710-9f3c-d42919a3f54f"/>
    <s v="d30fad99-3add-3b0b-8990-285481947e7d"/>
    <s v="26aab0cd-6aba-3e1b-ac5b-05c8867e762c"/>
    <x v="0"/>
    <n v="162673000"/>
    <s v="General examination of patient (procedure)"/>
    <n v="136.80000000000001"/>
    <n v="919.9"/>
    <n v="0"/>
    <m/>
    <x v="0"/>
  </r>
  <r>
    <s v="9c26986a-d81d-62f0-b3dd-a21618256466"/>
    <d v="2017-01-14T20:34:42"/>
    <d v="2017-01-14T20:49:42"/>
    <s v="9c26986a-d81d-62f0-ee7a-ab8bb6377434"/>
    <s v="b5b380d2-df21-3389-abf0-08551c7e1f2d"/>
    <s v="16522b44-0fe3-3bd5-ae6f-e87db0c891f2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c26986a-d81d-62f0-9319-d9ec7c28f0dd"/>
    <d v="2017-04-11T21:34:42"/>
    <d v="2017-04-11T22:32:29"/>
    <s v="9c26986a-d81d-62f0-ee7a-ab8bb6377434"/>
    <s v="9b8a7a25-b923-3710-9f3c-d42919a3f54f"/>
    <s v="d30fad99-3add-3b0b-8990-285481947e7d"/>
    <s v="26aab0cd-6aba-3e1b-ac5b-05c8867e762c"/>
    <x v="0"/>
    <n v="162673000"/>
    <s v="General examination of patient (procedure)"/>
    <n v="136.80000000000001"/>
    <n v="1416.53"/>
    <n v="0"/>
    <m/>
    <x v="0"/>
  </r>
  <r>
    <s v="9c26986a-d81d-62f0-837e-41247aafa520"/>
    <d v="2017-04-25T21:34:42"/>
    <d v="2017-04-26T03:27:08"/>
    <s v="9c26986a-d81d-62f0-ee7a-ab8bb6377434"/>
    <s v="b5b380d2-df21-3389-abf0-08551c7e1f2d"/>
    <s v="16522b44-0fe3-3bd5-ae6f-e87db0c891f2"/>
    <s v="26aab0cd-6aba-3e1b-ac5b-05c8867e762c"/>
    <x v="1"/>
    <n v="185349003"/>
    <s v="Encounter for check up (procedure)"/>
    <n v="85.55"/>
    <n v="4399.55"/>
    <n v="0"/>
    <n v="66383009"/>
    <x v="17"/>
  </r>
  <r>
    <s v="9c26986a-d81d-62f0-ad5e-0c501c79f99e"/>
    <d v="2019-04-23T21:34:42"/>
    <d v="2019-04-23T22:19:44"/>
    <s v="9c26986a-d81d-62f0-ee7a-ab8bb6377434"/>
    <s v="b5b380d2-df21-3389-abf0-08551c7e1f2d"/>
    <s v="16522b44-0fe3-3bd5-ae6f-e87db0c891f2"/>
    <s v="26aab0cd-6aba-3e1b-ac5b-05c8867e762c"/>
    <x v="2"/>
    <n v="185349003"/>
    <s v="Encounter for check up (procedure)"/>
    <n v="85.55"/>
    <n v="1645.65"/>
    <n v="0"/>
    <m/>
    <x v="0"/>
  </r>
  <r>
    <s v="9c26986a-d81d-62f0-7cf9-1e754f9bb456"/>
    <d v="2019-04-30T21:34:42"/>
    <d v="2019-04-30T21:54:16"/>
    <s v="9c26986a-d81d-62f0-ee7a-ab8bb6377434"/>
    <s v="b5b380d2-df21-3389-abf0-08551c7e1f2d"/>
    <s v="16522b44-0fe3-3bd5-ae6f-e87db0c891f2"/>
    <s v="26aab0cd-6aba-3e1b-ac5b-05c8867e762c"/>
    <x v="1"/>
    <n v="185345009"/>
    <s v="Encounter for symptom (procedure)"/>
    <n v="85.55"/>
    <n v="430.85"/>
    <n v="0"/>
    <n v="10509002"/>
    <x v="1"/>
  </r>
  <r>
    <s v="9c26986a-d81d-62f0-4fc0-85ee118a4984"/>
    <d v="2019-05-07T21:34:42"/>
    <d v="2019-05-08T00:46:55"/>
    <s v="9c26986a-d81d-62f0-ee7a-ab8bb6377434"/>
    <s v="b5b380d2-df21-3389-abf0-08551c7e1f2d"/>
    <s v="16522b44-0fe3-3bd5-ae6f-e87db0c891f2"/>
    <s v="26aab0cd-6aba-3e1b-ac5b-05c8867e762c"/>
    <x v="1"/>
    <n v="185349003"/>
    <s v="Encounter for check up (procedure)"/>
    <n v="85.55"/>
    <n v="3536.75"/>
    <n v="0"/>
    <n v="103697008"/>
    <x v="3"/>
  </r>
  <r>
    <s v="9c26986a-d81d-62f0-05b4-ee2afba1632d"/>
    <d v="2019-09-17T21:34:42"/>
    <d v="2019-09-17T21:49:42"/>
    <s v="9c26986a-d81d-62f0-ee7a-ab8bb6377434"/>
    <s v="b5b380d2-df21-3389-abf0-08551c7e1f2d"/>
    <s v="16522b44-0fe3-3bd5-ae6f-e87db0c891f2"/>
    <s v="26aab0cd-6aba-3e1b-ac5b-05c8867e762c"/>
    <x v="1"/>
    <n v="424441002"/>
    <s v="Prenatal initial visit (regime/therapy)"/>
    <n v="142.58000000000001"/>
    <n v="25388.15"/>
    <n v="15054.51"/>
    <n v="72892002"/>
    <x v="4"/>
  </r>
  <r>
    <s v="9c26986a-d81d-62f0-3834-12511f3d0b94"/>
    <d v="2019-09-28T21:34:42"/>
    <d v="2019-09-28T21:49:42"/>
    <s v="9c26986a-d81d-62f0-ee7a-ab8bb6377434"/>
    <s v="b5b380d2-df21-3389-abf0-08551c7e1f2d"/>
    <s v="16522b44-0fe3-3bd5-ae6f-e87db0c891f2"/>
    <s v="26aab0cd-6aba-3e1b-ac5b-05c8867e762c"/>
    <x v="1"/>
    <n v="270427003"/>
    <s v="Patient-initiated encounter (procedure)"/>
    <n v="85.55"/>
    <n v="16229.09"/>
    <n v="16229.09"/>
    <n v="72892002"/>
    <x v="4"/>
  </r>
  <r>
    <s v="9c26986a-d81d-62f0-e247-c0d35418ddfc"/>
    <d v="2019-10-18T21:34:42"/>
    <d v="2019-10-18T21:49:42"/>
    <s v="9c26986a-d81d-62f0-ee7a-ab8bb6377434"/>
    <s v="b5b380d2-df21-3389-abf0-08551c7e1f2d"/>
    <s v="16522b44-0fe3-3bd5-ae6f-e87db0c891f2"/>
    <s v="26aab0cd-6aba-3e1b-ac5b-05c8867e762c"/>
    <x v="1"/>
    <n v="424619006"/>
    <s v="Prenatal visit (regime/therapy)"/>
    <n v="142.58000000000001"/>
    <n v="1868.18"/>
    <n v="1868.18"/>
    <n v="72892002"/>
    <x v="4"/>
  </r>
  <r>
    <s v="9c26986a-d81d-62f0-557e-2c7942e13188"/>
    <d v="2019-12-30T20:34:42"/>
    <d v="2019-12-30T20:49:42"/>
    <s v="9c26986a-d81d-62f0-ee7a-ab8bb6377434"/>
    <s v="b5b380d2-df21-3389-abf0-08551c7e1f2d"/>
    <s v="16522b44-0fe3-3bd5-ae6f-e87db0c891f2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9c26986a-d81d-62f0-ced6-1fdd19ea1a7d"/>
    <d v="2020-04-14T21:34:42"/>
    <d v="2020-04-14T22:33:59"/>
    <s v="9c26986a-d81d-62f0-ee7a-ab8bb6377434"/>
    <s v="9b8a7a25-b923-3710-9f3c-d42919a3f54f"/>
    <s v="d30fad99-3add-3b0b-8990-285481947e7d"/>
    <s v="26aab0cd-6aba-3e1b-ac5b-05c8867e762c"/>
    <x v="0"/>
    <n v="162673000"/>
    <s v="General examination of patient (procedure)"/>
    <n v="136.80000000000001"/>
    <n v="840.2"/>
    <n v="0"/>
    <m/>
    <x v="0"/>
  </r>
  <r>
    <s v="9c26986a-d81d-62f0-6065-2b6c53da9520"/>
    <d v="2020-04-28T21:34:42"/>
    <d v="2020-04-29T01:01:24"/>
    <s v="9c26986a-d81d-62f0-ee7a-ab8bb6377434"/>
    <s v="b5b380d2-df21-3389-abf0-08551c7e1f2d"/>
    <s v="16522b44-0fe3-3bd5-ae6f-e87db0c891f2"/>
    <s v="26aab0cd-6aba-3e1b-ac5b-05c8867e762c"/>
    <x v="1"/>
    <n v="185349003"/>
    <s v="Encounter for check up (procedure)"/>
    <n v="85.55"/>
    <n v="3105.35"/>
    <n v="0"/>
    <n v="66383009"/>
    <x v="17"/>
  </r>
  <r>
    <s v="9c26986a-d81d-62f0-918d-6b46712cdd3a"/>
    <d v="2020-12-24T20:34:42"/>
    <d v="2020-12-24T20:49:42"/>
    <s v="9c26986a-d81d-62f0-ee7a-ab8bb6377434"/>
    <s v="b5b380d2-df21-3389-abf0-08551c7e1f2d"/>
    <s v="16522b44-0fe3-3bd5-ae6f-e87db0c891f2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c26986a-d81d-62f0-1c72-3b3ee7ad0b68"/>
    <d v="2021-12-19T20:34:42"/>
    <d v="2021-12-19T20:49:42"/>
    <s v="9c26986a-d81d-62f0-ee7a-ab8bb6377434"/>
    <s v="b5b380d2-df21-3389-abf0-08551c7e1f2d"/>
    <s v="16522b44-0fe3-3bd5-ae6f-e87db0c891f2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c26986a-d81d-62f0-ca41-8ec3860f96c5"/>
    <d v="2021-12-22T16:34:42"/>
    <d v="2021-12-22T17:33:00"/>
    <s v="9c26986a-d81d-62f0-ee7a-ab8bb6377434"/>
    <s v="b5b380d2-df21-3389-abf0-08551c7e1f2d"/>
    <s v="16522b44-0fe3-3bd5-ae6f-e87db0c891f2"/>
    <s v="26aab0cd-6aba-3e1b-ac5b-05c8867e762c"/>
    <x v="2"/>
    <n v="308335008"/>
    <s v="Patient encounter procedure (procedure)"/>
    <n v="142.58000000000001"/>
    <n v="7008.4"/>
    <n v="640.9"/>
    <n v="389095005"/>
    <x v="15"/>
  </r>
  <r>
    <s v="9c26986a-d81d-62f0-d498-efdd0bd5da64"/>
    <d v="2022-09-03T05:34:42"/>
    <d v="2022-09-03T05:49:42"/>
    <s v="9c26986a-d81d-62f0-ee7a-ab8bb6377434"/>
    <s v="b5b380d2-df21-3389-abf0-08551c7e1f2d"/>
    <s v="16522b44-0fe3-3bd5-ae6f-e87db0c891f2"/>
    <s v="26aab0cd-6aba-3e1b-ac5b-05c8867e762c"/>
    <x v="1"/>
    <n v="185345009"/>
    <s v="Encounter for symptom (procedure)"/>
    <n v="85.55"/>
    <n v="85.55"/>
    <n v="0"/>
    <n v="10509002"/>
    <x v="1"/>
  </r>
  <r>
    <s v="9c26986a-d81d-62f0-9f36-bb02bc07d618"/>
    <d v="2022-12-17T17:33:00"/>
    <d v="2022-12-17T17:48:00"/>
    <s v="9c26986a-d81d-62f0-ee7a-ab8bb6377434"/>
    <s v="b5b380d2-df21-3389-abf0-08551c7e1f2d"/>
    <s v="16522b44-0fe3-3bd5-ae6f-e87db0c891f2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c26986a-d81d-62f0-8bdd-28220c4b3d21"/>
    <d v="2023-04-18T21:34:42"/>
    <d v="2023-04-18T22:23:49"/>
    <s v="9c26986a-d81d-62f0-ee7a-ab8bb6377434"/>
    <s v="9b8a7a25-b923-3710-9f3c-d42919a3f54f"/>
    <s v="d30fad99-3add-3b0b-8990-285481947e7d"/>
    <s v="26aab0cd-6aba-3e1b-ac5b-05c8867e762c"/>
    <x v="0"/>
    <n v="162673000"/>
    <s v="General examination of patient (procedure)"/>
    <n v="136.80000000000001"/>
    <n v="1544.5"/>
    <n v="0"/>
    <m/>
    <x v="0"/>
  </r>
  <r>
    <s v="9c26986a-d81d-62f0-bd02-e439c95535e9"/>
    <d v="2023-05-02T21:34:42"/>
    <d v="2023-05-03T01:35:03"/>
    <s v="9c26986a-d81d-62f0-ee7a-ab8bb6377434"/>
    <s v="b5b380d2-df21-3389-abf0-08551c7e1f2d"/>
    <s v="16522b44-0fe3-3bd5-ae6f-e87db0c891f2"/>
    <s v="26aab0cd-6aba-3e1b-ac5b-05c8867e762c"/>
    <x v="1"/>
    <n v="185349003"/>
    <s v="Encounter for check up (procedure)"/>
    <n v="85.55"/>
    <n v="3105.35"/>
    <n v="0"/>
    <n v="103697008"/>
    <x v="3"/>
  </r>
  <r>
    <s v="9c26986a-d81d-62f0-ad79-874285a24b04"/>
    <d v="2023-12-12T17:33:00"/>
    <d v="2023-12-12T17:48:00"/>
    <s v="9c26986a-d81d-62f0-ee7a-ab8bb6377434"/>
    <s v="b5b380d2-df21-3389-abf0-08551c7e1f2d"/>
    <s v="16522b44-0fe3-3bd5-ae6f-e87db0c891f2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9c26986a-d81d-62f0-cb39-4accde3011b3"/>
    <d v="2023-12-16T21:33:00"/>
    <d v="2023-12-16T22:14:54"/>
    <s v="9c26986a-d81d-62f0-ee7a-ab8bb6377434"/>
    <s v="b5b380d2-df21-3389-abf0-08551c7e1f2d"/>
    <s v="16522b44-0fe3-3bd5-ae6f-e87db0c891f2"/>
    <s v="26aab0cd-6aba-3e1b-ac5b-05c8867e762c"/>
    <x v="2"/>
    <n v="308335008"/>
    <s v="Patient encounter procedure (procedure)"/>
    <n v="142.58000000000001"/>
    <n v="4052.91"/>
    <n v="1735.48"/>
    <n v="389095005"/>
    <x v="15"/>
  </r>
  <r>
    <s v="9c26986a-d81d-62f0-ceff-42ed450e0134"/>
    <d v="2025-02-04T20:34:42"/>
    <d v="2025-02-04T21:23:11"/>
    <s v="9c26986a-d81d-62f0-ee7a-ab8bb6377434"/>
    <s v="b5b380d2-df21-3389-abf0-08551c7e1f2d"/>
    <s v="16522b44-0fe3-3bd5-ae6f-e87db0c891f2"/>
    <s v="26aab0cd-6aba-3e1b-ac5b-05c8867e762c"/>
    <x v="2"/>
    <n v="308335008"/>
    <s v="Patient encounter procedure (procedure)"/>
    <n v="142.58000000000001"/>
    <n v="573.98"/>
    <n v="0"/>
    <n v="389095005"/>
    <x v="15"/>
  </r>
  <r>
    <s v="9c26986a-d81d-62f0-7b0c-51d777c9d1b0"/>
    <d v="2025-03-25T21:34:42"/>
    <d v="2025-03-25T21:49:42"/>
    <s v="9c26986a-d81d-62f0-ee7a-ab8bb6377434"/>
    <s v="b5b380d2-df21-3389-abf0-08551c7e1f2d"/>
    <s v="16522b44-0fe3-3bd5-ae6f-e87db0c891f2"/>
    <s v="26aab0cd-6aba-3e1b-ac5b-05c8867e762c"/>
    <x v="1"/>
    <n v="424441002"/>
    <s v="Prenatal initial visit (regime/therapy)"/>
    <n v="142.58000000000001"/>
    <n v="6820.09"/>
    <n v="435.65"/>
    <n v="72892002"/>
    <x v="4"/>
  </r>
  <r>
    <s v="9c26986a-d81d-62f0-db81-1a020fc48dcc"/>
    <d v="2025-04-03T21:34:42"/>
    <d v="2025-04-03T21:49:42"/>
    <s v="9c26986a-d81d-62f0-ee7a-ab8bb6377434"/>
    <s v="b5b380d2-df21-3389-abf0-08551c7e1f2d"/>
    <s v="16522b44-0fe3-3bd5-ae6f-e87db0c891f2"/>
    <s v="26aab0cd-6aba-3e1b-ac5b-05c8867e762c"/>
    <x v="1"/>
    <n v="270427003"/>
    <s v="Patient-initiated encounter (procedure)"/>
    <n v="85.55"/>
    <n v="16229.09"/>
    <n v="9737.4500000000007"/>
    <n v="72892002"/>
    <x v="4"/>
  </r>
  <r>
    <s v="9c26986a-d81d-62f0-ef38-f18f32356885"/>
    <d v="2025-04-18T21:34:42"/>
    <d v="2025-04-18T21:49:42"/>
    <s v="9c26986a-d81d-62f0-ee7a-ab8bb6377434"/>
    <s v="b5b380d2-df21-3389-abf0-08551c7e1f2d"/>
    <s v="16522b44-0fe3-3bd5-ae6f-e87db0c891f2"/>
    <s v="26aab0cd-6aba-3e1b-ac5b-05c8867e762c"/>
    <x v="1"/>
    <n v="424619006"/>
    <s v="Prenatal visit (regime/therapy)"/>
    <n v="142.58000000000001"/>
    <n v="1868.18"/>
    <n v="1868.18"/>
    <n v="72892002"/>
    <x v="4"/>
  </r>
  <r>
    <s v="9c26986a-d81d-62f0-b5da-a7003996997d"/>
    <d v="2026-04-21T21:34:42"/>
    <d v="2026-04-21T22:07:24"/>
    <s v="9c26986a-d81d-62f0-ee7a-ab8bb6377434"/>
    <s v="9b8a7a25-b923-3710-9f3c-d42919a3f54f"/>
    <s v="d30fad99-3add-3b0b-8990-285481947e7d"/>
    <s v="26aab0cd-6aba-3e1b-ac5b-05c8867e762c"/>
    <x v="0"/>
    <n v="162673000"/>
    <s v="General examination of patient (procedure)"/>
    <n v="136.80000000000001"/>
    <n v="1248.83"/>
    <n v="0"/>
    <m/>
    <x v="0"/>
  </r>
  <r>
    <s v="9c26986a-d81d-62f0-6c40-988a427636f7"/>
    <d v="2026-05-05T21:34:42"/>
    <d v="2026-05-06T03:49:22"/>
    <s v="9c26986a-d81d-62f0-ee7a-ab8bb6377434"/>
    <s v="b5b380d2-df21-3389-abf0-08551c7e1f2d"/>
    <s v="16522b44-0fe3-3bd5-ae6f-e87db0c891f2"/>
    <s v="26aab0cd-6aba-3e1b-ac5b-05c8867e762c"/>
    <x v="1"/>
    <n v="185349003"/>
    <s v="Encounter for check up (procedure)"/>
    <n v="85.55"/>
    <n v="4399.55"/>
    <n v="0"/>
    <n v="66383009"/>
    <x v="17"/>
  </r>
  <r>
    <s v="3314e296-2326-2826-911a-5ed37a6d9920"/>
    <d v="2002-06-15T22:18:12"/>
    <d v="2002-06-15T22:37:40"/>
    <s v="3314e296-2326-2826-271d-a7be5b896db9"/>
    <s v="67cade01-dcfe-37b7-8e2c-b712d9e6fbba"/>
    <s v="431c9038-ddca-3d97-a8f6-c46dd991efa5"/>
    <s v="26aab0cd-6aba-3e1b-ac5b-05c8867e762c"/>
    <x v="0"/>
    <n v="410620009"/>
    <s v="Well child visit (procedure)"/>
    <n v="136.80000000000001"/>
    <n v="704.2"/>
    <n v="0"/>
    <m/>
    <x v="0"/>
  </r>
  <r>
    <s v="3314e296-2326-2826-0b54-189d70231639"/>
    <d v="2008-07-19T22:18:12"/>
    <d v="2008-07-19T23:12:35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919.9"/>
    <n v="0"/>
    <m/>
    <x v="0"/>
  </r>
  <r>
    <s v="3314e296-2326-2826-dfaf-df11c54c0d86"/>
    <d v="2009-07-25T22:18:12"/>
    <d v="2009-07-25T23:10:22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704.2"/>
    <n v="0"/>
    <m/>
    <x v="0"/>
  </r>
  <r>
    <s v="3314e296-2326-2826-84ae-cbecec394f05"/>
    <d v="2012-07-28T22:18:12"/>
    <d v="2012-07-28T23:11:41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1186.78"/>
    <n v="0"/>
    <m/>
    <x v="0"/>
  </r>
  <r>
    <s v="3314e296-2326-2826-742c-ccfdd4bf3a88"/>
    <d v="2015-08-01T22:18:12"/>
    <d v="2015-08-01T23:08:20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704.2"/>
    <n v="0"/>
    <m/>
    <x v="0"/>
  </r>
  <r>
    <s v="3314e296-2326-2826-f230-98843387c8fd"/>
    <d v="2016-02-20T21:18:12"/>
    <d v="2016-02-20T21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56061.47"/>
    <n v="30403"/>
    <n v="72892002"/>
    <x v="4"/>
  </r>
  <r>
    <s v="3314e296-2326-2826-80a8-6594eda82a06"/>
    <d v="2016-03-31T22:18:12"/>
    <d v="2016-03-31T22:33:12"/>
    <s v="3314e296-2326-2826-271d-a7be5b896db9"/>
    <s v="c0a33465-d309-3d2a-932e-9d554a7cc19c"/>
    <s v="aeb12e87-a05e-351e-bb0b-16b7d1cbb72f"/>
    <s v="26aab0cd-6aba-3e1b-ac5b-05c8867e762c"/>
    <x v="2"/>
    <n v="185345009"/>
    <s v="Encounter for symptom (procedure)"/>
    <n v="85.55"/>
    <n v="85.55"/>
    <n v="85.55"/>
    <n v="65363002"/>
    <x v="25"/>
  </r>
  <r>
    <s v="3314e296-2326-2826-c0c5-70199ff5b42e"/>
    <d v="2016-09-03T22:18:12"/>
    <d v="2016-09-03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2833.35"/>
    <n v="12833.35"/>
    <n v="72892002"/>
    <x v="4"/>
  </r>
  <r>
    <s v="3314e296-2326-2826-514a-df81e2b2efe9"/>
    <d v="2016-09-17T22:18:12"/>
    <d v="2016-09-17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8671.6200000000008"/>
    <n v="8671.6200000000008"/>
    <n v="72892002"/>
    <x v="4"/>
  </r>
  <r>
    <s v="3314e296-2326-2826-de50-88eef0eedd62"/>
    <d v="2016-09-24T22:18:12"/>
    <d v="2016-09-24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1451.02"/>
    <n v="11451.02"/>
    <n v="72892002"/>
    <x v="4"/>
  </r>
  <r>
    <s v="3314e296-2326-2826-01d1-e841f6c95319"/>
    <d v="2016-10-01T22:18:12"/>
    <d v="2016-10-01T23:18:12"/>
    <s v="3314e296-2326-2826-271d-a7be5b896db9"/>
    <s v="7cb70963-6f86-3eab-a12b-88deb31de793"/>
    <s v="dc62130f-c804-3fa8-9108-84ab0398a3f0"/>
    <s v="26aab0cd-6aba-3e1b-ac5b-05c8867e762c"/>
    <x v="3"/>
    <n v="183460006"/>
    <s v="Obstetric emergency hospital admission (procedure)"/>
    <n v="146.18"/>
    <n v="577.58000000000004"/>
    <n v="577.58000000000004"/>
    <n v="72892002"/>
    <x v="4"/>
  </r>
  <r>
    <s v="3314e296-2326-2826-4d65-2b5ea7d029bd"/>
    <d v="2016-11-12T21:18:12"/>
    <d v="2016-11-12T21:33:12"/>
    <s v="3314e296-2326-2826-271d-a7be5b896db9"/>
    <s v="c0a33465-d309-3d2a-932e-9d554a7cc19c"/>
    <s v="aeb12e87-a05e-351e-bb0b-16b7d1cbb72f"/>
    <s v="26aab0cd-6aba-3e1b-ac5b-05c8867e762c"/>
    <x v="1"/>
    <n v="169762003"/>
    <s v="Postnatal visit (regime/therapy)"/>
    <n v="142.58000000000001"/>
    <n v="1005.38"/>
    <n v="1005.38"/>
    <m/>
    <x v="0"/>
  </r>
  <r>
    <s v="3314e296-2326-2826-18d7-9b733123f995"/>
    <d v="2017-05-13T22:18:12"/>
    <d v="2017-05-13T22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62160.04"/>
    <n v="62160.04"/>
    <n v="72892002"/>
    <x v="4"/>
  </r>
  <r>
    <s v="3314e296-2326-2826-3f0a-fee30f544c37"/>
    <d v="2017-06-10T22:18:12"/>
    <d v="2017-06-10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8208.18"/>
    <n v="1268.51"/>
    <n v="72892002"/>
    <x v="4"/>
  </r>
  <r>
    <s v="3314e296-2326-2826-3689-50199400a19e"/>
    <d v="2017-07-08T22:18:12"/>
    <d v="2017-07-08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2518.31"/>
    <n v="7510.98"/>
    <n v="72892002"/>
    <x v="4"/>
  </r>
  <r>
    <s v="3314e296-2326-2826-06f8-e7f6da57c226"/>
    <d v="2017-08-05T22:18:12"/>
    <d v="2017-08-05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4665.96"/>
    <n v="4665.96"/>
    <n v="72892002"/>
    <x v="4"/>
  </r>
  <r>
    <s v="3314e296-2326-2826-75ea-9936d72cff1e"/>
    <d v="2017-09-02T22:18:12"/>
    <d v="2017-09-02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7330.29"/>
    <n v="7330.29"/>
    <n v="72892002"/>
    <x v="4"/>
  </r>
  <r>
    <s v="3314e296-2326-2826-183c-0e63c9c2c345"/>
    <d v="2017-09-30T22:18:12"/>
    <d v="2017-09-30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6881.62"/>
    <n v="16881.62"/>
    <n v="72892002"/>
    <x v="4"/>
  </r>
  <r>
    <s v="3314e296-2326-2826-6d12-6d823c28995b"/>
    <d v="2017-10-28T22:18:12"/>
    <d v="2017-10-28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4665.96"/>
    <n v="4665.96"/>
    <n v="72892002"/>
    <x v="4"/>
  </r>
  <r>
    <s v="3314e296-2326-2826-e66e-ff31d38c5cc3"/>
    <d v="2017-11-25T21:18:12"/>
    <d v="2017-11-25T21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4386.01"/>
    <n v="14386.01"/>
    <n v="72892002"/>
    <x v="4"/>
  </r>
  <r>
    <s v="3314e296-2326-2826-d84d-a800b444f908"/>
    <d v="2017-12-09T21:18:12"/>
    <d v="2017-12-09T22:18:12"/>
    <s v="3314e296-2326-2826-271d-a7be5b896db9"/>
    <s v="7cb70963-6f86-3eab-a12b-88deb31de793"/>
    <s v="dc62130f-c804-3fa8-9108-84ab0398a3f0"/>
    <s v="26aab0cd-6aba-3e1b-ac5b-05c8867e762c"/>
    <x v="3"/>
    <n v="183460006"/>
    <s v="Obstetric emergency hospital admission (procedure)"/>
    <n v="146.18"/>
    <n v="577.58000000000004"/>
    <n v="577.58000000000004"/>
    <n v="72892002"/>
    <x v="4"/>
  </r>
  <r>
    <s v="3314e296-2326-2826-3f0f-0debc8ca537b"/>
    <d v="2018-01-20T21:18:12"/>
    <d v="2018-01-20T21:33:12"/>
    <s v="3314e296-2326-2826-271d-a7be5b896db9"/>
    <s v="c0a33465-d309-3d2a-932e-9d554a7cc19c"/>
    <s v="aeb12e87-a05e-351e-bb0b-16b7d1cbb72f"/>
    <s v="26aab0cd-6aba-3e1b-ac5b-05c8867e762c"/>
    <x v="1"/>
    <n v="169762003"/>
    <s v="Postnatal visit (regime/therapy)"/>
    <n v="142.58000000000001"/>
    <n v="1005.38"/>
    <n v="1005.38"/>
    <m/>
    <x v="0"/>
  </r>
  <r>
    <s v="3314e296-2326-2826-d6a1-c8ef73dae655"/>
    <d v="2018-01-27T21:18:12"/>
    <d v="2018-01-27T21:33:12"/>
    <s v="3314e296-2326-2826-271d-a7be5b896db9"/>
    <s v="c0a33465-d309-3d2a-932e-9d554a7cc19c"/>
    <s v="aeb12e87-a05e-351e-bb0b-16b7d1cbb72f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3314e296-2326-2826-51fb-d6ea66de10b2"/>
    <d v="2018-02-01T14:18:12"/>
    <d v="2018-02-01T15:10:24"/>
    <s v="3314e296-2326-2826-271d-a7be5b896db9"/>
    <s v="c0a33465-d309-3d2a-932e-9d554a7cc19c"/>
    <s v="aeb12e87-a05e-351e-bb0b-16b7d1cbb72f"/>
    <s v="26aab0cd-6aba-3e1b-ac5b-05c8867e762c"/>
    <x v="2"/>
    <n v="308335008"/>
    <s v="Patient encounter procedure (procedure)"/>
    <n v="142.58000000000001"/>
    <n v="5714.74"/>
    <n v="5714.74"/>
    <n v="389095005"/>
    <x v="15"/>
  </r>
  <r>
    <s v="3314e296-2326-2826-90b9-47072e2449d8"/>
    <d v="2018-08-04T22:18:12"/>
    <d v="2018-08-04T22:49:50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994.48"/>
    <n v="0"/>
    <m/>
    <x v="0"/>
  </r>
  <r>
    <s v="3314e296-2326-2826-258e-188743233b3a"/>
    <d v="2019-04-20T22:18:12"/>
    <d v="2019-04-20T23:10:08"/>
    <s v="3314e296-2326-2826-271d-a7be5b896db9"/>
    <s v="c0a33465-d309-3d2a-932e-9d554a7cc19c"/>
    <s v="aeb12e87-a05e-351e-bb0b-16b7d1cbb72f"/>
    <s v="26aab0cd-6aba-3e1b-ac5b-05c8867e762c"/>
    <x v="2"/>
    <n v="308335008"/>
    <s v="Patient encounter procedure (procedure)"/>
    <n v="142.58000000000001"/>
    <n v="573.98"/>
    <n v="0"/>
    <n v="389095005"/>
    <x v="15"/>
  </r>
  <r>
    <s v="3314e296-2326-2826-2998-3800d9b1a634"/>
    <d v="2019-06-08T22:18:12"/>
    <d v="2019-06-08T22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8742.83"/>
    <n v="1589.3"/>
    <n v="72892002"/>
    <x v="4"/>
  </r>
  <r>
    <s v="3314e296-2326-2826-5ed7-b3580a06600e"/>
    <d v="2019-06-20T22:18:12"/>
    <d v="2019-06-20T22:33:12"/>
    <s v="3314e296-2326-2826-271d-a7be5b896db9"/>
    <s v="c0a33465-d309-3d2a-932e-9d554a7cc19c"/>
    <s v="aeb12e87-a05e-351e-bb0b-16b7d1cbb72f"/>
    <s v="26aab0cd-6aba-3e1b-ac5b-05c8867e762c"/>
    <x v="1"/>
    <n v="270427003"/>
    <s v="Patient-initiated encounter (procedure)"/>
    <n v="85.55"/>
    <n v="4444.9799999999996"/>
    <n v="2666.99"/>
    <n v="72892002"/>
    <x v="4"/>
  </r>
  <r>
    <s v="3314e296-2326-2826-e96a-0b6b52a5847b"/>
    <d v="2019-06-28T22:18:12"/>
    <d v="2019-06-28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868.18"/>
    <n v="1868.18"/>
    <n v="72892002"/>
    <x v="4"/>
  </r>
  <r>
    <s v="3314e296-2326-2826-dffc-510aac833ff9"/>
    <d v="2020-04-18T22:18:12"/>
    <d v="2020-04-18T22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22681.88"/>
    <n v="22681.88"/>
    <n v="72892002"/>
    <x v="4"/>
  </r>
  <r>
    <s v="3314e296-2326-2826-a776-1057a2123a9e"/>
    <d v="2020-05-06T22:18:12"/>
    <d v="2020-05-06T22:33:12"/>
    <s v="3314e296-2326-2826-271d-a7be5b896db9"/>
    <s v="c0a33465-d309-3d2a-932e-9d554a7cc19c"/>
    <s v="aeb12e87-a05e-351e-bb0b-16b7d1cbb72f"/>
    <s v="26aab0cd-6aba-3e1b-ac5b-05c8867e762c"/>
    <x v="1"/>
    <n v="270427003"/>
    <s v="Patient-initiated encounter (procedure)"/>
    <n v="85.55"/>
    <n v="16229.09"/>
    <n v="16229.09"/>
    <n v="72892002"/>
    <x v="4"/>
  </r>
  <r>
    <s v="3314e296-2326-2826-3154-bc9e58a9f907"/>
    <d v="2020-05-24T22:18:12"/>
    <d v="2020-05-24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868.18"/>
    <n v="1868.18"/>
    <n v="72892002"/>
    <x v="4"/>
  </r>
  <r>
    <s v="3314e296-2326-2826-d44f-c1305b45e833"/>
    <d v="2020-11-07T21:18:12"/>
    <d v="2020-11-07T21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50074.18"/>
    <n v="26388.11"/>
    <n v="72892002"/>
    <x v="4"/>
  </r>
  <r>
    <s v="3314e296-2326-2826-6afd-96fa701c1bf1"/>
    <d v="2020-11-07T21:18:12"/>
    <d v="2020-11-07T22:30:39"/>
    <s v="3314e296-2326-2826-271d-a7be5b896db9"/>
    <s v="c0a33465-d309-3d2a-932e-9d554a7cc19c"/>
    <s v="aeb12e87-a05e-351e-bb0b-16b7d1cbb72f"/>
    <s v="26aab0cd-6aba-3e1b-ac5b-05c8867e762c"/>
    <x v="1"/>
    <n v="185347001"/>
    <s v="Encounter for problem (procedure)"/>
    <n v="85.55"/>
    <n v="1214.83"/>
    <n v="1214.83"/>
    <n v="271737000"/>
    <x v="32"/>
  </r>
  <r>
    <s v="3314e296-2326-2826-e5fb-7aaef795e591"/>
    <d v="2020-12-05T22:30:39"/>
    <d v="2020-12-05T22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4832.28"/>
    <n v="14832.28"/>
    <n v="72892002"/>
    <x v="4"/>
  </r>
  <r>
    <s v="3314e296-2326-2826-ffb0-3a9819c95da4"/>
    <d v="2021-01-02T22:30:39"/>
    <d v="2021-01-02T22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9739.650000000001"/>
    <n v="19739.650000000001"/>
    <n v="72892002"/>
    <x v="4"/>
  </r>
  <r>
    <s v="3314e296-2326-2826-fbe3-1babc46942fb"/>
    <d v="2021-01-30T22:30:39"/>
    <d v="2021-01-30T22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8404.7999999999993"/>
    <n v="8404.7999999999993"/>
    <n v="72892002"/>
    <x v="4"/>
  </r>
  <r>
    <s v="3314e296-2326-2826-aba8-78b0d8f1dc85"/>
    <d v="2021-02-27T22:30:39"/>
    <d v="2021-02-27T22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4665.96"/>
    <n v="4665.96"/>
    <n v="72892002"/>
    <x v="4"/>
  </r>
  <r>
    <s v="3314e296-2326-2826-29fc-7672b21f61a8"/>
    <d v="2021-03-27T23:30:39"/>
    <d v="2021-03-27T23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0824.66"/>
    <n v="10824.66"/>
    <n v="72892002"/>
    <x v="4"/>
  </r>
  <r>
    <s v="3314e296-2326-2826-1bbb-44b70cac9ddc"/>
    <d v="2021-04-24T23:30:39"/>
    <d v="2021-04-24T23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8937.3700000000008"/>
    <n v="8937.3700000000008"/>
    <n v="72892002"/>
    <x v="4"/>
  </r>
  <r>
    <s v="3314e296-2326-2826-092b-0bde0b1f8d77"/>
    <d v="2021-05-22T23:30:39"/>
    <d v="2021-05-22T23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0571.91"/>
    <n v="10571.91"/>
    <n v="72892002"/>
    <x v="4"/>
  </r>
  <r>
    <s v="3314e296-2326-2826-2d6e-19d563aa9381"/>
    <d v="2021-06-05T23:30:39"/>
    <d v="2021-06-05T23:45:39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1179.48"/>
    <n v="3051.29"/>
    <n v="72892002"/>
    <x v="4"/>
  </r>
  <r>
    <s v="3314e296-2326-2826-27b4-e77cccbfe199"/>
    <d v="2021-06-12T23:30:39"/>
    <d v="2021-06-13T00:30:39"/>
    <s v="3314e296-2326-2826-271d-a7be5b896db9"/>
    <s v="7cb70963-6f86-3eab-a12b-88deb31de793"/>
    <s v="dc62130f-c804-3fa8-9108-84ab0398a3f0"/>
    <s v="26aab0cd-6aba-3e1b-ac5b-05c8867e762c"/>
    <x v="3"/>
    <n v="183460006"/>
    <s v="Obstetric emergency hospital admission (procedure)"/>
    <n v="146.18"/>
    <n v="1440.38"/>
    <n v="864.23"/>
    <n v="72892002"/>
    <x v="4"/>
  </r>
  <r>
    <s v="3314e296-2326-2826-16fb-b3cc49911257"/>
    <d v="2021-07-24T23:30:39"/>
    <d v="2021-07-24T23:45:39"/>
    <s v="3314e296-2326-2826-271d-a7be5b896db9"/>
    <s v="c0a33465-d309-3d2a-932e-9d554a7cc19c"/>
    <s v="aeb12e87-a05e-351e-bb0b-16b7d1cbb72f"/>
    <s v="26aab0cd-6aba-3e1b-ac5b-05c8867e762c"/>
    <x v="1"/>
    <n v="169762003"/>
    <s v="Postnatal visit (regime/therapy)"/>
    <n v="142.58000000000001"/>
    <n v="1005.38"/>
    <n v="1005.38"/>
    <m/>
    <x v="0"/>
  </r>
  <r>
    <s v="3314e296-2326-2826-75f1-6a7627dd938a"/>
    <d v="2021-08-07T22:18:12"/>
    <d v="2021-08-07T23:05:30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1745.99"/>
    <n v="1745.99"/>
    <m/>
    <x v="0"/>
  </r>
  <r>
    <s v="3314e296-2326-2826-05bc-4a7cc2721811"/>
    <d v="2021-09-04T22:18:12"/>
    <d v="2021-09-04T22:33:12"/>
    <s v="3314e296-2326-2826-271d-a7be5b896db9"/>
    <s v="c0a33465-d309-3d2a-932e-9d554a7cc19c"/>
    <s v="aeb12e87-a05e-351e-bb0b-16b7d1cbb72f"/>
    <s v="26aab0cd-6aba-3e1b-ac5b-05c8867e762c"/>
    <x v="2"/>
    <n v="33879002"/>
    <s v="Administration of vaccine to produce active immunity (procedure)"/>
    <n v="142.58000000000001"/>
    <n v="278.58"/>
    <n v="278.58"/>
    <m/>
    <x v="0"/>
  </r>
  <r>
    <s v="3314e296-2326-2826-4544-7979891d6099"/>
    <d v="2021-09-25T22:18:12"/>
    <d v="2021-09-25T22:33:12"/>
    <s v="3314e296-2326-2826-271d-a7be5b896db9"/>
    <s v="c0a33465-d309-3d2a-932e-9d554a7cc19c"/>
    <s v="aeb12e87-a05e-351e-bb0b-16b7d1cbb72f"/>
    <s v="26aab0cd-6aba-3e1b-ac5b-05c8867e762c"/>
    <x v="2"/>
    <n v="33879002"/>
    <s v="Administration of vaccine to produce active immunity (procedure)"/>
    <n v="142.58000000000001"/>
    <n v="278.58"/>
    <n v="278.58"/>
    <m/>
    <x v="0"/>
  </r>
  <r>
    <s v="3314e296-2326-2826-a051-443743d49209"/>
    <d v="2023-09-30T22:18:12"/>
    <d v="2023-09-30T22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6453.97"/>
    <n v="215.98"/>
    <n v="72892002"/>
    <x v="4"/>
  </r>
  <r>
    <s v="3314e296-2326-2826-1cae-e3335014fb50"/>
    <d v="2023-10-16T22:18:12"/>
    <d v="2023-10-16T22:33:12"/>
    <s v="3314e296-2326-2826-271d-a7be5b896db9"/>
    <s v="c0a33465-d309-3d2a-932e-9d554a7cc19c"/>
    <s v="aeb12e87-a05e-351e-bb0b-16b7d1cbb72f"/>
    <s v="26aab0cd-6aba-3e1b-ac5b-05c8867e762c"/>
    <x v="1"/>
    <n v="270427003"/>
    <s v="Patient-initiated encounter (procedure)"/>
    <n v="85.55"/>
    <n v="6209.85"/>
    <n v="3725.91"/>
    <n v="72892002"/>
    <x v="4"/>
  </r>
  <r>
    <s v="3314e296-2326-2826-1354-51293fdc8d6e"/>
    <d v="2023-10-25T22:18:12"/>
    <d v="2023-10-25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531.99"/>
    <n v="1531.99"/>
    <n v="72892002"/>
    <x v="4"/>
  </r>
  <r>
    <s v="3314e296-2326-2826-e1fc-a0c07f24d9df"/>
    <d v="2024-04-13T22:18:12"/>
    <d v="2024-04-13T22:33:12"/>
    <s v="3314e296-2326-2826-271d-a7be5b896db9"/>
    <s v="c0a33465-d309-3d2a-932e-9d554a7cc19c"/>
    <s v="aeb12e87-a05e-351e-bb0b-16b7d1cbb72f"/>
    <s v="26aab0cd-6aba-3e1b-ac5b-05c8867e762c"/>
    <x v="1"/>
    <n v="424441002"/>
    <s v="Prenatal initial visit (regime/therapy)"/>
    <n v="142.58000000000001"/>
    <n v="33156.54"/>
    <n v="33156.54"/>
    <n v="72892002"/>
    <x v="4"/>
  </r>
  <r>
    <s v="3314e296-2326-2826-c9c1-359e1d1d8c17"/>
    <d v="2024-05-11T22:18:12"/>
    <d v="2024-05-11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3458.79"/>
    <n v="13458.79"/>
    <n v="72892002"/>
    <x v="4"/>
  </r>
  <r>
    <s v="3314e296-2326-2826-0325-a20e52eb57ca"/>
    <d v="2024-06-08T22:18:12"/>
    <d v="2024-06-08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8788.94"/>
    <n v="1616.96"/>
    <n v="72892002"/>
    <x v="4"/>
  </r>
  <r>
    <s v="3314e296-2326-2826-f534-ec694f48da01"/>
    <d v="2024-07-06T22:18:12"/>
    <d v="2024-07-06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8185.51"/>
    <n v="4911.3"/>
    <n v="72892002"/>
    <x v="4"/>
  </r>
  <r>
    <s v="3314e296-2326-2826-bb42-56acd916125b"/>
    <d v="2024-08-03T22:18:12"/>
    <d v="2024-08-03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7624.81"/>
    <n v="7624.81"/>
    <n v="72892002"/>
    <x v="4"/>
  </r>
  <r>
    <s v="3314e296-2326-2826-9fd5-dcbd2ca2e0cc"/>
    <d v="2024-08-10T22:18:12"/>
    <d v="2024-08-10T23:08:06"/>
    <s v="3314e296-2326-2826-271d-a7be5b896db9"/>
    <s v="67cade01-dcfe-37b7-8e2c-b712d9e6fbba"/>
    <s v="431c9038-ddca-3d97-a8f6-c46dd991efa5"/>
    <s v="26aab0cd-6aba-3e1b-ac5b-05c8867e762c"/>
    <x v="0"/>
    <n v="162673000"/>
    <s v="General examination of patient (procedure)"/>
    <n v="136.80000000000001"/>
    <n v="853.36"/>
    <n v="853.36"/>
    <m/>
    <x v="0"/>
  </r>
  <r>
    <s v="3314e296-2326-2826-6a24-b5094e644399"/>
    <d v="2024-08-31T22:18:12"/>
    <d v="2024-08-31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9563.45"/>
    <n v="19563.45"/>
    <n v="72892002"/>
    <x v="4"/>
  </r>
  <r>
    <s v="3314e296-2326-2826-5023-c694147e4852"/>
    <d v="2024-09-28T22:18:12"/>
    <d v="2024-09-28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5835.4"/>
    <n v="5835.4"/>
    <n v="72892002"/>
    <x v="4"/>
  </r>
  <r>
    <s v="3314e296-2326-2826-d0f3-428ca737aaf1"/>
    <d v="2024-10-26T22:18:12"/>
    <d v="2024-10-26T22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5821.59"/>
    <n v="5821.59"/>
    <n v="72892002"/>
    <x v="4"/>
  </r>
  <r>
    <s v="3314e296-2326-2826-fb11-a0c52ce7e816"/>
    <d v="2024-11-09T21:18:12"/>
    <d v="2024-11-09T21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7985.82"/>
    <n v="7985.82"/>
    <n v="72892002"/>
    <x v="4"/>
  </r>
  <r>
    <s v="3314e296-2326-2826-cda6-7aef235792f5"/>
    <d v="2024-11-16T21:18:12"/>
    <d v="2024-11-16T21:33:12"/>
    <s v="3314e296-2326-2826-271d-a7be5b896db9"/>
    <s v="c0a33465-d309-3d2a-932e-9d554a7cc19c"/>
    <s v="aeb12e87-a05e-351e-bb0b-16b7d1cbb72f"/>
    <s v="26aab0cd-6aba-3e1b-ac5b-05c8867e762c"/>
    <x v="1"/>
    <n v="424619006"/>
    <s v="Prenatal visit (regime/therapy)"/>
    <n v="142.58000000000001"/>
    <n v="11162.28"/>
    <n v="11162.28"/>
    <n v="72892002"/>
    <x v="4"/>
  </r>
  <r>
    <s v="3314e296-2326-2826-dade-9f840e05f82a"/>
    <d v="2024-11-23T21:18:12"/>
    <d v="2024-11-23T22:18:12"/>
    <s v="3314e296-2326-2826-271d-a7be5b896db9"/>
    <s v="7cb70963-6f86-3eab-a12b-88deb31de793"/>
    <s v="dc62130f-c804-3fa8-9108-84ab0398a3f0"/>
    <s v="26aab0cd-6aba-3e1b-ac5b-05c8867e762c"/>
    <x v="3"/>
    <n v="183460006"/>
    <s v="Obstetric emergency hospital admission (procedure)"/>
    <n v="146.18"/>
    <n v="3362.86"/>
    <n v="3362.86"/>
    <n v="72892002"/>
    <x v="4"/>
  </r>
  <r>
    <s v="3314e296-2326-2826-f55e-112ed6ec0c9d"/>
    <d v="2025-01-04T21:18:12"/>
    <d v="2025-01-04T21:33:12"/>
    <s v="3314e296-2326-2826-271d-a7be5b896db9"/>
    <s v="c0a33465-d309-3d2a-932e-9d554a7cc19c"/>
    <s v="aeb12e87-a05e-351e-bb0b-16b7d1cbb72f"/>
    <s v="26aab0cd-6aba-3e1b-ac5b-05c8867e762c"/>
    <x v="1"/>
    <n v="169762003"/>
    <s v="Postnatal visit (regime/therapy)"/>
    <n v="142.58000000000001"/>
    <n v="1005.38"/>
    <n v="1005.38"/>
    <m/>
    <x v="0"/>
  </r>
  <r>
    <s v="3314e296-2326-2826-1b3d-57d3f292f8f9"/>
    <d v="2025-01-11T21:18:12"/>
    <d v="2025-01-11T21:33:12"/>
    <s v="3314e296-2326-2826-271d-a7be5b896db9"/>
    <s v="c0a33465-d309-3d2a-932e-9d554a7cc19c"/>
    <s v="aeb12e87-a05e-351e-bb0b-16b7d1cbb72f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3314e296-2326-2826-6e4d-de8dadf17bcd"/>
    <d v="2025-02-17T22:33:50"/>
    <d v="2025-02-17T23:33:50"/>
    <s v="3314e296-2326-2826-271d-a7be5b896db9"/>
    <s v="7cb70963-6f86-3eab-a12b-88deb31de793"/>
    <s v="dc62130f-c804-3fa8-9108-84ab0398a3f0"/>
    <s v="26aab0cd-6aba-3e1b-ac5b-05c8867e762c"/>
    <x v="3"/>
    <n v="50849002"/>
    <s v="Emergency room admission (procedure)"/>
    <n v="146.18"/>
    <n v="5104.67"/>
    <n v="5104.67"/>
    <n v="125605004"/>
    <x v="36"/>
  </r>
  <r>
    <s v="3314e296-2326-2826-4605-8665a9e0c1f4"/>
    <d v="2025-04-08T00:08:17"/>
    <d v="2025-04-08T00:23:17"/>
    <s v="3314e296-2326-2826-271d-a7be5b896db9"/>
    <s v="c0a33465-d309-3d2a-932e-9d554a7cc19c"/>
    <s v="aeb12e87-a05e-351e-bb0b-16b7d1cbb72f"/>
    <s v="26aab0cd-6aba-3e1b-ac5b-05c8867e762c"/>
    <x v="1"/>
    <n v="185349003"/>
    <s v="Encounter for check up (procedure)"/>
    <n v="85.55"/>
    <n v="85.55"/>
    <n v="85.55"/>
    <n v="65966004"/>
    <x v="37"/>
  </r>
  <r>
    <s v="3314e296-2326-2826-df3a-1d13586a59f0"/>
    <d v="2026-01-06T21:18:12"/>
    <d v="2026-01-06T21:33:12"/>
    <s v="3314e296-2326-2826-271d-a7be5b896db9"/>
    <s v="c0a33465-d309-3d2a-932e-9d554a7cc19c"/>
    <s v="aeb12e87-a05e-351e-bb0b-16b7d1cbb72f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72b1ca95-c4f0-269d-055d-703d19d1bc36"/>
    <d v="2013-04-01T11:51:49"/>
    <d v="2013-04-01T12:28:50"/>
    <s v="72b1ca95-c4f0-269d-28bf-ba36b25a9aa6"/>
    <s v="f341c366-8313-3790-ab26-d8d27b116ff5"/>
    <s v="37b33557-4e41-340d-b09b-cdfb5701b7d3"/>
    <s v="df166300-5a78-3502-a46a-832842197811"/>
    <x v="0"/>
    <n v="162673000"/>
    <s v="General examination of patient (procedure)"/>
    <n v="136.80000000000001"/>
    <n v="919.9"/>
    <n v="819.9"/>
    <m/>
    <x v="0"/>
  </r>
  <r>
    <s v="72b1ca95-c4f0-269d-2cbd-2a52cd4581cf"/>
    <d v="2014-04-07T11:51:49"/>
    <d v="2014-04-07T12:32:51"/>
    <s v="72b1ca95-c4f0-269d-28bf-ba36b25a9aa6"/>
    <s v="f341c366-8313-3790-ab26-d8d27b116ff5"/>
    <s v="37b33557-4e41-340d-b09b-cdfb5701b7d3"/>
    <s v="df166300-5a78-3502-a46a-832842197811"/>
    <x v="0"/>
    <n v="162673000"/>
    <s v="General examination of patient (procedure)"/>
    <n v="136.80000000000001"/>
    <n v="919.9"/>
    <n v="819.9"/>
    <m/>
    <x v="0"/>
  </r>
  <r>
    <s v="72b1ca95-c4f0-269d-9831-e98c6b102bf7"/>
    <d v="2014-07-04T00:51:49"/>
    <d v="2014-07-04T01:06:49"/>
    <s v="72b1ca95-c4f0-269d-28bf-ba36b25a9aa6"/>
    <s v="25431f9a-00e4-36d8-9810-4125328eec50"/>
    <s v="a39244c8-90fb-3daa-80d3-b5d962531ea6"/>
    <s v="df166300-5a78-3502-a46a-832842197811"/>
    <x v="1"/>
    <n v="185345009"/>
    <s v="Encounter for symptom (procedure)"/>
    <n v="85.55"/>
    <n v="85.55"/>
    <n v="35.549999999999997"/>
    <n v="10509002"/>
    <x v="1"/>
  </r>
  <r>
    <s v="72b1ca95-c4f0-269d-194d-1716a49805cb"/>
    <d v="2014-07-14T11:51:49"/>
    <d v="2014-07-14T12:42:49"/>
    <s v="72b1ca95-c4f0-269d-28bf-ba36b25a9aa6"/>
    <s v="25431f9a-00e4-36d8-9810-4125328eec50"/>
    <s v="a39244c8-90fb-3daa-80d3-b5d962531ea6"/>
    <s v="df166300-5a78-3502-a46a-832842197811"/>
    <x v="2"/>
    <n v="185349003"/>
    <s v="Encounter for check up (procedure)"/>
    <n v="85.55"/>
    <n v="516.95000000000005"/>
    <n v="466.95"/>
    <m/>
    <x v="0"/>
  </r>
  <r>
    <s v="72b1ca95-c4f0-269d-98a1-9b4237924389"/>
    <d v="2016-02-29T10:51:49"/>
    <d v="2016-02-29T11:06:49"/>
    <s v="72b1ca95-c4f0-269d-28bf-ba36b25a9aa6"/>
    <s v="25431f9a-00e4-36d8-9810-4125328eec50"/>
    <s v="a39244c8-90fb-3daa-80d3-b5d962531ea6"/>
    <s v="df166300-5a78-3502-a46a-832842197811"/>
    <x v="1"/>
    <n v="424441002"/>
    <s v="Prenatal initial visit (regime/therapy)"/>
    <n v="142.58000000000001"/>
    <n v="53055.72"/>
    <n v="52905.72"/>
    <n v="72892002"/>
    <x v="4"/>
  </r>
  <r>
    <s v="72b1ca95-c4f0-269d-eb15-84232ac8b2b5"/>
    <d v="2016-08-14T21:51:49"/>
    <d v="2016-08-14T22:06:49"/>
    <s v="72b1ca95-c4f0-269d-28bf-ba36b25a9aa6"/>
    <s v="25431f9a-00e4-36d8-9810-4125328eec50"/>
    <s v="a39244c8-90fb-3daa-80d3-b5d962531ea6"/>
    <s v="df166300-5a78-3502-a46a-832842197811"/>
    <x v="1"/>
    <n v="185345009"/>
    <s v="Encounter for symptom (procedure)"/>
    <n v="85.55"/>
    <n v="85.55"/>
    <n v="35.549999999999997"/>
    <n v="444814009"/>
    <x v="2"/>
  </r>
  <r>
    <s v="72b1ca95-c4f0-269d-2a21-fe5958dc07c9"/>
    <d v="2016-09-12T13:01:33"/>
    <d v="2016-09-12T14:01:33"/>
    <s v="72b1ca95-c4f0-269d-28bf-ba36b25a9aa6"/>
    <s v="6d16a8e3-3569-38ab-afac-a2f8c1125085"/>
    <s v="89996fe4-9383-3417-a0d6-719613f14a80"/>
    <s v="df166300-5a78-3502-a46a-832842197811"/>
    <x v="3"/>
    <n v="183460006"/>
    <s v="Obstetric emergency hospital admission (procedure)"/>
    <n v="146.18"/>
    <n v="2151.8200000000002"/>
    <n v="2101.8200000000002"/>
    <n v="72892002"/>
    <x v="4"/>
  </r>
  <r>
    <s v="72b1ca95-c4f0-269d-01b9-54ed61876d6c"/>
    <d v="2016-10-24T13:01:33"/>
    <d v="2016-10-24T13:16:33"/>
    <s v="72b1ca95-c4f0-269d-28bf-ba36b25a9aa6"/>
    <s v="25431f9a-00e4-36d8-9810-4125328eec50"/>
    <s v="a39244c8-90fb-3daa-80d3-b5d962531ea6"/>
    <s v="df166300-5a78-3502-a46a-832842197811"/>
    <x v="1"/>
    <n v="169762003"/>
    <s v="Postnatal visit (regime/therapy)"/>
    <n v="142.58000000000001"/>
    <n v="1005.38"/>
    <n v="955.38"/>
    <m/>
    <x v="0"/>
  </r>
  <r>
    <s v="72b1ca95-c4f0-269d-08c4-7f78251c3ede"/>
    <d v="2016-12-18T11:32:43"/>
    <d v="2016-12-18T11:47:43"/>
    <s v="72b1ca95-c4f0-269d-28bf-ba36b25a9aa6"/>
    <s v="25431f9a-00e4-36d8-9810-4125328eec50"/>
    <s v="a39244c8-90fb-3daa-80d3-b5d962531ea6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72b1ca95-c4f0-269d-ba08-f20e5f51a30d"/>
    <d v="2017-04-10T11:51:49"/>
    <d v="2017-04-10T12:24:32"/>
    <s v="72b1ca95-c4f0-269d-28bf-ba36b25a9aa6"/>
    <s v="f341c366-8313-3790-ab26-d8d27b116ff5"/>
    <s v="37b33557-4e41-340d-b09b-cdfb5701b7d3"/>
    <s v="df166300-5a78-3502-a46a-832842197811"/>
    <x v="0"/>
    <n v="162673000"/>
    <s v="General examination of patient (procedure)"/>
    <n v="136.80000000000001"/>
    <n v="1782.46"/>
    <n v="1682.46"/>
    <m/>
    <x v="0"/>
  </r>
  <r>
    <s v="72b1ca95-c4f0-269d-14c4-39aff402c875"/>
    <d v="2017-04-24T11:51:49"/>
    <d v="2017-04-24T15:24:04"/>
    <s v="72b1ca95-c4f0-269d-28bf-ba36b25a9aa6"/>
    <s v="25431f9a-00e4-36d8-9810-4125328eec50"/>
    <s v="a39244c8-90fb-3daa-80d3-b5d962531ea6"/>
    <s v="df166300-5a78-3502-a46a-832842197811"/>
    <x v="1"/>
    <n v="185349003"/>
    <s v="Encounter for check up (procedure)"/>
    <n v="85.55"/>
    <n v="3105.35"/>
    <n v="3055.35"/>
    <n v="103697008"/>
    <x v="3"/>
  </r>
  <r>
    <s v="72b1ca95-c4f0-269d-0ae7-904cdd678803"/>
    <d v="2019-07-15T11:51:49"/>
    <d v="2019-07-15T12:06:49"/>
    <s v="72b1ca95-c4f0-269d-28bf-ba36b25a9aa6"/>
    <s v="25431f9a-00e4-36d8-9810-4125328eec50"/>
    <s v="a39244c8-90fb-3daa-80d3-b5d962531ea6"/>
    <s v="df166300-5a78-3502-a46a-832842197811"/>
    <x v="1"/>
    <n v="424441002"/>
    <s v="Prenatal initial visit (regime/therapy)"/>
    <n v="142.58000000000001"/>
    <n v="37471.300000000003"/>
    <n v="37321.300000000003"/>
    <n v="72892002"/>
    <x v="4"/>
  </r>
  <r>
    <s v="72b1ca95-c4f0-269d-5576-a916ff1af9d3"/>
    <d v="2019-08-12T11:51:49"/>
    <d v="2019-08-12T12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12586.98"/>
    <n v="12536.98"/>
    <n v="72892002"/>
    <x v="4"/>
  </r>
  <r>
    <s v="72b1ca95-c4f0-269d-d256-1623cdf99214"/>
    <d v="2019-09-09T11:51:49"/>
    <d v="2019-09-09T12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14481.64"/>
    <n v="14431.64"/>
    <n v="72892002"/>
    <x v="4"/>
  </r>
  <r>
    <s v="72b1ca95-c4f0-269d-d925-292815595095"/>
    <d v="2019-10-07T11:51:49"/>
    <d v="2019-10-07T12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6822.01"/>
    <n v="6772.01"/>
    <n v="72892002"/>
    <x v="4"/>
  </r>
  <r>
    <s v="72b1ca95-c4f0-269d-aa96-4fc5d8c65a0e"/>
    <d v="2019-11-04T10:51:49"/>
    <d v="2019-11-04T11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9684.0499999999993"/>
    <n v="9634.0499999999993"/>
    <n v="72892002"/>
    <x v="4"/>
  </r>
  <r>
    <s v="72b1ca95-c4f0-269d-fe6d-1f774f2b1432"/>
    <d v="2019-11-28T23:51:49"/>
    <d v="2019-11-29T00:06:49"/>
    <s v="72b1ca95-c4f0-269d-28bf-ba36b25a9aa6"/>
    <s v="25431f9a-00e4-36d8-9810-4125328eec50"/>
    <s v="a39244c8-90fb-3daa-80d3-b5d962531ea6"/>
    <s v="df166300-5a78-3502-a46a-832842197811"/>
    <x v="1"/>
    <n v="185345009"/>
    <s v="Encounter for symptom (procedure)"/>
    <n v="85.55"/>
    <n v="2715.8"/>
    <n v="2665.8"/>
    <n v="10509002"/>
    <x v="1"/>
  </r>
  <r>
    <s v="72b1ca95-c4f0-269d-4b65-07082c715606"/>
    <d v="2019-12-02T10:51:49"/>
    <d v="2019-12-02T11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12248.3"/>
    <n v="12198.3"/>
    <n v="72892002"/>
    <x v="4"/>
  </r>
  <r>
    <s v="72b1ca95-c4f0-269d-ad69-9d3ccea36c7b"/>
    <d v="2019-12-09T10:51:49"/>
    <d v="2019-12-09T11:29:14"/>
    <s v="72b1ca95-c4f0-269d-28bf-ba36b25a9aa6"/>
    <s v="121b0ad1-1beb-3caa-9271-3d3f726bb727"/>
    <s v="3d8598c7-b464-3e8b-b494-c85d503739b3"/>
    <s v="df166300-5a78-3502-a46a-832842197811"/>
    <x v="4"/>
    <n v="702927004"/>
    <s v="Urgent care clinic (environment)"/>
    <n v="142.58000000000001"/>
    <n v="784.56"/>
    <n v="734.56"/>
    <m/>
    <x v="0"/>
  </r>
  <r>
    <s v="72b1ca95-c4f0-269d-d74b-799a945714bc"/>
    <d v="2019-12-23T10:51:49"/>
    <d v="2019-12-23T18:04:42"/>
    <s v="72b1ca95-c4f0-269d-28bf-ba36b25a9aa6"/>
    <s v="25431f9a-00e4-36d8-9810-4125328eec50"/>
    <s v="a39244c8-90fb-3daa-80d3-b5d962531ea6"/>
    <s v="df166300-5a78-3502-a46a-832842197811"/>
    <x v="1"/>
    <n v="185349003"/>
    <s v="Encounter for check up (procedure)"/>
    <n v="85.55"/>
    <n v="5693.75"/>
    <n v="5643.75"/>
    <n v="66383009"/>
    <x v="17"/>
  </r>
  <r>
    <s v="72b1ca95-c4f0-269d-9cf0-b7c9f909a4e8"/>
    <d v="2019-12-30T10:51:49"/>
    <d v="2019-12-30T11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6701.94"/>
    <n v="6651.94"/>
    <n v="72892002"/>
    <x v="4"/>
  </r>
  <r>
    <s v="72b1ca95-c4f0-269d-64cf-c59711992dea"/>
    <d v="2020-01-27T10:51:49"/>
    <d v="2020-01-27T11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6584.96"/>
    <n v="6534.96"/>
    <n v="72892002"/>
    <x v="4"/>
  </r>
  <r>
    <s v="72b1ca95-c4f0-269d-2547-f42745728802"/>
    <d v="2020-02-10T10:51:49"/>
    <d v="2020-02-10T11:06:49"/>
    <s v="72b1ca95-c4f0-269d-28bf-ba36b25a9aa6"/>
    <s v="25431f9a-00e4-36d8-9810-4125328eec50"/>
    <s v="a39244c8-90fb-3daa-80d3-b5d962531ea6"/>
    <s v="df166300-5a78-3502-a46a-832842197811"/>
    <x v="1"/>
    <n v="424619006"/>
    <s v="Prenatal visit (regime/therapy)"/>
    <n v="142.58000000000001"/>
    <n v="11663.79"/>
    <n v="11513.79"/>
    <n v="72892002"/>
    <x v="4"/>
  </r>
  <r>
    <s v="72b1ca95-c4f0-269d-57f2-259b6c5b6558"/>
    <d v="2020-02-17T10:51:49"/>
    <d v="2020-02-17T11:51:49"/>
    <s v="72b1ca95-c4f0-269d-28bf-ba36b25a9aa6"/>
    <s v="6d16a8e3-3569-38ab-afac-a2f8c1125085"/>
    <s v="89996fe4-9383-3417-a0d6-719613f14a80"/>
    <s v="df166300-5a78-3502-a46a-832842197811"/>
    <x v="3"/>
    <n v="183460006"/>
    <s v="Obstetric emergency hospital admission (procedure)"/>
    <n v="146.18"/>
    <n v="2151.8200000000002"/>
    <n v="2101.8200000000002"/>
    <n v="72892002"/>
    <x v="4"/>
  </r>
  <r>
    <s v="72b1ca95-c4f0-269d-ea30-81be132d0b37"/>
    <d v="2020-03-30T11:51:49"/>
    <d v="2020-03-30T12:06:49"/>
    <s v="72b1ca95-c4f0-269d-28bf-ba36b25a9aa6"/>
    <s v="25431f9a-00e4-36d8-9810-4125328eec50"/>
    <s v="a39244c8-90fb-3daa-80d3-b5d962531ea6"/>
    <s v="df166300-5a78-3502-a46a-832842197811"/>
    <x v="1"/>
    <n v="169762003"/>
    <s v="Postnatal visit (regime/therapy)"/>
    <n v="142.58000000000001"/>
    <n v="1005.38"/>
    <n v="955.38"/>
    <m/>
    <x v="0"/>
  </r>
  <r>
    <s v="72b1ca95-c4f0-269d-27a4-abe27df2de74"/>
    <d v="2020-04-06T11:51:49"/>
    <d v="2020-04-06T12:41:52"/>
    <s v="72b1ca95-c4f0-269d-28bf-ba36b25a9aa6"/>
    <s v="25431f9a-00e4-36d8-9810-4125328eec50"/>
    <s v="a39244c8-90fb-3daa-80d3-b5d962531ea6"/>
    <s v="df166300-5a78-3502-a46a-832842197811"/>
    <x v="2"/>
    <n v="698314001"/>
    <s v="Consultation for treatment (procedure)"/>
    <n v="142.58000000000001"/>
    <n v="573.98"/>
    <n v="523.98"/>
    <n v="183996000"/>
    <x v="35"/>
  </r>
  <r>
    <s v="72b1ca95-c4f0-269d-529d-9af15f72a57f"/>
    <d v="2020-04-20T11:51:49"/>
    <d v="2020-04-20T12:24:33"/>
    <s v="72b1ca95-c4f0-269d-28bf-ba36b25a9aa6"/>
    <s v="f341c366-8313-3790-ab26-d8d27b116ff5"/>
    <s v="37b33557-4e41-340d-b09b-cdfb5701b7d3"/>
    <s v="df166300-5a78-3502-a46a-832842197811"/>
    <x v="0"/>
    <n v="162673000"/>
    <s v="General examination of patient (procedure)"/>
    <n v="136.80000000000001"/>
    <n v="785.58"/>
    <n v="785.58"/>
    <m/>
    <x v="0"/>
  </r>
  <r>
    <s v="72b1ca95-c4f0-269d-6da4-ee52c093d983"/>
    <d v="2020-04-27T11:51:49"/>
    <d v="2020-04-28T11:51:49"/>
    <s v="72b1ca95-c4f0-269d-28bf-ba36b25a9aa6"/>
    <s v="25431f9a-00e4-36d8-9810-4125328eec50"/>
    <s v="a39244c8-90fb-3daa-80d3-b5d962531ea6"/>
    <s v="df166300-5a78-3502-a46a-832842197811"/>
    <x v="6"/>
    <n v="305408004"/>
    <s v="Admission to surgical department (procedure)"/>
    <n v="146.18"/>
    <n v="3817.64"/>
    <n v="3767.64"/>
    <n v="183996000"/>
    <x v="35"/>
  </r>
  <r>
    <s v="72b1ca95-c4f0-269d-e625-a878c493343f"/>
    <d v="2021-02-15T10:51:49"/>
    <d v="2021-02-15T11:06:49"/>
    <s v="72b1ca95-c4f0-269d-28bf-ba36b25a9aa6"/>
    <s v="25431f9a-00e4-36d8-9810-4125328eec50"/>
    <s v="a39244c8-90fb-3daa-80d3-b5d962531ea6"/>
    <s v="df166300-5a78-3502-a46a-832842197811"/>
    <x v="2"/>
    <n v="33879002"/>
    <s v="Administration of vaccine to produce active immunity (procedure)"/>
    <n v="142.58000000000001"/>
    <n v="278.58"/>
    <n v="128.58000000000001"/>
    <m/>
    <x v="0"/>
  </r>
  <r>
    <s v="72b1ca95-c4f0-269d-4a53-b002c5161deb"/>
    <d v="2021-03-15T11:51:49"/>
    <d v="2021-03-15T12:06:49"/>
    <s v="72b1ca95-c4f0-269d-28bf-ba36b25a9aa6"/>
    <s v="25431f9a-00e4-36d8-9810-4125328eec50"/>
    <s v="a39244c8-90fb-3daa-80d3-b5d962531ea6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72b1ca95-c4f0-269d-8c50-8f1258c6e9ac"/>
    <d v="2021-04-04T11:51:49"/>
    <d v="2021-04-04T13:06:48"/>
    <s v="72b1ca95-c4f0-269d-28bf-ba36b25a9aa6"/>
    <s v="25431f9a-00e4-36d8-9810-4125328eec50"/>
    <s v="a39244c8-90fb-3daa-80d3-b5d962531ea6"/>
    <s v="df166300-5a78-3502-a46a-832842197811"/>
    <x v="1"/>
    <n v="185345009"/>
    <s v="Encounter for symptom (procedure)"/>
    <n v="85.55"/>
    <n v="3179.93"/>
    <n v="3129.93"/>
    <n v="307426000"/>
    <x v="5"/>
  </r>
  <r>
    <s v="72b1ca95-c4f0-269d-bbab-751a89fe43ac"/>
    <d v="2023-04-24T11:51:49"/>
    <d v="2023-04-24T12:26:27"/>
    <s v="72b1ca95-c4f0-269d-28bf-ba36b25a9aa6"/>
    <s v="f341c366-8313-3790-ab26-d8d27b116ff5"/>
    <s v="37b33557-4e41-340d-b09b-cdfb5701b7d3"/>
    <s v="df166300-5a78-3502-a46a-832842197811"/>
    <x v="0"/>
    <n v="162673000"/>
    <s v="General examination of patient (procedure)"/>
    <n v="136.80000000000001"/>
    <n v="860.16"/>
    <n v="760.16"/>
    <m/>
    <x v="0"/>
  </r>
  <r>
    <s v="72b1ca95-c4f0-269d-9eeb-53ccba3a6a19"/>
    <d v="2023-05-08T11:51:49"/>
    <d v="2023-05-08T15:13:13"/>
    <s v="72b1ca95-c4f0-269d-28bf-ba36b25a9aa6"/>
    <s v="25431f9a-00e4-36d8-9810-4125328eec50"/>
    <s v="a39244c8-90fb-3daa-80d3-b5d962531ea6"/>
    <s v="df166300-5a78-3502-a46a-832842197811"/>
    <x v="1"/>
    <n v="185349003"/>
    <s v="Encounter for check up (procedure)"/>
    <n v="85.55"/>
    <n v="3536.75"/>
    <n v="3486.75"/>
    <n v="66383009"/>
    <x v="17"/>
  </r>
  <r>
    <s v="72b1ca95-c4f0-269d-b1d6-fab8f8e07b0e"/>
    <d v="2026-04-27T11:51:49"/>
    <d v="2026-04-27T12:48:23"/>
    <s v="72b1ca95-c4f0-269d-28bf-ba36b25a9aa6"/>
    <s v="f341c366-8313-3790-ab26-d8d27b116ff5"/>
    <s v="37b33557-4e41-340d-b09b-cdfb5701b7d3"/>
    <s v="df166300-5a78-3502-a46a-832842197811"/>
    <x v="0"/>
    <n v="162673000"/>
    <s v="General examination of patient (procedure)"/>
    <n v="136.80000000000001"/>
    <n v="996.16"/>
    <n v="896.16"/>
    <m/>
    <x v="0"/>
  </r>
  <r>
    <s v="72b1ca95-c4f0-269d-5de3-b7369ab079f6"/>
    <d v="2026-05-04T11:51:49"/>
    <d v="2026-05-04T12:06:49"/>
    <s v="72b1ca95-c4f0-269d-28bf-ba36b25a9aa6"/>
    <s v="25431f9a-00e4-36d8-9810-4125328eec50"/>
    <s v="a39244c8-90fb-3daa-80d3-b5d962531ea6"/>
    <s v="df166300-5a78-3502-a46a-832842197811"/>
    <x v="1"/>
    <n v="185345009"/>
    <s v="Encounter for symptom (procedure)"/>
    <n v="85.55"/>
    <n v="85.55"/>
    <n v="35.549999999999997"/>
    <n v="444814009"/>
    <x v="2"/>
  </r>
  <r>
    <s v="d537941e-1fb7-9868-7897-4026c5a683c2"/>
    <d v="2008-09-14T00:59:04"/>
    <d v="2008-09-14T01:31:31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981.24"/>
    <n v="881.24"/>
    <m/>
    <x v="0"/>
  </r>
  <r>
    <s v="d537941e-1fb7-9868-1239-45d05e635300"/>
    <d v="2009-09-20T00:59:04"/>
    <d v="2009-09-20T01:39:45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1278.5"/>
    <n v="1178.5"/>
    <m/>
    <x v="0"/>
  </r>
  <r>
    <s v="d537941e-1fb7-9868-8717-7fea5ee200fb"/>
    <d v="2012-09-23T00:59:04"/>
    <d v="2012-09-23T01:31:48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1186.78"/>
    <n v="1086.78"/>
    <m/>
    <x v="0"/>
  </r>
  <r>
    <s v="d537941e-1fb7-9868-edde-6f8b7f64e1db"/>
    <d v="2015-09-27T00:59:04"/>
    <d v="2015-09-27T01:43:57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704.2"/>
    <n v="604.20000000000005"/>
    <m/>
    <x v="0"/>
  </r>
  <r>
    <s v="d537941e-1fb7-9868-f597-32912631973f"/>
    <d v="2016-12-10T23:59:04"/>
    <d v="2016-12-11T00:14:04"/>
    <s v="d537941e-1fb7-9868-939a-a26252da8be1"/>
    <s v="1ab2b5f9-cb95-3236-beec-9b9d4a407c61"/>
    <s v="d8aa8286-f3b9-3003-8cb9-5985e301d798"/>
    <s v="df166300-5a78-3502-a46a-832842197811"/>
    <x v="1"/>
    <n v="424441002"/>
    <s v="Prenatal initial visit (regime/therapy)"/>
    <n v="142.58000000000001"/>
    <n v="34195.279999999999"/>
    <n v="34045.279999999999"/>
    <n v="72892002"/>
    <x v="4"/>
  </r>
  <r>
    <s v="d537941e-1fb7-9868-9fd4-fb24866038e0"/>
    <d v="2017-01-07T23:59:04"/>
    <d v="2017-01-08T00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1021.29"/>
    <n v="10971.29"/>
    <n v="72892002"/>
    <x v="4"/>
  </r>
  <r>
    <s v="d537941e-1fb7-9868-53be-fb45f12f8c19"/>
    <d v="2017-02-04T23:59:04"/>
    <d v="2017-02-05T00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2259.82"/>
    <n v="12209.82"/>
    <n v="72892002"/>
    <x v="4"/>
  </r>
  <r>
    <s v="d537941e-1fb7-9868-a771-08a1673db909"/>
    <d v="2017-03-04T23:59:04"/>
    <d v="2017-03-05T00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7815.28"/>
    <n v="7765.28"/>
    <n v="72892002"/>
    <x v="4"/>
  </r>
  <r>
    <s v="d537941e-1fb7-9868-900f-915f7b88875d"/>
    <d v="2017-04-02T00:59:04"/>
    <d v="2017-04-02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0866.9"/>
    <n v="10816.9"/>
    <n v="72892002"/>
    <x v="4"/>
  </r>
  <r>
    <s v="d537941e-1fb7-9868-5af1-d53968b43468"/>
    <d v="2017-04-30T00:59:04"/>
    <d v="2017-04-30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8227.650000000001"/>
    <n v="18177.650000000001"/>
    <n v="72892002"/>
    <x v="4"/>
  </r>
  <r>
    <s v="d537941e-1fb7-9868-31f9-b41273e67a37"/>
    <d v="2017-05-28T00:59:04"/>
    <d v="2017-05-28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7049.57"/>
    <n v="6999.57"/>
    <n v="72892002"/>
    <x v="4"/>
  </r>
  <r>
    <s v="d537941e-1fb7-9868-e2d5-31f4acce1019"/>
    <d v="2017-06-25T00:59:04"/>
    <d v="2017-06-25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4902.22"/>
    <n v="14852.22"/>
    <n v="72892002"/>
    <x v="4"/>
  </r>
  <r>
    <s v="d537941e-1fb7-9868-d78e-a3f69cef356b"/>
    <d v="2017-07-09T00:59:04"/>
    <d v="2017-07-09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1451.02"/>
    <n v="11401.02"/>
    <n v="72892002"/>
    <x v="4"/>
  </r>
  <r>
    <s v="d537941e-1fb7-9868-d0e4-c35f47c7f574"/>
    <d v="2017-07-16T00:59:04"/>
    <d v="2017-07-16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7291.52"/>
    <n v="7241.52"/>
    <n v="72892002"/>
    <x v="4"/>
  </r>
  <r>
    <s v="d537941e-1fb7-9868-23ff-830e723fea1e"/>
    <d v="2017-07-23T00:59:04"/>
    <d v="2017-07-23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4665.96"/>
    <n v="4515.96"/>
    <n v="72892002"/>
    <x v="4"/>
  </r>
  <r>
    <s v="d537941e-1fb7-9868-55cf-b2b024c82478"/>
    <d v="2017-07-30T00:59:04"/>
    <d v="2017-07-30T01:59:04"/>
    <s v="d537941e-1fb7-9868-939a-a26252da8be1"/>
    <s v="929528f5-8239-36c7-aacb-39424ede9cc5"/>
    <s v="d583bb82-7479-3ce6-a4b9-9a68538498f2"/>
    <s v="df166300-5a78-3502-a46a-832842197811"/>
    <x v="3"/>
    <n v="183460006"/>
    <s v="Obstetric emergency hospital admission (procedure)"/>
    <n v="146.18"/>
    <n v="6260.31"/>
    <n v="6210.31"/>
    <n v="72892002"/>
    <x v="4"/>
  </r>
  <r>
    <s v="d537941e-1fb7-9868-f0cc-8142b29743c2"/>
    <d v="2017-09-10T00:59:04"/>
    <d v="2017-09-10T01:14:04"/>
    <s v="d537941e-1fb7-9868-939a-a26252da8be1"/>
    <s v="1ab2b5f9-cb95-3236-beec-9b9d4a407c61"/>
    <s v="d8aa8286-f3b9-3003-8cb9-5985e301d798"/>
    <s v="df166300-5a78-3502-a46a-832842197811"/>
    <x v="1"/>
    <n v="169762003"/>
    <s v="Postnatal visit (regime/therapy)"/>
    <n v="142.58000000000001"/>
    <n v="1005.38"/>
    <n v="955.38"/>
    <m/>
    <x v="0"/>
  </r>
  <r>
    <s v="d537941e-1fb7-9868-1651-bbb5f408602a"/>
    <d v="2017-12-16T23:59:04"/>
    <d v="2017-12-17T00:14:04"/>
    <s v="d537941e-1fb7-9868-939a-a26252da8be1"/>
    <s v="1ab2b5f9-cb95-3236-beec-9b9d4a407c61"/>
    <s v="d8aa8286-f3b9-3003-8cb9-5985e301d798"/>
    <s v="df166300-5a78-3502-a46a-832842197811"/>
    <x v="1"/>
    <n v="424441002"/>
    <s v="Prenatal initial visit (regime/therapy)"/>
    <n v="142.58000000000001"/>
    <n v="22951.9"/>
    <n v="22901.9"/>
    <n v="72892002"/>
    <x v="4"/>
  </r>
  <r>
    <s v="d537941e-1fb7-9868-2f01-235276053855"/>
    <d v="2017-12-26T23:59:04"/>
    <d v="2017-12-27T00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005.38"/>
    <n v="955.38"/>
    <n v="35999006"/>
    <x v="7"/>
  </r>
  <r>
    <s v="d537941e-1fb7-9868-b1bb-d0b91d67649f"/>
    <d v="2018-09-30T00:59:04"/>
    <d v="2018-09-30T01:53:03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778.78"/>
    <n v="678.78"/>
    <m/>
    <x v="0"/>
  </r>
  <r>
    <s v="d537941e-1fb7-9868-2809-cd185d510ae8"/>
    <d v="2019-04-14T00:59:04"/>
    <d v="2019-04-14T01:14:04"/>
    <s v="d537941e-1fb7-9868-939a-a26252da8be1"/>
    <s v="1ab2b5f9-cb95-3236-beec-9b9d4a407c61"/>
    <s v="d8aa8286-f3b9-3003-8cb9-5985e301d798"/>
    <s v="df166300-5a78-3502-a46a-832842197811"/>
    <x v="1"/>
    <n v="424441002"/>
    <s v="Prenatal initial visit (regime/therapy)"/>
    <n v="142.58000000000001"/>
    <n v="7682.5"/>
    <n v="7632.5"/>
    <n v="72892002"/>
    <x v="4"/>
  </r>
  <r>
    <s v="d537941e-1fb7-9868-eccf-4b44b39c7ba7"/>
    <d v="2019-05-01T00:59:04"/>
    <d v="2019-05-01T01:14:04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005.38"/>
    <n v="955.38"/>
    <n v="156073000"/>
    <x v="26"/>
  </r>
  <r>
    <s v="d537941e-1fb7-9868-2c9c-ab9ae44c377a"/>
    <d v="2019-08-25T00:59:04"/>
    <d v="2019-08-25T01:14:04"/>
    <s v="d537941e-1fb7-9868-939a-a26252da8be1"/>
    <s v="1ab2b5f9-cb95-3236-beec-9b9d4a407c61"/>
    <s v="d8aa8286-f3b9-3003-8cb9-5985e301d798"/>
    <s v="df166300-5a78-3502-a46a-832842197811"/>
    <x v="1"/>
    <n v="424441002"/>
    <s v="Prenatal initial visit (regime/therapy)"/>
    <n v="142.58000000000001"/>
    <n v="42284.34"/>
    <n v="42134.34"/>
    <n v="72892002"/>
    <x v="4"/>
  </r>
  <r>
    <s v="d537941e-1fb7-9868-e7ff-2504bb7a622d"/>
    <d v="2019-08-25T00:59:04"/>
    <d v="2019-08-25T02:16:43"/>
    <s v="d537941e-1fb7-9868-939a-a26252da8be1"/>
    <s v="1ab2b5f9-cb95-3236-beec-9b9d4a407c61"/>
    <s v="d8aa8286-f3b9-3003-8cb9-5985e301d798"/>
    <s v="df166300-5a78-3502-a46a-832842197811"/>
    <x v="1"/>
    <n v="185347001"/>
    <s v="Encounter for problem (procedure)"/>
    <n v="85.55"/>
    <n v="1706.26"/>
    <n v="1656.26"/>
    <n v="271737000"/>
    <x v="32"/>
  </r>
  <r>
    <s v="d537941e-1fb7-9868-3fe5-6e1fa0203d80"/>
    <d v="2019-09-22T02:16:43"/>
    <d v="2019-09-22T02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7122.47"/>
    <n v="17072.47"/>
    <n v="72892002"/>
    <x v="4"/>
  </r>
  <r>
    <s v="d537941e-1fb7-9868-e637-dd3147aec234"/>
    <d v="2019-10-20T02:16:43"/>
    <d v="2019-10-20T02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1759.2"/>
    <n v="11709.2"/>
    <n v="72892002"/>
    <x v="4"/>
  </r>
  <r>
    <s v="d537941e-1fb7-9868-bcd9-fe0ee1923b5c"/>
    <d v="2019-11-17T01:16:43"/>
    <d v="2019-11-17T01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8295.1"/>
    <n v="8245.1"/>
    <n v="72892002"/>
    <x v="4"/>
  </r>
  <r>
    <s v="d537941e-1fb7-9868-0ccb-f12607a2a688"/>
    <d v="2019-12-15T01:16:43"/>
    <d v="2019-12-15T01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6912.14"/>
    <n v="6862.14"/>
    <n v="72892002"/>
    <x v="4"/>
  </r>
  <r>
    <s v="d537941e-1fb7-9868-6caa-a7f9441a419b"/>
    <d v="2020-01-12T01:16:43"/>
    <d v="2020-01-12T01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26055.47"/>
    <n v="26005.47"/>
    <n v="72892002"/>
    <x v="4"/>
  </r>
  <r>
    <s v="d537941e-1fb7-9868-9d6e-7d5b6fc0f9d7"/>
    <d v="2020-02-09T01:16:43"/>
    <d v="2020-02-09T01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5259.72"/>
    <n v="5209.72"/>
    <n v="72892002"/>
    <x v="4"/>
  </r>
  <r>
    <s v="d537941e-1fb7-9868-7d2e-84a08bc1332a"/>
    <d v="2020-03-08T01:16:43"/>
    <d v="2020-03-08T01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1952.13"/>
    <n v="11902.13"/>
    <n v="72892002"/>
    <x v="4"/>
  </r>
  <r>
    <s v="d537941e-1fb7-9868-c8af-ef4b5fe9dbe7"/>
    <d v="2020-03-22T02:16:43"/>
    <d v="2020-03-22T02:31:43"/>
    <s v="d537941e-1fb7-9868-939a-a26252da8be1"/>
    <s v="1ab2b5f9-cb95-3236-beec-9b9d4a407c61"/>
    <s v="d8aa8286-f3b9-3003-8cb9-5985e301d798"/>
    <s v="df166300-5a78-3502-a46a-832842197811"/>
    <x v="1"/>
    <n v="424619006"/>
    <s v="Prenatal visit (regime/therapy)"/>
    <n v="142.58000000000001"/>
    <n v="10179.9"/>
    <n v="10129.9"/>
    <n v="72892002"/>
    <x v="4"/>
  </r>
  <r>
    <s v="d537941e-1fb7-9868-ec31-20771f1f5293"/>
    <d v="2020-03-29T02:16:43"/>
    <d v="2020-03-29T03:16:43"/>
    <s v="d537941e-1fb7-9868-939a-a26252da8be1"/>
    <s v="929528f5-8239-36c7-aacb-39424ede9cc5"/>
    <s v="d583bb82-7479-3ce6-a4b9-9a68538498f2"/>
    <s v="df166300-5a78-3502-a46a-832842197811"/>
    <x v="3"/>
    <n v="183460006"/>
    <s v="Obstetric emergency hospital admission (procedure)"/>
    <n v="146.18"/>
    <n v="7213.23"/>
    <n v="7163.23"/>
    <n v="72892002"/>
    <x v="4"/>
  </r>
  <r>
    <s v="d537941e-1fb7-9868-c7a7-15e321849844"/>
    <d v="2020-05-10T02:16:43"/>
    <d v="2020-05-10T02:31:43"/>
    <s v="d537941e-1fb7-9868-939a-a26252da8be1"/>
    <s v="1ab2b5f9-cb95-3236-beec-9b9d4a407c61"/>
    <s v="d8aa8286-f3b9-3003-8cb9-5985e301d798"/>
    <s v="df166300-5a78-3502-a46a-832842197811"/>
    <x v="1"/>
    <n v="169762003"/>
    <s v="Postnatal visit (regime/therapy)"/>
    <n v="142.58000000000001"/>
    <n v="1005.38"/>
    <n v="955.38"/>
    <m/>
    <x v="0"/>
  </r>
  <r>
    <s v="d537941e-1fb7-9868-c545-2a83ce132cf3"/>
    <d v="2021-05-19T00:59:04"/>
    <d v="2021-05-19T01:38:40"/>
    <s v="d537941e-1fb7-9868-939a-a26252da8be1"/>
    <s v="5b0cd0a0-f277-3a66-bee6-d64b5be4a3f5"/>
    <s v="a2048952-600d-3b1d-8c27-dad642e93cba"/>
    <s v="df166300-5a78-3502-a46a-832842197811"/>
    <x v="2"/>
    <n v="698314001"/>
    <s v="Consultation for treatment (procedure)"/>
    <n v="142.58000000000001"/>
    <n v="10401.040000000001"/>
    <n v="10251.040000000001"/>
    <n v="389095005"/>
    <x v="15"/>
  </r>
  <r>
    <s v="d537941e-1fb7-9868-eb9a-00c1a3394519"/>
    <d v="2021-08-15T00:59:04"/>
    <d v="2021-08-15T01:14:04"/>
    <s v="d537941e-1fb7-9868-939a-a26252da8be1"/>
    <s v="5b0cd0a0-f277-3a66-bee6-d64b5be4a3f5"/>
    <s v="a2048952-600d-3b1d-8c27-dad642e93cba"/>
    <s v="df166300-5a78-3502-a46a-832842197811"/>
    <x v="2"/>
    <n v="33879002"/>
    <s v="Administration of vaccine to produce active immunity (procedure)"/>
    <n v="142.58000000000001"/>
    <n v="278.58"/>
    <n v="128.58000000000001"/>
    <m/>
    <x v="0"/>
  </r>
  <r>
    <s v="d537941e-1fb7-9868-67c7-df8368f7665e"/>
    <d v="2021-09-05T00:59:04"/>
    <d v="2021-09-05T01:14:04"/>
    <s v="d537941e-1fb7-9868-939a-a26252da8be1"/>
    <s v="5b0cd0a0-f277-3a66-bee6-d64b5be4a3f5"/>
    <s v="a2048952-600d-3b1d-8c27-dad642e93cba"/>
    <s v="df166300-5a78-3502-a46a-832842197811"/>
    <x v="2"/>
    <n v="33879002"/>
    <s v="Administration of vaccine to produce active immunity (procedure)"/>
    <n v="142.58000000000001"/>
    <n v="278.58"/>
    <n v="228.58"/>
    <m/>
    <x v="0"/>
  </r>
  <r>
    <s v="d537941e-1fb7-9868-3e1d-293fbc204d2d"/>
    <d v="2021-10-03T00:59:04"/>
    <d v="2021-10-03T01:58:44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1301.28"/>
    <n v="1301.28"/>
    <m/>
    <x v="0"/>
  </r>
  <r>
    <s v="d537941e-1fb7-9868-951f-9627afb299d7"/>
    <d v="2021-10-17T00:59:04"/>
    <d v="2021-10-17T03:53:00"/>
    <s v="d537941e-1fb7-9868-939a-a26252da8be1"/>
    <s v="1ab2b5f9-cb95-3236-beec-9b9d4a407c61"/>
    <s v="d8aa8286-f3b9-3003-8cb9-5985e301d798"/>
    <s v="df166300-5a78-3502-a46a-832842197811"/>
    <x v="1"/>
    <n v="185349003"/>
    <s v="Encounter for check up (procedure)"/>
    <n v="85.55"/>
    <n v="2673.95"/>
    <n v="2623.95"/>
    <n v="103697008"/>
    <x v="3"/>
  </r>
  <r>
    <s v="d537941e-1fb7-9868-7da8-3bda69443e56"/>
    <d v="2023-05-02T11:59:04"/>
    <d v="2023-05-02T12:14:04"/>
    <s v="d537941e-1fb7-9868-939a-a26252da8be1"/>
    <s v="1ab2b5f9-cb95-3236-beec-9b9d4a407c61"/>
    <s v="d8aa8286-f3b9-3003-8cb9-5985e301d798"/>
    <s v="df166300-5a78-3502-a46a-832842197811"/>
    <x v="1"/>
    <n v="185345009"/>
    <s v="Encounter for symptom (procedure)"/>
    <n v="85.55"/>
    <n v="85.55"/>
    <n v="0"/>
    <n v="444814009"/>
    <x v="2"/>
  </r>
  <r>
    <s v="d537941e-1fb7-9868-bea4-503714ca1e5d"/>
    <d v="2023-05-09T01:38:40"/>
    <d v="2023-05-09T01:53:40"/>
    <s v="d537941e-1fb7-9868-939a-a26252da8be1"/>
    <s v="5b0cd0a0-f277-3a66-bee6-d64b5be4a3f5"/>
    <s v="a2048952-600d-3b1d-8c27-dad642e93cba"/>
    <s v="df166300-5a78-3502-a46a-832842197811"/>
    <x v="2"/>
    <n v="698314001"/>
    <s v="Consultation for treatment (procedure)"/>
    <n v="142.58000000000001"/>
    <n v="142.58000000000001"/>
    <n v="28.13"/>
    <n v="389095005"/>
    <x v="15"/>
  </r>
  <r>
    <s v="d537941e-1fb7-9868-3cde-7f2f3cc82cf4"/>
    <d v="2023-05-11T12:38:40"/>
    <d v="2023-05-11T13:33:30"/>
    <s v="d537941e-1fb7-9868-939a-a26252da8be1"/>
    <s v="5b0cd0a0-f277-3a66-bee6-d64b5be4a3f5"/>
    <s v="a2048952-600d-3b1d-8c27-dad642e93cba"/>
    <s v="df166300-5a78-3502-a46a-832842197811"/>
    <x v="2"/>
    <n v="308335008"/>
    <s v="Patient encounter procedure (procedure)"/>
    <n v="142.58000000000001"/>
    <n v="4052.91"/>
    <n v="4002.91"/>
    <n v="389095005"/>
    <x v="15"/>
  </r>
  <r>
    <s v="d537941e-1fb7-9868-6deb-ea0ea4b14b1f"/>
    <d v="2024-05-05T13:33:30"/>
    <d v="2024-05-05T13:48:30"/>
    <s v="d537941e-1fb7-9868-939a-a26252da8be1"/>
    <s v="5b0cd0a0-f277-3a66-bee6-d64b5be4a3f5"/>
    <s v="a2048952-600d-3b1d-8c27-dad642e93cba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d537941e-1fb7-9868-ef6c-a36b6327e2b3"/>
    <d v="2024-08-03T19:59:04"/>
    <d v="2024-08-03T20:14:04"/>
    <s v="d537941e-1fb7-9868-939a-a26252da8be1"/>
    <s v="1ab2b5f9-cb95-3236-beec-9b9d4a407c61"/>
    <s v="d8aa8286-f3b9-3003-8cb9-5985e301d798"/>
    <s v="df166300-5a78-3502-a46a-832842197811"/>
    <x v="1"/>
    <n v="185345009"/>
    <s v="Encounter for symptom (procedure)"/>
    <n v="85.55"/>
    <n v="3536.75"/>
    <n v="3386.75"/>
    <n v="43878008"/>
    <x v="18"/>
  </r>
  <r>
    <s v="d537941e-1fb7-9868-ee44-da8bc88b4fd6"/>
    <d v="2024-08-11T00:59:04"/>
    <d v="2024-08-11T01:34:23"/>
    <s v="d537941e-1fb7-9868-939a-a26252da8be1"/>
    <s v="5b0cd0a0-f277-3a66-bee6-d64b5be4a3f5"/>
    <s v="a2048952-600d-3b1d-8c27-dad642e93cba"/>
    <s v="df166300-5a78-3502-a46a-832842197811"/>
    <x v="2"/>
    <n v="185349003"/>
    <s v="Encounter for check up (procedure)"/>
    <n v="85.55"/>
    <n v="727.53"/>
    <n v="677.53"/>
    <m/>
    <x v="0"/>
  </r>
  <r>
    <s v="d537941e-1fb7-9868-2cc4-a4db85820d10"/>
    <d v="2024-08-25T00:59:04"/>
    <d v="2024-08-25T04:10:52"/>
    <s v="d537941e-1fb7-9868-939a-a26252da8be1"/>
    <s v="1ab2b5f9-cb95-3236-beec-9b9d4a407c61"/>
    <s v="d8aa8286-f3b9-3003-8cb9-5985e301d798"/>
    <s v="df166300-5a78-3502-a46a-832842197811"/>
    <x v="1"/>
    <n v="185349003"/>
    <s v="Encounter for check up (procedure)"/>
    <n v="85.55"/>
    <n v="3536.75"/>
    <n v="3486.75"/>
    <n v="103697008"/>
    <x v="3"/>
  </r>
  <r>
    <s v="d537941e-1fb7-9868-c4f7-2853153b754e"/>
    <d v="2024-10-06T00:59:04"/>
    <d v="2024-10-06T01:36:42"/>
    <s v="d537941e-1fb7-9868-939a-a26252da8be1"/>
    <s v="ede8251b-e165-3ef6-b8a0-305217ba8e88"/>
    <s v="0c258f8d-78c1-3413-90ed-10ce52b95f29"/>
    <s v="df166300-5a78-3502-a46a-832842197811"/>
    <x v="0"/>
    <n v="162673000"/>
    <s v="General examination of patient (procedure)"/>
    <n v="136.80000000000001"/>
    <n v="778.78"/>
    <n v="778.78"/>
    <m/>
    <x v="0"/>
  </r>
  <r>
    <s v="d537941e-1fb7-9868-c272-ff07ce76b93e"/>
    <d v="2025-06-01T00:59:04"/>
    <d v="2025-06-01T02:01:04"/>
    <s v="d537941e-1fb7-9868-939a-a26252da8be1"/>
    <s v="5b0cd0a0-f277-3a66-bee6-d64b5be4a3f5"/>
    <s v="a2048952-600d-3b1d-8c27-dad642e93cba"/>
    <s v="df166300-5a78-3502-a46a-832842197811"/>
    <x v="2"/>
    <n v="308335008"/>
    <s v="Patient encounter procedure (procedure)"/>
    <n v="142.58000000000001"/>
    <n v="7963.24"/>
    <n v="7913.24"/>
    <n v="389095005"/>
    <x v="15"/>
  </r>
  <r>
    <s v="d537941e-1fb7-9868-ecc5-6b032a931f99"/>
    <d v="2026-03-11T04:59:04"/>
    <d v="2026-03-11T05:14:04"/>
    <s v="d537941e-1fb7-9868-939a-a26252da8be1"/>
    <s v="1ab2b5f9-cb95-3236-beec-9b9d4a407c61"/>
    <s v="d8aa8286-f3b9-3003-8cb9-5985e301d798"/>
    <s v="df166300-5a78-3502-a46a-832842197811"/>
    <x v="1"/>
    <n v="185345009"/>
    <s v="Encounter for symptom (procedure)"/>
    <n v="85.55"/>
    <n v="1179.5"/>
    <n v="1029.5"/>
    <n v="195662009"/>
    <x v="9"/>
  </r>
  <r>
    <s v="d537941e-1fb7-9868-5e91-75e0fd218603"/>
    <d v="2026-04-25T13:33:30"/>
    <d v="2026-04-25T14:27:12"/>
    <s v="d537941e-1fb7-9868-939a-a26252da8be1"/>
    <s v="5b0cd0a0-f277-3a66-bee6-d64b5be4a3f5"/>
    <s v="a2048952-600d-3b1d-8c27-dad642e93cba"/>
    <s v="df166300-5a78-3502-a46a-832842197811"/>
    <x v="2"/>
    <n v="698314001"/>
    <s v="Consultation for treatment (procedure)"/>
    <n v="142.58000000000001"/>
    <n v="573.98"/>
    <n v="523.98"/>
    <n v="183996000"/>
    <x v="35"/>
  </r>
  <r>
    <s v="d537941e-1fb7-9868-527b-353b7e18f586"/>
    <d v="2026-05-14T14:27:12"/>
    <d v="2026-05-15T14:27:12"/>
    <s v="d537941e-1fb7-9868-939a-a26252da8be1"/>
    <s v="5b0cd0a0-f277-3a66-bee6-d64b5be4a3f5"/>
    <s v="a2048952-600d-3b1d-8c27-dad642e93cba"/>
    <s v="df166300-5a78-3502-a46a-832842197811"/>
    <x v="6"/>
    <n v="305408004"/>
    <s v="Admission to surgical department (procedure)"/>
    <n v="146.18"/>
    <n v="13537.81"/>
    <n v="13487.81"/>
    <n v="183996000"/>
    <x v="35"/>
  </r>
  <r>
    <s v="3eec36b2-71cc-13c4-1af6-f71c378e6ba7"/>
    <d v="2013-02-21T13:16:45"/>
    <d v="2013-02-21T13:57:24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704.2"/>
    <n v="0"/>
    <m/>
    <x v="0"/>
  </r>
  <r>
    <s v="3eec36b2-71cc-13c4-2522-946a5cb53deb"/>
    <d v="2014-02-01T13:16:45"/>
    <d v="2014-02-01T13:31:45"/>
    <s v="3eec36b2-71cc-13c4-489a-495c45318bc3"/>
    <s v="a2a41caf-758f-3962-8e5f-e6e603f93d17"/>
    <s v="254872a4-7ff2-3b70-997b-49b37a0046eb"/>
    <s v="26aab0cd-6aba-3e1b-ac5b-05c8867e762c"/>
    <x v="2"/>
    <n v="185347001"/>
    <s v="Encounter for problem (procedure)"/>
    <n v="85.55"/>
    <n v="85.55"/>
    <n v="0"/>
    <n v="82423001"/>
    <x v="33"/>
  </r>
  <r>
    <s v="3eec36b2-71cc-13c4-656c-648277e5cf74"/>
    <d v="2015-03-05T13:16:45"/>
    <d v="2015-03-05T14:14:15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1251.67"/>
    <n v="1251.67"/>
    <m/>
    <x v="0"/>
  </r>
  <r>
    <s v="3eec36b2-71cc-13c4-4f65-af02ae1e3c0c"/>
    <d v="2016-03-10T13:16:45"/>
    <d v="2016-03-10T14:00:58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1186.78"/>
    <n v="0"/>
    <m/>
    <x v="0"/>
  </r>
  <r>
    <s v="3eec36b2-71cc-13c4-7c3c-b0eb332d661d"/>
    <d v="2016-09-04T14:16:45"/>
    <d v="2016-09-04T14:31:45"/>
    <s v="3eec36b2-71cc-13c4-489a-495c45318bc3"/>
    <s v="a2a41caf-758f-3962-8e5f-e6e603f93d17"/>
    <s v="254872a4-7ff2-3b70-997b-49b37a0046eb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3eec36b2-71cc-13c4-19f3-4977ac4717b5"/>
    <d v="2017-03-16T14:16:45"/>
    <d v="2017-03-16T15:00:06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704.2"/>
    <n v="0"/>
    <m/>
    <x v="0"/>
  </r>
  <r>
    <s v="3eec36b2-71cc-13c4-c215-47acb6449985"/>
    <d v="2018-03-22T14:16:45"/>
    <d v="2018-03-22T14:59:11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988.41"/>
    <n v="0"/>
    <m/>
    <x v="0"/>
  </r>
  <r>
    <s v="3eec36b2-71cc-13c4-42fa-bfc96da1024f"/>
    <d v="2019-03-28T14:16:45"/>
    <d v="2019-03-28T15:15:46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1517.37"/>
    <n v="0"/>
    <m/>
    <x v="0"/>
  </r>
  <r>
    <s v="3eec36b2-71cc-13c4-589d-8ea0618a436a"/>
    <d v="2019-04-13T14:16:45"/>
    <d v="2019-04-13T15:48:24"/>
    <s v="3eec36b2-71cc-13c4-489a-495c45318bc3"/>
    <s v="a2a41caf-758f-3962-8e5f-e6e603f93d17"/>
    <s v="254872a4-7ff2-3b70-997b-49b37a0046eb"/>
    <s v="26aab0cd-6aba-3e1b-ac5b-05c8867e762c"/>
    <x v="1"/>
    <n v="185345009"/>
    <s v="Encounter for symptom (procedure)"/>
    <n v="85.55"/>
    <n v="3611.33"/>
    <n v="0"/>
    <n v="307426000"/>
    <x v="5"/>
  </r>
  <r>
    <s v="3eec36b2-71cc-13c4-8bde-14e97bced69d"/>
    <d v="2019-05-09T14:16:45"/>
    <d v="2019-05-09T14:31:45"/>
    <s v="3eec36b2-71cc-13c4-489a-495c45318bc3"/>
    <s v="a2a41caf-758f-3962-8e5f-e6e603f93d17"/>
    <s v="254872a4-7ff2-3b70-997b-49b37a0046eb"/>
    <s v="26aab0cd-6aba-3e1b-ac5b-05c8867e762c"/>
    <x v="1"/>
    <n v="424441002"/>
    <s v="Prenatal initial visit (regime/therapy)"/>
    <n v="142.58000000000001"/>
    <n v="54641.67"/>
    <n v="32361.74"/>
    <n v="72892002"/>
    <x v="4"/>
  </r>
  <r>
    <s v="3eec36b2-71cc-13c4-1beb-e73ce2ae4dd6"/>
    <d v="2019-06-06T14:16:45"/>
    <d v="2019-06-06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4852.79"/>
    <n v="14852.79"/>
    <n v="72892002"/>
    <x v="4"/>
  </r>
  <r>
    <s v="3eec36b2-71cc-13c4-208f-92a973a3d7ed"/>
    <d v="2019-07-04T14:16:45"/>
    <d v="2019-07-04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0661.71"/>
    <n v="10661.71"/>
    <n v="72892002"/>
    <x v="4"/>
  </r>
  <r>
    <s v="3eec36b2-71cc-13c4-da67-3e61882561ea"/>
    <d v="2019-08-01T14:16:45"/>
    <d v="2019-08-01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6435.64"/>
    <n v="6435.64"/>
    <n v="72892002"/>
    <x v="4"/>
  </r>
  <r>
    <s v="3eec36b2-71cc-13c4-6142-5c6f0e3cd1d4"/>
    <d v="2019-08-13T12:48:24"/>
    <d v="2019-08-13T14:18:21"/>
    <s v="3eec36b2-71cc-13c4-489a-495c45318bc3"/>
    <s v="a2a41caf-758f-3962-8e5f-e6e603f93d17"/>
    <s v="254872a4-7ff2-3b70-997b-49b37a0046eb"/>
    <s v="26aab0cd-6aba-3e1b-ac5b-05c8867e762c"/>
    <x v="1"/>
    <n v="185345009"/>
    <s v="Encounter for symptom (procedure)"/>
    <n v="85.55"/>
    <n v="3611.33"/>
    <n v="3611.33"/>
    <n v="307426000"/>
    <x v="5"/>
  </r>
  <r>
    <s v="3eec36b2-71cc-13c4-3656-3bf7232843bb"/>
    <d v="2019-08-29T14:16:45"/>
    <d v="2019-08-29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3537.16"/>
    <n v="13537.16"/>
    <n v="72892002"/>
    <x v="4"/>
  </r>
  <r>
    <s v="3eec36b2-71cc-13c4-63ac-3af6b50645eb"/>
    <d v="2019-09-26T14:16:45"/>
    <d v="2019-09-26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9493.22"/>
    <n v="19493.22"/>
    <n v="72892002"/>
    <x v="4"/>
  </r>
  <r>
    <s v="3eec36b2-71cc-13c4-4add-f5c485ed2fd2"/>
    <d v="2019-10-24T14:16:45"/>
    <d v="2019-10-24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6119.82"/>
    <n v="6119.82"/>
    <n v="72892002"/>
    <x v="4"/>
  </r>
  <r>
    <s v="3eec36b2-71cc-13c4-8c0b-46d44df6bae5"/>
    <d v="2019-11-21T13:16:45"/>
    <d v="2019-11-21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9916.2099999999991"/>
    <n v="9916.2099999999991"/>
    <n v="72892002"/>
    <x v="4"/>
  </r>
  <r>
    <s v="3eec36b2-71cc-13c4-5375-cba693886b80"/>
    <d v="2019-12-05T13:16:45"/>
    <d v="2019-12-05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7056.22"/>
    <n v="7056.22"/>
    <n v="72892002"/>
    <x v="4"/>
  </r>
  <r>
    <s v="3eec36b2-71cc-13c4-50f3-3200ac83c10d"/>
    <d v="2019-12-12T13:16:45"/>
    <d v="2019-12-12T14:16:45"/>
    <s v="3eec36b2-71cc-13c4-489a-495c45318bc3"/>
    <s v="7e6db51f-7c1b-3555-9e1c-6269ba6d704d"/>
    <s v="0f816397-6977-3ec7-8ac5-408ae1ae4d42"/>
    <s v="26aab0cd-6aba-3e1b-ac5b-05c8867e762c"/>
    <x v="3"/>
    <n v="183460006"/>
    <s v="Obstetric emergency hospital admission (procedure)"/>
    <n v="146.18"/>
    <n v="2925.6"/>
    <n v="2925.6"/>
    <n v="72892002"/>
    <x v="4"/>
  </r>
  <r>
    <s v="3eec36b2-71cc-13c4-ac4e-19047234f5b5"/>
    <d v="2020-01-23T13:16:45"/>
    <d v="2020-01-23T13:31:45"/>
    <s v="3eec36b2-71cc-13c4-489a-495c45318bc3"/>
    <s v="a2a41caf-758f-3962-8e5f-e6e603f93d17"/>
    <s v="254872a4-7ff2-3b70-997b-49b37a0046eb"/>
    <s v="26aab0cd-6aba-3e1b-ac5b-05c8867e762c"/>
    <x v="1"/>
    <n v="169762003"/>
    <s v="Postnatal visit (regime/therapy)"/>
    <n v="142.58000000000001"/>
    <n v="5438.48"/>
    <n v="0"/>
    <m/>
    <x v="0"/>
  </r>
  <r>
    <s v="3eec36b2-71cc-13c4-823d-0a4b7a15b575"/>
    <d v="2020-04-02T14:16:45"/>
    <d v="2020-04-02T15:01:08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704.2"/>
    <n v="107.17"/>
    <m/>
    <x v="0"/>
  </r>
  <r>
    <s v="3eec36b2-71cc-13c4-b46a-345df0144308"/>
    <d v="2020-04-16T14:16:45"/>
    <d v="2020-04-16T21:41:19"/>
    <s v="3eec36b2-71cc-13c4-489a-495c45318bc3"/>
    <s v="a2a41caf-758f-3962-8e5f-e6e603f93d17"/>
    <s v="254872a4-7ff2-3b70-997b-49b37a0046eb"/>
    <s v="26aab0cd-6aba-3e1b-ac5b-05c8867e762c"/>
    <x v="1"/>
    <n v="185349003"/>
    <s v="Encounter for check up (procedure)"/>
    <n v="85.55"/>
    <n v="5262.35"/>
    <n v="3157.41"/>
    <n v="103697008"/>
    <x v="3"/>
  </r>
  <r>
    <s v="3eec36b2-71cc-13c4-bb45-200cf43f5b8d"/>
    <d v="2020-10-01T14:16:45"/>
    <d v="2020-10-01T15:01:29"/>
    <s v="3eec36b2-71cc-13c4-489a-495c45318bc3"/>
    <s v="a2a41caf-758f-3962-8e5f-e6e603f93d17"/>
    <s v="254872a4-7ff2-3b70-997b-49b37a0046eb"/>
    <s v="26aab0cd-6aba-3e1b-ac5b-05c8867e762c"/>
    <x v="1"/>
    <n v="185345009"/>
    <s v="Encounter for symptom (procedure)"/>
    <n v="85.55"/>
    <n v="235.03"/>
    <n v="141.02000000000001"/>
    <n v="840544004"/>
    <x v="30"/>
  </r>
  <r>
    <s v="3eec36b2-71cc-13c4-4451-3c4ca4feb03e"/>
    <d v="2021-01-14T13:16:45"/>
    <d v="2021-01-14T13:31:45"/>
    <s v="3eec36b2-71cc-13c4-489a-495c45318bc3"/>
    <s v="a2a41caf-758f-3962-8e5f-e6e603f93d17"/>
    <s v="254872a4-7ff2-3b70-997b-49b37a0046eb"/>
    <s v="26aab0cd-6aba-3e1b-ac5b-05c8867e762c"/>
    <x v="1"/>
    <n v="424441002"/>
    <s v="Prenatal initial visit (regime/therapy)"/>
    <n v="142.58000000000001"/>
    <n v="15992.01"/>
    <n v="5938.81"/>
    <n v="72892002"/>
    <x v="4"/>
  </r>
  <r>
    <s v="3eec36b2-71cc-13c4-4755-d866b74c015c"/>
    <d v="2021-01-22T13:16:45"/>
    <d v="2021-01-22T13:31:45"/>
    <s v="3eec36b2-71cc-13c4-489a-495c45318bc3"/>
    <s v="a2a41caf-758f-3962-8e5f-e6e603f93d17"/>
    <s v="254872a4-7ff2-3b70-997b-49b37a0046eb"/>
    <s v="26aab0cd-6aba-3e1b-ac5b-05c8867e762c"/>
    <x v="1"/>
    <n v="270427003"/>
    <s v="Patient-initiated encounter (procedure)"/>
    <n v="85.55"/>
    <n v="9937.5300000000007"/>
    <n v="9937.5300000000007"/>
    <n v="72892002"/>
    <x v="4"/>
  </r>
  <r>
    <s v="3eec36b2-71cc-13c4-c1dd-27aa86e29ae9"/>
    <d v="2021-01-30T13:16:45"/>
    <d v="2021-01-30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2551.9499999999998"/>
    <n v="2551.9499999999998"/>
    <n v="72892002"/>
    <x v="4"/>
  </r>
  <r>
    <s v="3eec36b2-71cc-13c4-05e8-791f80d3563b"/>
    <d v="2021-03-11T13:16:45"/>
    <d v="2021-03-11T13:31:45"/>
    <s v="3eec36b2-71cc-13c4-489a-495c45318bc3"/>
    <s v="a2a41caf-758f-3962-8e5f-e6e603f93d17"/>
    <s v="254872a4-7ff2-3b70-997b-49b37a0046eb"/>
    <s v="26aab0cd-6aba-3e1b-ac5b-05c8867e762c"/>
    <x v="2"/>
    <n v="33879002"/>
    <s v="Administration of vaccine to produce active immunity (procedure)"/>
    <n v="142.58000000000001"/>
    <n v="278.58"/>
    <n v="278.58"/>
    <m/>
    <x v="0"/>
  </r>
  <r>
    <s v="3eec36b2-71cc-13c4-340a-812abd667586"/>
    <d v="2021-04-08T14:16:45"/>
    <d v="2021-04-08T14:57:26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914.78"/>
    <n v="914.78"/>
    <m/>
    <x v="0"/>
  </r>
  <r>
    <s v="3eec36b2-71cc-13c4-7948-ae8ba9939c14"/>
    <d v="2021-04-22T14:16:45"/>
    <d v="2021-04-22T18:35:45"/>
    <s v="3eec36b2-71cc-13c4-489a-495c45318bc3"/>
    <s v="a2a41caf-758f-3962-8e5f-e6e603f93d17"/>
    <s v="254872a4-7ff2-3b70-997b-49b37a0046eb"/>
    <s v="26aab0cd-6aba-3e1b-ac5b-05c8867e762c"/>
    <x v="1"/>
    <n v="185349003"/>
    <s v="Encounter for check up (procedure)"/>
    <n v="85.55"/>
    <n v="3968.15"/>
    <n v="3968.15"/>
    <n v="66383009"/>
    <x v="17"/>
  </r>
  <r>
    <s v="3eec36b2-71cc-13c4-4393-31f36dea142a"/>
    <d v="2021-06-20T20:16:45"/>
    <d v="2021-06-20T20:31:45"/>
    <s v="3eec36b2-71cc-13c4-489a-495c45318bc3"/>
    <s v="a2a41caf-758f-3962-8e5f-e6e603f93d17"/>
    <s v="254872a4-7ff2-3b70-997b-49b37a0046eb"/>
    <s v="26aab0cd-6aba-3e1b-ac5b-05c8867e762c"/>
    <x v="1"/>
    <n v="185345009"/>
    <s v="Encounter for symptom (procedure)"/>
    <n v="85.55"/>
    <n v="85.55"/>
    <n v="85.55"/>
    <n v="195662009"/>
    <x v="9"/>
  </r>
  <r>
    <s v="3eec36b2-71cc-13c4-82eb-9de249d3e52c"/>
    <d v="2021-09-18T14:16:45"/>
    <d v="2021-09-18T15:16:45"/>
    <s v="3eec36b2-71cc-13c4-489a-495c45318bc3"/>
    <s v="7e6db51f-7c1b-3555-9e1c-6269ba6d704d"/>
    <s v="0f816397-6977-3ec7-8ac5-408ae1ae4d42"/>
    <s v="26aab0cd-6aba-3e1b-ac5b-05c8867e762c"/>
    <x v="3"/>
    <n v="50849002"/>
    <s v="Emergency room admission (procedure)"/>
    <n v="146.18"/>
    <n v="1008.98"/>
    <n v="1008.98"/>
    <n v="125605004"/>
    <x v="36"/>
  </r>
  <r>
    <s v="3eec36b2-71cc-13c4-8962-9d2cb102a467"/>
    <d v="2021-11-13T13:56:58"/>
    <d v="2021-11-13T14:11:58"/>
    <s v="3eec36b2-71cc-13c4-489a-495c45318bc3"/>
    <s v="a2a41caf-758f-3962-8e5f-e6e603f93d17"/>
    <s v="254872a4-7ff2-3b70-997b-49b37a0046eb"/>
    <s v="26aab0cd-6aba-3e1b-ac5b-05c8867e762c"/>
    <x v="1"/>
    <n v="185349003"/>
    <s v="Encounter for check up (procedure)"/>
    <n v="85.55"/>
    <n v="85.55"/>
    <n v="85.55"/>
    <n v="16114001"/>
    <x v="47"/>
  </r>
  <r>
    <s v="3eec36b2-71cc-13c4-4883-d06e8e3e6b80"/>
    <d v="2022-04-14T14:16:45"/>
    <d v="2022-04-14T14:52:08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849.22"/>
    <n v="0"/>
    <m/>
    <x v="0"/>
  </r>
  <r>
    <s v="3eec36b2-71cc-13c4-a7d7-364bd2a4c771"/>
    <d v="2022-04-21T14:16:45"/>
    <d v="2022-04-21T15:25:09"/>
    <s v="3eec36b2-71cc-13c4-489a-495c45318bc3"/>
    <s v="a2a41caf-758f-3962-8e5f-e6e603f93d17"/>
    <s v="254872a4-7ff2-3b70-997b-49b37a0046eb"/>
    <s v="26aab0cd-6aba-3e1b-ac5b-05c8867e762c"/>
    <x v="1"/>
    <n v="185347001"/>
    <s v="Encounter for problem (procedure)"/>
    <n v="85.55"/>
    <n v="1059.1600000000001"/>
    <n v="0"/>
    <n v="271737000"/>
    <x v="32"/>
  </r>
  <r>
    <s v="dc77ef0d-1846-94fd-060f-c0aeadca6c95"/>
    <d v="2015-09-20T02:40:30"/>
    <d v="2015-09-20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568.20000000000005"/>
    <n v="0"/>
    <m/>
    <x v="0"/>
  </r>
  <r>
    <s v="dc77ef0d-1846-94fd-360f-05df66f063e0"/>
    <d v="2016-09-25T02:40:30"/>
    <d v="2016-09-25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1463.9"/>
    <n v="0"/>
    <m/>
    <x v="0"/>
  </r>
  <r>
    <s v="3eec36b2-71cc-13c4-2b66-f2b4422c060e"/>
    <d v="2023-04-06T14:16:45"/>
    <d v="2023-04-06T14:48:06"/>
    <s v="3eec36b2-71cc-13c4-489a-495c45318bc3"/>
    <s v="a2a41caf-758f-3962-8e5f-e6e603f93d17"/>
    <s v="254872a4-7ff2-3b70-997b-49b37a0046eb"/>
    <s v="26aab0cd-6aba-3e1b-ac5b-05c8867e762c"/>
    <x v="2"/>
    <n v="185349003"/>
    <s v="Encounter for check up (procedure)"/>
    <n v="85.55"/>
    <n v="950.03"/>
    <n v="0"/>
    <m/>
    <x v="0"/>
  </r>
  <r>
    <s v="dc77ef0d-1846-94fd-21ee-53eb16bd49e8"/>
    <d v="2016-10-02T02:40:30"/>
    <d v="2016-10-02T06:34:13"/>
    <s v="dc77ef0d-1846-94fd-cce5-a7a555009d17"/>
    <s v="2836d9ac-c6a6-39d1-8f13-fdf0fc8928f4"/>
    <s v="51936775-54b2-3316-b84c-195ddefe763c"/>
    <s v="b046940f-1664-3047-bca7-dfa76be352a4"/>
    <x v="1"/>
    <n v="185349003"/>
    <s v="Encounter for check up (procedure)"/>
    <n v="85.55"/>
    <n v="3536.75"/>
    <n v="441.41"/>
    <n v="103697008"/>
    <x v="3"/>
  </r>
  <r>
    <s v="3eec36b2-71cc-13c4-3303-086fa59fbf12"/>
    <d v="2023-04-13T14:16:45"/>
    <d v="2023-04-13T14:31:45"/>
    <s v="3eec36b2-71cc-13c4-489a-495c45318bc3"/>
    <s v="a2a41caf-758f-3962-8e5f-e6e603f93d17"/>
    <s v="254872a4-7ff2-3b70-997b-49b37a0046eb"/>
    <s v="26aab0cd-6aba-3e1b-ac5b-05c8867e762c"/>
    <x v="1"/>
    <n v="185345009"/>
    <s v="Encounter for symptom (procedure)"/>
    <n v="85.55"/>
    <n v="85.55"/>
    <n v="0"/>
    <n v="444814009"/>
    <x v="2"/>
  </r>
  <r>
    <s v="3eec36b2-71cc-13c4-3181-2dd4a5dcda70"/>
    <d v="2023-04-20T14:16:45"/>
    <d v="2023-04-20T14:50:48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649.58000000000004"/>
    <n v="0"/>
    <m/>
    <x v="0"/>
  </r>
  <r>
    <s v="dc77ef0d-1846-94fd-07d2-45bc10b0261f"/>
    <d v="2017-10-01T02:40:30"/>
    <d v="2017-10-01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347.38"/>
    <n v="0"/>
    <m/>
    <x v="0"/>
  </r>
  <r>
    <s v="dc77ef0d-1846-94fd-f222-8570fdaff11e"/>
    <d v="2018-10-07T02:40:30"/>
    <d v="2018-10-07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704.2"/>
    <n v="0"/>
    <m/>
    <x v="0"/>
  </r>
  <r>
    <s v="dc77ef0d-1846-94fd-7f6e-741293cc1fb9"/>
    <d v="2018-10-14T02:40:30"/>
    <d v="2018-10-14T06:15:58"/>
    <s v="dc77ef0d-1846-94fd-cce5-a7a555009d17"/>
    <s v="2836d9ac-c6a6-39d1-8f13-fdf0fc8928f4"/>
    <s v="51936775-54b2-3316-b84c-195ddefe763c"/>
    <s v="b046940f-1664-3047-bca7-dfa76be352a4"/>
    <x v="1"/>
    <n v="185349003"/>
    <s v="Encounter for check up (procedure)"/>
    <n v="85.55"/>
    <n v="3105.35"/>
    <n v="0"/>
    <n v="103697008"/>
    <x v="3"/>
  </r>
  <r>
    <s v="dc77ef0d-1846-94fd-e1e1-fb29186baf41"/>
    <d v="2019-10-13T02:40:30"/>
    <d v="2019-10-13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272.8"/>
    <n v="0"/>
    <m/>
    <x v="0"/>
  </r>
  <r>
    <s v="dc77ef0d-1846-94fd-8872-5bae9864b2bb"/>
    <d v="2020-10-18T02:40:30"/>
    <d v="2020-10-18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488.5"/>
    <n v="0"/>
    <m/>
    <x v="0"/>
  </r>
  <r>
    <s v="dc77ef0d-1846-94fd-a601-3036c5b3e21c"/>
    <d v="2021-10-24T02:40:30"/>
    <d v="2021-10-24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272.8"/>
    <n v="0"/>
    <m/>
    <x v="0"/>
  </r>
  <r>
    <s v="dc77ef0d-1846-94fd-3269-81dfb121c8ec"/>
    <d v="2022-10-30T02:40:30"/>
    <d v="2022-10-30T02:55:3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1186.78"/>
    <n v="0"/>
    <m/>
    <x v="0"/>
  </r>
  <r>
    <s v="dc77ef0d-1846-94fd-681b-bb812a714698"/>
    <d v="2022-11-06T01:40:30"/>
    <d v="2022-11-06T04:36:59"/>
    <s v="dc77ef0d-1846-94fd-cce5-a7a555009d17"/>
    <s v="2836d9ac-c6a6-39d1-8f13-fdf0fc8928f4"/>
    <s v="51936775-54b2-3316-b84c-195ddefe763c"/>
    <s v="b046940f-1664-3047-bca7-dfa76be352a4"/>
    <x v="1"/>
    <n v="185349003"/>
    <s v="Encounter for check up (procedure)"/>
    <n v="85.55"/>
    <n v="3536.75"/>
    <n v="247.43"/>
    <n v="103697008"/>
    <x v="3"/>
  </r>
  <r>
    <s v="dc77ef0d-1846-94fd-b63e-04cc3e449a80"/>
    <d v="2023-11-05T01:40:30"/>
    <d v="2023-11-05T02:02:50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840.2"/>
    <n v="0"/>
    <m/>
    <x v="0"/>
  </r>
  <r>
    <s v="3eec36b2-71cc-13c4-f5d7-8a4cb3f0c478"/>
    <d v="2023-07-20T14:16:45"/>
    <d v="2023-07-20T14:31:45"/>
    <s v="3eec36b2-71cc-13c4-489a-495c45318bc3"/>
    <s v="a2a41caf-758f-3962-8e5f-e6e603f93d17"/>
    <s v="254872a4-7ff2-3b70-997b-49b37a0046eb"/>
    <s v="26aab0cd-6aba-3e1b-ac5b-05c8867e762c"/>
    <x v="1"/>
    <n v="424441002"/>
    <s v="Prenatal initial visit (regime/therapy)"/>
    <n v="142.58000000000001"/>
    <n v="44439.68"/>
    <n v="24201.94"/>
    <n v="72892002"/>
    <x v="4"/>
  </r>
  <r>
    <s v="dc77ef0d-1846-94fd-a868-2743d993cd20"/>
    <d v="2023-11-26T01:40:30"/>
    <d v="2023-11-26T01:55:30"/>
    <s v="dc77ef0d-1846-94fd-cce5-a7a555009d17"/>
    <s v="2836d9ac-c6a6-39d1-8f13-fdf0fc8928f4"/>
    <s v="51936775-54b2-3316-b84c-195ddefe763c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dc77ef0d-1846-94fd-64e4-392ed33e27d1"/>
    <d v="2023-12-17T01:40:30"/>
    <d v="2023-12-17T01:55:30"/>
    <s v="dc77ef0d-1846-94fd-cce5-a7a555009d17"/>
    <s v="2836d9ac-c6a6-39d1-8f13-fdf0fc8928f4"/>
    <s v="51936775-54b2-3316-b84c-195ddefe763c"/>
    <s v="b046940f-1664-3047-bca7-dfa76be352a4"/>
    <x v="2"/>
    <n v="33879002"/>
    <s v="Administration of vaccine to produce active immunity (procedure)"/>
    <n v="142.58000000000001"/>
    <n v="278.58"/>
    <n v="0"/>
    <m/>
    <x v="0"/>
  </r>
  <r>
    <s v="dc77ef0d-1846-94fd-015e-80c19e6bb8ca"/>
    <d v="2024-10-22T06:40:30"/>
    <d v="2024-10-22T06:55:30"/>
    <s v="dc77ef0d-1846-94fd-cce5-a7a555009d17"/>
    <s v="2836d9ac-c6a6-39d1-8f13-fdf0fc8928f4"/>
    <s v="51936775-54b2-3316-b84c-195ddefe763c"/>
    <s v="b046940f-1664-3047-bca7-dfa76be352a4"/>
    <x v="1"/>
    <n v="185345009"/>
    <s v="Encounter for symptom (procedure)"/>
    <n v="85.55"/>
    <n v="3536.75"/>
    <n v="0"/>
    <n v="195662009"/>
    <x v="9"/>
  </r>
  <r>
    <s v="dc77ef0d-1846-94fd-53b7-8bdef186295b"/>
    <d v="2024-11-10T01:40:30"/>
    <d v="2024-11-10T02:03:34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840.2"/>
    <n v="0"/>
    <m/>
    <x v="0"/>
  </r>
  <r>
    <s v="dc77ef0d-1846-94fd-336b-18823bead21e"/>
    <d v="2024-11-24T01:40:30"/>
    <d v="2024-11-24T04:45:59"/>
    <s v="dc77ef0d-1846-94fd-cce5-a7a555009d17"/>
    <s v="2836d9ac-c6a6-39d1-8f13-fdf0fc8928f4"/>
    <s v="51936775-54b2-3316-b84c-195ddefe763c"/>
    <s v="b046940f-1664-3047-bca7-dfa76be352a4"/>
    <x v="1"/>
    <n v="185349003"/>
    <s v="Encounter for check up (procedure)"/>
    <n v="85.55"/>
    <n v="3105.35"/>
    <n v="2087.61"/>
    <n v="66383009"/>
    <x v="17"/>
  </r>
  <r>
    <s v="dc77ef0d-1846-94fd-b824-5df950f21bbe"/>
    <d v="2025-10-15T02:40:30"/>
    <d v="2025-10-15T02:55:30"/>
    <s v="dc77ef0d-1846-94fd-cce5-a7a555009d17"/>
    <s v="2836d9ac-c6a6-39d1-8f13-fdf0fc8928f4"/>
    <s v="51936775-54b2-3316-b84c-195ddefe763c"/>
    <s v="b046940f-1664-3047-bca7-dfa76be352a4"/>
    <x v="2"/>
    <n v="698314001"/>
    <s v="Consultation for treatment (procedure)"/>
    <n v="142.58000000000001"/>
    <n v="142.58000000000001"/>
    <n v="99.81"/>
    <n v="389095005"/>
    <x v="15"/>
  </r>
  <r>
    <s v="3eec36b2-71cc-13c4-33bb-79dfc4794e4e"/>
    <d v="2023-08-17T14:16:45"/>
    <d v="2023-08-17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8564.09"/>
    <n v="18564.09"/>
    <n v="72892002"/>
    <x v="4"/>
  </r>
  <r>
    <s v="dc77ef0d-1846-94fd-c254-85293b324e28"/>
    <d v="2025-11-16T01:40:30"/>
    <d v="2025-11-16T02:09:29"/>
    <s v="dc77ef0d-1846-94fd-cce5-a7a555009d17"/>
    <s v="ee6705d5-db4a-3120-bbe1-1e72972a841f"/>
    <s v="b107a6fb-c17e-3ae8-b818-b05af96f6a5a"/>
    <s v="b046940f-1664-3047-bca7-dfa76be352a4"/>
    <x v="0"/>
    <n v="410620009"/>
    <s v="Well child visit (procedure)"/>
    <n v="136.80000000000001"/>
    <n v="704.2"/>
    <n v="0"/>
    <m/>
    <x v="0"/>
  </r>
  <r>
    <s v="3eec36b2-71cc-13c4-3f97-116e4177f319"/>
    <d v="2023-09-14T14:16:45"/>
    <d v="2023-09-14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4160.53"/>
    <n v="14160.53"/>
    <n v="72892002"/>
    <x v="4"/>
  </r>
  <r>
    <s v="3eec36b2-71cc-13c4-5b3f-9021c7c8ebd7"/>
    <d v="2023-10-12T14:16:45"/>
    <d v="2023-10-12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4665.96"/>
    <n v="4665.96"/>
    <n v="72892002"/>
    <x v="4"/>
  </r>
  <r>
    <s v="dc77ef0d-1846-94fd-3552-4360fc140325"/>
    <d v="2026-06-19T02:40:30"/>
    <d v="2026-06-19T03:40:30"/>
    <s v="dc77ef0d-1846-94fd-cce5-a7a555009d17"/>
    <s v="a2f8d8fe-665e-390f-8b9b-efdc0b14a77c"/>
    <s v="6831150e-f3b0-37aa-869d-7d2a77c818f6"/>
    <s v="b046940f-1664-3047-bca7-dfa76be352a4"/>
    <x v="3"/>
    <n v="50849002"/>
    <s v="Emergency room admission (procedure)"/>
    <n v="146.18"/>
    <n v="577.58000000000004"/>
    <n v="0"/>
    <n v="125601008"/>
    <x v="104"/>
  </r>
  <r>
    <s v="3eec36b2-71cc-13c4-0c4c-1f5ffc9de949"/>
    <d v="2023-11-09T13:16:45"/>
    <d v="2023-11-09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5094.8999999999996"/>
    <n v="5094.8999999999996"/>
    <n v="72892002"/>
    <x v="4"/>
  </r>
  <r>
    <s v="3eec36b2-71cc-13c4-c8d1-98f94f25febc"/>
    <d v="2023-12-07T13:16:45"/>
    <d v="2023-12-07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23792.799999999999"/>
    <n v="23792.799999999999"/>
    <n v="72892002"/>
    <x v="4"/>
  </r>
  <r>
    <s v="3eec36b2-71cc-13c4-2ab5-bea25535fb1f"/>
    <d v="2024-01-04T13:16:45"/>
    <d v="2024-01-04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7923.92"/>
    <n v="1097.95"/>
    <n v="72892002"/>
    <x v="4"/>
  </r>
  <r>
    <s v="3eec36b2-71cc-13c4-8f24-9ad9be498969"/>
    <d v="2024-02-01T13:16:45"/>
    <d v="2024-02-01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2313.82"/>
    <n v="7388.29"/>
    <n v="72892002"/>
    <x v="4"/>
  </r>
  <r>
    <s v="3eec36b2-71cc-13c4-7e94-3a07e79c8009"/>
    <d v="2024-02-15T13:16:45"/>
    <d v="2024-02-15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1451.02"/>
    <n v="11451.02"/>
    <n v="72892002"/>
    <x v="4"/>
  </r>
  <r>
    <s v="3eec36b2-71cc-13c4-87fc-9ed5e82cee33"/>
    <d v="2024-02-22T13:16:45"/>
    <d v="2024-02-22T14:16:45"/>
    <s v="3eec36b2-71cc-13c4-489a-495c45318bc3"/>
    <s v="7e6db51f-7c1b-3555-9e1c-6269ba6d704d"/>
    <s v="0f816397-6977-3ec7-8ac5-408ae1ae4d42"/>
    <s v="26aab0cd-6aba-3e1b-ac5b-05c8867e762c"/>
    <x v="3"/>
    <n v="183460006"/>
    <s v="Obstetric emergency hospital admission (procedure)"/>
    <n v="146.18"/>
    <n v="1440.38"/>
    <n v="1440.38"/>
    <n v="72892002"/>
    <x v="4"/>
  </r>
  <r>
    <s v="3eec36b2-71cc-13c4-c1af-459102cc9f5e"/>
    <d v="2024-04-04T14:16:45"/>
    <d v="2024-04-04T14:31:45"/>
    <s v="3eec36b2-71cc-13c4-489a-495c45318bc3"/>
    <s v="a2a41caf-758f-3962-8e5f-e6e603f93d17"/>
    <s v="254872a4-7ff2-3b70-997b-49b37a0046eb"/>
    <s v="26aab0cd-6aba-3e1b-ac5b-05c8867e762c"/>
    <x v="1"/>
    <n v="169762003"/>
    <s v="Postnatal visit (regime/therapy)"/>
    <n v="142.58000000000001"/>
    <n v="2113.65"/>
    <n v="2113.65"/>
    <m/>
    <x v="0"/>
  </r>
  <r>
    <s v="3eec36b2-71cc-13c4-f940-f7f7e0157a12"/>
    <d v="2024-04-25T14:16:45"/>
    <d v="2024-04-25T14:51:51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1454.43"/>
    <n v="1454.43"/>
    <m/>
    <x v="0"/>
  </r>
  <r>
    <s v="3eec36b2-71cc-13c4-f798-fe0a3f5f5177"/>
    <d v="2024-07-04T14:16:45"/>
    <d v="2024-07-04T14:31:45"/>
    <s v="3eec36b2-71cc-13c4-489a-495c45318bc3"/>
    <s v="a2a41caf-758f-3962-8e5f-e6e603f93d17"/>
    <s v="254872a4-7ff2-3b70-997b-49b37a0046eb"/>
    <s v="26aab0cd-6aba-3e1b-ac5b-05c8867e762c"/>
    <x v="1"/>
    <n v="424441002"/>
    <s v="Prenatal initial visit (regime/therapy)"/>
    <n v="142.58000000000001"/>
    <n v="37569.699999999997"/>
    <n v="37569.699999999997"/>
    <n v="72892002"/>
    <x v="4"/>
  </r>
  <r>
    <s v="3eec36b2-71cc-13c4-1ecc-89abac96523e"/>
    <d v="2024-08-01T14:16:45"/>
    <d v="2024-08-01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9149"/>
    <n v="9149"/>
    <n v="72892002"/>
    <x v="4"/>
  </r>
  <r>
    <s v="3eec36b2-71cc-13c4-7b3d-ae78c4872056"/>
    <d v="2024-08-29T14:16:45"/>
    <d v="2024-08-29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3020.51"/>
    <n v="13020.51"/>
    <n v="72892002"/>
    <x v="4"/>
  </r>
  <r>
    <s v="3eec36b2-71cc-13c4-25b6-044025c11441"/>
    <d v="2024-09-26T14:16:45"/>
    <d v="2024-09-26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1086.31"/>
    <n v="11086.31"/>
    <n v="72892002"/>
    <x v="4"/>
  </r>
  <r>
    <s v="3eec36b2-71cc-13c4-23ef-eb0646a2c6aa"/>
    <d v="2024-10-24T14:16:45"/>
    <d v="2024-10-24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4665.96"/>
    <n v="4665.96"/>
    <n v="72892002"/>
    <x v="4"/>
  </r>
  <r>
    <s v="3eec36b2-71cc-13c4-2818-02d940132710"/>
    <d v="2024-11-21T13:16:45"/>
    <d v="2024-11-21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7533.509999999998"/>
    <n v="17533.509999999998"/>
    <n v="72892002"/>
    <x v="4"/>
  </r>
  <r>
    <s v="3eec36b2-71cc-13c4-daeb-4d66a65d7ed9"/>
    <d v="2024-12-19T13:16:45"/>
    <d v="2024-12-19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5203.46"/>
    <n v="5203.46"/>
    <n v="72892002"/>
    <x v="4"/>
  </r>
  <r>
    <s v="3eec36b2-71cc-13c4-e642-370583bdf285"/>
    <d v="2025-01-16T13:16:45"/>
    <d v="2025-01-16T13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7233.01"/>
    <n v="683.41"/>
    <n v="72892002"/>
    <x v="4"/>
  </r>
  <r>
    <s v="3eec36b2-71cc-13c4-4a4b-5d59cd9f75f1"/>
    <d v="2025-01-30T13:16:45"/>
    <d v="2025-01-30T14:16:45"/>
    <s v="3eec36b2-71cc-13c4-489a-495c45318bc3"/>
    <s v="7e6db51f-7c1b-3555-9e1c-6269ba6d704d"/>
    <s v="0f816397-6977-3ec7-8ac5-408ae1ae4d42"/>
    <s v="26aab0cd-6aba-3e1b-ac5b-05c8867e762c"/>
    <x v="3"/>
    <n v="183460006"/>
    <s v="Obstetric emergency hospital admission (procedure)"/>
    <n v="146.18"/>
    <n v="5569.11"/>
    <n v="3341.47"/>
    <n v="72892002"/>
    <x v="4"/>
  </r>
  <r>
    <s v="3eec36b2-71cc-13c4-9156-a2b23f81ef00"/>
    <d v="2025-03-13T14:16:45"/>
    <d v="2025-03-13T14:31:45"/>
    <s v="3eec36b2-71cc-13c4-489a-495c45318bc3"/>
    <s v="a2a41caf-758f-3962-8e5f-e6e603f93d17"/>
    <s v="254872a4-7ff2-3b70-997b-49b37a0046eb"/>
    <s v="26aab0cd-6aba-3e1b-ac5b-05c8867e762c"/>
    <x v="1"/>
    <n v="169762003"/>
    <s v="Postnatal visit (regime/therapy)"/>
    <n v="142.58000000000001"/>
    <n v="2113.65"/>
    <n v="2113.65"/>
    <m/>
    <x v="0"/>
  </r>
  <r>
    <s v="3eec36b2-71cc-13c4-c723-d1f522ecb283"/>
    <d v="2025-05-01T14:16:45"/>
    <d v="2025-05-01T15:16:31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1548.53"/>
    <n v="1548.53"/>
    <m/>
    <x v="0"/>
  </r>
  <r>
    <s v="3eec36b2-71cc-13c4-65c4-fe0da3d676ce"/>
    <d v="2025-05-15T14:16:45"/>
    <d v="2025-05-15T16:51:50"/>
    <s v="3eec36b2-71cc-13c4-489a-495c45318bc3"/>
    <s v="a2a41caf-758f-3962-8e5f-e6e603f93d17"/>
    <s v="254872a4-7ff2-3b70-997b-49b37a0046eb"/>
    <s v="26aab0cd-6aba-3e1b-ac5b-05c8867e762c"/>
    <x v="1"/>
    <n v="185349003"/>
    <s v="Encounter for check up (procedure)"/>
    <n v="85.55"/>
    <n v="3105.35"/>
    <n v="3105.35"/>
    <n v="66383009"/>
    <x v="17"/>
  </r>
  <r>
    <s v="3eec36b2-71cc-13c4-53ea-2ff2a8e7fa83"/>
    <d v="2025-08-14T14:16:45"/>
    <d v="2025-08-14T14:31:45"/>
    <s v="3eec36b2-71cc-13c4-489a-495c45318bc3"/>
    <s v="a2a41caf-758f-3962-8e5f-e6e603f93d17"/>
    <s v="254872a4-7ff2-3b70-997b-49b37a0046eb"/>
    <s v="26aab0cd-6aba-3e1b-ac5b-05c8867e762c"/>
    <x v="1"/>
    <n v="424441002"/>
    <s v="Prenatal initial visit (regime/therapy)"/>
    <n v="142.58000000000001"/>
    <n v="6453.97"/>
    <n v="6453.97"/>
    <n v="72892002"/>
    <x v="4"/>
  </r>
  <r>
    <s v="3eec36b2-71cc-13c4-ba1b-ca0854634316"/>
    <d v="2025-08-23T14:16:45"/>
    <d v="2025-08-23T14:31:45"/>
    <s v="3eec36b2-71cc-13c4-489a-495c45318bc3"/>
    <s v="a2a41caf-758f-3962-8e5f-e6e603f93d17"/>
    <s v="254872a4-7ff2-3b70-997b-49b37a0046eb"/>
    <s v="26aab0cd-6aba-3e1b-ac5b-05c8867e762c"/>
    <x v="1"/>
    <n v="270427003"/>
    <s v="Patient-initiated encounter (procedure)"/>
    <n v="85.55"/>
    <n v="12280.54"/>
    <n v="12280.54"/>
    <n v="72892002"/>
    <x v="4"/>
  </r>
  <r>
    <s v="3eec36b2-71cc-13c4-adaa-c22f6c5e9bb1"/>
    <d v="2025-09-03T14:16:45"/>
    <d v="2025-09-03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2551.9499999999998"/>
    <n v="2551.9499999999998"/>
    <n v="72892002"/>
    <x v="4"/>
  </r>
  <r>
    <s v="3eec36b2-71cc-13c4-7909-525d7ec9a1f2"/>
    <d v="2026-04-09T14:16:45"/>
    <d v="2026-04-09T14:31:45"/>
    <s v="3eec36b2-71cc-13c4-489a-495c45318bc3"/>
    <s v="a2a41caf-758f-3962-8e5f-e6e603f93d17"/>
    <s v="254872a4-7ff2-3b70-997b-49b37a0046eb"/>
    <s v="26aab0cd-6aba-3e1b-ac5b-05c8867e762c"/>
    <x v="1"/>
    <n v="424441002"/>
    <s v="Prenatal initial visit (regime/therapy)"/>
    <n v="142.58000000000001"/>
    <n v="35351.620000000003"/>
    <n v="17554.580000000002"/>
    <n v="72892002"/>
    <x v="4"/>
  </r>
  <r>
    <s v="3eec36b2-71cc-13c4-69e5-a342dfb25e60"/>
    <d v="2026-05-07T14:16:45"/>
    <d v="2026-05-07T14:55:50"/>
    <s v="3eec36b2-71cc-13c4-489a-495c45318bc3"/>
    <s v="d9fe2c9c-135e-3da3-8de8-1a0ff165d886"/>
    <s v="946d4297-9b88-3632-b766-e34243c5ae37"/>
    <s v="26aab0cd-6aba-3e1b-ac5b-05c8867e762c"/>
    <x v="0"/>
    <n v="162673000"/>
    <s v="General examination of patient (procedure)"/>
    <n v="136.80000000000001"/>
    <n v="989.36"/>
    <n v="989.36"/>
    <m/>
    <x v="0"/>
  </r>
  <r>
    <s v="3eec36b2-71cc-13c4-f789-c4fcf7fff4c4"/>
    <d v="2026-05-14T14:16:45"/>
    <d v="2026-05-14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3926.76"/>
    <n v="13926.76"/>
    <n v="72892002"/>
    <x v="4"/>
  </r>
  <r>
    <s v="3eec36b2-71cc-13c4-4763-5a64b2fe51a3"/>
    <d v="2026-05-21T14:16:45"/>
    <d v="2026-05-21T17:37:03"/>
    <s v="3eec36b2-71cc-13c4-489a-495c45318bc3"/>
    <s v="a2a41caf-758f-3962-8e5f-e6e603f93d17"/>
    <s v="254872a4-7ff2-3b70-997b-49b37a0046eb"/>
    <s v="26aab0cd-6aba-3e1b-ac5b-05c8867e762c"/>
    <x v="1"/>
    <n v="185349003"/>
    <s v="Encounter for check up (procedure)"/>
    <n v="85.55"/>
    <n v="3536.75"/>
    <n v="3536.75"/>
    <n v="103697008"/>
    <x v="3"/>
  </r>
  <r>
    <s v="3eec36b2-71cc-13c4-597d-3caea598dfc8"/>
    <d v="2026-06-11T14:16:45"/>
    <d v="2026-06-11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142.58000000000001"/>
    <n v="142.58000000000001"/>
    <n v="72892002"/>
    <x v="4"/>
  </r>
  <r>
    <s v="3eec36b2-71cc-13c4-4fca-05129da5acd7"/>
    <d v="2026-06-21T14:16:45"/>
    <d v="2026-06-21T14:31:45"/>
    <s v="3eec36b2-71cc-13c4-489a-495c45318bc3"/>
    <s v="a2a41caf-758f-3962-8e5f-e6e603f93d17"/>
    <s v="254872a4-7ff2-3b70-997b-49b37a0046eb"/>
    <s v="26aab0cd-6aba-3e1b-ac5b-05c8867e762c"/>
    <x v="1"/>
    <n v="424619006"/>
    <s v="Prenatal visit (regime/therapy)"/>
    <n v="142.58000000000001"/>
    <n v="2521.39"/>
    <n v="2521.39"/>
    <n v="267253006"/>
    <x v="34"/>
  </r>
  <r>
    <s v="3eec36b2-71cc-13c4-3db5-a0cb7107a12c"/>
    <d v="2026-07-02T14:16:45"/>
    <d v="2026-07-02T14:31:45"/>
    <s v="3eec36b2-71cc-13c4-489a-495c45318bc3"/>
    <s v="a2a41caf-758f-3962-8e5f-e6e603f93d17"/>
    <s v="254872a4-7ff2-3b70-997b-49b37a0046eb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3099d813-4f5c-fc43-b969-49d6a658b587"/>
    <d v="2020-08-14T00:32:03"/>
    <d v="2020-08-14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347.38"/>
    <n v="0"/>
    <m/>
    <x v="0"/>
  </r>
  <r>
    <s v="3099d813-4f5c-fc43-921b-3e55eebbc17c"/>
    <d v="2020-09-18T00:32:03"/>
    <d v="2020-09-18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272.8"/>
    <n v="0"/>
    <m/>
    <x v="0"/>
  </r>
  <r>
    <s v="3099d813-4f5c-fc43-846a-95fbb4ee5d9b"/>
    <d v="2020-11-11T23:32:03"/>
    <d v="2020-11-11T23:47:03"/>
    <s v="3099d813-4f5c-fc43-31d8-7bba5dc84bed"/>
    <s v="51370692-6296-3150-8672-559fc73f964f"/>
    <s v="e1580c61-8b11-3da0-a5d5-4b75ee0ab7c1"/>
    <s v="d31fccc3-1767-390d-966a-22a5156f4219"/>
    <x v="2"/>
    <n v="185345009"/>
    <s v="Encounter for symptom (procedure)"/>
    <n v="85.55"/>
    <n v="85.55"/>
    <n v="0"/>
    <n v="65363002"/>
    <x v="25"/>
  </r>
  <r>
    <s v="3099d813-4f5c-fc43-80a7-3188d806db60"/>
    <d v="2020-11-19T23:32:03"/>
    <d v="2020-11-19T23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816.8"/>
    <n v="304.06"/>
    <m/>
    <x v="0"/>
  </r>
  <r>
    <s v="3099d813-4f5c-fc43-e034-2d5f00c1ca8b"/>
    <d v="2021-01-21T23:32:03"/>
    <d v="2021-01-21T23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1032.5"/>
    <n v="826"/>
    <m/>
    <x v="0"/>
  </r>
  <r>
    <s v="3099d813-4f5c-fc43-5c3e-969570a3ef34"/>
    <d v="2021-04-23T00:32:03"/>
    <d v="2021-04-23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1211.8699999999999"/>
    <n v="969.5"/>
    <m/>
    <x v="0"/>
  </r>
  <r>
    <s v="3099d813-4f5c-fc43-cc30-07914d40936a"/>
    <d v="2021-05-10T00:32:03"/>
    <d v="2021-05-10T04:01:03"/>
    <s v="3099d813-4f5c-fc43-31d8-7bba5dc84bed"/>
    <s v="6fafb5d4-ecca-37ab-8d24-53036a8cbf1e"/>
    <s v="3e14d3be-a053-3ff9-b615-e6410761f137"/>
    <s v="d31fccc3-1767-390d-966a-22a5156f4219"/>
    <x v="3"/>
    <n v="50849002"/>
    <s v="Emergency room admission (procedure)"/>
    <n v="146.18"/>
    <n v="2512.9299999999998"/>
    <n v="2010.34"/>
    <n v="241929008"/>
    <x v="55"/>
  </r>
  <r>
    <s v="3099d813-4f5c-fc43-01e4-7a4eb27e62a5"/>
    <d v="2021-05-10T15:01:03"/>
    <d v="2021-05-10T15:16:03"/>
    <s v="3099d813-4f5c-fc43-31d8-7bba5dc84bed"/>
    <s v="51370692-6296-3150-8672-559fc73f964f"/>
    <s v="e1580c61-8b11-3da0-a5d5-4b75ee0ab7c1"/>
    <s v="d31fccc3-1767-390d-966a-22a5156f4219"/>
    <x v="1"/>
    <n v="185347001"/>
    <s v="Encounter for problem (procedure)"/>
    <n v="85.55"/>
    <n v="85.55"/>
    <n v="68.44"/>
    <n v="735029006"/>
    <x v="58"/>
  </r>
  <r>
    <s v="3099d813-4f5c-fc43-bf68-21f59f159c3c"/>
    <d v="2021-05-22T05:32:03"/>
    <d v="2021-05-22T06:05:35"/>
    <s v="3099d813-4f5c-fc43-31d8-7bba5dc84bed"/>
    <s v="51370692-6296-3150-8672-559fc73f964f"/>
    <s v="e1580c61-8b11-3da0-a5d5-4b75ee0ab7c1"/>
    <s v="d31fccc3-1767-390d-966a-22a5156f4219"/>
    <x v="1"/>
    <n v="185347001"/>
    <s v="Encounter for problem (procedure)"/>
    <n v="85.55"/>
    <n v="516.95000000000005"/>
    <n v="413.56"/>
    <n v="609328004"/>
    <x v="11"/>
  </r>
  <r>
    <s v="3099d813-4f5c-fc43-a2ed-5602427bc978"/>
    <d v="2021-07-23T00:32:03"/>
    <d v="2021-07-23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567.89"/>
    <n v="454.31"/>
    <m/>
    <x v="0"/>
  </r>
  <r>
    <s v="3099d813-4f5c-fc43-00de-f94580ba90db"/>
    <d v="2021-10-22T00:32:03"/>
    <d v="2021-10-22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816.8"/>
    <n v="0"/>
    <m/>
    <x v="0"/>
  </r>
  <r>
    <s v="3099d813-4f5c-fc43-2db7-06eb48c0b0a4"/>
    <d v="2022-01-20T23:32:03"/>
    <d v="2022-01-20T23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1135.5999999999999"/>
    <n v="395.52"/>
    <m/>
    <x v="0"/>
  </r>
  <r>
    <s v="3099d813-4f5c-fc43-1f83-29ccacd653fa"/>
    <d v="2022-07-22T00:32:03"/>
    <d v="2022-07-22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272.8"/>
    <n v="218.24"/>
    <m/>
    <x v="0"/>
  </r>
  <r>
    <s v="3099d813-4f5c-fc43-bc03-6bb1010effde"/>
    <d v="2022-12-12T23:32:03"/>
    <d v="2022-12-12T23:47:03"/>
    <s v="3099d813-4f5c-fc43-31d8-7bba5dc84bed"/>
    <s v="51370692-6296-3150-8672-559fc73f964f"/>
    <s v="e1580c61-8b11-3da0-a5d5-4b75ee0ab7c1"/>
    <s v="d31fccc3-1767-390d-966a-22a5156f4219"/>
    <x v="2"/>
    <n v="185345009"/>
    <s v="Encounter for symptom (procedure)"/>
    <n v="85.55"/>
    <n v="85.55"/>
    <n v="0"/>
    <n v="65363002"/>
    <x v="25"/>
  </r>
  <r>
    <s v="3099d813-4f5c-fc43-935a-d1a61a18d877"/>
    <d v="2023-01-19T23:32:03"/>
    <d v="2023-01-19T23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272.8"/>
    <n v="0"/>
    <m/>
    <x v="0"/>
  </r>
  <r>
    <s v="3099d813-4f5c-fc43-394d-169428a6f882"/>
    <d v="2023-03-30T15:01:03"/>
    <d v="2023-03-30T15:16:03"/>
    <s v="3099d813-4f5c-fc43-31d8-7bba5dc84bed"/>
    <s v="51370692-6296-3150-8672-559fc73f964f"/>
    <s v="e1580c61-8b11-3da0-a5d5-4b75ee0ab7c1"/>
    <s v="d31fccc3-1767-390d-966a-22a5156f4219"/>
    <x v="1"/>
    <n v="185347001"/>
    <s v="Encounter for problem (procedure)"/>
    <n v="85.55"/>
    <n v="85.55"/>
    <n v="0"/>
    <n v="735029006"/>
    <x v="58"/>
  </r>
  <r>
    <s v="3099d813-4f5c-fc43-076a-34ee4bca8007"/>
    <d v="2023-07-21T00:32:03"/>
    <d v="2023-07-21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506.25"/>
    <n v="0"/>
    <m/>
    <x v="0"/>
  </r>
  <r>
    <s v="3099d813-4f5c-fc43-7335-4bb1cbdee99a"/>
    <d v="2024-01-18T23:32:03"/>
    <d v="2024-01-18T23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352.5"/>
    <n v="0"/>
    <m/>
    <x v="0"/>
  </r>
  <r>
    <s v="3099d813-4f5c-fc43-24e9-2afe41b530b5"/>
    <d v="2024-04-05T00:32:03"/>
    <d v="2024-04-05T00:47:03"/>
    <s v="3099d813-4f5c-fc43-31d8-7bba5dc84bed"/>
    <s v="51370692-6296-3150-8672-559fc73f964f"/>
    <s v="e1580c61-8b11-3da0-a5d5-4b75ee0ab7c1"/>
    <s v="d31fccc3-1767-390d-966a-22a5156f4219"/>
    <x v="2"/>
    <n v="185349003"/>
    <s v="Encounter for check up (procedure)"/>
    <n v="85.55"/>
    <n v="480.53"/>
    <n v="0"/>
    <m/>
    <x v="0"/>
  </r>
  <r>
    <s v="3099d813-4f5c-fc43-4a15-561a3681b9ce"/>
    <d v="2024-04-12T00:32:03"/>
    <d v="2024-04-12T00:47:03"/>
    <s v="3099d813-4f5c-fc43-31d8-7bba5dc84bed"/>
    <s v="51370692-6296-3150-8672-559fc73f964f"/>
    <s v="e1580c61-8b11-3da0-a5d5-4b75ee0ab7c1"/>
    <s v="d31fccc3-1767-390d-966a-22a5156f4219"/>
    <x v="1"/>
    <n v="185345009"/>
    <s v="Encounter for symptom (procedure)"/>
    <n v="85.55"/>
    <n v="85.55"/>
    <n v="0"/>
    <n v="75498004"/>
    <x v="14"/>
  </r>
  <r>
    <s v="3099d813-4f5c-fc43-d784-37ae33060ba3"/>
    <d v="2024-07-01T00:32:03"/>
    <d v="2024-07-01T00:47:03"/>
    <s v="3099d813-4f5c-fc43-31d8-7bba5dc84bed"/>
    <s v="51370692-6296-3150-8672-559fc73f964f"/>
    <s v="e1580c61-8b11-3da0-a5d5-4b75ee0ab7c1"/>
    <s v="d31fccc3-1767-390d-966a-22a5156f4219"/>
    <x v="1"/>
    <n v="185345009"/>
    <s v="Encounter for symptom (procedure)"/>
    <n v="85.55"/>
    <n v="92.93"/>
    <n v="0"/>
    <n v="75498004"/>
    <x v="14"/>
  </r>
  <r>
    <s v="3099d813-4f5c-fc43-7546-ae81cd22fa61"/>
    <d v="2024-07-12T00:32:03"/>
    <d v="2024-07-12T00:47:03"/>
    <s v="3099d813-4f5c-fc43-31d8-7bba5dc84bed"/>
    <s v="51370692-6296-3150-8672-559fc73f964f"/>
    <s v="e1580c61-8b11-3da0-a5d5-4b75ee0ab7c1"/>
    <s v="d31fccc3-1767-390d-966a-22a5156f4219"/>
    <x v="2"/>
    <n v="185349003"/>
    <s v="Encounter for check up (procedure)"/>
    <n v="85.55"/>
    <n v="85.55"/>
    <n v="0"/>
    <m/>
    <x v="0"/>
  </r>
  <r>
    <s v="3099d813-4f5c-fc43-fecf-b51dbcf7083b"/>
    <d v="2024-07-19T00:32:03"/>
    <d v="2024-07-19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726.13"/>
    <n v="292.14999999999998"/>
    <m/>
    <x v="0"/>
  </r>
  <r>
    <s v="3099d813-4f5c-fc43-0b25-7b129fb4f421"/>
    <d v="2025-02-07T23:32:03"/>
    <d v="2025-02-07T23:47:03"/>
    <s v="3099d813-4f5c-fc43-31d8-7bba5dc84bed"/>
    <s v="51370692-6296-3150-8672-559fc73f964f"/>
    <s v="e1580c61-8b11-3da0-a5d5-4b75ee0ab7c1"/>
    <s v="d31fccc3-1767-390d-966a-22a5156f4219"/>
    <x v="2"/>
    <n v="185345009"/>
    <s v="Encounter for symptom (procedure)"/>
    <n v="85.55"/>
    <n v="85.55"/>
    <n v="0"/>
    <n v="65363002"/>
    <x v="25"/>
  </r>
  <r>
    <s v="3099d813-4f5c-fc43-84de-799fa221d0b5"/>
    <d v="2025-07-25T00:32:03"/>
    <d v="2025-07-25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1632.34"/>
    <n v="359.36"/>
    <m/>
    <x v="0"/>
  </r>
  <r>
    <s v="3099d813-4f5c-fc43-8a72-1fa052f9fb0e"/>
    <d v="2025-08-24T00:32:03"/>
    <d v="2025-08-24T00:47:03"/>
    <s v="3099d813-4f5c-fc43-31d8-7bba5dc84bed"/>
    <s v="51370692-6296-3150-8672-559fc73f964f"/>
    <s v="e1580c61-8b11-3da0-a5d5-4b75ee0ab7c1"/>
    <s v="d31fccc3-1767-390d-966a-22a5156f4219"/>
    <x v="2"/>
    <n v="185345009"/>
    <s v="Encounter for symptom (procedure)"/>
    <n v="85.55"/>
    <n v="85.55"/>
    <n v="0"/>
    <n v="65363002"/>
    <x v="25"/>
  </r>
  <r>
    <s v="3099d813-4f5c-fc43-f6b5-a2650b6c379b"/>
    <d v="2026-07-31T00:32:03"/>
    <d v="2026-07-31T00:47:03"/>
    <s v="3099d813-4f5c-fc43-31d8-7bba5dc84bed"/>
    <s v="b44955d1-f0e2-3beb-a013-708a81dbe430"/>
    <s v="44301a6b-2125-332e-ae5c-472866aef79c"/>
    <s v="d31fccc3-1767-390d-966a-22a5156f4219"/>
    <x v="0"/>
    <n v="410620009"/>
    <s v="Well child visit (procedure)"/>
    <n v="136.80000000000001"/>
    <n v="778.78"/>
    <n v="0"/>
    <m/>
    <x v="0"/>
  </r>
  <r>
    <s v="3099d813-4f5c-fc43-e2d5-5e61f429467d"/>
    <d v="2026-08-07T00:32:03"/>
    <d v="2026-08-07T04:22:13"/>
    <s v="3099d813-4f5c-fc43-31d8-7bba5dc84bed"/>
    <s v="51370692-6296-3150-8672-559fc73f964f"/>
    <s v="e1580c61-8b11-3da0-a5d5-4b75ee0ab7c1"/>
    <s v="d31fccc3-1767-390d-966a-22a5156f4219"/>
    <x v="1"/>
    <n v="185349003"/>
    <s v="Encounter for check up (procedure)"/>
    <n v="85.55"/>
    <n v="3536.75"/>
    <n v="2599.11"/>
    <n v="103697008"/>
    <x v="3"/>
  </r>
  <r>
    <s v="c823813e-2588-4814-9082-f2dedf9f643a"/>
    <d v="1998-11-15T00:13:47"/>
    <d v="1998-11-15T00:46:29"/>
    <s v="c823813e-2588-4814-6eb4-824974791862"/>
    <s v="4e56c7ec-99e5-3023-8e4f-95ad18a03f06"/>
    <s v="c199b43d-debe-3540-8aaa-4f2125f266bc"/>
    <s v="df166300-5a78-3502-a46a-832842197811"/>
    <x v="0"/>
    <n v="162673000"/>
    <s v="General examination of patient (procedure)"/>
    <n v="136.80000000000001"/>
    <n v="1269.8800000000001"/>
    <n v="1219.8800000000001"/>
    <m/>
    <x v="0"/>
  </r>
  <r>
    <s v="c823813e-2588-4814-385d-56222a63bfa5"/>
    <d v="2004-07-18T01:13:47"/>
    <d v="2004-07-18T01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1005.38"/>
    <n v="0"/>
    <n v="37849005"/>
    <x v="6"/>
  </r>
  <r>
    <s v="c823813e-2588-4814-c4da-ebf24360eb12"/>
    <d v="2010-01-10T07:13:47"/>
    <d v="2010-01-10T07:28:47"/>
    <s v="c823813e-2588-4814-6eb4-824974791862"/>
    <s v="3ff0f58b-7a1f-3334-9449-ff15f68b7d86"/>
    <s v="0edb90a1-1400-320a-8e4e-e3d3964308c2"/>
    <s v="df166300-5a78-3502-a46a-832842197811"/>
    <x v="1"/>
    <n v="185345009"/>
    <s v="Encounter for symptom (procedure)"/>
    <n v="85.55"/>
    <n v="92.93"/>
    <n v="42.93"/>
    <n v="75498004"/>
    <x v="14"/>
  </r>
  <r>
    <s v="c823813e-2588-4814-5226-b31794dd64c9"/>
    <d v="2011-12-04T00:13:47"/>
    <d v="2011-12-04T01:00:43"/>
    <s v="c823813e-2588-4814-6eb4-824974791862"/>
    <s v="4e56c7ec-99e5-3023-8e4f-95ad18a03f06"/>
    <s v="c199b43d-debe-3540-8aaa-4f2125f266bc"/>
    <s v="e03e23c9-4df1-3eb6-a62d-f70f02301496"/>
    <x v="0"/>
    <n v="162673000"/>
    <s v="General examination of patient (procedure)"/>
    <n v="136.80000000000001"/>
    <n v="1130.48"/>
    <n v="0"/>
    <m/>
    <x v="0"/>
  </r>
  <r>
    <s v="c823813e-2588-4814-d712-7f242bf72017"/>
    <d v="2014-12-07T00:13:47"/>
    <d v="2014-12-07T01:06:50"/>
    <s v="c823813e-2588-4814-6eb4-824974791862"/>
    <s v="4e56c7ec-99e5-3023-8e4f-95ad18a03f06"/>
    <s v="c199b43d-debe-3540-8aaa-4f2125f266bc"/>
    <s v="e03e23c9-4df1-3eb6-a62d-f70f02301496"/>
    <x v="0"/>
    <n v="162673000"/>
    <s v="General examination of patient (procedure)"/>
    <n v="136.80000000000001"/>
    <n v="853.36"/>
    <n v="0"/>
    <m/>
    <x v="0"/>
  </r>
  <r>
    <s v="c823813e-2588-4814-0eca-cb798a035f29"/>
    <d v="2016-06-17T22:12:50"/>
    <d v="2016-06-17T22:27:50"/>
    <s v="c823813e-2588-4814-6eb4-824974791862"/>
    <s v="7b20d1c4-c56b-3647-801c-5e4e13679073"/>
    <s v="586331a4-4302-348a-a154-d2c294e5d00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c823813e-2588-4814-e73f-2e543ed46910"/>
    <d v="2017-06-12T22:12:50"/>
    <d v="2017-06-12T22:27:50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823813e-2588-4814-a330-6e596b8fd9ae"/>
    <d v="2017-12-10T00:13:47"/>
    <d v="2017-12-10T01:05:11"/>
    <s v="c823813e-2588-4814-6eb4-824974791862"/>
    <s v="4e56c7ec-99e5-3023-8e4f-95ad18a03f06"/>
    <s v="c199b43d-debe-3540-8aaa-4f2125f266bc"/>
    <s v="e03e23c9-4df1-3eb6-a62d-f70f02301496"/>
    <x v="0"/>
    <n v="162673000"/>
    <s v="General examination of patient (procedure)"/>
    <n v="136.80000000000001"/>
    <n v="923.8"/>
    <n v="0"/>
    <m/>
    <x v="0"/>
  </r>
  <r>
    <s v="c823813e-2588-4814-f9cb-440519258100"/>
    <d v="2018-06-07T22:12:50"/>
    <d v="2018-06-07T22:27:50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823813e-2588-4814-90c1-24c32b687832"/>
    <d v="2018-07-22T01:13:47"/>
    <d v="2018-07-22T01:55:51"/>
    <s v="c823813e-2588-4814-6eb4-824974791862"/>
    <s v="7b20d1c4-c56b-3647-801c-5e4e13679073"/>
    <s v="586331a4-4302-348a-a154-d2c294e5d008"/>
    <s v="e03e23c9-4df1-3eb6-a62d-f70f02301496"/>
    <x v="2"/>
    <n v="185349003"/>
    <s v="Encounter for check up (procedure)"/>
    <n v="85.55"/>
    <n v="727.53"/>
    <n v="0"/>
    <m/>
    <x v="0"/>
  </r>
  <r>
    <s v="c823813e-2588-4814-cde6-89d98eaef607"/>
    <d v="2018-07-29T01:13:47"/>
    <d v="2018-07-29T02:21:23"/>
    <s v="c823813e-2588-4814-6eb4-824974791862"/>
    <s v="3ff0f58b-7a1f-3334-9449-ff15f68b7d86"/>
    <s v="0edb90a1-1400-320a-8e4e-e3d3964308c2"/>
    <s v="e03e23c9-4df1-3eb6-a62d-f70f02301496"/>
    <x v="1"/>
    <n v="185347001"/>
    <s v="Encounter for problem (procedure)"/>
    <n v="85.55"/>
    <n v="1112.8699999999999"/>
    <n v="0"/>
    <n v="271737000"/>
    <x v="32"/>
  </r>
  <r>
    <s v="c823813e-2588-4814-a3a9-ec257a69996d"/>
    <d v="2018-08-05T01:13:47"/>
    <d v="2018-08-05T01:28:47"/>
    <s v="c823813e-2588-4814-6eb4-824974791862"/>
    <s v="3ff0f58b-7a1f-3334-9449-ff15f68b7d86"/>
    <s v="0edb90a1-1400-320a-8e4e-e3d3964308c2"/>
    <s v="e03e23c9-4df1-3eb6-a62d-f70f02301496"/>
    <x v="1"/>
    <n v="185345009"/>
    <s v="Encounter for symptom (procedure)"/>
    <n v="85.55"/>
    <n v="85.55"/>
    <n v="0"/>
    <n v="444814009"/>
    <x v="2"/>
  </r>
  <r>
    <s v="c823813e-2588-4814-5a92-2c6c027e320c"/>
    <d v="2018-08-12T01:13:47"/>
    <d v="2018-08-12T04:09:52"/>
    <s v="c823813e-2588-4814-6eb4-824974791862"/>
    <s v="3ff0f58b-7a1f-3334-9449-ff15f68b7d86"/>
    <s v="0edb90a1-1400-320a-8e4e-e3d3964308c2"/>
    <s v="e03e23c9-4df1-3eb6-a62d-f70f02301496"/>
    <x v="1"/>
    <n v="185349003"/>
    <s v="Encounter for check up (procedure)"/>
    <n v="85.55"/>
    <n v="3105.35"/>
    <n v="0"/>
    <n v="103697008"/>
    <x v="3"/>
  </r>
  <r>
    <s v="c823813e-2588-4814-bb94-52f50480192f"/>
    <d v="2020-03-11T16:13:47"/>
    <d v="2020-03-11T16:29:11"/>
    <s v="c823813e-2588-4814-6eb4-824974791862"/>
    <s v="3ff0f58b-7a1f-3334-9449-ff15f68b7d86"/>
    <s v="0edb90a1-1400-320a-8e4e-e3d3964308c2"/>
    <s v="e03e23c9-4df1-3eb6-a62d-f70f02301496"/>
    <x v="1"/>
    <n v="185345009"/>
    <s v="Encounter for symptom (procedure)"/>
    <n v="85.55"/>
    <n v="493.77"/>
    <n v="0"/>
    <n v="10509002"/>
    <x v="1"/>
  </r>
  <r>
    <s v="c823813e-2588-4814-b3f9-05fb27cbb683"/>
    <d v="2020-03-22T01:13:47"/>
    <d v="2020-03-22T02:13:45"/>
    <s v="c823813e-2588-4814-6eb4-824974791862"/>
    <s v="0592d4e5-a0fb-3143-83cd-8e5a6b066a96"/>
    <s v="9069fd9f-e1aa-3b63-b8bb-ce37b676a504"/>
    <s v="e03e23c9-4df1-3eb6-a62d-f70f02301496"/>
    <x v="4"/>
    <n v="702927004"/>
    <s v="Urgent care clinic (environment)"/>
    <n v="142.58000000000001"/>
    <n v="1081.6400000000001"/>
    <n v="0"/>
    <m/>
    <x v="0"/>
  </r>
  <r>
    <s v="c823813e-2588-4814-6928-d41adf860d40"/>
    <d v="2020-05-27T22:12:50"/>
    <d v="2020-05-27T22:27:50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823813e-2588-4814-7f60-f7f5b0a3fbd9"/>
    <d v="2020-05-31T10:12:50"/>
    <d v="2020-05-31T11:21:48"/>
    <s v="c823813e-2588-4814-6eb4-824974791862"/>
    <s v="7b20d1c4-c56b-3647-801c-5e4e13679073"/>
    <s v="586331a4-4302-348a-a154-d2c294e5d008"/>
    <s v="e03e23c9-4df1-3eb6-a62d-f70f02301496"/>
    <x v="2"/>
    <n v="308335008"/>
    <s v="Patient encounter procedure (procedure)"/>
    <n v="142.58000000000001"/>
    <n v="4052.91"/>
    <n v="0"/>
    <n v="389095005"/>
    <x v="15"/>
  </r>
  <r>
    <s v="c823813e-2588-4814-0fce-d6cc44d6b381"/>
    <d v="2020-06-28T01:13:47"/>
    <d v="2020-06-28T02:06:23"/>
    <s v="c823813e-2588-4814-6eb4-824974791862"/>
    <s v="7b20d1c4-c56b-3647-801c-5e4e13679073"/>
    <s v="586331a4-4302-348a-a154-d2c294e5d008"/>
    <s v="e03e23c9-4df1-3eb6-a62d-f70f02301496"/>
    <x v="2"/>
    <n v="308335008"/>
    <s v="Patient encounter procedure (procedure)"/>
    <n v="142.58000000000001"/>
    <n v="5886.62"/>
    <n v="0"/>
    <n v="389095005"/>
    <x v="15"/>
  </r>
  <r>
    <s v="c823813e-2588-4814-5fa0-35a17e2893e8"/>
    <d v="2020-09-27T01:13:47"/>
    <d v="2020-09-27T02:05:13"/>
    <s v="c823813e-2588-4814-6eb4-824974791862"/>
    <s v="4e56c7ec-99e5-3023-8e4f-95ad18a03f06"/>
    <s v="c199b43d-debe-3540-8aaa-4f2125f266bc"/>
    <s v="e03e23c9-4df1-3eb6-a62d-f70f02301496"/>
    <x v="0"/>
    <n v="162673000"/>
    <s v="General examination of patient (procedure)"/>
    <n v="136.80000000000001"/>
    <n v="1140.0899999999999"/>
    <n v="0"/>
    <m/>
    <x v="0"/>
  </r>
  <r>
    <s v="c823813e-2588-4814-71be-f4dd1d173d4d"/>
    <d v="2021-02-07T00:13:47"/>
    <d v="2021-02-07T00:28:47"/>
    <s v="c823813e-2588-4814-6eb4-824974791862"/>
    <s v="7b20d1c4-c56b-3647-801c-5e4e13679073"/>
    <s v="586331a4-4302-348a-a154-d2c294e5d008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c823813e-2588-4814-a780-75347883627b"/>
    <d v="2021-03-07T00:13:47"/>
    <d v="2021-03-07T00:28:47"/>
    <s v="c823813e-2588-4814-6eb4-824974791862"/>
    <s v="7b20d1c4-c56b-3647-801c-5e4e13679073"/>
    <s v="586331a4-4302-348a-a154-d2c294e5d008"/>
    <s v="e03e23c9-4df1-3eb6-a62d-f70f02301496"/>
    <x v="2"/>
    <n v="33879002"/>
    <s v="Administration of vaccine to produce active immunity (procedure)"/>
    <n v="142.58000000000001"/>
    <n v="278.58"/>
    <n v="0"/>
    <m/>
    <x v="0"/>
  </r>
  <r>
    <s v="c823813e-2588-4814-681f-97fa27b0438b"/>
    <d v="2021-03-12T10:13:47"/>
    <d v="2021-03-12T10:28:47"/>
    <s v="c823813e-2588-4814-6eb4-824974791862"/>
    <s v="3ff0f58b-7a1f-3334-9449-ff15f68b7d86"/>
    <s v="0edb90a1-1400-320a-8e4e-e3d3964308c2"/>
    <s v="e03e23c9-4df1-3eb6-a62d-f70f02301496"/>
    <x v="1"/>
    <n v="185345009"/>
    <s v="Encounter for symptom (procedure)"/>
    <n v="85.55"/>
    <n v="85.55"/>
    <n v="0"/>
    <n v="36971009"/>
    <x v="22"/>
  </r>
  <r>
    <s v="c823813e-2588-4814-02f8-0184ab858af7"/>
    <d v="2021-05-26T11:21:48"/>
    <d v="2021-05-26T11:36:48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823813e-2588-4814-3dde-e23057540e71"/>
    <d v="2021-09-05T01:13:47"/>
    <d v="2021-09-05T02:17:02"/>
    <s v="c823813e-2588-4814-6eb4-824974791862"/>
    <s v="7b20d1c4-c56b-3647-801c-5e4e13679073"/>
    <s v="586331a4-4302-348a-a154-d2c294e5d008"/>
    <s v="e03e23c9-4df1-3eb6-a62d-f70f02301496"/>
    <x v="2"/>
    <n v="308335008"/>
    <s v="Patient encounter procedure (procedure)"/>
    <n v="142.58000000000001"/>
    <n v="573.98"/>
    <n v="0"/>
    <n v="389095005"/>
    <x v="15"/>
  </r>
  <r>
    <s v="c823813e-2588-4814-7064-75bfa95793ba"/>
    <d v="2021-10-24T01:13:47"/>
    <d v="2021-10-24T01:28:47"/>
    <s v="c823813e-2588-4814-6eb4-824974791862"/>
    <s v="3ff0f58b-7a1f-3334-9449-ff15f68b7d86"/>
    <s v="0edb90a1-1400-320a-8e4e-e3d3964308c2"/>
    <s v="e03e23c9-4df1-3eb6-a62d-f70f02301496"/>
    <x v="1"/>
    <n v="424441002"/>
    <s v="Prenatal initial visit (regime/therapy)"/>
    <n v="142.58000000000001"/>
    <n v="55894.5"/>
    <n v="0"/>
    <n v="72892002"/>
    <x v="4"/>
  </r>
  <r>
    <s v="c823813e-2588-4814-ad24-5d8d0cfb1668"/>
    <d v="2021-11-21T00:13:47"/>
    <d v="2021-11-21T00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12432.4"/>
    <n v="0"/>
    <n v="72892002"/>
    <x v="4"/>
  </r>
  <r>
    <s v="c823813e-2588-4814-0729-8642b9c07086"/>
    <d v="2021-12-19T00:13:47"/>
    <d v="2021-12-19T00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10494.48"/>
    <n v="0"/>
    <n v="72892002"/>
    <x v="4"/>
  </r>
  <r>
    <s v="c823813e-2588-4814-d222-5fbbb07aa897"/>
    <d v="2022-01-16T00:13:47"/>
    <d v="2022-01-16T00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12316.65"/>
    <n v="0"/>
    <n v="72892002"/>
    <x v="4"/>
  </r>
  <r>
    <s v="c823813e-2588-4814-79d7-86cd8187c4c0"/>
    <d v="2022-02-13T00:13:47"/>
    <d v="2022-02-13T00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7209.82"/>
    <n v="0"/>
    <n v="72892002"/>
    <x v="4"/>
  </r>
  <r>
    <s v="c823813e-2588-4814-4e9f-8dc1e802cdec"/>
    <d v="2022-03-13T00:13:47"/>
    <d v="2022-03-13T00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14989.46"/>
    <n v="0"/>
    <n v="72892002"/>
    <x v="4"/>
  </r>
  <r>
    <s v="c823813e-2588-4814-fb93-08b0ad05abaa"/>
    <d v="2022-04-10T01:13:47"/>
    <d v="2022-04-10T01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8538.44"/>
    <n v="0"/>
    <n v="72892002"/>
    <x v="4"/>
  </r>
  <r>
    <s v="c823813e-2588-4814-85cf-39c61bc99db3"/>
    <d v="2022-05-08T01:13:47"/>
    <d v="2022-05-08T02:13:47"/>
    <s v="c823813e-2588-4814-6eb4-824974791862"/>
    <s v="76b7dbb5-0a02-32a4-9a01-3511f7e45016"/>
    <s v="6a287697-1fe2-393b-861e-fb6067399a5c"/>
    <s v="e03e23c9-4df1-3eb6-a62d-f70f02301496"/>
    <x v="3"/>
    <n v="183460006"/>
    <s v="Obstetric emergency hospital admission (procedure)"/>
    <n v="146.18"/>
    <n v="577.58000000000004"/>
    <n v="0"/>
    <n v="72892002"/>
    <x v="4"/>
  </r>
  <r>
    <s v="c823813e-2588-4814-8319-9e2ea9d17979"/>
    <d v="2022-06-19T01:13:47"/>
    <d v="2022-06-19T01:28:47"/>
    <s v="c823813e-2588-4814-6eb4-824974791862"/>
    <s v="3ff0f58b-7a1f-3334-9449-ff15f68b7d86"/>
    <s v="0edb90a1-1400-320a-8e4e-e3d3964308c2"/>
    <s v="e03e23c9-4df1-3eb6-a62d-f70f02301496"/>
    <x v="1"/>
    <n v="169762003"/>
    <s v="Postnatal visit (regime/therapy)"/>
    <n v="142.58000000000001"/>
    <n v="1005.38"/>
    <n v="0"/>
    <m/>
    <x v="0"/>
  </r>
  <r>
    <s v="c823813e-2588-4814-8de7-614607d78af9"/>
    <d v="2022-06-26T01:13:47"/>
    <d v="2022-06-26T01:28:47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823813e-2588-4814-139d-ff62143f795b"/>
    <d v="2022-10-02T01:13:47"/>
    <d v="2022-10-02T02:12:22"/>
    <s v="c823813e-2588-4814-6eb4-824974791862"/>
    <s v="4e56c7ec-99e5-3023-8e4f-95ad18a03f06"/>
    <s v="c199b43d-debe-3540-8aaa-4f2125f266bc"/>
    <s v="df166300-5a78-3502-a46a-832842197811"/>
    <x v="0"/>
    <n v="162673000"/>
    <s v="General examination of patient (procedure)"/>
    <n v="136.80000000000001"/>
    <n v="1132.1600000000001"/>
    <n v="1032.1600000000001"/>
    <m/>
    <x v="0"/>
  </r>
  <r>
    <s v="c823813e-2588-4814-0475-82b02101f39d"/>
    <d v="2022-10-16T01:13:47"/>
    <d v="2022-10-16T04:22:23"/>
    <s v="c823813e-2588-4814-6eb4-824974791862"/>
    <s v="3ff0f58b-7a1f-3334-9449-ff15f68b7d86"/>
    <s v="0edb90a1-1400-320a-8e4e-e3d3964308c2"/>
    <s v="df166300-5a78-3502-a46a-832842197811"/>
    <x v="1"/>
    <n v="185349003"/>
    <s v="Encounter for check up (procedure)"/>
    <n v="85.55"/>
    <n v="3105.35"/>
    <n v="3055.35"/>
    <n v="103697008"/>
    <x v="3"/>
  </r>
  <r>
    <s v="c823813e-2588-4814-c3a7-ca9146dced54"/>
    <d v="2023-06-21T01:13:47"/>
    <d v="2023-06-21T01:28:47"/>
    <s v="c823813e-2588-4814-6eb4-824974791862"/>
    <s v="7b20d1c4-c56b-3647-801c-5e4e13679073"/>
    <s v="586331a4-4302-348a-a154-d2c294e5d008"/>
    <s v="df166300-5a78-3502-a46a-832842197811"/>
    <x v="2"/>
    <n v="698314001"/>
    <s v="Consultation for treatment (procedure)"/>
    <n v="142.58000000000001"/>
    <n v="142.58000000000001"/>
    <n v="92.58"/>
    <n v="389095005"/>
    <x v="15"/>
  </r>
  <r>
    <s v="c823813e-2588-4814-66dc-ae5c78587bea"/>
    <d v="2024-06-02T01:13:47"/>
    <d v="2024-06-02T01:28:47"/>
    <s v="c823813e-2588-4814-6eb4-824974791862"/>
    <s v="3ff0f58b-7a1f-3334-9449-ff15f68b7d86"/>
    <s v="0edb90a1-1400-320a-8e4e-e3d3964308c2"/>
    <s v="e03e23c9-4df1-3eb6-a62d-f70f02301496"/>
    <x v="1"/>
    <n v="424441002"/>
    <s v="Prenatal initial visit (regime/therapy)"/>
    <n v="142.58000000000001"/>
    <n v="7521.87"/>
    <n v="0"/>
    <n v="72892002"/>
    <x v="4"/>
  </r>
  <r>
    <s v="c823813e-2588-4814-88cb-7024843fe0be"/>
    <d v="2024-06-14T01:13:47"/>
    <d v="2024-06-16T16:13:47"/>
    <s v="c823813e-2588-4814-6eb4-824974791862"/>
    <s v="7b20d1c4-c56b-3647-801c-5e4e13679073"/>
    <s v="586331a4-4302-348a-a154-d2c294e5d008"/>
    <s v="e03e23c9-4df1-3eb6-a62d-f70f02301496"/>
    <x v="6"/>
    <n v="305408004"/>
    <s v="Admission to surgical department (procedure)"/>
    <n v="146.18"/>
    <n v="4322.28"/>
    <n v="0"/>
    <n v="79586000"/>
    <x v="43"/>
  </r>
  <r>
    <s v="c823813e-2588-4814-4dd4-4b63085c2e39"/>
    <d v="2024-06-30T16:13:47"/>
    <d v="2024-06-30T16:28:47"/>
    <s v="c823813e-2588-4814-6eb4-824974791862"/>
    <s v="3ff0f58b-7a1f-3334-9449-ff15f68b7d86"/>
    <s v="0edb90a1-1400-320a-8e4e-e3d3964308c2"/>
    <s v="e03e23c9-4df1-3eb6-a62d-f70f02301496"/>
    <x v="1"/>
    <n v="424619006"/>
    <s v="Prenatal visit (regime/therapy)"/>
    <n v="142.58000000000001"/>
    <n v="1005.38"/>
    <n v="0"/>
    <n v="79586000"/>
    <x v="43"/>
  </r>
  <r>
    <s v="c823813e-2588-4814-b1d5-3186a0a5a350"/>
    <d v="2024-07-14T01:13:47"/>
    <d v="2024-07-14T01:28:47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c823813e-2588-4814-3dd8-7507cd8cb161"/>
    <d v="2024-10-06T01:13:47"/>
    <d v="2024-10-06T01:55:35"/>
    <s v="c823813e-2588-4814-6eb4-824974791862"/>
    <s v="4e56c7ec-99e5-3023-8e4f-95ad18a03f06"/>
    <s v="c199b43d-debe-3540-8aaa-4f2125f266bc"/>
    <s v="e03e23c9-4df1-3eb6-a62d-f70f02301496"/>
    <x v="0"/>
    <n v="162673000"/>
    <s v="General examination of patient (procedure)"/>
    <n v="136.80000000000001"/>
    <n v="1001.28"/>
    <n v="0"/>
    <m/>
    <x v="0"/>
  </r>
  <r>
    <s v="c823813e-2588-4814-4ea2-c944b2e637d2"/>
    <d v="2025-08-28T23:13:47"/>
    <d v="2025-08-28T23:28:47"/>
    <s v="c823813e-2588-4814-6eb4-824974791862"/>
    <s v="3ff0f58b-7a1f-3334-9449-ff15f68b7d86"/>
    <s v="0edb90a1-1400-320a-8e4e-e3d3964308c2"/>
    <s v="e03e23c9-4df1-3eb6-a62d-f70f02301496"/>
    <x v="1"/>
    <n v="185345009"/>
    <s v="Encounter for symptom (procedure)"/>
    <n v="85.55"/>
    <n v="85.55"/>
    <n v="0"/>
    <n v="444814009"/>
    <x v="2"/>
  </r>
  <r>
    <s v="c823813e-2588-4814-0c00-67d3cf42a62d"/>
    <d v="2026-07-04T01:13:47"/>
    <d v="2026-07-04T01:28:47"/>
    <s v="c823813e-2588-4814-6eb4-824974791862"/>
    <s v="7b20d1c4-c56b-3647-801c-5e4e13679073"/>
    <s v="586331a4-4302-348a-a154-d2c294e5d008"/>
    <s v="e03e23c9-4df1-3eb6-a62d-f70f02301496"/>
    <x v="2"/>
    <n v="698314001"/>
    <s v="Consultation for treatment (procedure)"/>
    <n v="142.58000000000001"/>
    <n v="142.58000000000001"/>
    <n v="0"/>
    <n v="389095005"/>
    <x v="15"/>
  </r>
  <r>
    <s v="bca1691f-8839-1d66-cc19-e5c8672162a5"/>
    <d v="1947-01-25T16:39:55"/>
    <d v="1947-01-25T16:54:55"/>
    <s v="bca1691f-8839-1d66-ed01-471134d55738"/>
    <s v="ba07b31b-bf14-39b8-be95-4c5ca5062daa"/>
    <s v="e13638ea-c3c4-3fdf-a016-2d6c77f0f560"/>
    <s v="e03e23c9-4df1-3eb6-a62d-f70f02301496"/>
    <x v="1"/>
    <n v="185345009"/>
    <s v="Encounter for symptom (procedure)"/>
    <n v="85.55"/>
    <n v="92.93"/>
    <n v="0"/>
    <n v="36971009"/>
    <x v="22"/>
  </r>
  <r>
    <s v="bca1691f-8839-1d66-01a0-6777676f9f1d"/>
    <d v="1962-12-05T06:39:55"/>
    <d v="1962-12-05T07:38:53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704.2"/>
    <n v="0"/>
    <m/>
    <x v="0"/>
  </r>
  <r>
    <s v="bca1691f-8839-1d66-713f-6f081276bc9b"/>
    <d v="1963-12-11T06:39:55"/>
    <d v="1963-12-11T07:10:45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704.2"/>
    <n v="0"/>
    <m/>
    <x v="0"/>
  </r>
  <r>
    <s v="bca1691f-8839-1d66-fb59-a252aff3662c"/>
    <d v="1978-12-27T06:39:55"/>
    <d v="1978-12-27T07:31:55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998.38"/>
    <n v="0"/>
    <m/>
    <x v="0"/>
  </r>
  <r>
    <s v="bca1691f-8839-1d66-538d-5a1e6c6ea744"/>
    <d v="1984-10-17T07:39:55"/>
    <d v="1984-10-17T08:32:52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1722.96"/>
    <n v="0"/>
    <m/>
    <x v="0"/>
  </r>
  <r>
    <s v="bca1691f-8839-1d66-549a-08f9f8460512"/>
    <d v="1986-10-22T07:39:55"/>
    <d v="1986-10-22T08:18:26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1009.32"/>
    <n v="0"/>
    <m/>
    <x v="0"/>
  </r>
  <r>
    <s v="bca1691f-8839-1d66-45c7-e87c64733302"/>
    <d v="1986-11-12T06:39:55"/>
    <d v="1986-11-12T06:54:55"/>
    <s v="bca1691f-8839-1d66-ed01-471134d55738"/>
    <s v="ba07b31b-bf14-39b8-be95-4c5ca5062daa"/>
    <s v="e13638ea-c3c4-3fdf-a016-2d6c77f0f560"/>
    <s v="e03e23c9-4df1-3eb6-a62d-f70f02301496"/>
    <x v="1"/>
    <n v="390906007"/>
    <s v="Follow-up encounter (procedure)"/>
    <n v="85.55"/>
    <n v="85.55"/>
    <n v="0"/>
    <n v="55822004"/>
    <x v="52"/>
  </r>
  <r>
    <s v="bca1691f-8839-1d66-a0d4-60da68dc8a2c"/>
    <d v="1990-10-31T06:39:55"/>
    <d v="1990-10-31T07:36:39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1150.44"/>
    <n v="0"/>
    <m/>
    <x v="0"/>
  </r>
  <r>
    <s v="bca1691f-8839-1d66-a0c9-295ffe4f6650"/>
    <d v="1991-08-07T07:39:55"/>
    <d v="1991-08-07T08:31:19"/>
    <s v="bca1691f-8839-1d66-ed01-471134d55738"/>
    <s v="a25107f7-f4f5-36fc-98e4-f3e1b5875c91"/>
    <s v="0bf12ebb-44be-30f8-a5d8-131eb8197dd3"/>
    <s v="e03e23c9-4df1-3eb6-a62d-f70f02301496"/>
    <x v="4"/>
    <n v="702927004"/>
    <s v="Urgent care clinic (environment)"/>
    <n v="142.58000000000001"/>
    <n v="1081.6400000000001"/>
    <n v="0"/>
    <m/>
    <x v="0"/>
  </r>
  <r>
    <s v="bca1691f-8839-1d66-08fa-66c9476b5e71"/>
    <d v="1993-11-17T06:39:55"/>
    <d v="1993-11-17T07:20:04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1716.16"/>
    <n v="0"/>
    <m/>
    <x v="0"/>
  </r>
  <r>
    <s v="bca1691f-8839-1d66-19dd-a9c28b1066b8"/>
    <d v="1999-09-29T07:39:55"/>
    <d v="1999-09-29T08:15:02"/>
    <s v="bca1691f-8839-1d66-ed01-471134d55738"/>
    <s v="ba07b31b-bf14-39b8-be95-4c5ca5062daa"/>
    <s v="e13638ea-c3c4-3fdf-a016-2d6c77f0f560"/>
    <s v="e03e23c9-4df1-3eb6-a62d-f70f02301496"/>
    <x v="2"/>
    <n v="185349003"/>
    <s v="Encounter for check up (procedure)"/>
    <n v="85.55"/>
    <n v="808.91"/>
    <n v="0"/>
    <m/>
    <x v="0"/>
  </r>
  <r>
    <s v="bca1691f-8839-1d66-e988-d87200387f36"/>
    <d v="2005-01-19T06:39:55"/>
    <d v="2005-01-19T07:15:38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853.36"/>
    <n v="0"/>
    <m/>
    <x v="0"/>
  </r>
  <r>
    <s v="bca1691f-8839-1d66-06a7-e4691d5fb42a"/>
    <d v="2005-01-30T06:26:17"/>
    <d v="2005-01-30T11:05:10"/>
    <s v="bca1691f-8839-1d66-ed01-471134d55738"/>
    <s v="74ab949d-17ac-3309-83a0-13b4405c66aa"/>
    <s v="35fedf4a-4da7-315e-a103-dbcfea0540fa"/>
    <s v="e03e23c9-4df1-3eb6-a62d-f70f02301496"/>
    <x v="1"/>
    <n v="185347001"/>
    <s v="Encounter for problem (procedure)"/>
    <n v="85.55"/>
    <n v="1444.46"/>
    <n v="0"/>
    <n v="414545008"/>
    <x v="19"/>
  </r>
  <r>
    <s v="bca1691f-8839-1d66-8797-e2ac7c1260e1"/>
    <d v="2005-02-16T06:39:55"/>
    <d v="2005-02-16T11:39:35"/>
    <s v="bca1691f-8839-1d66-ed01-471134d55738"/>
    <s v="74ab949d-17ac-3309-83a0-13b4405c66aa"/>
    <s v="35fedf4a-4da7-315e-a103-dbcfea0540fa"/>
    <s v="e03e23c9-4df1-3eb6-a62d-f70f02301496"/>
    <x v="1"/>
    <n v="32485007"/>
    <s v="Hospital admission (procedure)"/>
    <n v="142.58000000000001"/>
    <n v="3959.5"/>
    <n v="0"/>
    <n v="274531002"/>
    <x v="53"/>
  </r>
  <r>
    <s v="bca1691f-8839-1d66-1413-68d51bccf5f0"/>
    <d v="2006-01-25T06:39:55"/>
    <d v="2006-01-25T07:22:56"/>
    <s v="bca1691f-8839-1d66-ed01-471134d55738"/>
    <s v="680532c8-2661-3b39-875a-b6ec0746ccf5"/>
    <s v="9267a44b-df9c-30d3-9b3c-9218b228281f"/>
    <s v="e03e23c9-4df1-3eb6-a62d-f70f02301496"/>
    <x v="0"/>
    <n v="162673000"/>
    <s v="General examination of patient (procedure)"/>
    <n v="136.80000000000001"/>
    <n v="1606.41"/>
    <n v="0"/>
    <m/>
    <x v="0"/>
  </r>
  <r>
    <s v="bca1691f-8839-1d66-3ecf-c3f5ff267d42"/>
    <d v="2011-02-02T06:39:55"/>
    <d v="2011-02-02T07:25:51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298.58"/>
    <n v="1038.8399999999999"/>
    <m/>
    <x v="0"/>
  </r>
  <r>
    <s v="bca1691f-8839-1d66-1dae-992a98d0c2b4"/>
    <d v="2013-07-24T07:39:55"/>
    <d v="2013-07-24T08:11:4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328.48"/>
    <n v="1062.76"/>
    <m/>
    <x v="0"/>
  </r>
  <r>
    <s v="bca1691f-8839-1d66-3640-1d1000cb4f62"/>
    <d v="2014-01-31T06:39:55"/>
    <d v="2014-01-31T06:54:55"/>
    <s v="bca1691f-8839-1d66-ed01-471134d55738"/>
    <s v="ba07b31b-bf14-39b8-be95-4c5ca5062daa"/>
    <s v="e13638ea-c3c4-3fdf-a016-2d6c77f0f560"/>
    <s v="a735bf55-83e9-331a-899d-a82a60b9f60c"/>
    <x v="2"/>
    <n v="185347001"/>
    <s v="Encounter for problem (procedure)"/>
    <n v="85.55"/>
    <n v="85.55"/>
    <n v="68.44"/>
    <n v="82423001"/>
    <x v="33"/>
  </r>
  <r>
    <s v="bca1691f-8839-1d66-232b-0945d370fbf8"/>
    <d v="2014-09-04T07:39:55"/>
    <d v="2014-09-04T08:40:16"/>
    <s v="bca1691f-8839-1d66-ed01-471134d55738"/>
    <s v="74ab949d-17ac-3309-83a0-13b4405c66aa"/>
    <s v="35fedf4a-4da7-315e-a103-dbcfea0540fa"/>
    <s v="a735bf55-83e9-331a-899d-a82a60b9f60c"/>
    <x v="3"/>
    <n v="50849002"/>
    <s v="Emergency room admission (procedure)"/>
    <n v="146.18"/>
    <n v="6955.36"/>
    <n v="5564.27"/>
    <n v="22298006"/>
    <x v="71"/>
  </r>
  <r>
    <s v="bca1691f-8839-1d66-fecb-582d94c29205"/>
    <d v="2014-09-09T07:04:29"/>
    <d v="2014-09-09T08:00:16"/>
    <s v="bca1691f-8839-1d66-ed01-471134d55738"/>
    <s v="74ab949d-17ac-3309-83a0-13b4405c66aa"/>
    <s v="35fedf4a-4da7-315e-a103-dbcfea0540fa"/>
    <s v="a735bf55-83e9-331a-899d-a82a60b9f60c"/>
    <x v="1"/>
    <n v="185347001"/>
    <s v="Encounter for problem (procedure)"/>
    <n v="85.55"/>
    <n v="14709.42"/>
    <n v="11767.54"/>
    <n v="401314000"/>
    <x v="72"/>
  </r>
  <r>
    <s v="bca1691f-8839-1d66-d34c-49fbf401c829"/>
    <d v="2015-06-10T07:39:55"/>
    <d v="2015-06-10T08:33:1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47db-babeaa77ec95"/>
    <d v="2016-03-23T07:39:55"/>
    <d v="2016-03-23T08:17:52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866.52"/>
    <n v="693.2"/>
    <m/>
    <x v="0"/>
  </r>
  <r>
    <s v="bca1691f-8839-1d66-cc1d-e58f9b0ee7f8"/>
    <d v="2016-04-01T07:39:55"/>
    <d v="2016-04-01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4973-0b347762b23c"/>
    <d v="2016-08-31T07:39:55"/>
    <d v="2016-08-31T08:18:0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66.97"/>
    <n v="933.56"/>
    <m/>
    <x v="0"/>
  </r>
  <r>
    <s v="bca1691f-8839-1d66-36c4-3e9f8bbd6471"/>
    <d v="2016-09-20T09:45:44"/>
    <d v="2016-09-20T10:29:44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bca1691f-8839-1d66-ca3b-ec38322bcb6e"/>
    <d v="2016-10-05T07:39:55"/>
    <d v="2016-10-05T08:14:4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3f27-12150a892c5c"/>
    <d v="2016-11-02T07:39:55"/>
    <d v="2016-11-02T08:39:51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8747-febad56d917c"/>
    <d v="2016-11-16T06:39:55"/>
    <d v="2016-11-16T13:19:33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5262.35"/>
    <n v="4209.88"/>
    <n v="103697008"/>
    <x v="3"/>
  </r>
  <r>
    <s v="bca1691f-8839-1d66-38fb-920c0c6e4cca"/>
    <d v="2017-01-04T06:39:55"/>
    <d v="2017-01-04T07:37:4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8e46-83570ee82e15"/>
    <d v="2017-01-18T06:39:55"/>
    <d v="2017-01-18T11:36:21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4399.55"/>
    <n v="3519.64"/>
    <n v="66383009"/>
    <x v="17"/>
  </r>
  <r>
    <s v="bca1691f-8839-1d66-9df9-e8fd3edaede0"/>
    <d v="2017-02-15T06:39:55"/>
    <d v="2017-02-15T07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875.9"/>
    <n v="700.7"/>
    <m/>
    <x v="0"/>
  </r>
  <r>
    <s v="bca1691f-8839-1d66-cd2e-c2396d5d30d2"/>
    <d v="2017-02-22T06:39:55"/>
    <d v="2017-02-22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933.6"/>
    <n v="746.87"/>
    <m/>
    <x v="0"/>
  </r>
  <r>
    <s v="bca1691f-8839-1d66-7e3c-e7ab7a25bcc3"/>
    <d v="2017-03-01T06:39:55"/>
    <d v="2017-03-01T07:25:1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1ed2-87026bf317c4"/>
    <d v="2017-03-08T06:39:55"/>
    <d v="2017-03-08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40.19"/>
    <n v="912.14"/>
    <m/>
    <x v="0"/>
  </r>
  <r>
    <s v="bca1691f-8839-1d66-d6e9-e37dc45c770b"/>
    <d v="2017-03-15T07:39:55"/>
    <d v="2017-03-15T11:16:2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968.15"/>
    <n v="3174.52"/>
    <n v="66383009"/>
    <x v="17"/>
  </r>
  <r>
    <s v="bca1691f-8839-1d66-037e-663b6dfddc61"/>
    <d v="2017-03-22T07:39:55"/>
    <d v="2017-03-22T07:54:55"/>
    <s v="bca1691f-8839-1d66-ed01-471134d55738"/>
    <s v="ba07b31b-bf14-39b8-be95-4c5ca5062daa"/>
    <s v="e13638ea-c3c4-3fdf-a016-2d6c77f0f560"/>
    <s v="a735bf55-83e9-331a-899d-a82a60b9f60c"/>
    <x v="1"/>
    <n v="185345009"/>
    <s v="Encounter for symptom (procedure)"/>
    <n v="85.55"/>
    <n v="85.55"/>
    <n v="68.44"/>
    <n v="444814009"/>
    <x v="2"/>
  </r>
  <r>
    <s v="bca1691f-8839-1d66-f691-27d2916d884a"/>
    <d v="2017-03-29T07:39:55"/>
    <d v="2017-03-29T08:36:02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866.52"/>
    <n v="693.2"/>
    <m/>
    <x v="0"/>
  </r>
  <r>
    <s v="bca1691f-8839-1d66-0627-2f54e426705d"/>
    <d v="2017-04-05T07:39:55"/>
    <d v="2017-04-05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671.13"/>
    <n v="536.89"/>
    <m/>
    <x v="0"/>
  </r>
  <r>
    <s v="bca1691f-8839-1d66-3b6b-ced2b8cd4798"/>
    <d v="2017-04-12T07:39:55"/>
    <d v="2017-04-12T08:14:0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791.92"/>
    <n v="1433.52"/>
    <m/>
    <x v="0"/>
  </r>
  <r>
    <s v="bca1691f-8839-1d66-e1fe-900a2b7057bc"/>
    <d v="2017-04-19T07:39:55"/>
    <d v="2017-04-19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bca1691f-8839-1d66-01e7-91d53322716e"/>
    <d v="2017-04-26T07:39:55"/>
    <d v="2017-04-26T10:46:12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5d5d-6e46aaf03cfd"/>
    <d v="2017-05-03T07:39:55"/>
    <d v="2017-05-03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829c-ade8d2a197b6"/>
    <d v="2017-05-10T07:39:55"/>
    <d v="2017-05-10T08:39:30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d96b-5691ec53e14c"/>
    <d v="2017-05-24T07:39:55"/>
    <d v="2017-05-24T12:21:16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4399.55"/>
    <n v="3519.64"/>
    <n v="66383009"/>
    <x v="17"/>
  </r>
  <r>
    <s v="bca1691f-8839-1d66-94f6-bd2c12f81be6"/>
    <d v="2017-06-07T07:39:55"/>
    <d v="2017-06-07T08:31:47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75.29"/>
    <n v="940.22"/>
    <m/>
    <x v="0"/>
  </r>
  <r>
    <s v="bca1691f-8839-1d66-9506-b879a1d9c46b"/>
    <d v="2017-06-28T07:39:55"/>
    <d v="2017-06-28T08:15:3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f1f0-72fe7f256112"/>
    <d v="2017-07-12T07:39:55"/>
    <d v="2017-07-12T10:27:02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bad8-7aae47cba822"/>
    <d v="2017-08-30T07:39:55"/>
    <d v="2017-08-30T08:31:0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44c1-201f55ff13fd"/>
    <d v="2017-09-15T10:04:23"/>
    <d v="2017-09-15T10:48:23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730.98"/>
    <m/>
    <x v="0"/>
  </r>
  <r>
    <s v="bca1691f-8839-1d66-7df8-7e2722678b2e"/>
    <d v="2017-09-27T07:39:55"/>
    <d v="2017-09-27T08:20:4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815.27"/>
    <m/>
    <x v="0"/>
  </r>
  <r>
    <s v="bca1691f-8839-1d66-f04b-5f9687923cd3"/>
    <d v="2017-10-25T07:39:55"/>
    <d v="2017-10-25T08:21:41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214.57"/>
    <n v="971.64"/>
    <m/>
    <x v="0"/>
  </r>
  <r>
    <s v="bca1691f-8839-1d66-2791-bf2facb3a78f"/>
    <d v="2017-11-08T06:39:55"/>
    <d v="2017-11-08T08:59:42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0ba9-26b71d990599"/>
    <d v="2018-01-24T06:39:55"/>
    <d v="2018-01-24T07:15:2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44a0-322acd1f2377"/>
    <d v="2018-02-07T06:39:55"/>
    <d v="2018-02-07T10:25:1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968.15"/>
    <n v="3174.52"/>
    <n v="103697008"/>
    <x v="3"/>
  </r>
  <r>
    <s v="bca1691f-8839-1d66-c933-fadd20531121"/>
    <d v="2018-02-28T06:39:55"/>
    <d v="2018-02-28T07:24:40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17.42"/>
    <n v="893.92"/>
    <m/>
    <x v="0"/>
  </r>
  <r>
    <s v="bca1691f-8839-1d66-f1a3-fb65aab9a11b"/>
    <d v="2018-03-28T07:39:55"/>
    <d v="2018-03-28T08:21:4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7079-2fe7b533b539"/>
    <d v="2018-04-04T07:39:55"/>
    <d v="2018-04-04T07:54:55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285.95999999999998"/>
    <n v="228.76"/>
    <m/>
    <x v="0"/>
  </r>
  <r>
    <s v="bca1691f-8839-1d66-5b0d-278cd02d6278"/>
    <d v="2018-04-11T07:39:55"/>
    <d v="2018-04-11T10:45:47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66383009"/>
    <x v="17"/>
  </r>
  <r>
    <s v="bca1691f-8839-1d66-ac1f-ef5e9dd25879"/>
    <d v="2018-04-25T07:39:55"/>
    <d v="2018-04-25T08:10:16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08.3"/>
    <n v="806.62"/>
    <m/>
    <x v="0"/>
  </r>
  <r>
    <s v="bca1691f-8839-1d66-7e84-e6880fdbc3a2"/>
    <d v="2018-05-02T07:39:55"/>
    <d v="2018-05-02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579.44000000000005"/>
    <n v="463.54"/>
    <m/>
    <x v="0"/>
  </r>
  <r>
    <s v="bca1691f-8839-1d66-62d0-52cd94b46edb"/>
    <d v="2018-05-09T07:39:55"/>
    <d v="2018-05-09T11:10:16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f96e-2b72189bb0ac"/>
    <d v="2018-05-16T07:39:55"/>
    <d v="2018-05-16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72e6-f895f571aa73"/>
    <d v="2018-06-27T07:39:55"/>
    <d v="2018-06-27T08:26:3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387.78"/>
    <n v="1110.21"/>
    <m/>
    <x v="0"/>
  </r>
  <r>
    <s v="bca1691f-8839-1d66-b56b-bfac18ed7ee6"/>
    <d v="2018-07-11T07:39:55"/>
    <d v="2018-07-11T10:13:01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9e60-de96bcfefa59"/>
    <d v="2018-07-25T07:39:55"/>
    <d v="2018-07-25T08:12:36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88"/>
    <n v="870.38"/>
    <m/>
    <x v="0"/>
  </r>
  <r>
    <s v="bca1691f-8839-1d66-9031-9c3749f3d03f"/>
    <d v="2018-08-08T07:39:55"/>
    <d v="2018-08-08T11:11:1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103697008"/>
    <x v="3"/>
  </r>
  <r>
    <s v="bca1691f-8839-1d66-812d-12aa3ceab865"/>
    <d v="2018-08-22T07:39:55"/>
    <d v="2018-08-22T08:28:4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12.1199999999999"/>
    <n v="889.68"/>
    <m/>
    <x v="0"/>
  </r>
  <r>
    <s v="bca1691f-8839-1d66-edd9-7f048bc3cd9a"/>
    <d v="2018-09-05T07:39:55"/>
    <d v="2018-09-05T10:59:45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dbdd-03263edaa1fd"/>
    <d v="2018-09-10T10:20:53"/>
    <d v="2018-09-10T11:04:53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bca1691f-8839-1d66-2de0-b868a4da82fa"/>
    <d v="2018-10-24T07:39:55"/>
    <d v="2018-10-24T08:15:0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79e6-cedf40af24d2"/>
    <d v="2018-11-07T06:39:55"/>
    <d v="2018-11-07T09:34:15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1651-920344da0d40"/>
    <d v="2018-11-21T06:39:55"/>
    <d v="2018-11-21T07:31:2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4768-2d5a8aa275a7"/>
    <d v="2018-12-19T06:39:55"/>
    <d v="2018-12-19T07:24:43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278"/>
    <n v="1022.38"/>
    <m/>
    <x v="0"/>
  </r>
  <r>
    <s v="bca1691f-8839-1d66-0a35-73d2f4fefb68"/>
    <d v="2019-02-20T06:39:55"/>
    <d v="2019-02-20T07:14:2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aa36-42dd19ebca13"/>
    <d v="2019-03-06T06:39:55"/>
    <d v="2019-03-06T13:52:36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5262.35"/>
    <n v="4209.88"/>
    <n v="66383009"/>
    <x v="17"/>
  </r>
  <r>
    <s v="bca1691f-8839-1d66-09a9-372081f14030"/>
    <d v="2019-03-09T06:39:55"/>
    <d v="2019-03-09T06:54:55"/>
    <s v="bca1691f-8839-1d66-ed01-471134d55738"/>
    <s v="ba07b31b-bf14-39b8-be95-4c5ca5062daa"/>
    <s v="e13638ea-c3c4-3fdf-a016-2d6c77f0f560"/>
    <s v="a735bf55-83e9-331a-899d-a82a60b9f60c"/>
    <x v="2"/>
    <n v="185345009"/>
    <s v="Encounter for symptom (procedure)"/>
    <n v="85.55"/>
    <n v="85.55"/>
    <n v="68.44"/>
    <n v="65363002"/>
    <x v="25"/>
  </r>
  <r>
    <s v="bca1691f-8839-1d66-f496-2a1b7799b7c5"/>
    <d v="2019-03-20T07:39:55"/>
    <d v="2019-03-20T08:17:10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ca443842-f546-d34c-78dd-6933ac5872b4"/>
    <d v="2004-01-24T04:55:21"/>
    <d v="2004-01-24T05:48:21"/>
    <s v="ca443842-f546-d34c-a69b-b044cfe007d9"/>
    <s v="4ba48ef6-19f2-3177-bfaf-096daaebf26a"/>
    <s v="a7c2ad87-10b5-34e5-9c3c-368743281a9d"/>
    <s v="e03e23c9-4df1-3eb6-a62d-f70f02301496"/>
    <x v="0"/>
    <n v="162673000"/>
    <s v="General examination of patient (procedure)"/>
    <n v="136.80000000000001"/>
    <n v="704.2"/>
    <n v="0"/>
    <m/>
    <x v="0"/>
  </r>
  <r>
    <s v="ca443842-f546-d34c-2eb4-2c2ccd8fb7a6"/>
    <d v="2009-04-11T05:55:21"/>
    <d v="2009-04-11T06:26:03"/>
    <s v="ca443842-f546-d34c-a69b-b044cfe007d9"/>
    <s v="cbebae9e-f95e-3d2c-9712-289ea8d6aeec"/>
    <s v="434991bc-4468-3955-a131-9a7e7d8409c0"/>
    <s v="26aab0cd-6aba-3e1b-ac5b-05c8867e762c"/>
    <x v="2"/>
    <n v="185349003"/>
    <s v="Encounter for check up (procedure)"/>
    <n v="85.55"/>
    <n v="1124.95"/>
    <n v="1124.95"/>
    <m/>
    <x v="0"/>
  </r>
  <r>
    <s v="ca443842-f546-d34c-0bc3-ff56dc50e36b"/>
    <d v="2014-02-15T04:55:21"/>
    <d v="2014-02-15T05:10:21"/>
    <s v="ca443842-f546-d34c-a69b-b044cfe007d9"/>
    <s v="cbebae9e-f95e-3d2c-9712-289ea8d6aeec"/>
    <s v="434991bc-4468-3955-a131-9a7e7d8409c0"/>
    <s v="26aab0cd-6aba-3e1b-ac5b-05c8867e762c"/>
    <x v="2"/>
    <n v="185347001"/>
    <s v="Encounter for problem (procedure)"/>
    <n v="85.55"/>
    <n v="85.55"/>
    <n v="0"/>
    <n v="82423001"/>
    <x v="33"/>
  </r>
  <r>
    <s v="ca443842-f546-d34c-93e1-11b27daf6b90"/>
    <d v="2014-04-12T05:55:21"/>
    <d v="2014-04-12T06:10:21"/>
    <s v="ca443842-f546-d34c-a69b-b044cfe007d9"/>
    <s v="cbebae9e-f95e-3d2c-9712-289ea8d6aeec"/>
    <s v="434991bc-4468-3955-a131-9a7e7d8409c0"/>
    <s v="26aab0cd-6aba-3e1b-ac5b-05c8867e762c"/>
    <x v="1"/>
    <n v="390906007"/>
    <s v="Follow-up encounter (procedure)"/>
    <n v="85.55"/>
    <n v="85.55"/>
    <n v="0"/>
    <n v="82423001"/>
    <x v="33"/>
  </r>
  <r>
    <s v="bca1691f-8839-1d66-9565-c90d117de173"/>
    <d v="2019-04-10T07:39:55"/>
    <d v="2019-04-10T08:25:50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1429.59"/>
    <n v="1143.6600000000001"/>
    <m/>
    <x v="0"/>
  </r>
  <r>
    <s v="ca443842-f546-d34c-8b59-e77f281dd648"/>
    <d v="2015-02-14T04:55:21"/>
    <d v="2015-02-14T05:32:05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371.22"/>
    <n v="0"/>
    <m/>
    <x v="0"/>
  </r>
  <r>
    <s v="ca443842-f546-d34c-f593-f43f46f0e5e1"/>
    <d v="2015-02-21T04:55:21"/>
    <d v="2015-02-21T06:02:37"/>
    <s v="ca443842-f546-d34c-a69b-b044cfe007d9"/>
    <s v="cbebae9e-f95e-3d2c-9712-289ea8d6aeec"/>
    <s v="434991bc-4468-3955-a131-9a7e7d8409c0"/>
    <s v="26aab0cd-6aba-3e1b-ac5b-05c8867e762c"/>
    <x v="1"/>
    <n v="185347001"/>
    <s v="Encounter for problem (procedure)"/>
    <n v="85.55"/>
    <n v="1706.26"/>
    <n v="0"/>
    <n v="271737000"/>
    <x v="32"/>
  </r>
  <r>
    <s v="ca443842-f546-d34c-2829-2ddca497185e"/>
    <d v="2016-02-20T04:55:21"/>
    <d v="2016-02-20T05:43:41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716.16"/>
    <n v="0"/>
    <m/>
    <x v="0"/>
  </r>
  <r>
    <s v="ca443842-f546-d34c-86da-1288ca0c653b"/>
    <d v="2016-09-11T06:11:39"/>
    <d v="2016-09-11T06:26:39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142.58000000000001"/>
    <n v="85.55"/>
    <n v="389095005"/>
    <x v="15"/>
  </r>
  <r>
    <s v="ca443842-f546-d34c-023c-2375a55615b1"/>
    <d v="2016-10-01T05:55:21"/>
    <d v="2016-10-01T06:10:21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3134.23"/>
    <n v="1880.54"/>
    <n v="389095005"/>
    <x v="15"/>
  </r>
  <r>
    <s v="ca443842-f546-d34c-5044-9f65e27701d8"/>
    <d v="2016-12-31T04:55:21"/>
    <d v="2016-12-31T05:10:21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2819.84"/>
    <n v="0"/>
    <n v="389095005"/>
    <x v="15"/>
  </r>
  <r>
    <s v="ca443842-f546-d34c-4661-6ae0c1eaed89"/>
    <d v="2017-02-25T04:55:21"/>
    <d v="2017-02-25T05:33:57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921.58"/>
    <n v="0"/>
    <m/>
    <x v="0"/>
  </r>
  <r>
    <s v="bca1691f-8839-1d66-5809-391c1a96ad57"/>
    <d v="2019-04-24T07:39:55"/>
    <d v="2019-04-24T08:23:0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08.3"/>
    <n v="806.62"/>
    <m/>
    <x v="0"/>
  </r>
  <r>
    <s v="ca443842-f546-d34c-d2d4-00c640d71b18"/>
    <d v="2017-04-01T05:55:21"/>
    <d v="2017-04-01T06:10:21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1323.37"/>
    <n v="0"/>
    <n v="389095005"/>
    <x v="15"/>
  </r>
  <r>
    <s v="ca443842-f546-d34c-4a3f-d0b83dae8dc5"/>
    <d v="2017-07-01T05:55:21"/>
    <d v="2017-07-01T06:14:24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1250.8499999999999"/>
    <n v="288.91000000000003"/>
    <n v="389095005"/>
    <x v="15"/>
  </r>
  <r>
    <s v="ca443842-f546-d34c-eec2-1f51a098d56a"/>
    <d v="2017-09-30T05:55:21"/>
    <d v="2017-09-30T06:12:27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2823.35"/>
    <n v="1694.01"/>
    <n v="389095005"/>
    <x v="15"/>
  </r>
  <r>
    <s v="ca443842-f546-d34c-4498-c45feb8fd940"/>
    <d v="2017-12-30T04:55:21"/>
    <d v="2017-12-30T05:13:48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1374.04"/>
    <n v="0"/>
    <n v="389095005"/>
    <x v="15"/>
  </r>
  <r>
    <s v="ca443842-f546-d34c-935e-84439a1e3aca"/>
    <d v="2018-03-03T04:55:21"/>
    <d v="2018-03-03T05:30:28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001.28"/>
    <n v="0"/>
    <m/>
    <x v="0"/>
  </r>
  <r>
    <s v="bca1691f-8839-1d66-c087-7d0b3e73f30d"/>
    <d v="2019-05-01T07:39:55"/>
    <d v="2019-05-01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ca443842-f546-d34c-e11a-12330e14a574"/>
    <d v="2018-04-21T05:55:21"/>
    <d v="2018-04-21T06:10:21"/>
    <s v="ca443842-f546-d34c-a69b-b044cfe007d9"/>
    <s v="cbebae9e-f95e-3d2c-9712-289ea8d6aeec"/>
    <s v="434991bc-4468-3955-a131-9a7e7d8409c0"/>
    <s v="26aab0cd-6aba-3e1b-ac5b-05c8867e762c"/>
    <x v="1"/>
    <n v="424441002"/>
    <s v="Prenatal initial visit (regime/therapy)"/>
    <n v="142.58000000000001"/>
    <n v="16326.3"/>
    <n v="7720.5"/>
    <n v="72892002"/>
    <x v="4"/>
  </r>
  <r>
    <s v="ca443842-f546-d34c-67c7-55378d696d18"/>
    <d v="2018-05-02T05:55:21"/>
    <d v="2018-05-02T06:10:21"/>
    <s v="ca443842-f546-d34c-a69b-b044cfe007d9"/>
    <s v="cbebae9e-f95e-3d2c-9712-289ea8d6aeec"/>
    <s v="434991bc-4468-3955-a131-9a7e7d8409c0"/>
    <s v="26aab0cd-6aba-3e1b-ac5b-05c8867e762c"/>
    <x v="1"/>
    <n v="270427003"/>
    <s v="Patient-initiated encounter (procedure)"/>
    <n v="85.55"/>
    <n v="13650.02"/>
    <n v="13650.02"/>
    <n v="72892002"/>
    <x v="4"/>
  </r>
  <r>
    <s v="ca443842-f546-d34c-3504-c85c28c8492a"/>
    <d v="2018-05-11T05:55:21"/>
    <d v="2018-05-11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1764.83"/>
    <n v="1764.83"/>
    <n v="72892002"/>
    <x v="4"/>
  </r>
  <r>
    <s v="bca1691f-8839-1d66-2f1d-104158a02fa7"/>
    <d v="2019-05-08T07:39:55"/>
    <d v="2019-05-08T09:59:39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2483-947c9364ca50"/>
    <d v="2019-05-22T07:39:55"/>
    <d v="2019-05-22T08:12:39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7f22-ea8c9dc1db5d"/>
    <d v="2019-05-29T07:39:55"/>
    <d v="2019-05-29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c139-17b48c2fd8c5"/>
    <d v="2019-06-05T07:39:55"/>
    <d v="2019-06-05T11:20:52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492b-ea4b4fad383f"/>
    <d v="2019-08-06T10:38:00"/>
    <d v="2019-08-06T11:22:00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ca443842-f546-d34c-1c02-f639b59c82fb"/>
    <d v="2018-09-01T06:11:39"/>
    <d v="2018-09-01T06:26:39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ca443842-f546-d34c-56ab-0614245c6ece"/>
    <d v="2019-03-09T04:55:21"/>
    <d v="2019-03-09T05:35:23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927.94"/>
    <n v="0"/>
    <m/>
    <x v="0"/>
  </r>
  <r>
    <s v="ca443842-f546-d34c-1cb1-2c8e21a8a6d5"/>
    <d v="2019-08-27T06:11:39"/>
    <d v="2019-08-27T06:26:39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ca443842-f546-d34c-cd0d-efc1886d2b52"/>
    <d v="2020-03-14T05:55:21"/>
    <d v="2020-03-14T06:25:46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785.58"/>
    <n v="0"/>
    <m/>
    <x v="0"/>
  </r>
  <r>
    <s v="ca443842-f546-d34c-4564-6c185b78a492"/>
    <d v="2020-03-28T05:55:21"/>
    <d v="2020-03-28T12:17:49"/>
    <s v="ca443842-f546-d34c-a69b-b044cfe007d9"/>
    <s v="cbebae9e-f95e-3d2c-9712-289ea8d6aeec"/>
    <s v="434991bc-4468-3955-a131-9a7e7d8409c0"/>
    <s v="26aab0cd-6aba-3e1b-ac5b-05c8867e762c"/>
    <x v="1"/>
    <n v="185349003"/>
    <s v="Encounter for check up (procedure)"/>
    <n v="85.55"/>
    <n v="4830.95"/>
    <n v="0"/>
    <n v="66383009"/>
    <x v="17"/>
  </r>
  <r>
    <s v="ca443842-f546-d34c-6b33-dda7fbc92032"/>
    <d v="2020-08-21T06:11:39"/>
    <d v="2020-08-21T06:26:39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142.58000000000001"/>
    <n v="85.55"/>
    <n v="389095005"/>
    <x v="15"/>
  </r>
  <r>
    <s v="ca443842-f546-d34c-3b47-9aa1948dc91a"/>
    <d v="2021-03-20T05:55:21"/>
    <d v="2021-03-20T06:25:40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785.58"/>
    <n v="0"/>
    <m/>
    <x v="0"/>
  </r>
  <r>
    <s v="bca1691f-8839-1d66-ba62-7ed3c82920e5"/>
    <d v="2019-08-21T07:39:55"/>
    <d v="2019-08-21T08:24:13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0636-da5709bcb44d"/>
    <d v="2019-09-04T07:39:55"/>
    <d v="2019-09-04T10:38:1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7b76-9286d2773b2b"/>
    <d v="2019-09-18T07:39:55"/>
    <d v="2019-09-18T08:17:0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20c0-dd5f284f5bb4"/>
    <d v="2019-10-02T07:39:55"/>
    <d v="2019-10-02T10:17:35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ca443842-f546-d34c-1f9f-0db65c3c45a0"/>
    <d v="2021-04-03T05:55:21"/>
    <d v="2021-04-03T09:24:37"/>
    <s v="ca443842-f546-d34c-a69b-b044cfe007d9"/>
    <s v="cbebae9e-f95e-3d2c-9712-289ea8d6aeec"/>
    <s v="434991bc-4468-3955-a131-9a7e7d8409c0"/>
    <s v="26aab0cd-6aba-3e1b-ac5b-05c8867e762c"/>
    <x v="1"/>
    <n v="185349003"/>
    <s v="Encounter for check up (procedure)"/>
    <n v="85.55"/>
    <n v="3105.35"/>
    <n v="0"/>
    <n v="103697008"/>
    <x v="3"/>
  </r>
  <r>
    <s v="ca443842-f546-d34c-7ab9-aafbfdb303dc"/>
    <d v="2021-08-16T06:11:39"/>
    <d v="2021-08-16T06:31:39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6503.52"/>
    <n v="2746.12"/>
    <n v="389095005"/>
    <x v="15"/>
  </r>
  <r>
    <s v="ca443842-f546-d34c-8db3-2614bd2e3488"/>
    <d v="2021-10-16T05:55:21"/>
    <d v="2021-10-16T06:10:21"/>
    <s v="ca443842-f546-d34c-a69b-b044cfe007d9"/>
    <s v="cbebae9e-f95e-3d2c-9712-289ea8d6aeec"/>
    <s v="434991bc-4468-3955-a131-9a7e7d8409c0"/>
    <s v="26aab0cd-6aba-3e1b-ac5b-05c8867e762c"/>
    <x v="2"/>
    <n v="33879002"/>
    <s v="Administration of vaccine to produce active immunity (procedure)"/>
    <n v="142.58000000000001"/>
    <n v="278.58"/>
    <n v="167.15"/>
    <m/>
    <x v="0"/>
  </r>
  <r>
    <s v="ca443842-f546-d34c-009d-9bdb1a81d3de"/>
    <d v="2021-11-06T05:55:21"/>
    <d v="2021-11-06T06:10:21"/>
    <s v="ca443842-f546-d34c-a69b-b044cfe007d9"/>
    <s v="cbebae9e-f95e-3d2c-9712-289ea8d6aeec"/>
    <s v="434991bc-4468-3955-a131-9a7e7d8409c0"/>
    <s v="26aab0cd-6aba-3e1b-ac5b-05c8867e762c"/>
    <x v="2"/>
    <n v="33879002"/>
    <s v="Administration of vaccine to produce active immunity (procedure)"/>
    <n v="142.58000000000001"/>
    <n v="278.58"/>
    <n v="167.15"/>
    <m/>
    <x v="0"/>
  </r>
  <r>
    <s v="ca443842-f546-d34c-e2b8-d0be116f778b"/>
    <d v="2022-03-26T05:55:21"/>
    <d v="2022-03-26T06:26:06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715.29"/>
    <n v="0"/>
    <m/>
    <x v="0"/>
  </r>
  <r>
    <s v="ca443842-f546-d34c-d926-108f4fe6c380"/>
    <d v="2022-04-09T05:55:21"/>
    <d v="2022-04-09T09:38:13"/>
    <s v="ca443842-f546-d34c-a69b-b044cfe007d9"/>
    <s v="cbebae9e-f95e-3d2c-9712-289ea8d6aeec"/>
    <s v="434991bc-4468-3955-a131-9a7e7d8409c0"/>
    <s v="26aab0cd-6aba-3e1b-ac5b-05c8867e762c"/>
    <x v="1"/>
    <n v="185349003"/>
    <s v="Encounter for check up (procedure)"/>
    <n v="85.55"/>
    <n v="3105.35"/>
    <n v="0"/>
    <n v="103697008"/>
    <x v="3"/>
  </r>
  <r>
    <s v="ca443842-f546-d34c-f3c4-fbada6a6c570"/>
    <d v="2022-08-11T06:31:39"/>
    <d v="2022-08-11T06:46:39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142.58000000000001"/>
    <n v="0"/>
    <n v="389095005"/>
    <x v="15"/>
  </r>
  <r>
    <s v="ca443842-f546-d34c-aa3a-183048090178"/>
    <d v="2022-09-14T09:55:21"/>
    <d v="2022-09-14T10:10:21"/>
    <s v="ca443842-f546-d34c-a69b-b044cfe007d9"/>
    <s v="cbebae9e-f95e-3d2c-9712-289ea8d6aeec"/>
    <s v="434991bc-4468-3955-a131-9a7e7d8409c0"/>
    <s v="26aab0cd-6aba-3e1b-ac5b-05c8867e762c"/>
    <x v="1"/>
    <n v="185345009"/>
    <s v="Encounter for symptom (procedure)"/>
    <n v="85.55"/>
    <n v="2657.8"/>
    <n v="1409.17"/>
    <n v="195662009"/>
    <x v="9"/>
  </r>
  <r>
    <s v="ca443842-f546-d34c-4ca5-06582f5a83c6"/>
    <d v="2022-12-03T04:55:21"/>
    <d v="2022-12-03T05:55:21"/>
    <s v="ca443842-f546-d34c-a69b-b044cfe007d9"/>
    <s v="db106514-f254-3402-b6a4-6d210c78c7e2"/>
    <s v="a60094bf-380b-36d3-98af-6b7ceff25052"/>
    <s v="26aab0cd-6aba-3e1b-ac5b-05c8867e762c"/>
    <x v="3"/>
    <n v="50849002"/>
    <s v="Emergency room admission (procedure)"/>
    <n v="146.18"/>
    <n v="20794.05"/>
    <n v="8823.01"/>
    <n v="196416002"/>
    <x v="27"/>
  </r>
  <r>
    <s v="ca443842-f546-d34c-6219-7091b2220784"/>
    <d v="2023-02-04T04:55:21"/>
    <d v="2023-02-04T05:26:44"/>
    <s v="ca443842-f546-d34c-a69b-b044cfe007d9"/>
    <s v="cbebae9e-f95e-3d2c-9712-289ea8d6aeec"/>
    <s v="434991bc-4468-3955-a131-9a7e7d8409c0"/>
    <s v="26aab0cd-6aba-3e1b-ac5b-05c8867e762c"/>
    <x v="2"/>
    <n v="308335008"/>
    <s v="Patient encounter procedure (procedure)"/>
    <n v="142.58000000000001"/>
    <n v="11360.39"/>
    <n v="11360.39"/>
    <n v="389095005"/>
    <x v="15"/>
  </r>
  <r>
    <s v="ca443842-f546-d34c-e4d9-0755c6923c4b"/>
    <d v="2023-03-25T05:55:21"/>
    <d v="2023-03-25T06:10:21"/>
    <s v="ca443842-f546-d34c-a69b-b044cfe007d9"/>
    <s v="cbebae9e-f95e-3d2c-9712-289ea8d6aeec"/>
    <s v="434991bc-4468-3955-a131-9a7e7d8409c0"/>
    <s v="26aab0cd-6aba-3e1b-ac5b-05c8867e762c"/>
    <x v="1"/>
    <n v="424441002"/>
    <s v="Prenatal initial visit (regime/therapy)"/>
    <n v="142.58000000000001"/>
    <n v="6453.97"/>
    <n v="6453.97"/>
    <n v="72892002"/>
    <x v="4"/>
  </r>
  <r>
    <s v="ca443842-f546-d34c-1d9e-ad488a49c2cd"/>
    <d v="2023-04-01T05:55:21"/>
    <d v="2023-04-01T06:45:22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497.39"/>
    <n v="1497.39"/>
    <m/>
    <x v="0"/>
  </r>
  <r>
    <s v="bca1691f-8839-1d66-53f3-b473b992586e"/>
    <d v="2019-10-11T10:26:42"/>
    <d v="2019-10-11T10:57:33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13214.05"/>
    <n v="10571.24"/>
    <n v="275978004"/>
    <x v="29"/>
  </r>
  <r>
    <s v="bca1691f-8839-1d66-ba0f-beb476038a1f"/>
    <d v="2019-10-16T07:39:55"/>
    <d v="2019-10-26T07:54:55"/>
    <s v="bca1691f-8839-1d66-ed01-471134d55738"/>
    <s v="fa34d205-5ac2-3ba2-80a4-bef345dc57f5"/>
    <s v="e990358f-c561-3daf-b157-5ba8214c85cd"/>
    <s v="a735bf55-83e9-331a-899d-a82a60b9f60c"/>
    <x v="5"/>
    <n v="305336008"/>
    <s v="Admission to hospice (procedure)"/>
    <n v="137.53"/>
    <n v="6608.53"/>
    <n v="5100.42"/>
    <n v="26929004"/>
    <x v="21"/>
  </r>
  <r>
    <s v="bca1691f-8839-1d66-4ca6-df2ab5a45f04"/>
    <d v="2019-11-20T06:39:55"/>
    <d v="2019-11-20T07:35:1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c230-d71581c52147"/>
    <d v="2019-12-18T06:39:55"/>
    <d v="2019-12-18T07:15:5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ca443842-f546-d34c-0c00-45c12b895f7e"/>
    <d v="2023-04-08T05:55:21"/>
    <d v="2023-04-08T06:10:21"/>
    <s v="ca443842-f546-d34c-a69b-b044cfe007d9"/>
    <s v="cbebae9e-f95e-3d2c-9712-289ea8d6aeec"/>
    <s v="434991bc-4468-3955-a131-9a7e7d8409c0"/>
    <s v="26aab0cd-6aba-3e1b-ac5b-05c8867e762c"/>
    <x v="1"/>
    <n v="270427003"/>
    <s v="Patient-initiated encounter (procedure)"/>
    <n v="85.55"/>
    <n v="5534.53"/>
    <n v="5534.53"/>
    <n v="72892002"/>
    <x v="4"/>
  </r>
  <r>
    <s v="ca443842-f546-d34c-09ab-ad42bd923fad"/>
    <d v="2023-04-24T05:55:21"/>
    <d v="2023-04-24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1443.68"/>
    <n v="1443.68"/>
    <n v="72892002"/>
    <x v="4"/>
  </r>
  <r>
    <s v="ca443842-f546-d34c-bb1e-a07155e1b996"/>
    <d v="2024-04-06T05:55:21"/>
    <d v="2024-04-06T06:36:03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069.06"/>
    <n v="0"/>
    <m/>
    <x v="0"/>
  </r>
  <r>
    <s v="ca443842-f546-d34c-db25-d8294caad4d3"/>
    <d v="2024-04-20T05:55:21"/>
    <d v="2024-04-20T08:22:14"/>
    <s v="ca443842-f546-d34c-a69b-b044cfe007d9"/>
    <s v="cbebae9e-f95e-3d2c-9712-289ea8d6aeec"/>
    <s v="434991bc-4468-3955-a131-9a7e7d8409c0"/>
    <s v="26aab0cd-6aba-3e1b-ac5b-05c8867e762c"/>
    <x v="1"/>
    <n v="185349003"/>
    <s v="Encounter for check up (procedure)"/>
    <n v="85.55"/>
    <n v="3105.35"/>
    <n v="0"/>
    <n v="103697008"/>
    <x v="3"/>
  </r>
  <r>
    <s v="ca443842-f546-d34c-1ed1-797181e589c6"/>
    <d v="2024-06-08T05:55:21"/>
    <d v="2024-06-08T06:10:21"/>
    <s v="ca443842-f546-d34c-a69b-b044cfe007d9"/>
    <s v="cbebae9e-f95e-3d2c-9712-289ea8d6aeec"/>
    <s v="434991bc-4468-3955-a131-9a7e7d8409c0"/>
    <s v="26aab0cd-6aba-3e1b-ac5b-05c8867e762c"/>
    <x v="1"/>
    <n v="424441002"/>
    <s v="Prenatal initial visit (regime/therapy)"/>
    <n v="142.58000000000001"/>
    <n v="36597.31"/>
    <n v="20962.57"/>
    <n v="72892002"/>
    <x v="4"/>
  </r>
  <r>
    <s v="ca443842-f546-d34c-a049-828be70bdd1a"/>
    <d v="2024-07-06T05:55:21"/>
    <d v="2024-07-06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8894.48"/>
    <n v="8894.48"/>
    <n v="72892002"/>
    <x v="4"/>
  </r>
  <r>
    <s v="bca1691f-8839-1d66-9b3e-21861e9c3c94"/>
    <d v="2020-01-15T06:39:55"/>
    <d v="2020-01-15T07:10:1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c701-29b284de2e4b"/>
    <d v="2020-02-12T06:39:55"/>
    <d v="2020-02-12T07:18:03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5024-6996753b0111"/>
    <d v="2020-02-26T06:39:55"/>
    <d v="2020-02-26T11:09:57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103697008"/>
    <x v="3"/>
  </r>
  <r>
    <s v="ca443842-f546-d34c-bbf3-b0c74d27e655"/>
    <d v="2024-08-03T05:55:21"/>
    <d v="2024-08-03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16156.03"/>
    <n v="16156.03"/>
    <n v="72892002"/>
    <x v="4"/>
  </r>
  <r>
    <s v="ca443842-f546-d34c-c7d0-c02f6b09d69f"/>
    <d v="2024-08-31T05:55:21"/>
    <d v="2024-08-31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13015.91"/>
    <n v="13015.91"/>
    <n v="72892002"/>
    <x v="4"/>
  </r>
  <r>
    <s v="ca443842-f546-d34c-fea5-8d19f72350fb"/>
    <d v="2024-09-28T05:55:21"/>
    <d v="2024-09-28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7446.26"/>
    <n v="7446.26"/>
    <n v="72892002"/>
    <x v="4"/>
  </r>
  <r>
    <s v="ca443842-f546-d34c-9829-611eeb8d019a"/>
    <d v="2024-10-26T05:55:21"/>
    <d v="2024-10-26T06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12384.76"/>
    <n v="12384.76"/>
    <n v="72892002"/>
    <x v="4"/>
  </r>
  <r>
    <s v="ca443842-f546-d34c-2165-35e92fe192b4"/>
    <d v="2024-11-23T04:55:21"/>
    <d v="2024-11-23T05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8308.3799999999992"/>
    <n v="8308.3799999999992"/>
    <n v="72892002"/>
    <x v="4"/>
  </r>
  <r>
    <s v="ca443842-f546-d34c-d724-1be86f1268ae"/>
    <d v="2024-12-21T04:55:21"/>
    <d v="2024-12-21T05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8732.23"/>
    <n v="1582.94"/>
    <n v="72892002"/>
    <x v="4"/>
  </r>
  <r>
    <s v="ca443842-f546-d34c-aba2-c6568dd1c2e2"/>
    <d v="2025-01-04T04:55:21"/>
    <d v="2025-01-04T05:10:21"/>
    <s v="ca443842-f546-d34c-a69b-b044cfe007d9"/>
    <s v="cbebae9e-f95e-3d2c-9712-289ea8d6aeec"/>
    <s v="434991bc-4468-3955-a131-9a7e7d8409c0"/>
    <s v="26aab0cd-6aba-3e1b-ac5b-05c8867e762c"/>
    <x v="1"/>
    <n v="424619006"/>
    <s v="Prenatal visit (regime/therapy)"/>
    <n v="142.58000000000001"/>
    <n v="8125.93"/>
    <n v="4875.5600000000004"/>
    <n v="72892002"/>
    <x v="4"/>
  </r>
  <r>
    <s v="ca443842-f546-d34c-9cce-6a8518e0c565"/>
    <d v="2025-01-11T04:55:21"/>
    <d v="2025-01-11T05:55:21"/>
    <s v="ca443842-f546-d34c-a69b-b044cfe007d9"/>
    <s v="db106514-f254-3402-b6a4-6d210c78c7e2"/>
    <s v="a60094bf-380b-36d3-98af-6b7ceff25052"/>
    <s v="26aab0cd-6aba-3e1b-ac5b-05c8867e762c"/>
    <x v="3"/>
    <n v="183460006"/>
    <s v="Obstetric emergency hospital admission (procedure)"/>
    <n v="146.18"/>
    <n v="4028.78"/>
    <n v="4028.78"/>
    <n v="72892002"/>
    <x v="4"/>
  </r>
  <r>
    <s v="ca443842-f546-d34c-44fc-0946c646c698"/>
    <d v="2025-01-14T21:55:21"/>
    <d v="2025-01-14T22:10:21"/>
    <s v="ca443842-f546-d34c-a69b-b044cfe007d9"/>
    <s v="cbebae9e-f95e-3d2c-9712-289ea8d6aeec"/>
    <s v="434991bc-4468-3955-a131-9a7e7d8409c0"/>
    <s v="26aab0cd-6aba-3e1b-ac5b-05c8867e762c"/>
    <x v="1"/>
    <n v="185345009"/>
    <s v="Encounter for symptom (procedure)"/>
    <n v="85.55"/>
    <n v="85.55"/>
    <n v="85.55"/>
    <n v="195662009"/>
    <x v="9"/>
  </r>
  <r>
    <s v="ca443842-f546-d34c-941f-5dcd87d8b69d"/>
    <d v="2025-02-22T04:55:21"/>
    <d v="2025-02-22T05:10:21"/>
    <s v="ca443842-f546-d34c-a69b-b044cfe007d9"/>
    <s v="cbebae9e-f95e-3d2c-9712-289ea8d6aeec"/>
    <s v="434991bc-4468-3955-a131-9a7e7d8409c0"/>
    <s v="26aab0cd-6aba-3e1b-ac5b-05c8867e762c"/>
    <x v="1"/>
    <n v="169762003"/>
    <s v="Postnatal visit (regime/therapy)"/>
    <n v="142.58000000000001"/>
    <n v="1005.38"/>
    <n v="1005.38"/>
    <m/>
    <x v="0"/>
  </r>
  <r>
    <s v="ca443842-f546-d34c-da5d-31ed4b677dcf"/>
    <d v="2025-03-01T04:55:21"/>
    <d v="2025-03-01T05:10:21"/>
    <s v="ca443842-f546-d34c-a69b-b044cfe007d9"/>
    <s v="cbebae9e-f95e-3d2c-9712-289ea8d6aeec"/>
    <s v="434991bc-4468-3955-a131-9a7e7d8409c0"/>
    <s v="26aab0cd-6aba-3e1b-ac5b-05c8867e762c"/>
    <x v="2"/>
    <n v="698314001"/>
    <s v="Consultation for treatment (procedure)"/>
    <n v="142.58000000000001"/>
    <n v="142.58000000000001"/>
    <n v="142.58000000000001"/>
    <n v="389095005"/>
    <x v="15"/>
  </r>
  <r>
    <s v="ca443842-f546-d34c-7998-191bb88e4a91"/>
    <d v="2025-04-12T05:55:21"/>
    <d v="2025-04-12T06:29:14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860.16"/>
    <n v="860.16"/>
    <m/>
    <x v="0"/>
  </r>
  <r>
    <s v="ca443842-f546-d34c-8c9f-ce74ca32bfb7"/>
    <d v="2025-04-26T05:55:21"/>
    <d v="2025-04-26T08:58:14"/>
    <s v="ca443842-f546-d34c-a69b-b044cfe007d9"/>
    <s v="cbebae9e-f95e-3d2c-9712-289ea8d6aeec"/>
    <s v="434991bc-4468-3955-a131-9a7e7d8409c0"/>
    <s v="26aab0cd-6aba-3e1b-ac5b-05c8867e762c"/>
    <x v="1"/>
    <n v="185349003"/>
    <s v="Encounter for check up (procedure)"/>
    <n v="85.55"/>
    <n v="3105.35"/>
    <n v="3105.35"/>
    <n v="66383009"/>
    <x v="17"/>
  </r>
  <r>
    <s v="ca443842-f546-d34c-faaf-940d102349c5"/>
    <d v="2025-05-03T05:55:21"/>
    <d v="2025-05-03T06:10:21"/>
    <s v="ca443842-f546-d34c-a69b-b044cfe007d9"/>
    <s v="cbebae9e-f95e-3d2c-9712-289ea8d6aeec"/>
    <s v="434991bc-4468-3955-a131-9a7e7d8409c0"/>
    <s v="26aab0cd-6aba-3e1b-ac5b-05c8867e762c"/>
    <x v="1"/>
    <n v="185345009"/>
    <s v="Encounter for symptom (procedure)"/>
    <n v="85.55"/>
    <n v="85.55"/>
    <n v="85.55"/>
    <n v="444814009"/>
    <x v="2"/>
  </r>
  <r>
    <s v="ca443842-f546-d34c-1e60-c14ba2d3a65e"/>
    <d v="2026-04-18T05:55:21"/>
    <d v="2026-04-18T06:52:16"/>
    <s v="ca443842-f546-d34c-a69b-b044cfe007d9"/>
    <s v="4ba48ef6-19f2-3177-bfaf-096daaebf26a"/>
    <s v="a7c2ad87-10b5-34e5-9c3c-368743281a9d"/>
    <s v="26aab0cd-6aba-3e1b-ac5b-05c8867e762c"/>
    <x v="0"/>
    <n v="162673000"/>
    <s v="General examination of patient (procedure)"/>
    <n v="136.80000000000001"/>
    <n v="1340.99"/>
    <n v="0"/>
    <m/>
    <x v="0"/>
  </r>
  <r>
    <s v="bca1691f-8839-1d66-55e7-7676bd991e74"/>
    <d v="2020-03-18T07:39:55"/>
    <d v="2020-03-18T08:11:21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678.07"/>
    <n v="1342.44"/>
    <m/>
    <x v="0"/>
  </r>
  <r>
    <s v="bca1691f-8839-1d66-9bbb-6888e099e6d3"/>
    <d v="2020-04-01T07:39:55"/>
    <d v="2020-04-01T10:57:30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133d-d87ddfb5271d"/>
    <d v="2020-04-15T07:39:55"/>
    <d v="2020-04-15T08:23:37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1865.32"/>
    <n v="1492.24"/>
    <m/>
    <x v="0"/>
  </r>
  <r>
    <s v="bca1691f-8839-1d66-fab1-5567381bfd67"/>
    <d v="2020-04-22T07:39:55"/>
    <d v="2020-04-22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bca1691f-8839-1d66-2650-ca137669c4ba"/>
    <d v="2020-04-29T07:39:55"/>
    <d v="2020-04-29T10:56:59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af1c-98b639a139ce"/>
    <d v="2020-05-13T07:39:55"/>
    <d v="2020-05-13T08:15:39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12d0-0797bc627a17"/>
    <d v="2020-05-28T07:39:55"/>
    <d v="2020-05-28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e43b-18109c66ecf6"/>
    <d v="2020-06-17T07:39:55"/>
    <d v="2020-06-17T08:35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678.07"/>
    <n v="1342.44"/>
    <m/>
    <x v="0"/>
  </r>
  <r>
    <s v="bca1691f-8839-1d66-5689-29e1e4135b6b"/>
    <d v="2020-07-01T07:39:55"/>
    <d v="2020-07-01T10:43:50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4efc-29054f40a6ad"/>
    <d v="2020-07-15T07:39:55"/>
    <d v="2020-07-15T08:20:0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e85b-e318f6c0e229"/>
    <d v="2020-07-29T07:39:55"/>
    <d v="2020-07-29T13:47:0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4399.55"/>
    <n v="3519.64"/>
    <n v="66383009"/>
    <x v="17"/>
  </r>
  <r>
    <s v="bca1691f-8839-1d66-0c80-a06b6fe7e5dd"/>
    <d v="2020-07-31T10:56:17"/>
    <d v="2020-07-31T11:40:17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bca1691f-8839-1d66-c6d9-35bbe965ec0f"/>
    <d v="2020-09-09T07:39:55"/>
    <d v="2020-09-09T08:28:0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81.29"/>
    <n v="945.01"/>
    <m/>
    <x v="0"/>
  </r>
  <r>
    <s v="bca1691f-8839-1d66-4d8a-af4235a5e11c"/>
    <d v="2020-09-16T07:39:55"/>
    <d v="2020-09-16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507.44"/>
    <n v="405.94"/>
    <m/>
    <x v="0"/>
  </r>
  <r>
    <s v="bca1691f-8839-1d66-3f52-cb99804d074c"/>
    <d v="2020-09-23T07:39:55"/>
    <d v="2020-09-23T08:19:22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37ca-93a8ed04c54b"/>
    <d v="2020-09-30T07:39:55"/>
    <d v="2020-09-30T09:57:25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454d-2ad851b8aab8"/>
    <d v="2020-10-07T07:39:55"/>
    <d v="2020-10-07T07:54:55"/>
    <s v="bca1691f-8839-1d66-ed01-471134d55738"/>
    <s v="ba07b31b-bf14-39b8-be95-4c5ca5062daa"/>
    <s v="e13638ea-c3c4-3fdf-a016-2d6c77f0f560"/>
    <s v="a735bf55-83e9-331a-899d-a82a60b9f60c"/>
    <x v="1"/>
    <n v="185345009"/>
    <s v="Encounter for symptom (procedure)"/>
    <n v="85.55"/>
    <n v="85.55"/>
    <n v="68.44"/>
    <n v="444814009"/>
    <x v="2"/>
  </r>
  <r>
    <s v="bca1691f-8839-1d66-9422-0adc478df70b"/>
    <d v="2020-10-14T07:39:55"/>
    <d v="2020-10-14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875.9"/>
    <n v="700.7"/>
    <m/>
    <x v="0"/>
  </r>
  <r>
    <s v="bca1691f-8839-1d66-4f82-05389f746de6"/>
    <d v="2020-10-21T07:39:55"/>
    <d v="2020-10-21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507.44"/>
    <n v="405.94"/>
    <m/>
    <x v="0"/>
  </r>
  <r>
    <s v="bca1691f-8839-1d66-c3ef-792605071b5e"/>
    <d v="2020-10-28T07:39:55"/>
    <d v="2020-10-28T08:17:5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a547-a6f13eb6dd52"/>
    <d v="2020-11-11T06:39:55"/>
    <d v="2020-11-11T09:28:0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6b14-889a125e7318"/>
    <d v="2021-01-13T06:39:55"/>
    <d v="2021-01-13T07:10:1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88"/>
    <n v="870.38"/>
    <m/>
    <x v="0"/>
  </r>
  <r>
    <s v="bca1691f-8839-1d66-7f90-2a6a88d65ae0"/>
    <d v="2021-02-10T06:39:55"/>
    <d v="2021-02-10T07:17:03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89.85"/>
    <n v="711.86"/>
    <m/>
    <x v="0"/>
  </r>
  <r>
    <s v="bca1691f-8839-1d66-aba8-c4649f2a53be"/>
    <d v="2021-02-17T06:39:55"/>
    <d v="2021-02-17T06:54:55"/>
    <s v="bca1691f-8839-1d66-ed01-471134d55738"/>
    <s v="ba07b31b-bf14-39b8-be95-4c5ca5062daa"/>
    <s v="e13638ea-c3c4-3fdf-a016-2d6c77f0f560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bca1691f-8839-1d66-724b-feffbdb93ca8"/>
    <d v="2021-03-17T07:39:55"/>
    <d v="2021-03-17T07:54:55"/>
    <s v="bca1691f-8839-1d66-ed01-471134d55738"/>
    <s v="ba07b31b-bf14-39b8-be95-4c5ca5062daa"/>
    <s v="e13638ea-c3c4-3fdf-a016-2d6c77f0f560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bca1691f-8839-1d66-bdf3-e613d29da0d1"/>
    <d v="2021-04-07T07:39:55"/>
    <d v="2021-04-07T08:24:17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45.6099999999999"/>
    <n v="916.47"/>
    <m/>
    <x v="0"/>
  </r>
  <r>
    <s v="bca1691f-8839-1d66-e75f-c1573720a806"/>
    <d v="2021-04-21T07:39:55"/>
    <d v="2021-04-21T08:35:47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1002.52"/>
    <n v="802"/>
    <m/>
    <x v="0"/>
  </r>
  <r>
    <s v="bca1691f-8839-1d66-696c-410cd6aa3534"/>
    <d v="2021-05-05T07:39:55"/>
    <d v="2021-05-05T10:58:32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66383009"/>
    <x v="17"/>
  </r>
  <r>
    <s v="bca1691f-8839-1d66-f8eb-e1b017f67e3f"/>
    <d v="2021-05-28T07:39:55"/>
    <d v="2021-05-28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6fc0-1f7fbf2b3186"/>
    <d v="2021-06-09T07:39:55"/>
    <d v="2021-06-09T08:34:22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7a4f-f913a3d9785f"/>
    <d v="2021-06-23T07:39:55"/>
    <d v="2021-06-23T14:11:40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4830.95"/>
    <n v="3864.76"/>
    <n v="66383009"/>
    <x v="17"/>
  </r>
  <r>
    <s v="bca1691f-8839-1d66-47d4-896292c7b4eb"/>
    <d v="2021-06-26T11:13:22"/>
    <d v="2021-06-26T11:57:22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bca1691f-8839-1d66-0518-10771ae0b593"/>
    <d v="2021-07-07T07:39:55"/>
    <d v="2021-07-07T08:34:06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add4-d563b226e54b"/>
    <d v="2021-07-14T07:39:55"/>
    <d v="2021-07-14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97.51"/>
    <n v="878"/>
    <m/>
    <x v="0"/>
  </r>
  <r>
    <s v="bca1691f-8839-1d66-ff2a-6d5fe62f01ba"/>
    <d v="2021-09-08T07:39:55"/>
    <d v="2021-09-08T08:36:59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235e-3077973cd942"/>
    <d v="2021-10-06T07:39:55"/>
    <d v="2021-10-06T08:31:56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9af5-32dea394ed1e"/>
    <d v="2021-12-08T06:39:55"/>
    <d v="2021-12-08T07:30:04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e73a-cd4ec2f916d9"/>
    <d v="2022-01-05T06:39:55"/>
    <d v="2022-01-05T07:37:2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97.53"/>
    <n v="878"/>
    <m/>
    <x v="0"/>
  </r>
  <r>
    <s v="bca1691f-8839-1d66-4328-3e3683b5ddd0"/>
    <d v="2022-02-02T06:39:55"/>
    <d v="2022-02-02T07:32:16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692a-73648db0dc84"/>
    <d v="2022-03-09T06:39:55"/>
    <d v="2022-03-09T07:17:16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510.24"/>
    <n v="1208.17"/>
    <m/>
    <x v="0"/>
  </r>
  <r>
    <s v="bca1691f-8839-1d66-42dc-1461331904f4"/>
    <d v="2022-04-06T07:39:55"/>
    <d v="2022-04-06T08:30:50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bca1691f-8839-1d66-07db-c837b4ac51c9"/>
    <d v="2022-04-27T07:39:55"/>
    <d v="2022-04-27T08:27:31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1002.52"/>
    <n v="802"/>
    <m/>
    <x v="0"/>
  </r>
  <r>
    <s v="bca1691f-8839-1d66-f919-d6cf0710081a"/>
    <d v="2022-05-11T07:39:55"/>
    <d v="2022-05-11T11:52:03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6e27-d91448a86999"/>
    <d v="2022-05-28T07:39:55"/>
    <d v="2022-05-28T10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m/>
    <x v="0"/>
  </r>
  <r>
    <s v="bca1691f-8839-1d66-ae83-62a6756b355c"/>
    <d v="2022-05-28T10:41:55"/>
    <d v="2022-05-28T10:5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m/>
    <x v="0"/>
  </r>
  <r>
    <s v="bca1691f-8839-1d66-3d96-ad36b8fe3c5b"/>
    <d v="2022-05-31T10:41:55"/>
    <d v="2022-05-31T13:2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m/>
    <x v="0"/>
  </r>
  <r>
    <s v="bca1691f-8839-1d66-2863-7057eba54540"/>
    <d v="2022-05-28T07:39:55"/>
    <d v="2022-05-28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df09-2f61ae6213a2"/>
    <d v="2022-06-03T13:24:55"/>
    <d v="2022-06-03T17:1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m/>
    <x v="0"/>
  </r>
  <r>
    <s v="bca1691f-8839-1d66-4af9-bc382e6b3f3a"/>
    <d v="2022-06-06T17:18:55"/>
    <d v="2022-06-06T20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m/>
    <x v="0"/>
  </r>
  <r>
    <s v="bca1691f-8839-1d66-f033-17afcd8c29fe"/>
    <d v="2022-06-09T20:41:55"/>
    <d v="2022-06-09T23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78.19000000000005"/>
    <n v="462.55"/>
    <m/>
    <x v="0"/>
  </r>
  <r>
    <s v="bca1691f-8839-1d66-d9dc-ec28e0597303"/>
    <d v="2022-06-12T23:41:55"/>
    <d v="2022-06-13T02:3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674.28"/>
    <n v="1339.42"/>
    <m/>
    <x v="0"/>
  </r>
  <r>
    <s v="bca1691f-8839-1d66-d2b0-4f25bf848b1b"/>
    <d v="2022-06-21T11:29:45"/>
    <d v="2022-06-21T12:13:45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bca1691f-8839-1d66-dc1f-3d4ab2ddd09e"/>
    <d v="2022-06-16T02:38:55"/>
    <d v="2022-06-16T05:1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40.11"/>
    <n v="672.09"/>
    <m/>
    <x v="0"/>
  </r>
  <r>
    <s v="bca1691f-8839-1d66-796d-1a1ff1496f43"/>
    <d v="2022-06-19T05:19:55"/>
    <d v="2022-06-19T07:4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633.9"/>
    <n v="507.12"/>
    <m/>
    <x v="0"/>
  </r>
  <r>
    <s v="bca1691f-8839-1d66-2e9f-3849b237e356"/>
    <d v="2022-06-22T07:42:55"/>
    <d v="2022-06-22T10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m/>
    <x v="0"/>
  </r>
  <r>
    <s v="bca1691f-8839-1d66-e9b9-6cad1156ce8e"/>
    <d v="2022-06-25T10:41:55"/>
    <d v="2022-06-25T13:1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m/>
    <x v="0"/>
  </r>
  <r>
    <s v="bca1691f-8839-1d66-894c-5a4afafa9eba"/>
    <d v="2022-06-28T13:14:55"/>
    <d v="2022-06-28T16:2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01.58"/>
    <n v="721.26"/>
    <m/>
    <x v="0"/>
  </r>
  <r>
    <s v="bca1691f-8839-1d66-0b58-63472cf0d9bf"/>
    <d v="2022-06-28T16:28:55"/>
    <d v="2022-06-28T16:4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m/>
    <x v="0"/>
  </r>
  <r>
    <s v="bca1691f-8839-1d66-ca93-8a3acd49ab55"/>
    <d v="2022-06-24T07:39:55"/>
    <d v="2022-06-24T08:38:32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666.11"/>
    <n v="532.88"/>
    <m/>
    <x v="0"/>
  </r>
  <r>
    <s v="bca1691f-8839-1d66-f5fa-bc0252b671aa"/>
    <d v="2022-07-06T07:39:55"/>
    <d v="2022-07-06T08:23:00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bb55-56bf1d0c5260"/>
    <d v="2022-07-13T07:39:55"/>
    <d v="2022-07-13T09:4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22.54"/>
    <n v="738.03"/>
    <n v="431857002"/>
    <x v="84"/>
  </r>
  <r>
    <s v="bca1691f-8839-1d66-57fd-a68f2793ac43"/>
    <d v="2022-07-16T09:40:55"/>
    <d v="2022-07-16T12:3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9.64"/>
    <n v="431.71"/>
    <n v="431857002"/>
    <x v="84"/>
  </r>
  <r>
    <s v="bca1691f-8839-1d66-e9db-7432c952ba1a"/>
    <d v="2022-07-19T12:38:55"/>
    <d v="2022-07-19T15:2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670.92"/>
    <n v="536.74"/>
    <n v="431857002"/>
    <x v="84"/>
  </r>
  <r>
    <s v="bca1691f-8839-1d66-0eb7-79da71ce665f"/>
    <d v="2022-07-27T07:39:55"/>
    <d v="2022-07-27T10:52:42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e8f6-c2ddac51b98b"/>
    <d v="2022-08-03T07:39:55"/>
    <d v="2022-08-03T09:4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53.61"/>
    <n v="762.89"/>
    <n v="431857002"/>
    <x v="84"/>
  </r>
  <r>
    <s v="5693c080-f485-91e7-4d6c-b39b1579caee"/>
    <d v="1991-05-19T19:50:14"/>
    <d v="1991-05-19T20:28:54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704.2"/>
    <n v="0"/>
    <m/>
    <x v="0"/>
  </r>
  <r>
    <s v="bca1691f-8839-1d66-56f7-1730da1c42ac"/>
    <d v="2022-08-03T09:49:55"/>
    <d v="2022-08-03T10:0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4533-c0538f2b28d4"/>
    <d v="1995-05-28T19:50:14"/>
    <d v="1995-05-28T20:24:43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1503.05"/>
    <n v="0"/>
    <m/>
    <x v="0"/>
  </r>
  <r>
    <s v="5693c080-f485-91e7-b1f0-289af62b1d07"/>
    <d v="1998-05-31T19:50:14"/>
    <d v="1998-05-31T20:26:19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1368.57"/>
    <n v="0"/>
    <m/>
    <x v="0"/>
  </r>
  <r>
    <s v="5693c080-f485-91e7-d551-b4f8563a4bd8"/>
    <d v="2003-12-25T18:50:14"/>
    <d v="2003-12-25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8550.65"/>
    <n v="0"/>
    <n v="196416002"/>
    <x v="27"/>
  </r>
  <r>
    <s v="5693c080-f485-91e7-e02b-5ffa119e99eb"/>
    <d v="2013-03-31T19:50:14"/>
    <d v="2013-03-31T20:40:13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996.16"/>
    <n v="0"/>
    <m/>
    <x v="0"/>
  </r>
  <r>
    <s v="5693c080-f485-91e7-fdd9-76b03dda82f4"/>
    <d v="2015-04-12T19:50:14"/>
    <d v="2015-04-12T20:26:41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785.58"/>
    <n v="0"/>
    <m/>
    <x v="0"/>
  </r>
  <r>
    <s v="bca1691f-8839-1d66-28ff-4c87db011f86"/>
    <d v="2022-08-06T09:49:55"/>
    <d v="2022-08-06T13:0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83.54999999999995"/>
    <n v="466.84"/>
    <n v="431857002"/>
    <x v="84"/>
  </r>
  <r>
    <s v="5693c080-f485-91e7-fe53-5e8b40e60bbc"/>
    <d v="2016-04-17T19:50:14"/>
    <d v="2016-04-17T20:34:08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778.78"/>
    <n v="0"/>
    <m/>
    <x v="0"/>
  </r>
  <r>
    <s v="5693c080-f485-91e7-0f9b-348962beab27"/>
    <d v="2016-12-22T08:50:14"/>
    <d v="2016-12-22T09:11:16"/>
    <s v="5693c080-f485-91e7-54b9-ad9a8c12af62"/>
    <s v="53f086de-2fc7-3d35-92c2-aca4ed944e7f"/>
    <s v="5797d1e8-b8c3-3a27-8d36-d93242f3bd12"/>
    <s v="e03e23c9-4df1-3eb6-a62d-f70f02301496"/>
    <x v="1"/>
    <n v="185345009"/>
    <s v="Encounter for symptom (procedure)"/>
    <n v="85.55"/>
    <n v="120.06"/>
    <n v="0"/>
    <n v="10509002"/>
    <x v="1"/>
  </r>
  <r>
    <s v="bca1691f-8839-1d66-674d-3dc8cf940f34"/>
    <d v="2022-08-09T13:03:55"/>
    <d v="2022-08-09T15:1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71d5-aa84c2a5fac7"/>
    <d v="2017-01-01T18:50:14"/>
    <d v="2017-01-01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944.12"/>
    <n v="0"/>
    <m/>
    <x v="0"/>
  </r>
  <r>
    <s v="bca1691f-8839-1d66-2df7-64a60ddc92f4"/>
    <d v="2022-08-17T07:39:55"/>
    <d v="2022-08-17T08:27:4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89e2-6783bb97e4bd"/>
    <d v="2017-01-15T18:50:14"/>
    <d v="2017-01-15T22:14:34"/>
    <s v="5693c080-f485-91e7-54b9-ad9a8c12af62"/>
    <s v="53f086de-2fc7-3d35-92c2-aca4ed944e7f"/>
    <s v="5797d1e8-b8c3-3a27-8d36-d93242f3bd12"/>
    <s v="e03e23c9-4df1-3eb6-a62d-f70f02301496"/>
    <x v="1"/>
    <n v="185349003"/>
    <s v="Encounter for check up (procedure)"/>
    <n v="85.55"/>
    <n v="3536.75"/>
    <n v="0"/>
    <n v="103697008"/>
    <x v="3"/>
  </r>
  <r>
    <s v="5693c080-f485-91e7-b60b-1358639543c0"/>
    <d v="2017-04-23T19:50:14"/>
    <d v="2017-04-23T20:39:39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866.52"/>
    <n v="0"/>
    <m/>
    <x v="0"/>
  </r>
  <r>
    <s v="bca1691f-8839-1d66-e6ee-293d125bd7da"/>
    <d v="2022-08-24T07:39:55"/>
    <d v="2022-08-24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5693c080-f485-91e7-a5ca-fd711e26862e"/>
    <d v="2017-05-07T19:50:14"/>
    <d v="2017-05-07T23:12:03"/>
    <s v="5693c080-f485-91e7-54b9-ad9a8c12af62"/>
    <s v="53f086de-2fc7-3d35-92c2-aca4ed944e7f"/>
    <s v="5797d1e8-b8c3-3a27-8d36-d93242f3bd12"/>
    <s v="e03e23c9-4df1-3eb6-a62d-f70f02301496"/>
    <x v="1"/>
    <n v="185349003"/>
    <s v="Encounter for check up (procedure)"/>
    <n v="85.55"/>
    <n v="3105.35"/>
    <n v="0"/>
    <n v="66383009"/>
    <x v="17"/>
  </r>
  <r>
    <s v="bca1691f-8839-1d66-71de-305450b619a9"/>
    <d v="2022-08-31T07:39:55"/>
    <d v="2022-08-31T08:34:14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88"/>
    <n v="870.38"/>
    <m/>
    <x v="0"/>
  </r>
  <r>
    <s v="5693c080-f485-91e7-fd5f-192ce65dca7d"/>
    <d v="2017-09-03T19:50:14"/>
    <d v="2017-09-03T20:22:07"/>
    <s v="5693c080-f485-91e7-54b9-ad9a8c12af62"/>
    <s v="53f086de-2fc7-3d35-92c2-aca4ed944e7f"/>
    <s v="5797d1e8-b8c3-3a27-8d36-d93242f3bd12"/>
    <s v="e03e23c9-4df1-3eb6-a62d-f70f02301496"/>
    <x v="2"/>
    <n v="185349003"/>
    <s v="Encounter for check up (procedure)"/>
    <n v="85.55"/>
    <n v="1401.31"/>
    <n v="0"/>
    <m/>
    <x v="0"/>
  </r>
  <r>
    <s v="5693c080-f485-91e7-c38f-c0f011d6753e"/>
    <d v="2017-09-17T19:50:14"/>
    <d v="2017-09-17T23:13:16"/>
    <s v="5693c080-f485-91e7-54b9-ad9a8c12af62"/>
    <s v="53f086de-2fc7-3d35-92c2-aca4ed944e7f"/>
    <s v="5797d1e8-b8c3-3a27-8d36-d93242f3bd12"/>
    <s v="e03e23c9-4df1-3eb6-a62d-f70f02301496"/>
    <x v="1"/>
    <n v="185349003"/>
    <s v="Encounter for check up (procedure)"/>
    <n v="85.55"/>
    <n v="3105.35"/>
    <n v="0"/>
    <n v="66383009"/>
    <x v="17"/>
  </r>
  <r>
    <s v="5693c080-f485-91e7-93ff-ef1d9821fe5c"/>
    <d v="2018-04-29T19:50:14"/>
    <d v="2018-04-29T20:46:14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1002.52"/>
    <n v="0"/>
    <m/>
    <x v="0"/>
  </r>
  <r>
    <s v="bca1691f-8839-1d66-2c19-61101c366613"/>
    <d v="2022-09-07T07:39:55"/>
    <d v="2022-09-07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bca1691f-8839-1d66-5184-8e23a33b484f"/>
    <d v="2022-09-14T07:39:55"/>
    <d v="2022-09-14T10:05:45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5693c080-f485-91e7-5727-ac22739913a3"/>
    <d v="2018-09-30T19:50:14"/>
    <d v="2018-09-30T20:47:44"/>
    <s v="5693c080-f485-91e7-54b9-ad9a8c12af62"/>
    <s v="53f086de-2fc7-3d35-92c2-aca4ed944e7f"/>
    <s v="5797d1e8-b8c3-3a27-8d36-d93242f3bd12"/>
    <s v="e03e23c9-4df1-3eb6-a62d-f70f02301496"/>
    <x v="2"/>
    <n v="185349003"/>
    <s v="Encounter for check up (procedure)"/>
    <n v="85.55"/>
    <n v="1739.49"/>
    <n v="0"/>
    <m/>
    <x v="0"/>
  </r>
  <r>
    <s v="bca1691f-8839-1d66-9180-dba06db668a2"/>
    <d v="2022-09-21T07:39:55"/>
    <d v="2022-09-21T10:2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0f5d-34d0ed1f7044"/>
    <d v="2022-09-21T10:23:55"/>
    <d v="2022-09-21T10:3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16a2-7bfc60dc4738"/>
    <d v="2018-12-02T18:50:14"/>
    <d v="2018-12-02T19:41:47"/>
    <s v="5693c080-f485-91e7-54b9-ad9a8c12af62"/>
    <s v="53f086de-2fc7-3d35-92c2-aca4ed944e7f"/>
    <s v="5797d1e8-b8c3-3a27-8d36-d93242f3bd12"/>
    <s v="e03e23c9-4df1-3eb6-a62d-f70f02301496"/>
    <x v="2"/>
    <n v="185349003"/>
    <s v="Encounter for check up (procedure)"/>
    <n v="85.55"/>
    <n v="1603.49"/>
    <n v="0"/>
    <m/>
    <x v="0"/>
  </r>
  <r>
    <s v="bca1691f-8839-1d66-8563-cfb5792ba8ec"/>
    <d v="2022-09-24T10:23:55"/>
    <d v="2022-09-24T12:4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02b5-d3f01c496a1a"/>
    <d v="2022-09-27T12:46:55"/>
    <d v="2022-09-27T15:5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463.2"/>
    <n v="1170.56"/>
    <n v="431857002"/>
    <x v="84"/>
  </r>
  <r>
    <s v="5693c080-f485-91e7-885d-53d40376852a"/>
    <d v="2019-03-14T19:50:14"/>
    <d v="2019-03-14T20:54:52"/>
    <s v="5693c080-f485-91e7-54b9-ad9a8c12af62"/>
    <s v="53f086de-2fc7-3d35-92c2-aca4ed944e7f"/>
    <s v="5797d1e8-b8c3-3a27-8d36-d93242f3bd12"/>
    <s v="e03e23c9-4df1-3eb6-a62d-f70f02301496"/>
    <x v="1"/>
    <n v="185345009"/>
    <s v="Encounter for symptom (procedure)"/>
    <n v="85.55"/>
    <n v="948.35"/>
    <n v="0"/>
    <n v="39898005"/>
    <x v="60"/>
  </r>
  <r>
    <s v="bca1691f-8839-1d66-a20c-3096f2eb9cbb"/>
    <d v="2022-10-05T07:39:55"/>
    <d v="2022-10-05T08:21:11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477.44"/>
    <n v="1181.93"/>
    <m/>
    <x v="0"/>
  </r>
  <r>
    <s v="5693c080-f485-91e7-8610-1b1971129b45"/>
    <d v="2019-03-31T20:54:52"/>
    <d v="2019-03-31T21:37:05"/>
    <s v="5693c080-f485-91e7-54b9-ad9a8c12af62"/>
    <s v="53f086de-2fc7-3d35-92c2-aca4ed944e7f"/>
    <s v="5797d1e8-b8c3-3a27-8d36-d93242f3bd12"/>
    <s v="a735bf55-83e9-331a-899d-a82a60b9f60c"/>
    <x v="1"/>
    <n v="185345009"/>
    <s v="Encounter for symptom (procedure)"/>
    <n v="85.55"/>
    <n v="516.95000000000005"/>
    <n v="227.16"/>
    <n v="39898005"/>
    <x v="60"/>
  </r>
  <r>
    <s v="5693c080-f485-91e7-ae83-ad4291638b88"/>
    <d v="2019-04-12T21:37:05"/>
    <d v="2019-04-13T21:37:05"/>
    <s v="5693c080-f485-91e7-54b9-ad9a8c12af62"/>
    <s v="53f086de-2fc7-3d35-92c2-aca4ed944e7f"/>
    <s v="5797d1e8-b8c3-3a27-8d36-d93242f3bd12"/>
    <s v="a735bf55-83e9-331a-899d-a82a60b9f60c"/>
    <x v="6"/>
    <n v="185389009"/>
    <s v="Follow-up visit (procedure)"/>
    <n v="87.71"/>
    <n v="1032.3399999999999"/>
    <n v="825.87"/>
    <n v="39898005"/>
    <x v="60"/>
  </r>
  <r>
    <s v="5693c080-f485-91e7-9dff-fe3bf78f6e18"/>
    <d v="2019-05-05T19:50:14"/>
    <d v="2019-05-05T20:28:08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1223.3399999999999"/>
    <n v="978.66"/>
    <m/>
    <x v="0"/>
  </r>
  <r>
    <s v="bca1691f-8839-1d66-f24b-e22796e0f7d2"/>
    <d v="2022-10-12T07:39:55"/>
    <d v="2022-10-12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97.51"/>
    <n v="878"/>
    <m/>
    <x v="0"/>
  </r>
  <r>
    <s v="5693c080-f485-91e7-d100-588719f55734"/>
    <d v="2019-06-30T19:50:14"/>
    <d v="2019-06-30T20:33:29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172.0899999999999"/>
    <n v="937.66"/>
    <m/>
    <x v="0"/>
  </r>
  <r>
    <s v="bca1691f-8839-1d66-cc4b-3d1aa0426cf6"/>
    <d v="2022-10-19T07:39:55"/>
    <d v="2022-10-19T12:59:03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5262.35"/>
    <n v="4209.88"/>
    <n v="103697008"/>
    <x v="3"/>
  </r>
  <r>
    <s v="bca1691f-8839-1d66-234d-82d45d38100e"/>
    <d v="2022-10-26T07:39:55"/>
    <d v="2022-10-26T09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55.83"/>
    <n v="1404.66"/>
    <n v="431857002"/>
    <x v="84"/>
  </r>
  <r>
    <s v="bca1691f-8839-1d66-305f-c2412947960a"/>
    <d v="2022-10-26T09:41:55"/>
    <d v="2022-10-26T09:5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445b-15615747b780"/>
    <d v="2022-10-29T09:41:55"/>
    <d v="2022-10-29T12:2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668b-0bc7c0ad29c8"/>
    <d v="2022-11-01T12:25:55"/>
    <d v="2022-11-01T15:1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105.99"/>
    <n v="884.79"/>
    <n v="431857002"/>
    <x v="84"/>
  </r>
  <r>
    <s v="bca1691f-8839-1d66-ef1a-1547ecbf2ccc"/>
    <d v="2022-11-09T06:39:55"/>
    <d v="2022-11-09T07:34:5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7776-b4711050ad43"/>
    <d v="2022-11-16T06:39:55"/>
    <d v="2022-11-16T06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5693c080-f485-91e7-ab5d-37c52ec04c90"/>
    <d v="2019-10-07T20:14:42"/>
    <d v="2019-10-07T21:14:42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008.98"/>
    <n v="807.18"/>
    <n v="125605004"/>
    <x v="36"/>
  </r>
  <r>
    <s v="bca1691f-8839-1d66-cb88-e791295d047c"/>
    <d v="2022-11-23T06:39:55"/>
    <d v="2022-11-23T09:0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70.39"/>
    <n v="456.31"/>
    <n v="431857002"/>
    <x v="84"/>
  </r>
  <r>
    <s v="5693c080-f485-91e7-5cd7-5693d8b26122"/>
    <d v="2019-10-27T19:50:14"/>
    <d v="2019-10-27T20:37:28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308.0899999999999"/>
    <n v="1046.46"/>
    <m/>
    <x v="0"/>
  </r>
  <r>
    <s v="bca1691f-8839-1d66-1580-5d2d48fe1570"/>
    <d v="2022-11-26T09:09:55"/>
    <d v="2022-11-26T12:2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43.7"/>
    <n v="674.96"/>
    <n v="431857002"/>
    <x v="84"/>
  </r>
  <r>
    <s v="bca1691f-8839-1d66-dbe4-fb4d5912c0ae"/>
    <d v="2022-11-26T12:22:55"/>
    <d v="2022-11-26T12:3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e0f1-b3feb82107fd"/>
    <d v="2022-11-29T12:22:55"/>
    <d v="2022-11-29T15:1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52f4-79ab3ff8aac3"/>
    <d v="2022-12-07T06:39:55"/>
    <d v="2022-12-07T07:30:1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239.8900000000001"/>
    <n v="991.89"/>
    <m/>
    <x v="0"/>
  </r>
  <r>
    <s v="5693c080-f485-91e7-76b9-019244d1a38d"/>
    <d v="2019-12-22T18:50:14"/>
    <d v="2019-12-22T19:25:10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172.0899999999999"/>
    <n v="937.66"/>
    <m/>
    <x v="0"/>
  </r>
  <r>
    <s v="5693c080-f485-91e7-f2cc-ca1d58f1bff4"/>
    <d v="2019-12-29T18:50:14"/>
    <d v="2019-12-29T19:05:14"/>
    <s v="5693c080-f485-91e7-54b9-ad9a8c12af62"/>
    <s v="53f086de-2fc7-3d35-92c2-aca4ed944e7f"/>
    <s v="5797d1e8-b8c3-3a27-8d36-d93242f3bd12"/>
    <s v="a735bf55-83e9-331a-899d-a82a60b9f60c"/>
    <x v="1"/>
    <n v="185349003"/>
    <s v="Encounter for check up (procedure)"/>
    <n v="85.55"/>
    <n v="85.55"/>
    <n v="68.44"/>
    <n v="263102004"/>
    <x v="63"/>
  </r>
  <r>
    <s v="5693c080-f485-91e7-fc09-a17e1ef182a2"/>
    <d v="2020-01-05T18:50:14"/>
    <d v="2020-01-06T00:52:14"/>
    <s v="5693c080-f485-91e7-54b9-ad9a8c12af62"/>
    <s v="53f086de-2fc7-3d35-92c2-aca4ed944e7f"/>
    <s v="5797d1e8-b8c3-3a27-8d36-d93242f3bd12"/>
    <s v="a735bf55-83e9-331a-899d-a82a60b9f60c"/>
    <x v="1"/>
    <n v="185349003"/>
    <s v="Encounter for check up (procedure)"/>
    <n v="85.55"/>
    <n v="4830.95"/>
    <n v="3864.76"/>
    <n v="66383009"/>
    <x v="17"/>
  </r>
  <r>
    <s v="bca1691f-8839-1d66-80cc-792ec8ed4696"/>
    <d v="2022-12-14T06:39:55"/>
    <d v="2022-12-14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585.41999999999996"/>
    <n v="468.32"/>
    <m/>
    <x v="0"/>
  </r>
  <r>
    <s v="bca1691f-8839-1d66-b30c-d8be5e17b1e0"/>
    <d v="2022-12-21T06:39:55"/>
    <d v="2022-12-21T10:1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59.5"/>
    <n v="767.6"/>
    <n v="431857002"/>
    <x v="84"/>
  </r>
  <r>
    <s v="5693c080-f485-91e7-f8e0-eaa515864eaa"/>
    <d v="2020-05-10T19:50:14"/>
    <d v="2020-05-10T20:22:33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2160.7199999999998"/>
    <n v="1650.06"/>
    <m/>
    <x v="0"/>
  </r>
  <r>
    <s v="bca1691f-8839-1d66-eaeb-42403e65c581"/>
    <d v="2022-12-24T10:10:55"/>
    <d v="2022-12-24T12:3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6e58-8100a3e01bd0"/>
    <d v="2022-12-27T12:32:55"/>
    <d v="2022-12-27T16:1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aa90-6e96f7be0845"/>
    <d v="2022-12-27T16:10:55"/>
    <d v="2022-12-27T16:2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118a-e898b839e8ed"/>
    <d v="2023-01-04T06:39:55"/>
    <d v="2023-01-04T07:12:2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735.1"/>
    <n v="1388.06"/>
    <m/>
    <x v="0"/>
  </r>
  <r>
    <s v="bca1691f-8839-1d66-e07d-45056ec6915b"/>
    <d v="2023-01-11T06:39:55"/>
    <d v="2023-01-11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54.54"/>
    <n v="923.62"/>
    <m/>
    <x v="0"/>
  </r>
  <r>
    <s v="bca1691f-8839-1d66-fc77-e2dd4f9f75a4"/>
    <d v="2023-01-18T06:39:55"/>
    <d v="2023-01-18T08:5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614.49"/>
    <n v="1291.5899999999999"/>
    <n v="431857002"/>
    <x v="84"/>
  </r>
  <r>
    <s v="bca1691f-8839-1d66-f1f4-27b7892bbc9b"/>
    <d v="2023-01-21T08:55:55"/>
    <d v="2023-01-21T12:4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77.43"/>
    <n v="1421.94"/>
    <n v="431857002"/>
    <x v="84"/>
  </r>
  <r>
    <s v="bca1691f-8839-1d66-f31b-f3e4a5cbd140"/>
    <d v="2023-01-24T12:47:55"/>
    <d v="2023-01-24T16:0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9ed9-2787a6a0686f"/>
    <d v="2023-02-01T06:39:55"/>
    <d v="2023-02-01T07:18:57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3ff0-793ab6c45796"/>
    <d v="2020-06-21T19:50:14"/>
    <d v="2020-06-21T20:27:34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097.55"/>
    <n v="878.03"/>
    <m/>
    <x v="0"/>
  </r>
  <r>
    <s v="bca1691f-8839-1d66-57f0-400eafc698ee"/>
    <d v="2023-02-08T06:39:55"/>
    <d v="2023-02-08T09:1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01.95"/>
    <n v="641.55999999999995"/>
    <n v="431857002"/>
    <x v="84"/>
  </r>
  <r>
    <s v="bca1691f-8839-1d66-e457-1b9a05d551db"/>
    <d v="2023-02-08T09:14:55"/>
    <d v="2023-02-08T09:2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8fc6-9debaf65a3f8"/>
    <d v="2020-09-20T19:50:14"/>
    <d v="2020-09-20T20:28:51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690.1"/>
    <n v="1352.07"/>
    <m/>
    <x v="0"/>
  </r>
  <r>
    <s v="bca1691f-8839-1d66-0ede-1983bac651ad"/>
    <d v="2023-02-11T09:14:55"/>
    <d v="2023-02-11T12:1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46.1"/>
    <n v="436.88"/>
    <n v="431857002"/>
    <x v="84"/>
  </r>
  <r>
    <s v="bca1691f-8839-1d66-76a6-078ea6b7d398"/>
    <d v="2023-02-14T12:16:55"/>
    <d v="2023-02-14T15:1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94.53"/>
    <n v="795.62"/>
    <n v="431857002"/>
    <x v="84"/>
  </r>
  <r>
    <s v="bca1691f-8839-1d66-3015-bdda761229fa"/>
    <d v="2023-02-22T06:39:55"/>
    <d v="2023-02-22T13:39:31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5262.35"/>
    <n v="4209.88"/>
    <n v="103697008"/>
    <x v="3"/>
  </r>
  <r>
    <s v="5693c080-f485-91e7-e26c-55a173677913"/>
    <d v="2021-01-24T18:50:14"/>
    <d v="2021-01-24T19:05:14"/>
    <s v="5693c080-f485-91e7-54b9-ad9a8c12af62"/>
    <s v="53f086de-2fc7-3d35-92c2-aca4ed944e7f"/>
    <s v="5797d1e8-b8c3-3a27-8d36-d93242f3bd12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5693c080-f485-91e7-397c-7dce7826313c"/>
    <d v="2021-02-14T18:50:14"/>
    <d v="2021-02-14T19:05:14"/>
    <s v="5693c080-f485-91e7-54b9-ad9a8c12af62"/>
    <s v="53f086de-2fc7-3d35-92c2-aca4ed944e7f"/>
    <s v="5797d1e8-b8c3-3a27-8d36-d93242f3bd12"/>
    <s v="a735bf55-83e9-331a-899d-a82a60b9f60c"/>
    <x v="2"/>
    <n v="33879002"/>
    <s v="Administration of vaccine to produce active immunity (procedure)"/>
    <n v="142.58000000000001"/>
    <n v="278.58"/>
    <n v="222.86"/>
    <m/>
    <x v="0"/>
  </r>
  <r>
    <s v="bca1691f-8839-1d66-c234-cfeb2073c966"/>
    <d v="2023-03-01T06:39:55"/>
    <d v="2023-03-01T07:57:31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379.75"/>
    <n v="1103.8"/>
    <n v="37320007"/>
    <x v="8"/>
  </r>
  <r>
    <s v="bca1691f-8839-1d66-6326-fe6c28520e83"/>
    <d v="2023-03-08T06:39:55"/>
    <d v="2023-03-08T09:0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408e-b398ab2b128d"/>
    <d v="2023-03-11T09:03:55"/>
    <d v="2023-03-11T11:5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d817-a5e2798c3851"/>
    <d v="2023-03-11T11:54:55"/>
    <d v="2023-03-11T12:0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ab1d-7806205f2bff"/>
    <d v="2023-03-14T12:54:55"/>
    <d v="2023-03-14T14:5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1667-b953ffad4a13"/>
    <d v="2023-03-22T07:39:55"/>
    <d v="2023-03-22T08:13:27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1b74-3d2497220e99"/>
    <d v="2021-05-16T19:50:14"/>
    <d v="2021-05-16T20:48:55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1575.04"/>
    <n v="1175.52"/>
    <m/>
    <x v="0"/>
  </r>
  <r>
    <s v="bca1691f-8839-1d66-e313-7075235bf567"/>
    <d v="2023-03-22T08:57:31"/>
    <d v="2023-03-22T09:33:46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516.95000000000005"/>
    <n v="413.56"/>
    <n v="37320007"/>
    <x v="8"/>
  </r>
  <r>
    <s v="bca1691f-8839-1d66-052d-21350eaee2ab"/>
    <d v="2023-03-29T07:39:55"/>
    <d v="2023-03-29T10:5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4acb-10e1e0adf6f1"/>
    <d v="2023-04-01T10:52:55"/>
    <d v="2023-04-01T14:2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221.1099999999999"/>
    <n v="976.89"/>
    <n v="431857002"/>
    <x v="84"/>
  </r>
  <r>
    <s v="bca1691f-8839-1d66-cc54-cb050549ef65"/>
    <d v="2023-04-04T14:21:55"/>
    <d v="2023-04-04T16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624.48"/>
    <n v="1299.58"/>
    <n v="431857002"/>
    <x v="84"/>
  </r>
  <r>
    <s v="bca1691f-8839-1d66-d0ce-6248bee712b0"/>
    <d v="2023-04-07T16:41:55"/>
    <d v="2023-04-07T18:5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607.62"/>
    <n v="486.1"/>
    <n v="431857002"/>
    <x v="84"/>
  </r>
  <r>
    <s v="5693c080-f485-91e7-60d7-02a9dbc031d7"/>
    <d v="2021-05-23T19:50:14"/>
    <d v="2021-05-23T20:05:14"/>
    <s v="5693c080-f485-91e7-54b9-ad9a8c12af62"/>
    <s v="9ce6072b-d039-3cde-8eaf-950211b8ae88"/>
    <s v="517e705f-fc32-3ef1-8c0c-52263ed2b781"/>
    <s v="a735bf55-83e9-331a-899d-a82a60b9f60c"/>
    <x v="4"/>
    <n v="702927004"/>
    <s v="Urgent care clinic (environment)"/>
    <n v="142.58000000000001"/>
    <n v="507.44"/>
    <n v="405.94"/>
    <m/>
    <x v="0"/>
  </r>
  <r>
    <s v="bca1691f-8839-1d66-749c-e9383ce02c42"/>
    <d v="2023-04-10T18:57:55"/>
    <d v="2023-04-10T21:2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1af2-d847d987e2d5"/>
    <d v="2023-04-10T21:21:55"/>
    <d v="2023-04-10T21:3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b4f0-4e8972de91b2"/>
    <d v="2021-07-18T19:50:14"/>
    <d v="2021-07-18T20:36:52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172.0899999999999"/>
    <n v="937.66"/>
    <m/>
    <x v="0"/>
  </r>
  <r>
    <s v="bca1691f-8839-1d66-cc59-e967ad289da5"/>
    <d v="2023-04-13T21:21:55"/>
    <d v="2023-04-14T00:3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6f0e-5b5c43d6dd31"/>
    <d v="2023-04-17T00:37:55"/>
    <d v="2023-04-17T04:0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901c-1fc440f1fc19"/>
    <d v="2023-04-20T04:07:55"/>
    <d v="2023-04-20T06:4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87.32"/>
    <n v="709.86"/>
    <n v="431857002"/>
    <x v="84"/>
  </r>
  <r>
    <s v="bca1691f-8839-1d66-4419-23ae69a31132"/>
    <d v="2023-04-23T06:43:55"/>
    <d v="2023-04-23T09:5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5693c080-f485-91e7-bee5-d9bfcedc3e97"/>
    <d v="2021-08-01T19:50:14"/>
    <d v="2021-08-01T23:10:39"/>
    <s v="5693c080-f485-91e7-54b9-ad9a8c12af62"/>
    <s v="53f086de-2fc7-3d35-92c2-aca4ed944e7f"/>
    <s v="5797d1e8-b8c3-3a27-8d36-d93242f3bd12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ea98-560866730b1e"/>
    <d v="2023-05-03T07:39:55"/>
    <d v="2023-05-03T08:32:00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1218.22"/>
    <n v="974.56"/>
    <m/>
    <x v="0"/>
  </r>
  <r>
    <s v="bca1691f-8839-1d66-b746-ceaede37658f"/>
    <d v="2023-05-10T07:39:55"/>
    <d v="2023-05-10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e719-054079cd47ce"/>
    <d v="2023-05-17T07:39:55"/>
    <d v="2023-05-17T08:22:43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09.6099999999999"/>
    <n v="887.67"/>
    <m/>
    <x v="0"/>
  </r>
  <r>
    <s v="bca1691f-8839-1d66-4959-663bb33f0d88"/>
    <d v="2023-05-24T07:39:55"/>
    <d v="2023-05-24T11:32:0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5693c080-f485-91e7-1bae-e1c7ee79ce81"/>
    <d v="2021-08-15T19:50:14"/>
    <d v="2021-08-15T20:46:36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172.0899999999999"/>
    <n v="937.66"/>
    <m/>
    <x v="0"/>
  </r>
  <r>
    <s v="bca1691f-8839-1d66-2c84-ce3ff8e6694d"/>
    <d v="2023-05-31T07:39:55"/>
    <d v="2023-05-31T08:23:55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5693c080-f485-91e7-08be-99c241180048"/>
    <d v="2021-10-17T19:50:14"/>
    <d v="2021-10-17T20:40:18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308.0899999999999"/>
    <n v="1046.46"/>
    <m/>
    <x v="0"/>
  </r>
  <r>
    <s v="bca1691f-8839-1d66-ead3-28f6a676deca"/>
    <d v="2023-06-07T07:39:55"/>
    <d v="2023-06-07T11:1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bd64-984669580cf8"/>
    <d v="2023-06-07T11:18:55"/>
    <d v="2023-06-07T11:3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ad3c-869627b98f19"/>
    <d v="2023-06-10T11:18:55"/>
    <d v="2023-06-10T13:2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130.3399999999999"/>
    <n v="904.27"/>
    <n v="431857002"/>
    <x v="84"/>
  </r>
  <r>
    <s v="bca1691f-8839-1d66-740e-98bec50dc64f"/>
    <d v="2023-06-13T13:23:55"/>
    <d v="2023-06-13T16:4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c850-e73dfda7e48f"/>
    <d v="2023-06-14T07:39:55"/>
    <d v="2023-06-14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4bc9-d405c2405219"/>
    <d v="2023-06-21T07:39:55"/>
    <d v="2023-06-21T08:27:4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88"/>
    <n v="870.38"/>
    <m/>
    <x v="0"/>
  </r>
  <r>
    <s v="bca1691f-8839-1d66-940d-1f2e300e7cd7"/>
    <d v="2023-06-28T07:39:55"/>
    <d v="2023-06-28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f199-37a1cd39486a"/>
    <d v="2023-07-05T07:39:55"/>
    <d v="2023-07-05T08:17:00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5693c080-f485-91e7-f392-f08776f03c80"/>
    <d v="2021-10-31T19:50:14"/>
    <d v="2021-11-01T00:38:18"/>
    <s v="5693c080-f485-91e7-54b9-ad9a8c12af62"/>
    <s v="53f086de-2fc7-3d35-92c2-aca4ed944e7f"/>
    <s v="5797d1e8-b8c3-3a27-8d36-d93242f3bd12"/>
    <s v="a735bf55-83e9-331a-899d-a82a60b9f60c"/>
    <x v="1"/>
    <n v="185349003"/>
    <s v="Encounter for check up (procedure)"/>
    <n v="85.55"/>
    <n v="3536.75"/>
    <n v="2829.4"/>
    <n v="66383009"/>
    <x v="17"/>
  </r>
  <r>
    <s v="5693c080-f485-91e7-0551-1d90530afd21"/>
    <d v="2021-11-14T18:50:14"/>
    <d v="2021-11-14T19:43:35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172.0899999999999"/>
    <n v="937.66"/>
    <m/>
    <x v="0"/>
  </r>
  <r>
    <s v="bca1691f-8839-1d66-048a-96c912a300a6"/>
    <d v="2023-07-12T07:39:55"/>
    <d v="2023-07-12T11:14:56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bca1691f-8839-1d66-6dff-3d4584f67d1b"/>
    <d v="2023-07-19T07:39:55"/>
    <d v="2023-07-19T11:0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22e6-9593de363f0f"/>
    <d v="2023-07-19T11:02:55"/>
    <d v="2023-07-19T11:1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4cf1-6353996906ef"/>
    <d v="2022-05-22T19:50:14"/>
    <d v="2022-05-22T20:24:39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1007.64"/>
    <n v="806.1"/>
    <m/>
    <x v="0"/>
  </r>
  <r>
    <s v="bca1691f-8839-1d66-e125-2cef50828d6e"/>
    <d v="2023-07-22T11:02:55"/>
    <d v="2023-07-22T13:4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6d89-030a979cf0bb"/>
    <d v="2023-07-25T13:48:55"/>
    <d v="2023-07-25T17:3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019.78"/>
    <n v="815.82"/>
    <n v="431857002"/>
    <x v="84"/>
  </r>
  <r>
    <s v="bca1691f-8839-1d66-1a4d-43c6a50d4c03"/>
    <d v="2023-08-02T07:39:55"/>
    <d v="2023-08-02T08:31:0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95.57"/>
    <n v="876.44"/>
    <m/>
    <x v="0"/>
  </r>
  <r>
    <s v="5693c080-f485-91e7-08f2-c9bb02499e4a"/>
    <d v="2022-06-05T09:11:16"/>
    <d v="2022-06-05T09:26:16"/>
    <s v="5693c080-f485-91e7-54b9-ad9a8c12af62"/>
    <s v="53f086de-2fc7-3d35-92c2-aca4ed944e7f"/>
    <s v="5797d1e8-b8c3-3a27-8d36-d93242f3bd12"/>
    <s v="a735bf55-83e9-331a-899d-a82a60b9f60c"/>
    <x v="1"/>
    <n v="185345009"/>
    <s v="Encounter for symptom (procedure)"/>
    <n v="85.55"/>
    <n v="85.55"/>
    <n v="68.44"/>
    <n v="10509002"/>
    <x v="1"/>
  </r>
  <r>
    <s v="bca1691f-8839-1d66-8513-eb759c80e46b"/>
    <d v="2023-08-09T07:39:55"/>
    <d v="2023-08-09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bca1691f-8839-1d66-1016-19db4f19ea6d"/>
    <d v="2023-08-16T07:39:55"/>
    <d v="2023-08-16T10:42:4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66383009"/>
    <x v="17"/>
  </r>
  <r>
    <s v="bca1691f-8839-1d66-3586-e6c32a948c17"/>
    <d v="2023-08-23T07:39:55"/>
    <d v="2023-08-23T11:1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289.1300000000001"/>
    <n v="1031.3"/>
    <n v="431857002"/>
    <x v="84"/>
  </r>
  <r>
    <s v="bca1691f-8839-1d66-e60d-038d2c673f33"/>
    <d v="2023-08-23T11:12:55"/>
    <d v="2023-08-23T11:2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479b-e9b736a7c113"/>
    <d v="2023-08-26T11:12:55"/>
    <d v="2023-08-26T13:1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309.07"/>
    <n v="1047.26"/>
    <n v="431857002"/>
    <x v="84"/>
  </r>
  <r>
    <s v="bca1691f-8839-1d66-d1c3-1008bb909d41"/>
    <d v="2023-08-29T13:15:55"/>
    <d v="2023-08-29T15:3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062d-be9cc163945f"/>
    <d v="2023-09-06T07:39:55"/>
    <d v="2023-09-06T08:22:33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735.1"/>
    <n v="1388.06"/>
    <m/>
    <x v="0"/>
  </r>
  <r>
    <s v="5693c080-f485-91e7-bcb8-528126589a71"/>
    <d v="2022-06-12T19:50:14"/>
    <d v="2022-06-12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232.72"/>
    <n v="986.16"/>
    <m/>
    <x v="0"/>
  </r>
  <r>
    <s v="bca1691f-8839-1d66-e383-47a7bc7fe0a8"/>
    <d v="2023-09-13T07:39:55"/>
    <d v="2023-09-13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48.99"/>
    <n v="679.18"/>
    <m/>
    <x v="0"/>
  </r>
  <r>
    <s v="5693c080-f485-91e7-5892-98dbd1e5b6a6"/>
    <d v="2022-06-19T19:50:14"/>
    <d v="2022-06-19T20:05:14"/>
    <s v="5693c080-f485-91e7-54b9-ad9a8c12af62"/>
    <s v="9ce6072b-d039-3cde-8eaf-950211b8ae88"/>
    <s v="517e705f-fc32-3ef1-8c0c-52263ed2b781"/>
    <s v="a735bf55-83e9-331a-899d-a82a60b9f60c"/>
    <x v="4"/>
    <n v="702927004"/>
    <s v="Urgent care clinic (environment)"/>
    <n v="142.58000000000001"/>
    <n v="291.74"/>
    <n v="233.38"/>
    <m/>
    <x v="0"/>
  </r>
  <r>
    <s v="5693c080-f485-91e7-f2df-50b62e7ed395"/>
    <d v="2022-06-26T19:50:14"/>
    <d v="2022-06-26T22:24:07"/>
    <s v="5693c080-f485-91e7-54b9-ad9a8c12af62"/>
    <s v="53f086de-2fc7-3d35-92c2-aca4ed944e7f"/>
    <s v="5797d1e8-b8c3-3a27-8d36-d93242f3bd12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8c1b-ee2af1863e84"/>
    <d v="2023-09-20T07:39:55"/>
    <d v="2023-09-20T12:04:14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66383009"/>
    <x v="17"/>
  </r>
  <r>
    <s v="5693c080-f485-91e7-6f8c-f2fa084ea40d"/>
    <d v="2022-11-06T18:50:14"/>
    <d v="2022-11-06T19:50:04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803.78"/>
    <n v="1443.01"/>
    <m/>
    <x v="0"/>
  </r>
  <r>
    <s v="bca1691f-8839-1d66-2a17-72f21621bf48"/>
    <d v="2023-09-27T07:39:55"/>
    <d v="2023-09-27T09:4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06.16"/>
    <n v="724.93"/>
    <n v="431857002"/>
    <x v="84"/>
  </r>
  <r>
    <s v="bca1691f-8839-1d66-c6e2-b19c3bb62dcd"/>
    <d v="2023-09-27T09:45:55"/>
    <d v="2023-09-27T10:0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82bd-031de9785457"/>
    <d v="2023-05-28T19:50:14"/>
    <d v="2023-05-28T20:34:19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1508.5"/>
    <n v="1206.78"/>
    <m/>
    <x v="0"/>
  </r>
  <r>
    <s v="bca1691f-8839-1d66-b289-ad6f02cec222"/>
    <d v="2023-09-30T09:45:55"/>
    <d v="2023-09-30T13:1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7cef-30710049e2a0"/>
    <d v="2023-10-03T13:16:55"/>
    <d v="2023-10-03T16:5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4b12-b763d062c0da"/>
    <d v="2023-10-11T07:39:55"/>
    <d v="2023-10-11T08:26:2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b14e-9bf6fb2b777b"/>
    <d v="2023-10-18T07:39:55"/>
    <d v="2023-10-18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97.51"/>
    <n v="878"/>
    <m/>
    <x v="0"/>
  </r>
  <r>
    <s v="bca1691f-8839-1d66-811c-39e455bfb854"/>
    <d v="2023-10-25T07:39:55"/>
    <d v="2023-10-25T08:28:24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609.79"/>
    <n v="1287.82"/>
    <m/>
    <x v="0"/>
  </r>
  <r>
    <s v="bca1691f-8839-1d66-8bd0-a78ecb4b80b7"/>
    <d v="2023-11-01T07:39:55"/>
    <d v="2023-11-01T11:3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610.44000000000005"/>
    <n v="488.35"/>
    <n v="431857002"/>
    <x v="84"/>
  </r>
  <r>
    <s v="bca1691f-8839-1d66-4d3a-1e6243757f07"/>
    <d v="2023-11-01T11:33:55"/>
    <d v="2023-11-01T11:4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4331-b0368ba8a639"/>
    <d v="2023-09-03T19:50:14"/>
    <d v="2023-09-03T20:22:00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172.0899999999999"/>
    <n v="937.66"/>
    <m/>
    <x v="0"/>
  </r>
  <r>
    <s v="bca1691f-8839-1d66-b621-69b6778a40a5"/>
    <d v="2023-11-04T11:33:55"/>
    <d v="2023-11-04T15:2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763.81"/>
    <n v="611.04999999999995"/>
    <n v="431857002"/>
    <x v="84"/>
  </r>
  <r>
    <s v="bca1691f-8839-1d66-9610-1b58ca5f3e16"/>
    <d v="2023-11-07T14:28:55"/>
    <d v="2023-11-07T18:1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22.95"/>
    <n v="1378.36"/>
    <n v="431857002"/>
    <x v="84"/>
  </r>
  <r>
    <s v="bca1691f-8839-1d66-d011-d0ae49022362"/>
    <d v="2023-11-10T18:10:55"/>
    <d v="2023-11-10T20:5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ee9b-afe1fe50337c"/>
    <d v="2023-11-13T20:55:55"/>
    <d v="2023-11-13T23:3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1c7c-fdad12cdeb85"/>
    <d v="2023-11-16T23:30:55"/>
    <d v="2023-11-17T02:5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62.79"/>
    <n v="450.23"/>
    <n v="431857002"/>
    <x v="84"/>
  </r>
  <r>
    <s v="5693c080-f485-91e7-ee89-ee891923049a"/>
    <d v="2023-09-06T19:50:14"/>
    <d v="2023-09-06T20:26:08"/>
    <s v="5693c080-f485-91e7-54b9-ad9a8c12af62"/>
    <s v="74ab949d-17ac-3309-83a0-13b4405c66aa"/>
    <s v="35fedf4a-4da7-315e-a103-dbcfea0540fa"/>
    <s v="a735bf55-83e9-331a-899d-a82a60b9f60c"/>
    <x v="1"/>
    <n v="185347001"/>
    <s v="Encounter for problem (procedure)"/>
    <n v="85.55"/>
    <n v="516.95000000000005"/>
    <n v="413.56"/>
    <n v="414545008"/>
    <x v="19"/>
  </r>
  <r>
    <s v="bca1691f-8839-1d66-5fc1-2c1f0616d754"/>
    <d v="2023-11-20T02:53:55"/>
    <d v="2023-11-20T05:4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05.06"/>
    <n v="644.04999999999995"/>
    <n v="431857002"/>
    <x v="84"/>
  </r>
  <r>
    <s v="5693c080-f485-91e7-45ca-f636f29f0e96"/>
    <d v="2023-09-08T01:26:08"/>
    <d v="2023-09-08T06:51:05"/>
    <s v="5693c080-f485-91e7-54b9-ad9a8c12af62"/>
    <s v="74ab949d-17ac-3309-83a0-13b4405c66aa"/>
    <s v="35fedf4a-4da7-315e-a103-dbcfea0540fa"/>
    <s v="a735bf55-83e9-331a-899d-a82a60b9f60c"/>
    <x v="1"/>
    <n v="185347001"/>
    <s v="Encounter for problem (procedure)"/>
    <n v="85.55"/>
    <n v="1444.46"/>
    <n v="1155.57"/>
    <n v="414545008"/>
    <x v="19"/>
  </r>
  <r>
    <s v="bca1691f-8839-1d66-9861-6b827ab55f9d"/>
    <d v="2023-11-29T06:39:55"/>
    <d v="2023-11-29T07:10:4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24f7-6e1c832c46ae"/>
    <d v="2023-10-08T01:51:05"/>
    <d v="2023-10-08T03:19:47"/>
    <s v="5693c080-f485-91e7-54b9-ad9a8c12af62"/>
    <s v="74ab949d-17ac-3309-83a0-13b4405c66aa"/>
    <s v="35fedf4a-4da7-315e-a103-dbcfea0540fa"/>
    <s v="a735bf55-83e9-331a-899d-a82a60b9f60c"/>
    <x v="1"/>
    <n v="390906007"/>
    <s v="Follow-up encounter (procedure)"/>
    <n v="85.55"/>
    <n v="8926.49"/>
    <n v="7141.16"/>
    <n v="274531002"/>
    <x v="53"/>
  </r>
  <r>
    <s v="bca1691f-8839-1d66-4713-94a93411829f"/>
    <d v="2023-12-06T06:39:55"/>
    <d v="2023-12-06T06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630.16"/>
    <n v="504.12"/>
    <m/>
    <x v="0"/>
  </r>
  <r>
    <s v="bca1691f-8839-1d66-3bd4-c17da5fc0833"/>
    <d v="2023-12-13T06:39:55"/>
    <d v="2023-12-13T10:34:33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413b-391b0902fc53"/>
    <d v="2023-12-20T06:39:55"/>
    <d v="2023-12-20T10:0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155.06"/>
    <n v="924.05"/>
    <n v="431857002"/>
    <x v="84"/>
  </r>
  <r>
    <s v="bca1691f-8839-1d66-e0ed-fac8b2cab62f"/>
    <d v="2023-12-20T10:01:55"/>
    <d v="2023-12-20T10:1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1388-ea727fd39dd2"/>
    <d v="2023-12-23T10:01:55"/>
    <d v="2023-12-23T12:5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d765-01393debbd1b"/>
    <d v="2023-12-26T12:55:55"/>
    <d v="2023-12-26T15:0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790.72"/>
    <n v="632.58000000000004"/>
    <n v="431857002"/>
    <x v="84"/>
  </r>
  <r>
    <s v="bca1691f-8839-1d66-0157-5804e8255b6d"/>
    <d v="2024-01-03T06:39:55"/>
    <d v="2024-01-03T07:39:1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f0fc-68890a930c92"/>
    <d v="2023-11-20T07:49:47"/>
    <d v="2023-11-20T12:58:33"/>
    <s v="5693c080-f485-91e7-54b9-ad9a8c12af62"/>
    <s v="74ab949d-17ac-3309-83a0-13b4405c66aa"/>
    <s v="35fedf4a-4da7-315e-a103-dbcfea0540fa"/>
    <s v="a735bf55-83e9-331a-899d-a82a60b9f60c"/>
    <x v="1"/>
    <n v="32485007"/>
    <s v="Hospital admission (procedure)"/>
    <n v="142.58000000000001"/>
    <n v="78469.7"/>
    <n v="62775.74"/>
    <n v="274531002"/>
    <x v="53"/>
  </r>
  <r>
    <s v="bca1691f-8839-1d66-0ec9-6120ffafb598"/>
    <d v="2024-01-10T06:39:55"/>
    <d v="2024-01-10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438a-9c9c68797044"/>
    <d v="2024-01-17T06:39:55"/>
    <d v="2024-01-17T07:38:4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30.97"/>
    <n v="824.76"/>
    <m/>
    <x v="0"/>
  </r>
  <r>
    <s v="bca1691f-8839-1d66-d7ae-fe369e19e62b"/>
    <d v="2024-01-24T06:39:55"/>
    <d v="2024-01-24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560.23"/>
    <n v="448.17"/>
    <m/>
    <x v="0"/>
  </r>
  <r>
    <s v="bca1691f-8839-1d66-7a01-1283f289b78e"/>
    <d v="2024-01-31T06:39:55"/>
    <d v="2024-01-31T07:17:0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46.77"/>
    <n v="837.4"/>
    <m/>
    <x v="0"/>
  </r>
  <r>
    <s v="5693c080-f485-91e7-df4a-bdb8522d08d3"/>
    <d v="2023-11-20T12:58:33"/>
    <d v="2023-11-27T18:58:56"/>
    <s v="5693c080-f485-91e7-54b9-ad9a8c12af62"/>
    <s v="74ab949d-17ac-3309-83a0-13b4405c66aa"/>
    <s v="35fedf4a-4da7-315e-a103-dbcfea0540fa"/>
    <s v="a735bf55-83e9-331a-899d-a82a60b9f60c"/>
    <x v="6"/>
    <n v="397821002"/>
    <s v="Patient transfer to intensive care unit (procedure)"/>
    <n v="146.18"/>
    <n v="49883.19"/>
    <n v="39906.28"/>
    <n v="399261000"/>
    <x v="54"/>
  </r>
  <r>
    <s v="bca1691f-8839-1d66-cfe8-8eb058dcd4b4"/>
    <d v="2024-02-07T06:39:55"/>
    <d v="2024-02-07T10:03:00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54eb-dd7b1ef7f190"/>
    <d v="2024-02-14T06:39:55"/>
    <d v="2024-02-14T10:1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f9bf-1f75b2594da5"/>
    <d v="2024-02-14T10:16:55"/>
    <d v="2024-02-14T10:3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b4e8-567c03dd4eef"/>
    <d v="2024-02-17T10:16:55"/>
    <d v="2024-02-17T13:0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3877-ea9110aef83a"/>
    <d v="2024-02-20T13:01:55"/>
    <d v="2024-02-20T16:2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7b27-289ac111cb93"/>
    <d v="2024-02-28T06:39:55"/>
    <d v="2024-02-28T07:31:4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b11d-1b4d83a66df3"/>
    <d v="2024-03-06T06:39:55"/>
    <d v="2024-03-06T06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925.8"/>
    <n v="740.63"/>
    <m/>
    <x v="0"/>
  </r>
  <r>
    <s v="bca1691f-8839-1d66-4d63-1accbd1faccb"/>
    <d v="2024-03-13T07:39:55"/>
    <d v="2024-03-13T10:47:55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103697008"/>
    <x v="3"/>
  </r>
  <r>
    <s v="bca1691f-8839-1d66-ed5f-10f80d796512"/>
    <d v="2024-03-20T07:39:55"/>
    <d v="2024-03-20T11:2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acd2-712b63a5399c"/>
    <d v="2024-03-20T11:22:55"/>
    <d v="2024-03-20T11:3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5c76-dd45327cbd75"/>
    <d v="2024-03-23T11:22:55"/>
    <d v="2024-03-23T13:2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78cf-49ae232ad294"/>
    <d v="2024-03-26T13:29:55"/>
    <d v="2024-03-26T17:1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63.05"/>
    <n v="1410.44"/>
    <n v="431857002"/>
    <x v="84"/>
  </r>
  <r>
    <s v="bca1691f-8839-1d66-83d2-57d075ab98a9"/>
    <d v="2024-04-03T07:39:55"/>
    <d v="2024-04-03T08:15:27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b4bb-bddf9b7dbff5"/>
    <d v="2024-04-10T07:39:55"/>
    <d v="2024-04-10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c148-024c38c83737"/>
    <d v="2024-04-17T07:39:55"/>
    <d v="2024-04-17T08:23:01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951.27"/>
    <n v="761"/>
    <m/>
    <x v="0"/>
  </r>
  <r>
    <s v="5693c080-f485-91e7-1975-f9417601db78"/>
    <d v="2023-11-27T18:43:56"/>
    <d v="2023-11-28T18:43:56"/>
    <s v="5693c080-f485-91e7-54b9-ad9a8c12af62"/>
    <s v="74ab949d-17ac-3309-83a0-13b4405c66aa"/>
    <s v="35fedf4a-4da7-315e-a103-dbcfea0540fa"/>
    <s v="a735bf55-83e9-331a-899d-a82a60b9f60c"/>
    <x v="6"/>
    <n v="305342007"/>
    <s v="Admission to ward (procedure)"/>
    <n v="146.18"/>
    <n v="1871.78"/>
    <n v="1497.42"/>
    <n v="399261000"/>
    <x v="54"/>
  </r>
  <r>
    <s v="5693c080-f485-91e7-6467-2dfff77d136f"/>
    <d v="2024-04-28T19:50:14"/>
    <d v="2024-04-28T20:50:09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1580.09"/>
    <n v="1179.53"/>
    <m/>
    <x v="0"/>
  </r>
  <r>
    <s v="bca1691f-8839-1d66-35d8-b3a805092221"/>
    <d v="2024-04-24T07:39:55"/>
    <d v="2024-04-24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aabb-2b30e36bbe3a"/>
    <d v="2024-05-01T07:39:55"/>
    <d v="2024-05-01T08:22:42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62.92"/>
    <n v="930.32"/>
    <m/>
    <x v="0"/>
  </r>
  <r>
    <s v="bca1691f-8839-1d66-4b35-7cdabfa2e0c0"/>
    <d v="2024-05-08T07:39:55"/>
    <d v="2024-05-08T07:54:55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526.09"/>
    <n v="420.86"/>
    <m/>
    <x v="0"/>
  </r>
  <r>
    <s v="bca1691f-8839-1d66-ca2b-86bc42489f17"/>
    <d v="2024-05-15T07:39:55"/>
    <d v="2024-05-15T14:16:13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4830.95"/>
    <n v="3864.76"/>
    <n v="66383009"/>
    <x v="17"/>
  </r>
  <r>
    <s v="5693c080-f485-91e7-f14d-4a441626bcfa"/>
    <d v="2024-06-02T19:50:14"/>
    <d v="2024-06-02T20:35:26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1731.01"/>
    <n v="1384.8"/>
    <m/>
    <x v="0"/>
  </r>
  <r>
    <s v="bca1691f-8839-1d66-6acd-b86033f54da1"/>
    <d v="2024-05-22T07:39:55"/>
    <d v="2024-05-22T08:23:55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bca1691f-8839-1d66-4d98-f7e81896cf1d"/>
    <d v="2024-05-29T07:39:55"/>
    <d v="2024-05-29T09:4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aded-0feec304902b"/>
    <d v="2024-05-29T09:42:55"/>
    <d v="2024-05-29T09:5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3768-336842e607a3"/>
    <d v="2024-06-16T19:50:14"/>
    <d v="2024-06-16T22:38:25"/>
    <s v="5693c080-f485-91e7-54b9-ad9a8c12af62"/>
    <s v="53f086de-2fc7-3d35-92c2-aca4ed944e7f"/>
    <s v="5797d1e8-b8c3-3a27-8d36-d93242f3bd12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94a6-b3970b767c04"/>
    <d v="2024-06-01T09:42:55"/>
    <d v="2024-06-01T13:2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de61-8c208065b05d"/>
    <d v="2024-06-04T13:29:55"/>
    <d v="2024-06-04T17:2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5070-33c6eec97be5"/>
    <d v="2024-07-28T19:50:14"/>
    <d v="2024-07-28T20:45:09"/>
    <s v="5693c080-f485-91e7-54b9-ad9a8c12af62"/>
    <s v="53f086de-2fc7-3d35-92c2-aca4ed944e7f"/>
    <s v="5797d1e8-b8c3-3a27-8d36-d93242f3bd12"/>
    <s v="a735bf55-83e9-331a-899d-a82a60b9f60c"/>
    <x v="2"/>
    <n v="185349003"/>
    <s v="Encounter for check up (procedure)"/>
    <n v="85.55"/>
    <n v="992.27"/>
    <n v="793.8"/>
    <m/>
    <x v="0"/>
  </r>
  <r>
    <s v="bca1691f-8839-1d66-9e93-5fc51ba0839e"/>
    <d v="2024-06-12T07:39:55"/>
    <d v="2024-06-12T08:29:3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0f5f-6943657acc48"/>
    <d v="2024-06-19T07:39:55"/>
    <d v="2024-06-19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d788-70bc32b961b2"/>
    <d v="2024-06-26T07:39:55"/>
    <d v="2024-06-26T08:14:2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582e-f6b01301aca8"/>
    <d v="2024-07-03T07:39:55"/>
    <d v="2024-07-03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5693c080-f485-91e7-a439-311484e63827"/>
    <d v="2025-04-13T19:50:14"/>
    <d v="2025-04-13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368.72"/>
    <n v="0"/>
    <m/>
    <x v="0"/>
  </r>
  <r>
    <s v="bca1691f-8839-1d66-264c-db3a905268cc"/>
    <d v="2024-07-10T07:39:55"/>
    <d v="2024-07-10T09:4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435d-123b4377ebce"/>
    <d v="2024-07-10T09:48:55"/>
    <d v="2024-07-10T10:0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eb36-9a13913db62c"/>
    <d v="2025-04-20T19:50:14"/>
    <d v="2025-04-20T20:05:14"/>
    <s v="5693c080-f485-91e7-54b9-ad9a8c12af62"/>
    <s v="9ce6072b-d039-3cde-8eaf-950211b8ae88"/>
    <s v="517e705f-fc32-3ef1-8c0c-52263ed2b781"/>
    <s v="e03e23c9-4df1-3eb6-a62d-f70f02301496"/>
    <x v="4"/>
    <n v="702927004"/>
    <s v="Urgent care clinic (environment)"/>
    <n v="142.58000000000001"/>
    <n v="291.74"/>
    <n v="0"/>
    <m/>
    <x v="0"/>
  </r>
  <r>
    <s v="bca1691f-8839-1d66-f1d0-7269077265ad"/>
    <d v="2024-07-13T09:48:55"/>
    <d v="2024-07-13T13:0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cf7b-aaea89e0ade6"/>
    <d v="2024-07-16T13:05:55"/>
    <d v="2024-07-16T15:3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d5a2-1ffab8c11a17"/>
    <d v="2024-07-17T07:39:55"/>
    <d v="2024-07-17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bca1691f-8839-1d66-ef35-f2b9a6b33361"/>
    <d v="2024-07-24T07:39:55"/>
    <d v="2024-07-24T08:28:0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2e51-cf31e97edeb4"/>
    <d v="2024-07-31T07:39:55"/>
    <d v="2024-07-31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355d-066c67e7d12f"/>
    <d v="2024-08-07T07:39:55"/>
    <d v="2024-08-07T08:19:13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5693c080-f485-91e7-b01a-b761da138d96"/>
    <d v="2025-04-27T19:50:14"/>
    <d v="2025-04-27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095.52"/>
    <n v="0"/>
    <m/>
    <x v="0"/>
  </r>
  <r>
    <s v="5693c080-f485-91e7-c5bb-d67b926205e5"/>
    <d v="2025-05-04T19:50:14"/>
    <d v="2025-05-04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bca1691f-8839-1d66-6f25-ed73cf3f05ad"/>
    <d v="2024-08-14T07:39:55"/>
    <d v="2024-08-14T11:0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48.36"/>
    <n v="438.69"/>
    <n v="431857002"/>
    <x v="84"/>
  </r>
  <r>
    <s v="bca1691f-8839-1d66-62d0-f2a96e6e45c3"/>
    <d v="2024-08-14T11:09:55"/>
    <d v="2024-08-14T11:2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9eb9-1c504b89ffae"/>
    <d v="2025-05-11T19:50:14"/>
    <d v="2025-05-11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bca1691f-8839-1d66-c86c-a176c04f793a"/>
    <d v="2024-08-17T11:09:55"/>
    <d v="2024-08-17T13:4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8703-239adea529b5"/>
    <d v="2024-08-20T13:49:55"/>
    <d v="2024-08-20T16:3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d164-6aa580934907"/>
    <d v="2025-05-18T19:50:14"/>
    <d v="2025-05-18T20:05:14"/>
    <s v="5693c080-f485-91e7-54b9-ad9a8c12af62"/>
    <s v="9ce6072b-d039-3cde-8eaf-950211b8ae88"/>
    <s v="517e705f-fc32-3ef1-8c0c-52263ed2b781"/>
    <s v="e03e23c9-4df1-3eb6-a62d-f70f02301496"/>
    <x v="4"/>
    <n v="702927004"/>
    <s v="Urgent care clinic (environment)"/>
    <n v="142.58000000000001"/>
    <n v="291.74"/>
    <n v="0"/>
    <m/>
    <x v="0"/>
  </r>
  <r>
    <s v="bca1691f-8839-1d66-f328-07432cf48e3d"/>
    <d v="2024-08-28T07:39:55"/>
    <d v="2024-08-28T08:10:2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d59e-825579665ebf"/>
    <d v="2025-05-25T19:50:14"/>
    <d v="2025-05-25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095.52"/>
    <n v="0"/>
    <m/>
    <x v="0"/>
  </r>
  <r>
    <s v="bca1691f-8839-1d66-d829-87c62557bb55"/>
    <d v="2024-09-04T07:39:55"/>
    <d v="2024-09-04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bca1691f-8839-1d66-2c45-01f1a4a9b8a0"/>
    <d v="2024-09-11T07:39:55"/>
    <d v="2024-09-11T10:27:5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66383009"/>
    <x v="17"/>
  </r>
  <r>
    <s v="bca1691f-8839-1d66-896e-f593225fe101"/>
    <d v="2024-09-18T07:39:55"/>
    <d v="2024-09-18T09:5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699.91"/>
    <n v="559.92999999999995"/>
    <n v="431857002"/>
    <x v="84"/>
  </r>
  <r>
    <s v="bca1691f-8839-1d66-8bf2-2318e7a3a590"/>
    <d v="2024-09-18T09:53:55"/>
    <d v="2024-09-18T10:0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54be-0430c3d489a7"/>
    <d v="2024-09-21T09:53:55"/>
    <d v="2024-09-21T13:3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0316-5ff66d9169d1"/>
    <d v="2024-09-24T13:34:55"/>
    <d v="2024-09-24T16:2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5adf-5eb510ff9305"/>
    <d v="2025-06-01T19:50:14"/>
    <d v="2025-06-01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745.64"/>
    <n v="0"/>
    <m/>
    <x v="0"/>
  </r>
  <r>
    <s v="bca1691f-8839-1d66-55ca-c3e84eefa2e6"/>
    <d v="2024-10-02T07:39:55"/>
    <d v="2024-10-02T08:17:5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6473-03dfbee628e3"/>
    <d v="2025-06-08T19:50:14"/>
    <d v="2025-06-08T20:43:10"/>
    <s v="5693c080-f485-91e7-54b9-ad9a8c12af62"/>
    <s v="b3f4de6b-901d-3856-ba81-35dc48a63d17"/>
    <s v="d7a93133-2538-32c1-93c0-a44961fd3b28"/>
    <s v="e03e23c9-4df1-3eb6-a62d-f70f02301496"/>
    <x v="0"/>
    <n v="162673000"/>
    <s v="General examination of patient (procedure)"/>
    <n v="136.80000000000001"/>
    <n v="1439.04"/>
    <n v="0"/>
    <m/>
    <x v="0"/>
  </r>
  <r>
    <s v="bca1691f-8839-1d66-8172-0445f1204a6a"/>
    <d v="2024-10-09T07:39:55"/>
    <d v="2024-10-09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5693c080-f485-91e7-27eb-bc9427f9f697"/>
    <d v="2025-06-15T19:50:14"/>
    <d v="2025-06-15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5693c080-f485-91e7-7489-44956e8f91f8"/>
    <d v="2025-06-22T19:50:14"/>
    <d v="2025-06-22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801.32"/>
    <n v="0"/>
    <m/>
    <x v="0"/>
  </r>
  <r>
    <s v="bca1691f-8839-1d66-8667-2528ff833e0c"/>
    <d v="2024-10-16T07:39:55"/>
    <d v="2024-10-16T10:30:0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297.88"/>
    <n v="66383009"/>
    <x v="17"/>
  </r>
  <r>
    <s v="bca1691f-8839-1d66-b5f5-c678cf1f003d"/>
    <d v="2024-10-23T07:39:55"/>
    <d v="2024-10-23T11:3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305.8399999999999"/>
    <n v="1044.67"/>
    <n v="431857002"/>
    <x v="84"/>
  </r>
  <r>
    <s v="bca1691f-8839-1d66-14ea-f28e8f0e85da"/>
    <d v="2024-10-23T11:37:55"/>
    <d v="2024-10-23T11:5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faab-3d710a105fcc"/>
    <d v="2024-10-26T11:37:55"/>
    <d v="2024-10-26T13:5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2295-9ebc819b7573"/>
    <d v="2025-06-29T19:50:14"/>
    <d v="2025-06-29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511.04"/>
    <n v="0"/>
    <m/>
    <x v="0"/>
  </r>
  <r>
    <s v="bca1691f-8839-1d66-7502-23aabafe2e1d"/>
    <d v="2024-10-29T13:55:55"/>
    <d v="2024-10-29T17:4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a985-b2110ad17fe3"/>
    <d v="2024-11-06T06:39:55"/>
    <d v="2024-11-06T07:28:43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72d4-4245f58abd50"/>
    <d v="2025-07-06T19:50:14"/>
    <d v="2025-07-06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801.32"/>
    <n v="0"/>
    <m/>
    <x v="0"/>
  </r>
  <r>
    <s v="5693c080-f485-91e7-b2e4-d983aadd710b"/>
    <d v="2025-07-13T19:50:14"/>
    <d v="2025-07-13T20:05:14"/>
    <s v="5693c080-f485-91e7-54b9-ad9a8c12af62"/>
    <s v="9ce6072b-d039-3cde-8eaf-950211b8ae88"/>
    <s v="517e705f-fc32-3ef1-8c0c-52263ed2b781"/>
    <s v="e03e23c9-4df1-3eb6-a62d-f70f02301496"/>
    <x v="4"/>
    <n v="702927004"/>
    <s v="Urgent care clinic (environment)"/>
    <n v="142.58000000000001"/>
    <n v="723.14"/>
    <n v="0"/>
    <m/>
    <x v="0"/>
  </r>
  <r>
    <s v="5693c080-f485-91e7-123e-b622ac2958fe"/>
    <d v="2025-07-20T19:50:14"/>
    <d v="2025-07-20T20:24:25"/>
    <s v="5693c080-f485-91e7-54b9-ad9a8c12af62"/>
    <s v="9ce6072b-d039-3cde-8eaf-950211b8ae88"/>
    <s v="517e705f-fc32-3ef1-8c0c-52263ed2b781"/>
    <s v="e03e23c9-4df1-3eb6-a62d-f70f02301496"/>
    <x v="4"/>
    <n v="702927004"/>
    <s v="Urgent care clinic (environment)"/>
    <n v="142.58000000000001"/>
    <n v="1660.52"/>
    <n v="0"/>
    <m/>
    <x v="0"/>
  </r>
  <r>
    <s v="5693c080-f485-91e7-e348-bce2765ff5c4"/>
    <d v="2025-07-27T19:50:14"/>
    <d v="2025-07-27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457.65"/>
    <n v="0"/>
    <m/>
    <x v="0"/>
  </r>
  <r>
    <s v="5693c080-f485-91e7-86e8-a4777be05afb"/>
    <d v="2025-08-03T19:50:14"/>
    <d v="2025-08-03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590.92"/>
    <n v="0"/>
    <m/>
    <x v="0"/>
  </r>
  <r>
    <s v="5693c080-f485-91e7-bda4-b35ab8f532ff"/>
    <d v="2025-08-10T19:50:14"/>
    <d v="2025-08-10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5.07"/>
    <n v="0"/>
    <m/>
    <x v="0"/>
  </r>
  <r>
    <s v="5693c080-f485-91e7-d382-1105552e9144"/>
    <d v="2025-08-17T19:50:14"/>
    <d v="2025-08-17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017.02"/>
    <n v="0"/>
    <m/>
    <x v="0"/>
  </r>
  <r>
    <s v="bca1691f-8839-1d66-cf27-15a984f3cfa7"/>
    <d v="2024-11-13T06:39:55"/>
    <d v="2024-11-13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1531-f6848af0ab01"/>
    <d v="2024-11-20T06:39:55"/>
    <d v="2024-11-20T07:35:3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4ea1-f60e44f2d024"/>
    <d v="2025-08-24T19:50:14"/>
    <d v="2025-08-24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942.44"/>
    <n v="0"/>
    <m/>
    <x v="0"/>
  </r>
  <r>
    <s v="5693c080-f485-91e7-fcf7-131e1dfa24e8"/>
    <d v="2025-08-31T19:50:14"/>
    <d v="2025-08-31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801.32"/>
    <n v="0"/>
    <m/>
    <x v="0"/>
  </r>
  <r>
    <s v="bca1691f-8839-1d66-4121-c359425a15bf"/>
    <d v="2024-11-27T06:39:55"/>
    <d v="2024-11-27T06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450.41"/>
    <n v="360.32"/>
    <m/>
    <x v="0"/>
  </r>
  <r>
    <s v="5693c080-f485-91e7-6b79-dae2069f547b"/>
    <d v="2025-09-07T19:50:14"/>
    <d v="2025-09-07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726.74"/>
    <n v="0"/>
    <m/>
    <x v="0"/>
  </r>
  <r>
    <s v="5693c080-f485-91e7-d891-754be4002310"/>
    <d v="2025-09-14T19:50:14"/>
    <d v="2025-09-14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053.58"/>
    <n v="0"/>
    <m/>
    <x v="0"/>
  </r>
  <r>
    <s v="bca1691f-8839-1d66-3d0d-97a3dd190af3"/>
    <d v="2024-12-04T06:39:55"/>
    <d v="2024-12-04T09:4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612.98"/>
    <n v="1290.3800000000001"/>
    <n v="431857002"/>
    <x v="84"/>
  </r>
  <r>
    <s v="bca1691f-8839-1d66-8fb8-21d826ce2ba3"/>
    <d v="2024-12-04T09:47:55"/>
    <d v="2024-12-04T10:0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e065-5fdc37452de5"/>
    <d v="2025-09-21T19:50:14"/>
    <d v="2025-09-21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726.74"/>
    <n v="0"/>
    <m/>
    <x v="0"/>
  </r>
  <r>
    <s v="bca1691f-8839-1d66-865f-9fa01d9e1cfe"/>
    <d v="2024-12-07T09:47:55"/>
    <d v="2024-12-07T12:4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36.74"/>
    <n v="749.39"/>
    <n v="431857002"/>
    <x v="84"/>
  </r>
  <r>
    <s v="5693c080-f485-91e7-8bdf-409835149bed"/>
    <d v="2025-09-28T19:50:14"/>
    <d v="2025-09-28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937.32"/>
    <n v="0"/>
    <m/>
    <x v="0"/>
  </r>
  <r>
    <s v="bca1691f-8839-1d66-c150-4b1d11d623a9"/>
    <d v="2024-12-10T12:42:55"/>
    <d v="2024-12-10T15:1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86cf-203e0d3b9bfc"/>
    <d v="2024-12-18T06:39:55"/>
    <d v="2024-12-18T07:39:54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4732-8f092674410a"/>
    <d v="2025-10-05T19:50:14"/>
    <d v="2025-10-05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726.74"/>
    <n v="0"/>
    <m/>
    <x v="0"/>
  </r>
  <r>
    <s v="5693c080-f485-91e7-5e1d-015254d67162"/>
    <d v="2025-10-12T19:50:14"/>
    <d v="2025-10-12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801.32"/>
    <n v="0"/>
    <m/>
    <x v="0"/>
  </r>
  <r>
    <s v="bca1691f-8839-1d66-25d2-cd60c6746a0f"/>
    <d v="2024-12-25T06:39:55"/>
    <d v="2024-12-25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5693c080-f485-91e7-5492-ccc24cb6399c"/>
    <d v="2025-10-19T19:50:14"/>
    <d v="2025-10-19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511.04"/>
    <n v="0"/>
    <m/>
    <x v="0"/>
  </r>
  <r>
    <s v="5693c080-f485-91e7-c883-9f1aa4792250"/>
    <d v="2025-10-26T19:50:14"/>
    <d v="2025-10-26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095.52"/>
    <n v="0"/>
    <m/>
    <x v="0"/>
  </r>
  <r>
    <s v="bca1691f-8839-1d66-6d45-9c1b6bfc8958"/>
    <d v="2025-01-01T06:39:55"/>
    <d v="2025-01-01T09:0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27.2"/>
    <n v="661.76"/>
    <n v="431857002"/>
    <x v="84"/>
  </r>
  <r>
    <s v="bca1691f-8839-1d66-60b9-8c38ff79da46"/>
    <d v="2025-01-04T09:01:55"/>
    <d v="2025-01-04T12:2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7686-15d2480cca38"/>
    <d v="2025-01-04T12:28:55"/>
    <d v="2025-01-04T12:4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5fd7-55b2ff2b152a"/>
    <d v="2025-11-02T18:50:14"/>
    <d v="2025-11-02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511.04"/>
    <n v="0"/>
    <m/>
    <x v="0"/>
  </r>
  <r>
    <s v="bca1691f-8839-1d66-addf-21498744a32b"/>
    <d v="2025-01-07T12:28:55"/>
    <d v="2025-01-07T14:4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95.28"/>
    <n v="796.22"/>
    <n v="431857002"/>
    <x v="84"/>
  </r>
  <r>
    <s v="bca1691f-8839-1d66-81e0-6146144d27c3"/>
    <d v="2025-01-10T14:48:55"/>
    <d v="2025-01-10T17:1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80b7-b9c6d63a6bd6"/>
    <d v="2025-11-09T18:50:14"/>
    <d v="2025-11-09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bca1691f-8839-1d66-7a72-ff4b6f94a555"/>
    <d v="2025-01-13T17:11:55"/>
    <d v="2025-01-13T19:4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63a7-7d2ddc3f2e91"/>
    <d v="2025-01-22T06:39:55"/>
    <d v="2025-01-22T07:21:4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5b7f-d47811499ef6"/>
    <d v="2025-11-16T18:50:14"/>
    <d v="2025-11-16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5693c080-f485-91e7-ac17-a9bfb75ed20d"/>
    <d v="2025-11-23T18:50:14"/>
    <d v="2025-11-23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bca1691f-8839-1d66-ab4e-4cd6b5836da1"/>
    <d v="2025-01-29T06:39:55"/>
    <d v="2025-01-29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5693c080-f485-91e7-4b3d-daa1f9f59aec"/>
    <d v="2025-11-30T18:50:14"/>
    <d v="2025-11-30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511.04"/>
    <n v="0"/>
    <m/>
    <x v="0"/>
  </r>
  <r>
    <s v="5693c080-f485-91e7-981e-5d157ae12974"/>
    <d v="2025-12-07T18:50:14"/>
    <d v="2025-12-07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448.42"/>
    <n v="0"/>
    <m/>
    <x v="0"/>
  </r>
  <r>
    <s v="bca1691f-8839-1d66-4322-005a14ee0769"/>
    <d v="2025-02-05T06:39:55"/>
    <d v="2025-02-05T07:23:42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815.27"/>
    <n v="652.20000000000005"/>
    <m/>
    <x v="0"/>
  </r>
  <r>
    <s v="5693c080-f485-91e7-bd2e-670dbabf2e76"/>
    <d v="2025-12-14T18:50:14"/>
    <d v="2025-12-14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5693c080-f485-91e7-8db8-42e5c59f0c39"/>
    <d v="2025-12-21T18:50:14"/>
    <d v="2025-12-21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bca1691f-8839-1d66-dc52-6345bc4d7961"/>
    <d v="2025-02-12T06:39:55"/>
    <d v="2025-02-12T11:02:2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5693c080-f485-91e7-004f-7dd9fe101f30"/>
    <d v="2025-12-28T18:50:14"/>
    <d v="2025-12-28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052.3399999999999"/>
    <n v="0"/>
    <m/>
    <x v="0"/>
  </r>
  <r>
    <s v="bca1691f-8839-1d66-82e8-5ef6878e0ecc"/>
    <d v="2025-02-19T06:39:55"/>
    <d v="2025-02-19T08:4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b568-563711e9477b"/>
    <d v="2026-01-04T18:50:14"/>
    <d v="2026-01-04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bca1691f-8839-1d66-9339-d09560d59146"/>
    <d v="2025-02-19T08:42:55"/>
    <d v="2025-02-19T08:5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4556-876311b56371"/>
    <d v="2025-02-22T08:42:55"/>
    <d v="2025-02-22T12:1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bd61-08d5af5f9e26"/>
    <d v="2025-02-25T12:14:55"/>
    <d v="2025-02-25T14:5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222.22"/>
    <n v="977.78"/>
    <n v="431857002"/>
    <x v="84"/>
  </r>
  <r>
    <s v="5693c080-f485-91e7-6f47-bab6657d8417"/>
    <d v="2026-01-11T18:50:14"/>
    <d v="2026-01-11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659.45"/>
    <n v="0"/>
    <m/>
    <x v="0"/>
  </r>
  <r>
    <s v="bca1691f-8839-1d66-28f5-fddaec86e620"/>
    <d v="2025-03-05T06:39:55"/>
    <d v="2025-03-05T07:20:43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d65c-4181cd25f860"/>
    <d v="2026-01-18T18:50:14"/>
    <d v="2026-01-18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5693c080-f485-91e7-cd16-2bf6edcdd350"/>
    <d v="2026-01-25T18:50:14"/>
    <d v="2026-01-25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511.04"/>
    <n v="0"/>
    <m/>
    <x v="0"/>
  </r>
  <r>
    <s v="bca1691f-8839-1d66-c613-177636677dc6"/>
    <d v="2025-03-12T07:39:55"/>
    <d v="2025-03-12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5693c080-f485-91e7-89fc-f43f764cb6a5"/>
    <d v="2026-02-01T18:50:14"/>
    <d v="2026-02-01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232.72"/>
    <n v="0"/>
    <m/>
    <x v="0"/>
  </r>
  <r>
    <s v="bca1691f-8839-1d66-7008-28841b2656d2"/>
    <d v="2025-03-19T07:39:55"/>
    <d v="2025-03-19T08:37:06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5bf9-55394374a359"/>
    <d v="2026-02-08T18:50:14"/>
    <d v="2026-02-08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5693c080-f485-91e7-4137-b9b3a772bc0e"/>
    <d v="2026-02-15T18:50:14"/>
    <d v="2026-02-15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907.75"/>
    <n v="0"/>
    <m/>
    <x v="0"/>
  </r>
  <r>
    <s v="bca1691f-8839-1d66-bdf9-2bfaebe1be0d"/>
    <d v="2025-03-26T07:39:55"/>
    <d v="2025-03-26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97.51"/>
    <n v="878"/>
    <m/>
    <x v="0"/>
  </r>
  <r>
    <s v="5693c080-f485-91e7-fe95-0c0438e8002a"/>
    <d v="2026-02-22T18:50:14"/>
    <d v="2026-02-22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5693c080-f485-91e7-b717-03a877c82e5e"/>
    <d v="2026-03-01T18:50:14"/>
    <d v="2026-03-01T19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448.42"/>
    <n v="0"/>
    <m/>
    <x v="0"/>
  </r>
  <r>
    <s v="bca1691f-8839-1d66-953b-81e31e33296e"/>
    <d v="2025-04-02T07:39:55"/>
    <d v="2025-04-02T10:58:56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66383009"/>
    <x v="17"/>
  </r>
  <r>
    <s v="5693c080-f485-91e7-bfa1-7c5a31b329ab"/>
    <d v="2026-03-08T19:50:14"/>
    <d v="2026-03-08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295.33999999999997"/>
    <n v="0"/>
    <m/>
    <x v="0"/>
  </r>
  <r>
    <s v="bca1691f-8839-1d66-a3f9-3441b80b1048"/>
    <d v="2025-04-09T07:39:55"/>
    <d v="2025-04-09T10:0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9897-235847e014d5"/>
    <d v="2026-03-15T19:50:14"/>
    <d v="2026-03-15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1448.42"/>
    <n v="0"/>
    <m/>
    <x v="0"/>
  </r>
  <r>
    <s v="bca1691f-8839-1d66-3582-9da10e326b3b"/>
    <d v="2025-04-09T10:07:55"/>
    <d v="2025-04-09T10:2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9e8e-00e872e54919"/>
    <d v="2025-04-12T10:07:55"/>
    <d v="2025-04-12T13:3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91d3-7b08c85919f6"/>
    <d v="2025-04-15T13:33:55"/>
    <d v="2025-04-15T16:2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a953-e31a68ed5402"/>
    <d v="2026-03-22T19:50:14"/>
    <d v="2026-03-22T20:50:14"/>
    <s v="5693c080-f485-91e7-54b9-ad9a8c12af62"/>
    <s v="8e3ca57f-6f74-3d61-9803-ab1424290216"/>
    <s v="84e046b8-c01b-3ab0-a425-daebba961156"/>
    <s v="e03e23c9-4df1-3eb6-a62d-f70f02301496"/>
    <x v="3"/>
    <n v="50849002"/>
    <s v="Emergency room admission (procedure)"/>
    <n v="146.18"/>
    <n v="511.04"/>
    <n v="0"/>
    <m/>
    <x v="0"/>
  </r>
  <r>
    <s v="bca1691f-8839-1d66-4314-6eaa93269767"/>
    <d v="2025-04-23T07:39:55"/>
    <d v="2025-04-23T08:32:31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08.3"/>
    <n v="806.62"/>
    <m/>
    <x v="0"/>
  </r>
  <r>
    <s v="5693c080-f485-91e7-0a16-21c3a2966b3b"/>
    <d v="2026-03-29T19:50:14"/>
    <d v="2026-03-29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838.72"/>
    <n v="1386.8"/>
    <m/>
    <x v="0"/>
  </r>
  <r>
    <s v="5693c080-f485-91e7-0cff-74234d4364ac"/>
    <d v="2026-04-05T19:50:14"/>
    <d v="2026-04-05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295.33999999999997"/>
    <n v="236.26"/>
    <m/>
    <x v="0"/>
  </r>
  <r>
    <s v="bca1691f-8839-1d66-ebfe-a662eafa6bbf"/>
    <d v="2025-04-30T07:39:55"/>
    <d v="2025-04-30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97.51"/>
    <n v="878"/>
    <m/>
    <x v="0"/>
  </r>
  <r>
    <s v="5693c080-f485-91e7-7bbe-c1ab1b38bf9d"/>
    <d v="2026-04-12T19:50:14"/>
    <d v="2026-04-12T20:29:04"/>
    <s v="5693c080-f485-91e7-54b9-ad9a8c12af62"/>
    <s v="9ce6072b-d039-3cde-8eaf-950211b8ae88"/>
    <s v="517e705f-fc32-3ef1-8c0c-52263ed2b781"/>
    <s v="a735bf55-83e9-331a-899d-a82a60b9f60c"/>
    <x v="4"/>
    <n v="702927004"/>
    <s v="Urgent care clinic (environment)"/>
    <n v="142.58000000000001"/>
    <n v="1013.42"/>
    <n v="810.72"/>
    <m/>
    <x v="0"/>
  </r>
  <r>
    <s v="bca1691f-8839-1d66-573a-0c9010d18ad9"/>
    <d v="2025-05-07T07:39:55"/>
    <d v="2025-05-07T11:21:06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66383009"/>
    <x v="17"/>
  </r>
  <r>
    <s v="5693c080-f485-91e7-29bf-6ebe26e532d8"/>
    <d v="2026-04-19T19:50:14"/>
    <d v="2026-04-19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316.32"/>
    <n v="253.04"/>
    <m/>
    <x v="0"/>
  </r>
  <r>
    <s v="bca1691f-8839-1d66-46d4-8b691e57ed2d"/>
    <d v="2025-05-14T07:39:55"/>
    <d v="2025-05-14T11:3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2b80-f0f79254d21c"/>
    <d v="2025-05-14T11:36:55"/>
    <d v="2025-05-14T11:5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6c95-3ec83f8da3a3"/>
    <d v="2026-04-26T19:50:14"/>
    <d v="2026-04-26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801.32"/>
    <n v="641.04"/>
    <m/>
    <x v="0"/>
  </r>
  <r>
    <s v="bca1691f-8839-1d66-06b3-594fdc74fe80"/>
    <d v="2025-05-17T11:36:55"/>
    <d v="2025-05-17T13:5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486.27"/>
    <n v="1189.02"/>
    <n v="431857002"/>
    <x v="84"/>
  </r>
  <r>
    <s v="bca1691f-8839-1d66-c5d2-4b7ed8766fdc"/>
    <d v="2025-05-20T13:54:55"/>
    <d v="2025-05-20T16:2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45eb-d77bfa57ef6d"/>
    <d v="2025-05-28T07:39:55"/>
    <d v="2025-05-28T08:39:28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866.52"/>
    <n v="693.2"/>
    <m/>
    <x v="0"/>
  </r>
  <r>
    <s v="5693c080-f485-91e7-2b8e-3766984e0ded"/>
    <d v="2026-05-03T19:50:14"/>
    <d v="2026-05-03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942.44"/>
    <n v="753.94"/>
    <m/>
    <x v="0"/>
  </r>
  <r>
    <s v="5693c080-f485-91e7-747d-616456a1bde8"/>
    <d v="2026-05-10T19:50:14"/>
    <d v="2026-05-10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801.32"/>
    <n v="641.04"/>
    <m/>
    <x v="0"/>
  </r>
  <r>
    <s v="bca1691f-8839-1d66-afa7-5601f24afa56"/>
    <d v="2025-06-04T07:39:55"/>
    <d v="2025-06-04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5693c080-f485-91e7-e9fa-6167e5b46a2f"/>
    <d v="2026-05-17T19:50:14"/>
    <d v="2026-05-17T20:19:10"/>
    <s v="5693c080-f485-91e7-54b9-ad9a8c12af62"/>
    <s v="9ce6072b-d039-3cde-8eaf-950211b8ae88"/>
    <s v="517e705f-fc32-3ef1-8c0c-52263ed2b781"/>
    <s v="a735bf55-83e9-331a-899d-a82a60b9f60c"/>
    <x v="4"/>
    <n v="702927004"/>
    <s v="Urgent care clinic (environment)"/>
    <n v="142.58000000000001"/>
    <n v="723.14"/>
    <n v="578.5"/>
    <m/>
    <x v="0"/>
  </r>
  <r>
    <s v="bca1691f-8839-1d66-9b0c-52bc54ba98ec"/>
    <d v="2025-06-11T07:39:55"/>
    <d v="2025-06-11T08:23:55"/>
    <s v="bca1691f-8839-1d66-ed01-471134d55738"/>
    <s v="ba07b31b-bf14-39b8-be95-4c5ca5062daa"/>
    <s v="e13638ea-c3c4-3fdf-a016-2d6c77f0f560"/>
    <s v="a735bf55-83e9-331a-899d-a82a60b9f60c"/>
    <x v="1"/>
    <n v="36228007"/>
    <s v="Ophthalmic examination and evaluation (procedure)"/>
    <n v="142.58000000000001"/>
    <n v="2730.98"/>
    <n v="2184.7800000000002"/>
    <m/>
    <x v="0"/>
  </r>
  <r>
    <s v="5693c080-f485-91e7-ee79-8b7773bf61ab"/>
    <d v="2026-05-24T19:50:14"/>
    <d v="2026-05-24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017.02"/>
    <n v="813.6"/>
    <m/>
    <x v="0"/>
  </r>
  <r>
    <s v="bca1691f-8839-1d66-8314-656b37a27885"/>
    <d v="2025-06-18T07:39:55"/>
    <d v="2025-06-18T10:5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296"/>
    <n v="1036.8"/>
    <n v="431857002"/>
    <x v="84"/>
  </r>
  <r>
    <s v="bca1691f-8839-1d66-aefb-e31ff5184bac"/>
    <d v="2025-06-18T10:51:55"/>
    <d v="2025-06-18T11:0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5693c080-f485-91e7-c457-7123951dd9a4"/>
    <d v="2026-05-31T19:50:14"/>
    <d v="2026-05-31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726.74"/>
    <n v="581.38"/>
    <m/>
    <x v="0"/>
  </r>
  <r>
    <s v="bca1691f-8839-1d66-dc6d-9006e7d0ff0b"/>
    <d v="2025-06-21T10:51:55"/>
    <d v="2025-06-21T13:5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d438-78a1127ea08d"/>
    <d v="2025-06-24T13:51:55"/>
    <d v="2025-06-24T17:3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060.98"/>
    <n v="848.78"/>
    <n v="431857002"/>
    <x v="84"/>
  </r>
  <r>
    <s v="bca1691f-8839-1d66-17bd-bc3d447e43fc"/>
    <d v="2025-07-02T07:39:55"/>
    <d v="2025-07-02T08:33:22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5693c080-f485-91e7-034b-3de865cc2797"/>
    <d v="2026-06-07T19:50:14"/>
    <d v="2026-06-07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875.9"/>
    <n v="700.7"/>
    <m/>
    <x v="0"/>
  </r>
  <r>
    <s v="5693c080-f485-91e7-624a-95829a0defc7"/>
    <d v="2026-06-14T19:50:14"/>
    <d v="2026-06-14T20:05:14"/>
    <s v="5693c080-f485-91e7-54b9-ad9a8c12af62"/>
    <s v="b3f4de6b-901d-3856-ba81-35dc48a63d17"/>
    <s v="d7a93133-2538-32c1-93c0-a44961fd3b28"/>
    <s v="a735bf55-83e9-331a-899d-a82a60b9f60c"/>
    <x v="0"/>
    <n v="162673000"/>
    <s v="General examination of patient (procedure)"/>
    <n v="136.80000000000001"/>
    <n v="717.36"/>
    <n v="573.88"/>
    <m/>
    <x v="0"/>
  </r>
  <r>
    <s v="bca1691f-8839-1d66-bac5-205c30668c19"/>
    <d v="2025-07-09T07:39:55"/>
    <d v="2025-07-09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5693c080-f485-91e7-90b3-f232dde54da1"/>
    <d v="2026-06-21T19:50:14"/>
    <d v="2026-06-21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801.32"/>
    <n v="641.04"/>
    <m/>
    <x v="0"/>
  </r>
  <r>
    <s v="bca1691f-8839-1d66-22fd-86cda0bb807c"/>
    <d v="2025-07-16T07:39:55"/>
    <d v="2025-07-16T08:39:32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541.81"/>
    <n v="1233.43"/>
    <m/>
    <x v="0"/>
  </r>
  <r>
    <s v="5693c080-f485-91e7-c7db-571f996cfd66"/>
    <d v="2026-06-28T19:50:14"/>
    <d v="2026-06-28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589.54"/>
    <n v="1271.6199999999999"/>
    <m/>
    <x v="0"/>
  </r>
  <r>
    <s v="5693c080-f485-91e7-23dd-922afabbd9e4"/>
    <d v="2026-07-05T19:50:14"/>
    <d v="2026-07-05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801.32"/>
    <n v="641.04"/>
    <m/>
    <x v="0"/>
  </r>
  <r>
    <s v="bca1691f-8839-1d66-bf2e-540d767cc224"/>
    <d v="2025-07-23T07:39:55"/>
    <d v="2025-07-23T11:3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036.8499999999999"/>
    <n v="829.48"/>
    <n v="431857002"/>
    <x v="84"/>
  </r>
  <r>
    <s v="bca1691f-8839-1d66-3827-c225a3c376d5"/>
    <d v="2025-07-23T11:31:55"/>
    <d v="2025-07-23T11:4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c892-87b46a34e42c"/>
    <d v="2025-07-26T11:31:55"/>
    <d v="2025-07-26T14:5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5693c080-f485-91e7-0e74-0981cb317cab"/>
    <d v="2026-07-12T19:50:14"/>
    <d v="2026-07-12T20:17:41"/>
    <s v="5693c080-f485-91e7-54b9-ad9a8c12af62"/>
    <s v="9ce6072b-d039-3cde-8eaf-950211b8ae88"/>
    <s v="517e705f-fc32-3ef1-8c0c-52263ed2b781"/>
    <s v="a735bf55-83e9-331a-899d-a82a60b9f60c"/>
    <x v="4"/>
    <n v="702927004"/>
    <s v="Urgent care clinic (environment)"/>
    <n v="142.58000000000001"/>
    <n v="1226.42"/>
    <n v="981.12"/>
    <m/>
    <x v="0"/>
  </r>
  <r>
    <s v="bca1691f-8839-1d66-cbea-ed0bca80bba3"/>
    <d v="2025-07-29T14:54:55"/>
    <d v="2025-07-29T17:4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616.83"/>
    <n v="1293.46"/>
    <n v="431857002"/>
    <x v="84"/>
  </r>
  <r>
    <s v="bca1691f-8839-1d66-36b7-dd02c843d266"/>
    <d v="2025-07-30T07:39:55"/>
    <d v="2025-07-30T07:54:55"/>
    <s v="bca1691f-8839-1d66-ed01-471134d55738"/>
    <s v="ba07b31b-bf14-39b8-be95-4c5ca5062daa"/>
    <s v="e13638ea-c3c4-3fdf-a016-2d6c77f0f560"/>
    <s v="a735bf55-83e9-331a-899d-a82a60b9f60c"/>
    <x v="1"/>
    <n v="390906007"/>
    <s v="Follow-up encounter (procedure)"/>
    <n v="85.55"/>
    <n v="234.71"/>
    <n v="187.76"/>
    <n v="55822004"/>
    <x v="52"/>
  </r>
  <r>
    <s v="5693c080-f485-91e7-a4a1-9872c1e148a9"/>
    <d v="2026-07-19T19:50:14"/>
    <d v="2026-07-19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664.12"/>
    <n v="1331.28"/>
    <m/>
    <x v="0"/>
  </r>
  <r>
    <s v="bca1691f-8839-1d66-f7b1-e465a8b6f1fd"/>
    <d v="2025-08-06T07:39:55"/>
    <d v="2025-08-06T08:32:58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48.44"/>
    <n v="838.74"/>
    <m/>
    <x v="0"/>
  </r>
  <r>
    <s v="5693c080-f485-91e7-f2ec-14abfb3a8219"/>
    <d v="2026-07-26T19:50:14"/>
    <d v="2026-07-26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942.44"/>
    <n v="753.94"/>
    <m/>
    <x v="0"/>
  </r>
  <r>
    <s v="bca1691f-8839-1d66-53d2-6b25de3d2733"/>
    <d v="2025-08-13T07:39:55"/>
    <d v="2025-08-13T10:28:4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105.35"/>
    <n v="2484.2800000000002"/>
    <n v="103697008"/>
    <x v="3"/>
  </r>
  <r>
    <s v="5693c080-f485-91e7-aca5-32aee652e771"/>
    <d v="2026-08-02T19:50:14"/>
    <d v="2026-08-02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017.02"/>
    <n v="813.6"/>
    <m/>
    <x v="0"/>
  </r>
  <r>
    <s v="bca1691f-8839-1d66-ff20-d9858baadfcd"/>
    <d v="2025-08-20T07:39:55"/>
    <d v="2025-08-20T10:44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8a69-de4d303a9d77"/>
    <d v="2025-08-23T10:44:55"/>
    <d v="2025-08-23T14:4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756.11"/>
    <n v="604.89"/>
    <n v="431857002"/>
    <x v="84"/>
  </r>
  <r>
    <s v="5693c080-f485-91e7-6f0d-5cce7824b373"/>
    <d v="2026-08-09T19:50:14"/>
    <d v="2026-08-09T20:10:40"/>
    <s v="5693c080-f485-91e7-54b9-ad9a8c12af62"/>
    <s v="9ce6072b-d039-3cde-8eaf-950211b8ae88"/>
    <s v="517e705f-fc32-3ef1-8c0c-52263ed2b781"/>
    <s v="a735bf55-83e9-331a-899d-a82a60b9f60c"/>
    <x v="4"/>
    <n v="702927004"/>
    <s v="Urgent care clinic (environment)"/>
    <n v="142.58000000000001"/>
    <n v="723.14"/>
    <n v="578.5"/>
    <m/>
    <x v="0"/>
  </r>
  <r>
    <s v="bca1691f-8839-1d66-aaea-e70842dcb40b"/>
    <d v="2025-08-23T14:42:55"/>
    <d v="2025-08-23T14:5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5c19-5e0469facdb0"/>
    <d v="2025-08-26T14:42:55"/>
    <d v="2025-08-26T18:1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377.67"/>
    <n v="1102.1400000000001"/>
    <n v="431857002"/>
    <x v="84"/>
  </r>
  <r>
    <s v="5693c080-f485-91e7-3fd3-a7cb9c4518f6"/>
    <d v="2026-08-16T19:50:14"/>
    <d v="2026-08-16T20:50:14"/>
    <s v="5693c080-f485-91e7-54b9-ad9a8c12af62"/>
    <s v="8e3ca57f-6f74-3d61-9803-ab1424290216"/>
    <s v="84e046b8-c01b-3ab0-a425-daebba961156"/>
    <s v="a735bf55-83e9-331a-899d-a82a60b9f60c"/>
    <x v="3"/>
    <n v="50849002"/>
    <s v="Emergency room admission (procedure)"/>
    <n v="146.18"/>
    <n v="1094.6400000000001"/>
    <n v="875.7"/>
    <m/>
    <x v="0"/>
  </r>
  <r>
    <s v="bca1691f-8839-1d66-03a0-82b1712fc871"/>
    <d v="2025-09-03T07:39:55"/>
    <d v="2025-09-03T08:14:0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553.95"/>
    <n v="1243.1400000000001"/>
    <m/>
    <x v="0"/>
  </r>
  <r>
    <s v="bca1691f-8839-1d66-dbd1-d678f0ade177"/>
    <d v="2025-09-10T07:39:55"/>
    <d v="2025-09-10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097.51"/>
    <n v="878"/>
    <m/>
    <x v="0"/>
  </r>
  <r>
    <s v="bca1691f-8839-1d66-b5bf-7ad594b0a144"/>
    <d v="2025-09-17T07:39:55"/>
    <d v="2025-09-17T08:24:2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4187-024b16f1ebe2"/>
    <d v="2025-09-24T07:39:55"/>
    <d v="2025-09-24T09:5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230.6500000000001"/>
    <n v="984.52"/>
    <n v="431857002"/>
    <x v="84"/>
  </r>
  <r>
    <s v="bca1691f-8839-1d66-01d9-283d7e3ea3d6"/>
    <d v="2025-09-24T09:58:55"/>
    <d v="2025-09-24T10:1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4d61-41d78766ae7f"/>
    <d v="2025-09-27T09:58:55"/>
    <d v="2025-09-27T13:3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795.41"/>
    <n v="636.33000000000004"/>
    <n v="431857002"/>
    <x v="84"/>
  </r>
  <r>
    <s v="bca1691f-8839-1d66-2fbb-aa47a33ae851"/>
    <d v="2025-09-30T13:31:55"/>
    <d v="2025-09-30T17:0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765.83"/>
    <n v="612.66"/>
    <n v="431857002"/>
    <x v="84"/>
  </r>
  <r>
    <s v="bca1691f-8839-1d66-4ca4-652f4e67850d"/>
    <d v="2025-10-08T07:39:55"/>
    <d v="2025-10-08T10:43:5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2673.95"/>
    <n v="2139.16"/>
    <n v="103697008"/>
    <x v="3"/>
  </r>
  <r>
    <s v="bca1691f-8839-1d66-c2d1-fbcfde42d826"/>
    <d v="2025-10-15T07:39:55"/>
    <d v="2025-10-15T11:3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312.18"/>
    <n v="887.88"/>
    <n v="431857002"/>
    <x v="84"/>
  </r>
  <r>
    <s v="bca1691f-8839-1d66-2f50-ab15b766e496"/>
    <d v="2025-10-18T11:32:55"/>
    <d v="2025-10-18T15:3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e6ff-ecc974fbc1b0"/>
    <d v="2025-10-21T15:31:55"/>
    <d v="2025-10-21T18:1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052.57"/>
    <n v="842.06"/>
    <n v="431857002"/>
    <x v="84"/>
  </r>
  <r>
    <s v="bca1691f-8839-1d66-73d6-6552a3e3fb4c"/>
    <d v="2025-10-29T07:39:55"/>
    <d v="2025-10-29T08:10:29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08.3"/>
    <n v="806.62"/>
    <m/>
    <x v="0"/>
  </r>
  <r>
    <s v="bca1691f-8839-1d66-5a68-226d3bf5265b"/>
    <d v="2025-11-05T06:39:55"/>
    <d v="2025-11-05T09:3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197.5"/>
    <n v="958"/>
    <n v="431857002"/>
    <x v="84"/>
  </r>
  <r>
    <s v="bca1691f-8839-1d66-24e9-59230e20ea27"/>
    <d v="2025-11-05T09:37:55"/>
    <d v="2025-11-05T09:5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f767-72273a7e6510"/>
    <d v="2025-11-08T09:37:55"/>
    <d v="2025-11-08T13:2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68d7-7e487055881c"/>
    <d v="2025-11-11T13:26:55"/>
    <d v="2025-11-11T16:2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2c40-4a1f739894de"/>
    <d v="2025-11-19T06:39:55"/>
    <d v="2025-11-19T07:11:17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4768-56715a374c75"/>
    <d v="2025-11-26T06:39:55"/>
    <d v="2025-11-26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54.54"/>
    <n v="923.62"/>
    <m/>
    <x v="0"/>
  </r>
  <r>
    <s v="bca1691f-8839-1d66-09c2-ca7cd85d5041"/>
    <d v="2025-12-03T06:39:55"/>
    <d v="2025-12-03T10:34:11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103697008"/>
    <x v="3"/>
  </r>
  <r>
    <s v="bca1691f-8839-1d66-0d2b-122c3eaa418e"/>
    <d v="2025-12-10T06:39:55"/>
    <d v="2025-12-10T10:1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183.69"/>
    <n v="946.95"/>
    <n v="431857002"/>
    <x v="84"/>
  </r>
  <r>
    <s v="bca1691f-8839-1d66-017f-1317f5127c09"/>
    <d v="2025-12-10T10:12:55"/>
    <d v="2025-12-10T10:2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9795-4c40fa307ec2"/>
    <d v="2025-12-13T10:12:55"/>
    <d v="2025-12-13T12:48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791.03"/>
    <n v="1432.82"/>
    <n v="431857002"/>
    <x v="84"/>
  </r>
  <r>
    <s v="bca1691f-8839-1d66-49a1-65524747e6ec"/>
    <d v="2025-12-16T12:48:55"/>
    <d v="2025-12-16T16:1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18d9-55611eb44b0f"/>
    <d v="2025-12-24T06:39:55"/>
    <d v="2025-12-24T07:33:1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168.31"/>
    <n v="934.63"/>
    <m/>
    <x v="0"/>
  </r>
  <r>
    <s v="bca1691f-8839-1d66-7116-91fac4732893"/>
    <d v="2025-12-31T06:39:55"/>
    <d v="2025-12-31T10:3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685f-7ae5fb594e9e"/>
    <d v="2026-01-03T10:31:55"/>
    <d v="2026-01-03T13:2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37.36"/>
    <n v="749.89"/>
    <n v="431857002"/>
    <x v="84"/>
  </r>
  <r>
    <s v="bca1691f-8839-1d66-21b6-d0d43786eb27"/>
    <d v="2026-01-06T13:29:55"/>
    <d v="2026-01-06T17:1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428.85"/>
    <n v="1143.08"/>
    <n v="431857002"/>
    <x v="84"/>
  </r>
  <r>
    <s v="bca1691f-8839-1d66-293e-c94b4725c779"/>
    <d v="2026-01-14T06:39:55"/>
    <d v="2026-01-14T07:23:04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9138-4a0f2ca2d6dc"/>
    <d v="2026-01-21T06:39:55"/>
    <d v="2026-01-21T06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270a-ec17076c2294"/>
    <d v="2026-01-28T06:39:55"/>
    <d v="2026-01-28T10:07:5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3536.75"/>
    <n v="2829.4"/>
    <n v="103697008"/>
    <x v="3"/>
  </r>
  <r>
    <s v="bca1691f-8839-1d66-9b28-ed0a8cf74e1a"/>
    <d v="2026-02-04T06:39:55"/>
    <d v="2026-02-04T09:26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1026.6600000000001"/>
    <n v="821.33"/>
    <n v="431857002"/>
    <x v="84"/>
  </r>
  <r>
    <s v="bca1691f-8839-1d66-b639-d5d7964a3ce3"/>
    <d v="2026-02-04T09:26:55"/>
    <d v="2026-02-04T09:4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7277-8f7c207bb3b1"/>
    <d v="2026-02-07T09:26:55"/>
    <d v="2026-02-07T13:00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902.33"/>
    <n v="721.86"/>
    <n v="431857002"/>
    <x v="84"/>
  </r>
  <r>
    <s v="bca1691f-8839-1d66-0c0c-82bd0f3e2c12"/>
    <d v="2026-02-10T13:00:55"/>
    <d v="2026-02-10T16:3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7c90-edb596ef6240"/>
    <d v="2026-02-18T06:39:55"/>
    <d v="2026-02-18T07:14:19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1154.98"/>
    <n v="923.96"/>
    <m/>
    <x v="0"/>
  </r>
  <r>
    <s v="bca1691f-8839-1d66-b4d7-fabece4c3293"/>
    <d v="2026-02-25T06:39:55"/>
    <d v="2026-02-25T10:03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980d-0e66be171232"/>
    <d v="2026-02-28T10:03:55"/>
    <d v="2026-02-28T13:1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e683-c36c866d3eb2"/>
    <d v="2026-03-03T13:12:55"/>
    <d v="2026-03-03T15:31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ac0b-7ff62a3b33bd"/>
    <d v="2026-03-11T07:39:55"/>
    <d v="2026-03-11T13:59:48"/>
    <s v="bca1691f-8839-1d66-ed01-471134d55738"/>
    <s v="ba07b31b-bf14-39b8-be95-4c5ca5062daa"/>
    <s v="e13638ea-c3c4-3fdf-a016-2d6c77f0f560"/>
    <s v="a735bf55-83e9-331a-899d-a82a60b9f60c"/>
    <x v="1"/>
    <n v="185349003"/>
    <s v="Encounter for check up (procedure)"/>
    <n v="85.55"/>
    <n v="4399.55"/>
    <n v="3519.64"/>
    <n v="66383009"/>
    <x v="17"/>
  </r>
  <r>
    <s v="bca1691f-8839-1d66-03b4-e8aeb9686a3b"/>
    <d v="2026-03-18T07:39:55"/>
    <d v="2026-03-18T10:57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829.61"/>
    <n v="663.69"/>
    <n v="431857002"/>
    <x v="84"/>
  </r>
  <r>
    <s v="bca1691f-8839-1d66-b081-a87bfd7a813c"/>
    <d v="2026-03-18T10:57:55"/>
    <d v="2026-03-18T11:12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234.71"/>
    <n v="187.76"/>
    <n v="431857002"/>
    <x v="84"/>
  </r>
  <r>
    <s v="bca1691f-8839-1d66-127e-2e8771ebab3d"/>
    <d v="2026-03-21T10:57:55"/>
    <d v="2026-03-21T12:59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2f42-e3c3e753b29a"/>
    <d v="2026-03-24T12:59:55"/>
    <d v="2026-03-24T16:05:55"/>
    <s v="bca1691f-8839-1d66-ed01-471134d55738"/>
    <s v="ba07b31b-bf14-39b8-be95-4c5ca5062daa"/>
    <s v="e13638ea-c3c4-3fdf-a016-2d6c77f0f560"/>
    <s v="a735bf55-83e9-331a-899d-a82a60b9f60c"/>
    <x v="1"/>
    <n v="185347001"/>
    <s v="Encounter for problem (procedure)"/>
    <n v="85.55"/>
    <n v="535.87"/>
    <n v="428.7"/>
    <n v="431857002"/>
    <x v="84"/>
  </r>
  <r>
    <s v="bca1691f-8839-1d66-2413-fe1cde621093"/>
    <d v="2026-04-01T07:39:55"/>
    <d v="2026-04-01T08:30:24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39cb-12cbfbde15d0"/>
    <d v="2026-04-08T07:39:55"/>
    <d v="2026-04-08T07:54:55"/>
    <s v="bca1691f-8839-1d66-ed01-471134d55738"/>
    <s v="ba07b31b-bf14-39b8-be95-4c5ca5062daa"/>
    <s v="e13638ea-c3c4-3fdf-a016-2d6c77f0f560"/>
    <s v="a735bf55-83e9-331a-899d-a82a60b9f60c"/>
    <x v="2"/>
    <n v="185349003"/>
    <s v="Encounter for check up (procedure)"/>
    <n v="85.55"/>
    <n v="234.71"/>
    <n v="187.76"/>
    <m/>
    <x v="0"/>
  </r>
  <r>
    <s v="bca1691f-8839-1d66-30c7-030bb6411d21"/>
    <d v="2026-04-15T07:39:55"/>
    <d v="2026-04-15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1011.9"/>
    <n v="809.5"/>
    <m/>
    <x v="0"/>
  </r>
  <r>
    <s v="bca1691f-8839-1d66-91e6-c54adcc60425"/>
    <d v="2026-04-22T07:39:55"/>
    <d v="2026-04-22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295.33999999999997"/>
    <n v="236.26"/>
    <m/>
    <x v="0"/>
  </r>
  <r>
    <s v="bca1691f-8839-1d66-1d8c-984458f1e179"/>
    <d v="2026-04-29T07:39:55"/>
    <d v="2026-04-29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875.9"/>
    <n v="700.7"/>
    <m/>
    <x v="0"/>
  </r>
  <r>
    <s v="bca1691f-8839-1d66-85e8-a0cda3c26c04"/>
    <d v="2026-05-06T07:39:55"/>
    <d v="2026-05-06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295.33999999999997"/>
    <n v="236.26"/>
    <m/>
    <x v="0"/>
  </r>
  <r>
    <s v="bca1691f-8839-1d66-864d-f517c1b42896"/>
    <d v="2026-05-13T07:39:55"/>
    <d v="2026-05-13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875.9"/>
    <n v="700.7"/>
    <m/>
    <x v="0"/>
  </r>
  <r>
    <s v="bca1691f-8839-1d66-b1e3-eb696f370b8c"/>
    <d v="2026-05-20T07:39:55"/>
    <d v="2026-05-20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664.82"/>
    <n v="531.84"/>
    <m/>
    <x v="0"/>
  </r>
  <r>
    <s v="bca1691f-8839-1d66-046e-f41cb197085d"/>
    <d v="2026-05-27T07:39:55"/>
    <d v="2026-05-27T08:27:2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301.5"/>
    <n v="1041.18"/>
    <m/>
    <x v="0"/>
  </r>
  <r>
    <s v="bca1691f-8839-1d66-1a37-edb0cbd8acfc"/>
    <d v="2026-06-03T07:39:55"/>
    <d v="2026-06-03T07:54:55"/>
    <s v="bca1691f-8839-1d66-ed01-471134d55738"/>
    <s v="680532c8-2661-3b39-875a-b6ec0746ccf5"/>
    <s v="9267a44b-df9c-30d3-9b3c-9218b228281f"/>
    <s v="a735bf55-83e9-331a-899d-a82a60b9f60c"/>
    <x v="0"/>
    <n v="162673000"/>
    <s v="General examination of patient (procedure)"/>
    <n v="136.80000000000001"/>
    <n v="285.95999999999998"/>
    <n v="228.76"/>
    <m/>
    <x v="0"/>
  </r>
  <r>
    <s v="bca1691f-8839-1d66-67b7-9aaa04bf71fc"/>
    <d v="2026-06-10T07:39:55"/>
    <d v="2026-06-10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875.9"/>
    <n v="700.7"/>
    <m/>
    <x v="0"/>
  </r>
  <r>
    <s v="bca1691f-8839-1d66-0fbb-1b96570c1034"/>
    <d v="2026-06-17T07:39:55"/>
    <d v="2026-06-17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295.33999999999997"/>
    <n v="236.26"/>
    <m/>
    <x v="0"/>
  </r>
  <r>
    <s v="bca1691f-8839-1d66-e76e-1a640e1fb064"/>
    <d v="2026-06-24T07:39:55"/>
    <d v="2026-06-24T08:32:07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088"/>
    <n v="870.38"/>
    <m/>
    <x v="0"/>
  </r>
  <r>
    <s v="bca1691f-8839-1d66-a7d8-41067fbc83df"/>
    <d v="2026-07-01T07:39:55"/>
    <d v="2026-07-01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291.74"/>
    <n v="233.38"/>
    <m/>
    <x v="0"/>
  </r>
  <r>
    <s v="bca1691f-8839-1d66-6c0e-eff0f14cc9a1"/>
    <d v="2026-07-08T07:39:55"/>
    <d v="2026-07-08T08:38:38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872.3"/>
    <n v="697.82"/>
    <m/>
    <x v="0"/>
  </r>
  <r>
    <s v="bca1691f-8839-1d66-7623-418d96b29271"/>
    <d v="2026-07-15T07:39:55"/>
    <d v="2026-07-15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295.33999999999997"/>
    <n v="236.26"/>
    <m/>
    <x v="0"/>
  </r>
  <r>
    <s v="bca1691f-8839-1d66-4e6e-acda9e207ce7"/>
    <d v="2026-07-22T07:39:55"/>
    <d v="2026-07-22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875.9"/>
    <n v="700.7"/>
    <m/>
    <x v="0"/>
  </r>
  <r>
    <s v="bca1691f-8839-1d66-2d76-f76587f58e72"/>
    <d v="2026-07-29T07:39:55"/>
    <d v="2026-07-29T07:54:55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661.89"/>
    <n v="529.5"/>
    <m/>
    <x v="0"/>
  </r>
  <r>
    <s v="bca1691f-8839-1d66-3f00-cd3cb821a205"/>
    <d v="2026-08-05T07:39:55"/>
    <d v="2026-08-05T08:31:50"/>
    <s v="bca1691f-8839-1d66-ed01-471134d55738"/>
    <s v="a25107f7-f4f5-36fc-98e4-f3e1b5875c91"/>
    <s v="0bf12ebb-44be-30f8-a5d8-131eb8197dd3"/>
    <s v="a735bf55-83e9-331a-899d-a82a60b9f60c"/>
    <x v="4"/>
    <n v="702927004"/>
    <s v="Urgent care clinic (environment)"/>
    <n v="142.58000000000001"/>
    <n v="1310.1300000000001"/>
    <n v="1048.08"/>
    <m/>
    <x v="0"/>
  </r>
  <r>
    <s v="bca1691f-8839-1d66-3a0d-25f9e3ffe29f"/>
    <d v="2026-08-12T07:39:55"/>
    <d v="2026-08-12T08:39:55"/>
    <s v="bca1691f-8839-1d66-ed01-471134d55738"/>
    <s v="db28cc9a-fdfb-35a6-aef7-ab9b933ef244"/>
    <s v="70a0f202-4c2f-32b7-b6e3-fe05ad374306"/>
    <s v="a735bf55-83e9-331a-899d-a82a60b9f60c"/>
    <x v="3"/>
    <n v="50849002"/>
    <s v="Emergency room admission (procedure)"/>
    <n v="146.18"/>
    <n v="511.04"/>
    <n v="408.82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E4F16-AC64-41F3-A1B3-65A88DACDDDA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B12" firstHeaderRow="1" firstDataRow="2" firstDataCol="1"/>
  <pivotFields count="15">
    <pivotField dataField="1" showAll="0"/>
    <pivotField numFmtId="22" showAll="0"/>
    <pivotField numFmtId="22" showAll="0"/>
    <pivotField showAll="0"/>
    <pivotField showAll="0"/>
    <pivotField showAll="0"/>
    <pivotField showAll="0"/>
    <pivotField axis="axisRow" showAll="0">
      <items count="11">
        <item x="1"/>
        <item x="3"/>
        <item x="9"/>
        <item x="5"/>
        <item x="6"/>
        <item x="2"/>
        <item x="7"/>
        <item x="4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06">
        <item x="0"/>
        <item h="1" x="53"/>
        <item h="1" x="76"/>
        <item h="1" x="55"/>
        <item h="1" x="14"/>
        <item h="1" x="1"/>
        <item h="1" x="5"/>
        <item h="1" x="72"/>
        <item h="1" x="78"/>
        <item h="1" x="41"/>
        <item h="1" x="9"/>
        <item h="1" x="82"/>
        <item h="1" x="11"/>
        <item h="1" x="49"/>
        <item h="1" x="21"/>
        <item h="1" x="32"/>
        <item h="1" x="87"/>
        <item h="1" x="28"/>
        <item h="1" x="38"/>
        <item h="1" x="57"/>
        <item h="1" x="7"/>
        <item h="1" x="102"/>
        <item h="1" x="65"/>
        <item h="1" x="73"/>
        <item h="1" x="88"/>
        <item h="1" x="12"/>
        <item h="1" x="64"/>
        <item h="1" x="90"/>
        <item h="1" x="84"/>
        <item h="1" x="33"/>
        <item h="1" x="26"/>
        <item h="1" x="69"/>
        <item h="1" x="70"/>
        <item h="1" x="83"/>
        <item h="1" x="6"/>
        <item h="1" x="42"/>
        <item h="1" x="15"/>
        <item h="1" x="56"/>
        <item h="1" x="77"/>
        <item h="1" x="91"/>
        <item h="1" x="40"/>
        <item h="1" x="103"/>
        <item h="1" x="62"/>
        <item h="1" x="66"/>
        <item h="1" x="31"/>
        <item h="1" x="34"/>
        <item h="1" x="47"/>
        <item h="1" x="36"/>
        <item h="1" x="39"/>
        <item h="1" x="37"/>
        <item h="1" x="24"/>
        <item h="1" x="95"/>
        <item h="1" x="63"/>
        <item h="1" x="17"/>
        <item h="1" x="81"/>
        <item h="1" x="101"/>
        <item h="1" x="96"/>
        <item h="1" x="54"/>
        <item h="1" x="93"/>
        <item h="1" x="52"/>
        <item h="1" x="27"/>
        <item h="1" x="104"/>
        <item h="1" x="45"/>
        <item h="1" x="48"/>
        <item h="1" x="19"/>
        <item h="1" x="20"/>
        <item h="1" x="23"/>
        <item h="1" x="8"/>
        <item h="1" x="100"/>
        <item h="1" x="68"/>
        <item h="1" x="71"/>
        <item h="1" x="4"/>
        <item h="1" x="85"/>
        <item h="1" x="67"/>
        <item h="1" x="51"/>
        <item h="1" x="25"/>
        <item h="1" x="92"/>
        <item h="1" x="3"/>
        <item h="1" x="46"/>
        <item h="1" x="44"/>
        <item h="1" x="16"/>
        <item h="1" x="61"/>
        <item h="1" x="74"/>
        <item h="1" x="99"/>
        <item h="1" x="29"/>
        <item h="1" x="59"/>
        <item h="1" x="97"/>
        <item h="1" x="50"/>
        <item h="1" x="80"/>
        <item h="1" x="79"/>
        <item h="1" x="58"/>
        <item h="1" x="22"/>
        <item h="1" x="60"/>
        <item h="1" x="13"/>
        <item h="1" x="35"/>
        <item h="1" x="18"/>
        <item h="1" x="98"/>
        <item h="1" x="30"/>
        <item h="1" x="89"/>
        <item h="1" x="75"/>
        <item h="1" x="94"/>
        <item h="1" x="10"/>
        <item h="1" x="43"/>
        <item h="1" x="2"/>
        <item h="1" x="86"/>
        <item t="default"/>
      </items>
    </pivotField>
  </pivotFields>
  <rowFields count="1">
    <field x="7"/>
  </rowFields>
  <rowItems count="8">
    <i>
      <x/>
    </i>
    <i>
      <x v="1"/>
    </i>
    <i>
      <x v="3"/>
    </i>
    <i>
      <x v="5"/>
    </i>
    <i>
      <x v="7"/>
    </i>
    <i>
      <x v="8"/>
    </i>
    <i>
      <x v="9"/>
    </i>
    <i t="grand">
      <x/>
    </i>
  </rowItems>
  <colFields count="1">
    <field x="14"/>
  </colFields>
  <colItems count="1">
    <i>
      <x/>
    </i>
  </colItems>
  <dataFields count="1">
    <dataField name="Missing Reason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04DFEDA-9F3B-4976-802C-82CA20345AC4}" autoFormatId="16" applyNumberFormats="0" applyBorderFormats="0" applyFontFormats="0" applyPatternFormats="0" applyAlignmentFormats="0" applyWidthHeightFormats="0">
  <queryTableRefresh nextId="29">
    <queryTableFields count="28">
      <queryTableField id="1" name="Id" tableColumnId="1"/>
      <queryTableField id="2" name="BIRTHDATE" tableColumnId="2"/>
      <queryTableField id="3" name="DEATHDATE" tableColumnId="3"/>
      <queryTableField id="4" name="SSN" tableColumnId="4"/>
      <queryTableField id="5" name="DRIVERS" tableColumnId="5"/>
      <queryTableField id="6" name="PASSPORT" tableColumnId="6"/>
      <queryTableField id="7" name="PREFIX" tableColumnId="7"/>
      <queryTableField id="8" name="FIRST" tableColumnId="8"/>
      <queryTableField id="9" name="MIDDLE" tableColumnId="9"/>
      <queryTableField id="10" name="LAST" tableColumnId="10"/>
      <queryTableField id="11" name="SUFFIX" tableColumnId="11"/>
      <queryTableField id="12" name="MAIDEN" tableColumnId="12"/>
      <queryTableField id="13" name="MARITAL" tableColumnId="13"/>
      <queryTableField id="14" name="RACE" tableColumnId="14"/>
      <queryTableField id="15" name="ETHNICITY" tableColumnId="15"/>
      <queryTableField id="16" name="GENDER" tableColumnId="16"/>
      <queryTableField id="17" name="BIRTHPLACE" tableColumnId="17"/>
      <queryTableField id="18" name="ADDRESS" tableColumnId="18"/>
      <queryTableField id="19" name="CITY" tableColumnId="19"/>
      <queryTableField id="20" name="STATE" tableColumnId="20"/>
      <queryTableField id="21" name="COUNTY" tableColumnId="21"/>
      <queryTableField id="22" name="FIPS" tableColumnId="22"/>
      <queryTableField id="23" name="ZIP" tableColumnId="23"/>
      <queryTableField id="24" name="LAT" tableColumnId="24"/>
      <queryTableField id="25" name="LON" tableColumnId="25"/>
      <queryTableField id="26" name="HEALTHCARE_EXPENSES" tableColumnId="26"/>
      <queryTableField id="27" name="HEALTHCARE_COVERAGE" tableColumnId="27"/>
      <queryTableField id="28" name="INCOME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6F1EA62-2B62-4B0A-BC3D-ADB3FBDB11C7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START" tableColumnId="2"/>
      <queryTableField id="3" name="STOP" tableColumnId="3"/>
      <queryTableField id="4" name="PATIENT" tableColumnId="4"/>
      <queryTableField id="5" name="ORGANIZATION" tableColumnId="5"/>
      <queryTableField id="6" name="PROVIDER" tableColumnId="6"/>
      <queryTableField id="7" name="PAYER" tableColumnId="7"/>
      <queryTableField id="8" name="ENCOUNTERCLASS" tableColumnId="8"/>
      <queryTableField id="9" name="CODE" tableColumnId="9"/>
      <queryTableField id="10" name="DESCRIPTION" tableColumnId="10"/>
      <queryTableField id="11" name="BASE_ENCOUNTER_COST" tableColumnId="11"/>
      <queryTableField id="12" name="TOTAL_CLAIM_COST" tableColumnId="12"/>
      <queryTableField id="13" name="PAYER_COVERAGE" tableColumnId="13"/>
      <queryTableField id="14" name="REASONCODE" tableColumnId="14"/>
      <queryTableField id="15" name="REASONDESCRIPT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296F9-79F7-44D2-A522-DB8F36D081F5}" name="Patient_data" displayName="Patient_data" ref="A1:AB109" tableType="queryTable" totalsRowShown="0">
  <autoFilter ref="A1:AB109" xr:uid="{A81296F9-79F7-44D2-A522-DB8F36D081F5}"/>
  <tableColumns count="28">
    <tableColumn id="1" xr3:uid="{E0D2D96C-A964-41F0-9AC6-4285FF1D6577}" uniqueName="1" name="Id" queryTableFieldId="1" dataDxfId="20"/>
    <tableColumn id="2" xr3:uid="{3500A743-BCD9-448E-A8DA-274FE4A15BD7}" uniqueName="2" name="BIRTHDATE" queryTableFieldId="2" dataDxfId="19"/>
    <tableColumn id="3" xr3:uid="{4CC0E1D4-A680-492F-8F2A-1D540E591DE0}" uniqueName="3" name="DEATHDATE" queryTableFieldId="3" dataDxfId="18"/>
    <tableColumn id="4" xr3:uid="{59DD1D82-90F6-49D5-8980-D36FA3BC99BF}" uniqueName="4" name="SSN" queryTableFieldId="4" dataDxfId="17"/>
    <tableColumn id="5" xr3:uid="{F84AB4C5-56BE-4AFD-AD55-D1DBE8218B21}" uniqueName="5" name="DRIVERS" queryTableFieldId="5" dataDxfId="16"/>
    <tableColumn id="6" xr3:uid="{6178126A-2B58-4D4B-A90D-37A4B6FA3230}" uniqueName="6" name="PASSPORT" queryTableFieldId="6" dataDxfId="15"/>
    <tableColumn id="7" xr3:uid="{311A2702-60F0-4438-8098-969E35F9AA45}" uniqueName="7" name="PREFIX" queryTableFieldId="7" dataDxfId="14"/>
    <tableColumn id="8" xr3:uid="{337BD7DD-090A-4B69-B96D-E906DE545053}" uniqueName="8" name="FIRST" queryTableFieldId="8" dataDxfId="13"/>
    <tableColumn id="9" xr3:uid="{8D69B60B-ACDB-4D94-ACD4-3C3BB4903461}" uniqueName="9" name="MIDDLE" queryTableFieldId="9" dataDxfId="12"/>
    <tableColumn id="10" xr3:uid="{5689A23E-CBFD-4512-85D8-4EA1D73E6E42}" uniqueName="10" name="LAST" queryTableFieldId="10" dataDxfId="11"/>
    <tableColumn id="11" xr3:uid="{ADCAF7B8-B930-42C6-BEC9-8BCB06E02411}" uniqueName="11" name="SUFFIX" queryTableFieldId="11" dataDxfId="10"/>
    <tableColumn id="12" xr3:uid="{9289DB3C-654C-4222-937A-4D9A0495A2E4}" uniqueName="12" name="MAIDEN" queryTableFieldId="12" dataDxfId="9"/>
    <tableColumn id="13" xr3:uid="{D32A8402-8F6A-44CC-A311-59495F8D7B30}" uniqueName="13" name="MARITAL" queryTableFieldId="13" dataDxfId="8"/>
    <tableColumn id="14" xr3:uid="{E22D4292-9478-478B-9825-CD8EB9BEDA90}" uniqueName="14" name="RACE" queryTableFieldId="14" dataDxfId="7"/>
    <tableColumn id="15" xr3:uid="{23954059-545C-4AD5-9331-6DF406536B42}" uniqueName="15" name="ETHNICITY" queryTableFieldId="15" dataDxfId="6"/>
    <tableColumn id="16" xr3:uid="{D7EB3437-8A0B-41DD-B138-7ECE0E7B5785}" uniqueName="16" name="GENDER" queryTableFieldId="16" dataDxfId="5"/>
    <tableColumn id="17" xr3:uid="{84623B03-3DD7-438E-ADFB-E0B4627E9305}" uniqueName="17" name="BIRTHPLACE" queryTableFieldId="17" dataDxfId="4"/>
    <tableColumn id="18" xr3:uid="{2BF0D9BC-16BA-44E3-BB66-F3A5CDB5554F}" uniqueName="18" name="ADDRESS" queryTableFieldId="18" dataDxfId="3"/>
    <tableColumn id="19" xr3:uid="{1063B4C2-E131-4B8F-913E-DE5D377AF554}" uniqueName="19" name="CITY" queryTableFieldId="19" dataDxfId="2"/>
    <tableColumn id="20" xr3:uid="{4B590251-988A-4501-8492-56D80C6DD6CC}" uniqueName="20" name="STATE" queryTableFieldId="20" dataDxfId="1"/>
    <tableColumn id="21" xr3:uid="{73A29633-8D87-493A-AC78-692396D6A4D7}" uniqueName="21" name="COUNTY" queryTableFieldId="21" dataDxfId="0"/>
    <tableColumn id="22" xr3:uid="{44568E71-4438-40DB-9D2F-A8BD88629361}" uniqueName="22" name="FIPS" queryTableFieldId="22"/>
    <tableColumn id="23" xr3:uid="{83A46EF5-A8ED-4088-B50D-5F7CCF0E175E}" uniqueName="23" name="ZIP" queryTableFieldId="23"/>
    <tableColumn id="24" xr3:uid="{281AC1E1-A7B3-44D5-BDBA-B89BB048A114}" uniqueName="24" name="LAT" queryTableFieldId="24"/>
    <tableColumn id="25" xr3:uid="{2D3DBEAC-2A27-49DB-A7BF-42FE52D07BB5}" uniqueName="25" name="LON" queryTableFieldId="25"/>
    <tableColumn id="26" xr3:uid="{2D7B2C66-7377-4030-A0D9-A2B3CF4F07AD}" uniqueName="26" name="HEALTHCARE_EXPENSES" queryTableFieldId="26"/>
    <tableColumn id="27" xr3:uid="{311D872C-E003-4B2D-AC64-EB0777A0047D}" uniqueName="27" name="HEALTHCARE_COVERAGE" queryTableFieldId="27"/>
    <tableColumn id="28" xr3:uid="{13C9F1D5-ACD5-4E48-A450-4B4ABB4458AE}" uniqueName="28" name="INCOME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7B1D1D-0C37-4416-82E4-FF58E6440DE6}" name="Encounters_data" displayName="Encounters_data" ref="A1:O5572" tableType="queryTable" totalsRowShown="0">
  <autoFilter ref="A1:O5572" xr:uid="{517B1D1D-0C37-4416-82E4-FF58E6440DE6}"/>
  <tableColumns count="15">
    <tableColumn id="1" xr3:uid="{6E82D927-4EE2-4603-9379-9E629CEBE2DE}" uniqueName="1" name="Id" queryTableFieldId="1" dataDxfId="30"/>
    <tableColumn id="2" xr3:uid="{4DC73181-7125-4459-A90B-20076565B181}" uniqueName="2" name="START" queryTableFieldId="2" dataDxfId="29"/>
    <tableColumn id="3" xr3:uid="{EAE87945-FBC2-4C7A-BFC2-31531C26B3EA}" uniqueName="3" name="STOP" queryTableFieldId="3" dataDxfId="28"/>
    <tableColumn id="4" xr3:uid="{8FB50C4E-8D4E-41EB-AFD6-5F69ADF75B39}" uniqueName="4" name="PATIENT" queryTableFieldId="4" dataDxfId="27"/>
    <tableColumn id="5" xr3:uid="{CD3F6B5B-2C37-4BBB-9355-E5E8A1338C7E}" uniqueName="5" name="ORGANIZATION" queryTableFieldId="5" dataDxfId="26"/>
    <tableColumn id="6" xr3:uid="{327F2935-E1BB-4529-9DB2-26B15F2A7DBA}" uniqueName="6" name="PROVIDER" queryTableFieldId="6" dataDxfId="25"/>
    <tableColumn id="7" xr3:uid="{85DD537C-5B61-456F-B9E2-18E65050372D}" uniqueName="7" name="PAYER" queryTableFieldId="7" dataDxfId="24"/>
    <tableColumn id="8" xr3:uid="{7B1E69B5-A391-4DB6-B31D-0EE9D26A5EBB}" uniqueName="8" name="ENCOUNTERCLASS" queryTableFieldId="8" dataDxfId="23"/>
    <tableColumn id="9" xr3:uid="{BEFE682A-6561-4120-B810-657BB33982FA}" uniqueName="9" name="CODE" queryTableFieldId="9"/>
    <tableColumn id="10" xr3:uid="{0CA9FB2F-0BD5-4219-AE56-74A4EAB46E5D}" uniqueName="10" name="DESCRIPTION" queryTableFieldId="10" dataDxfId="22"/>
    <tableColumn id="11" xr3:uid="{BA679BED-36E6-4C22-86C6-9649051A6EE9}" uniqueName="11" name="BASE_ENCOUNTER_COST" queryTableFieldId="11"/>
    <tableColumn id="12" xr3:uid="{E950597A-92F9-4667-9139-959841D7A643}" uniqueName="12" name="TOTAL_CLAIM_COST" queryTableFieldId="12"/>
    <tableColumn id="13" xr3:uid="{9FFCABFE-C113-440B-95D2-68BAA73A8B35}" uniqueName="13" name="PAYER_COVERAGE" queryTableFieldId="13"/>
    <tableColumn id="14" xr3:uid="{E6EF970A-95BB-4EB1-8AE8-BD14FBD95C90}" uniqueName="14" name="REASONCODE" queryTableFieldId="14"/>
    <tableColumn id="15" xr3:uid="{39F98FD2-A195-4424-AE83-C4F525ED2C03}" uniqueName="15" name="REASONDESCRIPTION" queryTableFieldId="15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195D-2715-4BCB-9C30-275C8945EB08}">
  <dimension ref="A1:B34"/>
  <sheetViews>
    <sheetView tabSelected="1" zoomScale="77" workbookViewId="0">
      <selection activeCell="B4" sqref="B4"/>
    </sheetView>
  </sheetViews>
  <sheetFormatPr defaultRowHeight="14.5"/>
  <cols>
    <col min="1" max="1" width="25.6328125" customWidth="1"/>
    <col min="2" max="2" width="44.90625" customWidth="1"/>
  </cols>
  <sheetData>
    <row r="1" spans="1:2" ht="23.5">
      <c r="A1" s="12" t="s">
        <v>7278</v>
      </c>
    </row>
    <row r="3" spans="1:2">
      <c r="A3" t="s">
        <v>7279</v>
      </c>
      <c r="B3" t="s">
        <v>7280</v>
      </c>
    </row>
    <row r="4" spans="1:2">
      <c r="A4" t="s">
        <v>7281</v>
      </c>
      <c r="B4" t="s">
        <v>7282</v>
      </c>
    </row>
    <row r="5" spans="1:2">
      <c r="A5" t="s">
        <v>7246</v>
      </c>
      <c r="B5">
        <v>108</v>
      </c>
    </row>
    <row r="6" spans="1:2">
      <c r="A6" t="s">
        <v>7248</v>
      </c>
      <c r="B6" s="11">
        <v>5571</v>
      </c>
    </row>
    <row r="7" spans="1:2">
      <c r="A7" t="s">
        <v>7283</v>
      </c>
      <c r="B7" t="s">
        <v>7284</v>
      </c>
    </row>
    <row r="8" spans="1:2">
      <c r="A8" t="s">
        <v>7285</v>
      </c>
      <c r="B8" t="s">
        <v>7286</v>
      </c>
    </row>
    <row r="10" spans="1:2" ht="72.5">
      <c r="A10" s="5" t="s">
        <v>7287</v>
      </c>
      <c r="B10" s="10" t="s">
        <v>7288</v>
      </c>
    </row>
    <row r="12" spans="1:2" ht="21">
      <c r="A12" s="6" t="s">
        <v>7289</v>
      </c>
    </row>
    <row r="13" spans="1:2" ht="29">
      <c r="A13" s="5" t="s">
        <v>7290</v>
      </c>
      <c r="B13" s="10" t="s">
        <v>7291</v>
      </c>
    </row>
    <row r="14" spans="1:2" ht="29">
      <c r="A14" s="5" t="s">
        <v>7292</v>
      </c>
      <c r="B14" s="10" t="s">
        <v>7293</v>
      </c>
    </row>
    <row r="15" spans="1:2" ht="43.5">
      <c r="A15" s="5" t="s">
        <v>7294</v>
      </c>
      <c r="B15" s="10" t="s">
        <v>7295</v>
      </c>
    </row>
    <row r="16" spans="1:2" ht="43.5">
      <c r="A16" s="5" t="s">
        <v>7296</v>
      </c>
      <c r="B16" s="10" t="s">
        <v>7297</v>
      </c>
    </row>
    <row r="17" spans="1:2" ht="29">
      <c r="A17" s="5" t="s">
        <v>7298</v>
      </c>
      <c r="B17" s="10" t="s">
        <v>7299</v>
      </c>
    </row>
    <row r="19" spans="1:2" ht="21">
      <c r="A19" s="6" t="s">
        <v>7300</v>
      </c>
    </row>
    <row r="20" spans="1:2" ht="43.5">
      <c r="A20" t="s">
        <v>7301</v>
      </c>
      <c r="B20" s="10" t="s">
        <v>7302</v>
      </c>
    </row>
    <row r="21" spans="1:2" ht="29">
      <c r="A21" t="s">
        <v>7274</v>
      </c>
      <c r="B21" s="10" t="s">
        <v>7303</v>
      </c>
    </row>
    <row r="22" spans="1:2" ht="29">
      <c r="A22" t="s">
        <v>7304</v>
      </c>
      <c r="B22" s="10" t="s">
        <v>7305</v>
      </c>
    </row>
    <row r="23" spans="1:2" ht="43.5">
      <c r="A23" t="s">
        <v>7306</v>
      </c>
      <c r="B23" s="10" t="s">
        <v>7307</v>
      </c>
    </row>
    <row r="25" spans="1:2" ht="21">
      <c r="A25" s="6" t="s">
        <v>7308</v>
      </c>
    </row>
    <row r="26" spans="1:2" ht="43.5">
      <c r="A26" t="s">
        <v>7309</v>
      </c>
      <c r="B26" s="10" t="s">
        <v>7310</v>
      </c>
    </row>
    <row r="27" spans="1:2" ht="43.5">
      <c r="A27" t="s">
        <v>7311</v>
      </c>
      <c r="B27" s="10" t="s">
        <v>7313</v>
      </c>
    </row>
    <row r="28" spans="1:2" ht="43.5">
      <c r="A28" t="s">
        <v>7312</v>
      </c>
      <c r="B28" s="10" t="s">
        <v>7314</v>
      </c>
    </row>
    <row r="30" spans="1:2" ht="21">
      <c r="A30" s="6" t="s">
        <v>7315</v>
      </c>
    </row>
    <row r="31" spans="1:2" ht="29">
      <c r="A31" t="s">
        <v>7316</v>
      </c>
      <c r="B31" s="10" t="s">
        <v>7317</v>
      </c>
    </row>
    <row r="32" spans="1:2" ht="43.5">
      <c r="A32" t="s">
        <v>7318</v>
      </c>
      <c r="B32" s="10" t="s">
        <v>7319</v>
      </c>
    </row>
    <row r="33" spans="1:2" ht="43.5">
      <c r="A33" t="s">
        <v>7320</v>
      </c>
      <c r="B33" s="10" t="s">
        <v>7321</v>
      </c>
    </row>
    <row r="34" spans="1:2" ht="43.5">
      <c r="A34" t="s">
        <v>7322</v>
      </c>
      <c r="B34" s="10" t="s">
        <v>7323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A825-F54C-4CFB-B13C-CD49EA628E8A}">
  <dimension ref="A1:AB109"/>
  <sheetViews>
    <sheetView topLeftCell="L1" workbookViewId="0"/>
  </sheetViews>
  <sheetFormatPr defaultRowHeight="14.5"/>
  <cols>
    <col min="1" max="1" width="35.90625" bestFit="1" customWidth="1"/>
    <col min="2" max="2" width="12.36328125" bestFit="1" customWidth="1"/>
    <col min="3" max="3" width="12.90625" bestFit="1" customWidth="1"/>
    <col min="4" max="4" width="11.08984375" bestFit="1" customWidth="1"/>
    <col min="5" max="5" width="10.453125" bestFit="1" customWidth="1"/>
    <col min="6" max="6" width="11.90625" bestFit="1" customWidth="1"/>
    <col min="7" max="7" width="9" bestFit="1" customWidth="1"/>
    <col min="8" max="8" width="12.54296875" bestFit="1" customWidth="1"/>
    <col min="9" max="9" width="13.26953125" bestFit="1" customWidth="1"/>
    <col min="10" max="10" width="14.1796875" bestFit="1" customWidth="1"/>
    <col min="11" max="11" width="9.08984375" bestFit="1" customWidth="1"/>
    <col min="12" max="12" width="13.7265625" bestFit="1" customWidth="1"/>
    <col min="13" max="13" width="10.26953125" bestFit="1" customWidth="1"/>
    <col min="14" max="14" width="7.6328125" bestFit="1" customWidth="1"/>
    <col min="15" max="15" width="11.90625" bestFit="1" customWidth="1"/>
    <col min="16" max="16" width="10.08984375" bestFit="1" customWidth="1"/>
    <col min="17" max="17" width="67.54296875" bestFit="1" customWidth="1"/>
    <col min="18" max="18" width="29.453125" bestFit="1" customWidth="1"/>
    <col min="19" max="19" width="18.81640625" bestFit="1" customWidth="1"/>
    <col min="20" max="20" width="13.26953125" bestFit="1" customWidth="1"/>
    <col min="21" max="21" width="15.81640625" bestFit="1" customWidth="1"/>
    <col min="22" max="22" width="6.81640625" bestFit="1" customWidth="1"/>
    <col min="23" max="23" width="5.7265625" bestFit="1" customWidth="1"/>
    <col min="24" max="24" width="11.81640625" bestFit="1" customWidth="1"/>
    <col min="25" max="25" width="12.453125" bestFit="1" customWidth="1"/>
    <col min="26" max="26" width="23.81640625" bestFit="1" customWidth="1"/>
    <col min="27" max="27" width="24.36328125" bestFit="1" customWidth="1"/>
    <col min="28" max="28" width="9.9062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s="1">
        <v>28506</v>
      </c>
      <c r="C2" s="1"/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>
        <v>25027</v>
      </c>
      <c r="W2">
        <v>1535</v>
      </c>
      <c r="X2">
        <v>42.267480465612181</v>
      </c>
      <c r="Y2">
        <v>-72.105242429902702</v>
      </c>
      <c r="Z2">
        <v>104532.2</v>
      </c>
      <c r="AA2">
        <v>18048.650000000001</v>
      </c>
      <c r="AB2">
        <v>42283</v>
      </c>
    </row>
    <row r="3" spans="1:28">
      <c r="A3" t="s">
        <v>46</v>
      </c>
      <c r="B3" s="1">
        <v>36933</v>
      </c>
      <c r="C3" s="1"/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34</v>
      </c>
      <c r="L3" t="s">
        <v>34</v>
      </c>
      <c r="M3" t="s">
        <v>34</v>
      </c>
      <c r="N3" t="s">
        <v>38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44</v>
      </c>
      <c r="U3" t="s">
        <v>58</v>
      </c>
      <c r="V3">
        <v>25017</v>
      </c>
      <c r="W3">
        <v>1730</v>
      </c>
      <c r="X3">
        <v>42.539821482244157</v>
      </c>
      <c r="Y3">
        <v>-71.25684108750724</v>
      </c>
      <c r="Z3">
        <v>98009.84</v>
      </c>
      <c r="AA3">
        <v>531508.43000000005</v>
      </c>
      <c r="AB3">
        <v>33657</v>
      </c>
    </row>
    <row r="4" spans="1:28">
      <c r="A4" t="s">
        <v>59</v>
      </c>
      <c r="B4" s="1">
        <v>17699</v>
      </c>
      <c r="C4" s="1"/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34</v>
      </c>
      <c r="L4" t="s">
        <v>67</v>
      </c>
      <c r="M4" t="s">
        <v>40</v>
      </c>
      <c r="N4" t="s">
        <v>38</v>
      </c>
      <c r="O4" t="s">
        <v>39</v>
      </c>
      <c r="P4" t="s">
        <v>54</v>
      </c>
      <c r="Q4" t="s">
        <v>68</v>
      </c>
      <c r="R4" t="s">
        <v>69</v>
      </c>
      <c r="S4" t="s">
        <v>70</v>
      </c>
      <c r="T4" t="s">
        <v>44</v>
      </c>
      <c r="U4" t="s">
        <v>71</v>
      </c>
      <c r="V4">
        <v>25021</v>
      </c>
      <c r="W4">
        <v>2170</v>
      </c>
      <c r="X4">
        <v>42.20474775370959</v>
      </c>
      <c r="Y4">
        <v>-70.988340993114761</v>
      </c>
      <c r="Z4">
        <v>796732.91</v>
      </c>
      <c r="AA4">
        <v>219824.56</v>
      </c>
      <c r="AB4">
        <v>64779</v>
      </c>
    </row>
    <row r="5" spans="1:28">
      <c r="A5" t="s">
        <v>72</v>
      </c>
      <c r="B5" s="1">
        <v>42204</v>
      </c>
      <c r="C5" s="1"/>
      <c r="D5" t="s">
        <v>73</v>
      </c>
      <c r="E5" t="s">
        <v>34</v>
      </c>
      <c r="F5" t="s">
        <v>34</v>
      </c>
      <c r="G5" t="s">
        <v>34</v>
      </c>
      <c r="H5" t="s">
        <v>74</v>
      </c>
      <c r="I5" t="s">
        <v>75</v>
      </c>
      <c r="J5" t="s">
        <v>76</v>
      </c>
      <c r="K5" t="s">
        <v>34</v>
      </c>
      <c r="L5" t="s">
        <v>34</v>
      </c>
      <c r="M5" t="s">
        <v>34</v>
      </c>
      <c r="N5" t="s">
        <v>38</v>
      </c>
      <c r="O5" t="s">
        <v>39</v>
      </c>
      <c r="P5" t="s">
        <v>54</v>
      </c>
      <c r="Q5" t="s">
        <v>77</v>
      </c>
      <c r="R5" t="s">
        <v>78</v>
      </c>
      <c r="S5" t="s">
        <v>79</v>
      </c>
      <c r="T5" t="s">
        <v>44</v>
      </c>
      <c r="U5" t="s">
        <v>80</v>
      </c>
      <c r="V5">
        <v>25005</v>
      </c>
      <c r="W5">
        <v>2718</v>
      </c>
      <c r="X5">
        <v>41.902706728551109</v>
      </c>
      <c r="Y5">
        <v>-70.976299863912843</v>
      </c>
      <c r="Z5">
        <v>44050.63</v>
      </c>
      <c r="AA5">
        <v>17747.77</v>
      </c>
      <c r="AB5">
        <v>34422</v>
      </c>
    </row>
    <row r="6" spans="1:28">
      <c r="A6" t="s">
        <v>81</v>
      </c>
      <c r="B6" s="1">
        <v>34722</v>
      </c>
      <c r="C6" s="1"/>
      <c r="D6" t="s">
        <v>82</v>
      </c>
      <c r="E6" t="s">
        <v>83</v>
      </c>
      <c r="F6" t="s">
        <v>84</v>
      </c>
      <c r="G6" t="s">
        <v>32</v>
      </c>
      <c r="H6" t="s">
        <v>85</v>
      </c>
      <c r="I6" t="s">
        <v>34</v>
      </c>
      <c r="J6" t="s">
        <v>86</v>
      </c>
      <c r="K6" t="s">
        <v>34</v>
      </c>
      <c r="L6" t="s">
        <v>34</v>
      </c>
      <c r="M6" t="s">
        <v>40</v>
      </c>
      <c r="N6" t="s">
        <v>87</v>
      </c>
      <c r="O6" t="s">
        <v>39</v>
      </c>
      <c r="P6" t="s">
        <v>40</v>
      </c>
      <c r="Q6" t="s">
        <v>88</v>
      </c>
      <c r="R6" t="s">
        <v>89</v>
      </c>
      <c r="S6" t="s">
        <v>90</v>
      </c>
      <c r="T6" t="s">
        <v>44</v>
      </c>
      <c r="U6" t="s">
        <v>91</v>
      </c>
      <c r="V6">
        <v>25025</v>
      </c>
      <c r="W6">
        <v>2116</v>
      </c>
      <c r="X6">
        <v>42.359643529676617</v>
      </c>
      <c r="Y6">
        <v>-71.079948413961873</v>
      </c>
      <c r="Z6">
        <v>5450</v>
      </c>
      <c r="AA6">
        <v>97459.94</v>
      </c>
      <c r="AB6">
        <v>6565</v>
      </c>
    </row>
    <row r="7" spans="1:28">
      <c r="A7" t="s">
        <v>92</v>
      </c>
      <c r="B7" s="1">
        <v>31578</v>
      </c>
      <c r="C7" s="1"/>
      <c r="D7" t="s">
        <v>93</v>
      </c>
      <c r="E7" t="s">
        <v>94</v>
      </c>
      <c r="F7" t="s">
        <v>95</v>
      </c>
      <c r="G7" t="s">
        <v>32</v>
      </c>
      <c r="H7" t="s">
        <v>96</v>
      </c>
      <c r="I7" t="s">
        <v>97</v>
      </c>
      <c r="J7" t="s">
        <v>98</v>
      </c>
      <c r="K7" t="s">
        <v>34</v>
      </c>
      <c r="L7" t="s">
        <v>34</v>
      </c>
      <c r="M7" t="s">
        <v>40</v>
      </c>
      <c r="N7" t="s">
        <v>38</v>
      </c>
      <c r="O7" t="s">
        <v>39</v>
      </c>
      <c r="P7" t="s">
        <v>40</v>
      </c>
      <c r="Q7" t="s">
        <v>99</v>
      </c>
      <c r="R7" t="s">
        <v>100</v>
      </c>
      <c r="S7" t="s">
        <v>101</v>
      </c>
      <c r="T7" t="s">
        <v>44</v>
      </c>
      <c r="U7" t="s">
        <v>58</v>
      </c>
      <c r="V7">
        <v>25017</v>
      </c>
      <c r="W7">
        <v>1752</v>
      </c>
      <c r="X7">
        <v>42.339870119717077</v>
      </c>
      <c r="Y7">
        <v>-71.56160275097676</v>
      </c>
      <c r="Z7">
        <v>90771.58</v>
      </c>
      <c r="AA7">
        <v>9749.1299999999992</v>
      </c>
      <c r="AB7">
        <v>66069</v>
      </c>
    </row>
    <row r="8" spans="1:28">
      <c r="A8" t="s">
        <v>102</v>
      </c>
      <c r="B8" s="1">
        <v>43044</v>
      </c>
      <c r="C8" s="1"/>
      <c r="D8" t="s">
        <v>103</v>
      </c>
      <c r="E8" t="s">
        <v>34</v>
      </c>
      <c r="F8" t="s">
        <v>34</v>
      </c>
      <c r="G8" t="s">
        <v>34</v>
      </c>
      <c r="H8" t="s">
        <v>104</v>
      </c>
      <c r="I8" t="s">
        <v>34</v>
      </c>
      <c r="J8" t="s">
        <v>105</v>
      </c>
      <c r="K8" t="s">
        <v>34</v>
      </c>
      <c r="L8" t="s">
        <v>34</v>
      </c>
      <c r="M8" t="s">
        <v>34</v>
      </c>
      <c r="N8" t="s">
        <v>38</v>
      </c>
      <c r="O8" t="s">
        <v>39</v>
      </c>
      <c r="P8" t="s">
        <v>54</v>
      </c>
      <c r="Q8" t="s">
        <v>106</v>
      </c>
      <c r="R8" t="s">
        <v>107</v>
      </c>
      <c r="S8" t="s">
        <v>108</v>
      </c>
      <c r="T8" t="s">
        <v>44</v>
      </c>
      <c r="U8" t="s">
        <v>58</v>
      </c>
      <c r="W8">
        <v>0</v>
      </c>
      <c r="X8">
        <v>42.381034360790188</v>
      </c>
      <c r="Y8">
        <v>-71.388719425019545</v>
      </c>
      <c r="Z8">
        <v>27239.8</v>
      </c>
      <c r="AA8">
        <v>1826.48</v>
      </c>
      <c r="AB8">
        <v>154411</v>
      </c>
    </row>
    <row r="9" spans="1:28">
      <c r="A9" t="s">
        <v>109</v>
      </c>
      <c r="B9" s="1">
        <v>34832</v>
      </c>
      <c r="C9" s="1"/>
      <c r="D9" t="s">
        <v>110</v>
      </c>
      <c r="E9" t="s">
        <v>111</v>
      </c>
      <c r="F9" t="s">
        <v>112</v>
      </c>
      <c r="G9" t="s">
        <v>63</v>
      </c>
      <c r="H9" t="s">
        <v>113</v>
      </c>
      <c r="I9" t="s">
        <v>34</v>
      </c>
      <c r="J9" t="s">
        <v>114</v>
      </c>
      <c r="K9" t="s">
        <v>34</v>
      </c>
      <c r="L9" t="s">
        <v>115</v>
      </c>
      <c r="M9" t="s">
        <v>40</v>
      </c>
      <c r="N9" t="s">
        <v>38</v>
      </c>
      <c r="O9" t="s">
        <v>39</v>
      </c>
      <c r="P9" t="s">
        <v>54</v>
      </c>
      <c r="Q9" t="s">
        <v>116</v>
      </c>
      <c r="R9" t="s">
        <v>117</v>
      </c>
      <c r="S9" t="s">
        <v>118</v>
      </c>
      <c r="T9" t="s">
        <v>44</v>
      </c>
      <c r="U9" t="s">
        <v>119</v>
      </c>
      <c r="V9">
        <v>25009</v>
      </c>
      <c r="W9">
        <v>1905</v>
      </c>
      <c r="X9">
        <v>42.466835182322029</v>
      </c>
      <c r="Y9">
        <v>-70.936533161746951</v>
      </c>
      <c r="Z9">
        <v>12557.96</v>
      </c>
      <c r="AA9">
        <v>919925</v>
      </c>
      <c r="AB9">
        <v>9647</v>
      </c>
    </row>
    <row r="10" spans="1:28">
      <c r="A10" t="s">
        <v>120</v>
      </c>
      <c r="B10" s="1">
        <v>25318</v>
      </c>
      <c r="C10" s="1"/>
      <c r="D10" t="s">
        <v>121</v>
      </c>
      <c r="E10" t="s">
        <v>122</v>
      </c>
      <c r="F10" t="s">
        <v>123</v>
      </c>
      <c r="G10" t="s">
        <v>63</v>
      </c>
      <c r="H10" t="s">
        <v>124</v>
      </c>
      <c r="I10" t="s">
        <v>34</v>
      </c>
      <c r="J10" t="s">
        <v>125</v>
      </c>
      <c r="K10" t="s">
        <v>34</v>
      </c>
      <c r="L10" t="s">
        <v>126</v>
      </c>
      <c r="M10" t="s">
        <v>40</v>
      </c>
      <c r="N10" t="s">
        <v>38</v>
      </c>
      <c r="O10" t="s">
        <v>39</v>
      </c>
      <c r="P10" t="s">
        <v>54</v>
      </c>
      <c r="Q10" t="s">
        <v>127</v>
      </c>
      <c r="R10" t="s">
        <v>128</v>
      </c>
      <c r="S10" t="s">
        <v>129</v>
      </c>
      <c r="T10" t="s">
        <v>44</v>
      </c>
      <c r="U10" t="s">
        <v>58</v>
      </c>
      <c r="V10">
        <v>25017</v>
      </c>
      <c r="W10">
        <v>2461</v>
      </c>
      <c r="X10">
        <v>42.330145701271142</v>
      </c>
      <c r="Y10">
        <v>-71.210879194714991</v>
      </c>
      <c r="Z10">
        <v>15740.55</v>
      </c>
      <c r="AA10">
        <v>952867.3</v>
      </c>
      <c r="AB10">
        <v>1636</v>
      </c>
    </row>
    <row r="11" spans="1:28">
      <c r="A11" t="s">
        <v>130</v>
      </c>
      <c r="B11" s="1">
        <v>26553</v>
      </c>
      <c r="C11" s="1"/>
      <c r="D11" t="s">
        <v>131</v>
      </c>
      <c r="E11" t="s">
        <v>132</v>
      </c>
      <c r="F11" t="s">
        <v>133</v>
      </c>
      <c r="G11" t="s">
        <v>63</v>
      </c>
      <c r="H11" t="s">
        <v>134</v>
      </c>
      <c r="I11" t="s">
        <v>135</v>
      </c>
      <c r="J11" t="s">
        <v>136</v>
      </c>
      <c r="K11" t="s">
        <v>34</v>
      </c>
      <c r="L11" t="s">
        <v>137</v>
      </c>
      <c r="M11" t="s">
        <v>40</v>
      </c>
      <c r="N11" t="s">
        <v>38</v>
      </c>
      <c r="O11" t="s">
        <v>39</v>
      </c>
      <c r="P11" t="s">
        <v>54</v>
      </c>
      <c r="Q11" t="s">
        <v>138</v>
      </c>
      <c r="R11" t="s">
        <v>139</v>
      </c>
      <c r="S11" t="s">
        <v>140</v>
      </c>
      <c r="T11" t="s">
        <v>44</v>
      </c>
      <c r="U11" t="s">
        <v>71</v>
      </c>
      <c r="V11">
        <v>25021</v>
      </c>
      <c r="W11">
        <v>2457</v>
      </c>
      <c r="X11">
        <v>42.256822784306934</v>
      </c>
      <c r="Y11">
        <v>-71.270702344117595</v>
      </c>
      <c r="Z11">
        <v>139243.74</v>
      </c>
      <c r="AA11">
        <v>440073.84</v>
      </c>
      <c r="AB11">
        <v>540331</v>
      </c>
    </row>
    <row r="12" spans="1:28">
      <c r="A12" t="s">
        <v>141</v>
      </c>
      <c r="B12" s="1">
        <v>37031</v>
      </c>
      <c r="C12" s="1"/>
      <c r="D12" t="s">
        <v>142</v>
      </c>
      <c r="E12" t="s">
        <v>143</v>
      </c>
      <c r="F12" t="s">
        <v>144</v>
      </c>
      <c r="G12" t="s">
        <v>50</v>
      </c>
      <c r="H12" t="s">
        <v>145</v>
      </c>
      <c r="I12" t="s">
        <v>146</v>
      </c>
      <c r="J12" t="s">
        <v>147</v>
      </c>
      <c r="K12" t="s">
        <v>34</v>
      </c>
      <c r="L12" t="s">
        <v>34</v>
      </c>
      <c r="M12" t="s">
        <v>34</v>
      </c>
      <c r="N12" t="s">
        <v>38</v>
      </c>
      <c r="O12" t="s">
        <v>39</v>
      </c>
      <c r="P12" t="s">
        <v>54</v>
      </c>
      <c r="Q12" t="s">
        <v>148</v>
      </c>
      <c r="R12" t="s">
        <v>149</v>
      </c>
      <c r="S12" t="s">
        <v>150</v>
      </c>
      <c r="T12" t="s">
        <v>44</v>
      </c>
      <c r="U12" t="s">
        <v>58</v>
      </c>
      <c r="V12">
        <v>25017</v>
      </c>
      <c r="W12">
        <v>1890</v>
      </c>
      <c r="X12">
        <v>42.448471600439412</v>
      </c>
      <c r="Y12">
        <v>-71.127587995642401</v>
      </c>
      <c r="Z12">
        <v>115968.3</v>
      </c>
      <c r="AA12">
        <v>236225.23</v>
      </c>
      <c r="AB12">
        <v>85892</v>
      </c>
    </row>
    <row r="13" spans="1:28">
      <c r="A13" t="s">
        <v>151</v>
      </c>
      <c r="B13" s="1">
        <v>32502</v>
      </c>
      <c r="C13" s="1"/>
      <c r="D13" t="s">
        <v>152</v>
      </c>
      <c r="E13" t="s">
        <v>153</v>
      </c>
      <c r="F13" t="s">
        <v>154</v>
      </c>
      <c r="G13" t="s">
        <v>63</v>
      </c>
      <c r="H13" t="s">
        <v>155</v>
      </c>
      <c r="I13" t="s">
        <v>156</v>
      </c>
      <c r="J13" t="s">
        <v>157</v>
      </c>
      <c r="K13" t="s">
        <v>34</v>
      </c>
      <c r="L13" t="s">
        <v>158</v>
      </c>
      <c r="M13" t="s">
        <v>40</v>
      </c>
      <c r="N13" t="s">
        <v>38</v>
      </c>
      <c r="O13" t="s">
        <v>39</v>
      </c>
      <c r="P13" t="s">
        <v>54</v>
      </c>
      <c r="Q13" t="s">
        <v>159</v>
      </c>
      <c r="R13" t="s">
        <v>160</v>
      </c>
      <c r="S13" t="s">
        <v>161</v>
      </c>
      <c r="T13" t="s">
        <v>44</v>
      </c>
      <c r="U13" t="s">
        <v>119</v>
      </c>
      <c r="V13">
        <v>25009</v>
      </c>
      <c r="W13">
        <v>1951</v>
      </c>
      <c r="X13">
        <v>42.769767804500148</v>
      </c>
      <c r="Y13">
        <v>-70.837162286097524</v>
      </c>
      <c r="Z13">
        <v>175041.54</v>
      </c>
      <c r="AA13">
        <v>389275.36</v>
      </c>
      <c r="AB13">
        <v>728493</v>
      </c>
    </row>
    <row r="14" spans="1:28">
      <c r="A14" t="s">
        <v>162</v>
      </c>
      <c r="B14" s="1">
        <v>39780</v>
      </c>
      <c r="C14" s="1"/>
      <c r="D14" t="s">
        <v>163</v>
      </c>
      <c r="E14" t="s">
        <v>164</v>
      </c>
      <c r="F14" t="s">
        <v>34</v>
      </c>
      <c r="G14" t="s">
        <v>34</v>
      </c>
      <c r="H14" t="s">
        <v>165</v>
      </c>
      <c r="I14" t="s">
        <v>166</v>
      </c>
      <c r="J14" t="s">
        <v>167</v>
      </c>
      <c r="K14" t="s">
        <v>34</v>
      </c>
      <c r="L14" t="s">
        <v>34</v>
      </c>
      <c r="M14" t="s">
        <v>34</v>
      </c>
      <c r="N14" t="s">
        <v>38</v>
      </c>
      <c r="O14" t="s">
        <v>39</v>
      </c>
      <c r="P14" t="s">
        <v>54</v>
      </c>
      <c r="Q14" t="s">
        <v>168</v>
      </c>
      <c r="R14" t="s">
        <v>169</v>
      </c>
      <c r="S14" t="s">
        <v>90</v>
      </c>
      <c r="T14" t="s">
        <v>44</v>
      </c>
      <c r="U14" t="s">
        <v>91</v>
      </c>
      <c r="V14">
        <v>25025</v>
      </c>
      <c r="W14">
        <v>2111</v>
      </c>
      <c r="X14">
        <v>42.365548829551642</v>
      </c>
      <c r="Y14">
        <v>-71.056359531770596</v>
      </c>
      <c r="Z14">
        <v>49874.7</v>
      </c>
      <c r="AA14">
        <v>0</v>
      </c>
      <c r="AB14">
        <v>70623</v>
      </c>
    </row>
    <row r="15" spans="1:28">
      <c r="A15" t="s">
        <v>170</v>
      </c>
      <c r="B15" s="1">
        <v>29165</v>
      </c>
      <c r="C15" s="1">
        <v>46145</v>
      </c>
      <c r="D15" t="s">
        <v>171</v>
      </c>
      <c r="E15" t="s">
        <v>172</v>
      </c>
      <c r="F15" t="s">
        <v>173</v>
      </c>
      <c r="G15" t="s">
        <v>32</v>
      </c>
      <c r="H15" t="s">
        <v>174</v>
      </c>
      <c r="I15" t="s">
        <v>175</v>
      </c>
      <c r="J15" t="s">
        <v>176</v>
      </c>
      <c r="K15" t="s">
        <v>34</v>
      </c>
      <c r="L15" t="s">
        <v>34</v>
      </c>
      <c r="M15" t="s">
        <v>37</v>
      </c>
      <c r="N15" t="s">
        <v>38</v>
      </c>
      <c r="O15" t="s">
        <v>39</v>
      </c>
      <c r="P15" t="s">
        <v>40</v>
      </c>
      <c r="Q15" t="s">
        <v>177</v>
      </c>
      <c r="R15" t="s">
        <v>178</v>
      </c>
      <c r="S15" t="s">
        <v>179</v>
      </c>
      <c r="T15" t="s">
        <v>44</v>
      </c>
      <c r="U15" t="s">
        <v>45</v>
      </c>
      <c r="V15">
        <v>25027</v>
      </c>
      <c r="W15">
        <v>1420</v>
      </c>
      <c r="X15">
        <v>42.509982175526424</v>
      </c>
      <c r="Y15">
        <v>-71.735208603733625</v>
      </c>
      <c r="Z15">
        <v>197792.43</v>
      </c>
      <c r="AA15">
        <v>0</v>
      </c>
      <c r="AB15">
        <v>50544</v>
      </c>
    </row>
    <row r="16" spans="1:28">
      <c r="A16" t="s">
        <v>180</v>
      </c>
      <c r="B16" s="1">
        <v>43169</v>
      </c>
      <c r="C16" s="1"/>
      <c r="D16" t="s">
        <v>181</v>
      </c>
      <c r="E16" t="s">
        <v>34</v>
      </c>
      <c r="F16" t="s">
        <v>34</v>
      </c>
      <c r="G16" t="s">
        <v>34</v>
      </c>
      <c r="H16" t="s">
        <v>182</v>
      </c>
      <c r="I16" t="s">
        <v>183</v>
      </c>
      <c r="J16" t="s">
        <v>184</v>
      </c>
      <c r="K16" t="s">
        <v>34</v>
      </c>
      <c r="L16" t="s">
        <v>34</v>
      </c>
      <c r="M16" t="s">
        <v>34</v>
      </c>
      <c r="N16" t="s">
        <v>38</v>
      </c>
      <c r="O16" t="s">
        <v>185</v>
      </c>
      <c r="P16" t="s">
        <v>40</v>
      </c>
      <c r="Q16" t="s">
        <v>186</v>
      </c>
      <c r="R16" t="s">
        <v>187</v>
      </c>
      <c r="S16" t="s">
        <v>188</v>
      </c>
      <c r="T16" t="s">
        <v>44</v>
      </c>
      <c r="U16" t="s">
        <v>189</v>
      </c>
      <c r="W16">
        <v>0</v>
      </c>
      <c r="X16">
        <v>42.034204833263153</v>
      </c>
      <c r="Y16">
        <v>-72.805636352553137</v>
      </c>
      <c r="Z16">
        <v>30474.55</v>
      </c>
      <c r="AA16">
        <v>0</v>
      </c>
      <c r="AB16">
        <v>79757</v>
      </c>
    </row>
    <row r="17" spans="1:28">
      <c r="A17" t="s">
        <v>190</v>
      </c>
      <c r="B17" s="1">
        <v>36786</v>
      </c>
      <c r="C17" s="1"/>
      <c r="D17" t="s">
        <v>191</v>
      </c>
      <c r="E17" t="s">
        <v>192</v>
      </c>
      <c r="F17" t="s">
        <v>193</v>
      </c>
      <c r="G17" t="s">
        <v>32</v>
      </c>
      <c r="H17" t="s">
        <v>194</v>
      </c>
      <c r="I17" t="s">
        <v>195</v>
      </c>
      <c r="J17" t="s">
        <v>196</v>
      </c>
      <c r="K17" t="s">
        <v>34</v>
      </c>
      <c r="L17" t="s">
        <v>34</v>
      </c>
      <c r="M17" t="s">
        <v>34</v>
      </c>
      <c r="N17" t="s">
        <v>38</v>
      </c>
      <c r="O17" t="s">
        <v>39</v>
      </c>
      <c r="P17" t="s">
        <v>40</v>
      </c>
      <c r="Q17" t="s">
        <v>197</v>
      </c>
      <c r="R17" t="s">
        <v>198</v>
      </c>
      <c r="S17" t="s">
        <v>199</v>
      </c>
      <c r="T17" t="s">
        <v>44</v>
      </c>
      <c r="U17" t="s">
        <v>58</v>
      </c>
      <c r="W17">
        <v>0</v>
      </c>
      <c r="X17">
        <v>42.47410452950831</v>
      </c>
      <c r="Y17">
        <v>-71.405638757250728</v>
      </c>
      <c r="Z17">
        <v>51257.84</v>
      </c>
      <c r="AA17">
        <v>40143.279999999999</v>
      </c>
      <c r="AB17">
        <v>76806</v>
      </c>
    </row>
    <row r="18" spans="1:28">
      <c r="A18" t="s">
        <v>200</v>
      </c>
      <c r="B18" s="1">
        <v>29731</v>
      </c>
      <c r="C18" s="1"/>
      <c r="D18" t="s">
        <v>201</v>
      </c>
      <c r="E18" t="s">
        <v>202</v>
      </c>
      <c r="F18" t="s">
        <v>203</v>
      </c>
      <c r="G18" t="s">
        <v>50</v>
      </c>
      <c r="H18" t="s">
        <v>204</v>
      </c>
      <c r="I18" t="s">
        <v>205</v>
      </c>
      <c r="J18" t="s">
        <v>206</v>
      </c>
      <c r="K18" t="s">
        <v>34</v>
      </c>
      <c r="L18" t="s">
        <v>34</v>
      </c>
      <c r="M18" t="s">
        <v>207</v>
      </c>
      <c r="N18" t="s">
        <v>38</v>
      </c>
      <c r="O18" t="s">
        <v>39</v>
      </c>
      <c r="P18" t="s">
        <v>54</v>
      </c>
      <c r="Q18" t="s">
        <v>208</v>
      </c>
      <c r="R18" t="s">
        <v>209</v>
      </c>
      <c r="S18" t="s">
        <v>210</v>
      </c>
      <c r="T18" t="s">
        <v>44</v>
      </c>
      <c r="U18" t="s">
        <v>58</v>
      </c>
      <c r="V18">
        <v>25017</v>
      </c>
      <c r="W18">
        <v>2472</v>
      </c>
      <c r="X18">
        <v>42.386991797834973</v>
      </c>
      <c r="Y18">
        <v>-71.291955889249436</v>
      </c>
      <c r="Z18">
        <v>1066398.56</v>
      </c>
      <c r="AA18">
        <v>277427.23</v>
      </c>
      <c r="AB18">
        <v>106307</v>
      </c>
    </row>
    <row r="19" spans="1:28">
      <c r="A19" t="s">
        <v>211</v>
      </c>
      <c r="B19" s="1">
        <v>29165</v>
      </c>
      <c r="C19" s="1"/>
      <c r="D19" t="s">
        <v>212</v>
      </c>
      <c r="E19" t="s">
        <v>213</v>
      </c>
      <c r="F19" t="s">
        <v>214</v>
      </c>
      <c r="G19" t="s">
        <v>32</v>
      </c>
      <c r="H19" t="s">
        <v>215</v>
      </c>
      <c r="I19" t="s">
        <v>34</v>
      </c>
      <c r="J19" t="s">
        <v>216</v>
      </c>
      <c r="K19" t="s">
        <v>34</v>
      </c>
      <c r="L19" t="s">
        <v>34</v>
      </c>
      <c r="M19" t="s">
        <v>40</v>
      </c>
      <c r="N19" t="s">
        <v>38</v>
      </c>
      <c r="O19" t="s">
        <v>39</v>
      </c>
      <c r="P19" t="s">
        <v>40</v>
      </c>
      <c r="Q19" t="s">
        <v>217</v>
      </c>
      <c r="R19" t="s">
        <v>218</v>
      </c>
      <c r="S19" t="s">
        <v>179</v>
      </c>
      <c r="T19" t="s">
        <v>44</v>
      </c>
      <c r="U19" t="s">
        <v>45</v>
      </c>
      <c r="V19">
        <v>25027</v>
      </c>
      <c r="W19">
        <v>1420</v>
      </c>
      <c r="X19">
        <v>42.554327947026152</v>
      </c>
      <c r="Y19">
        <v>-71.775090566042323</v>
      </c>
      <c r="Z19">
        <v>404615.87</v>
      </c>
      <c r="AA19">
        <v>307544.59999999998</v>
      </c>
      <c r="AB19">
        <v>50544</v>
      </c>
    </row>
    <row r="20" spans="1:28">
      <c r="A20" t="s">
        <v>219</v>
      </c>
      <c r="B20" s="1">
        <v>39490</v>
      </c>
      <c r="C20" s="1"/>
      <c r="D20" t="s">
        <v>220</v>
      </c>
      <c r="E20" t="s">
        <v>221</v>
      </c>
      <c r="F20" t="s">
        <v>34</v>
      </c>
      <c r="G20" t="s">
        <v>32</v>
      </c>
      <c r="H20" t="s">
        <v>222</v>
      </c>
      <c r="I20" t="s">
        <v>34</v>
      </c>
      <c r="J20" t="s">
        <v>223</v>
      </c>
      <c r="K20" t="s">
        <v>34</v>
      </c>
      <c r="L20" t="s">
        <v>34</v>
      </c>
      <c r="M20" t="s">
        <v>34</v>
      </c>
      <c r="N20" t="s">
        <v>38</v>
      </c>
      <c r="O20" t="s">
        <v>39</v>
      </c>
      <c r="P20" t="s">
        <v>40</v>
      </c>
      <c r="Q20" t="s">
        <v>224</v>
      </c>
      <c r="R20" t="s">
        <v>225</v>
      </c>
      <c r="S20" t="s">
        <v>226</v>
      </c>
      <c r="T20" t="s">
        <v>44</v>
      </c>
      <c r="U20" t="s">
        <v>58</v>
      </c>
      <c r="V20">
        <v>25017</v>
      </c>
      <c r="W20">
        <v>2145</v>
      </c>
      <c r="X20">
        <v>42.403159363884015</v>
      </c>
      <c r="Y20">
        <v>-71.075935162878977</v>
      </c>
      <c r="Z20">
        <v>56044.72</v>
      </c>
      <c r="AA20">
        <v>837.08</v>
      </c>
      <c r="AB20">
        <v>916979</v>
      </c>
    </row>
    <row r="21" spans="1:28">
      <c r="A21" t="s">
        <v>227</v>
      </c>
      <c r="B21" s="1">
        <v>26980</v>
      </c>
      <c r="C21" s="1"/>
      <c r="D21" t="s">
        <v>228</v>
      </c>
      <c r="E21" t="s">
        <v>229</v>
      </c>
      <c r="F21" t="s">
        <v>230</v>
      </c>
      <c r="G21" t="s">
        <v>32</v>
      </c>
      <c r="H21" t="s">
        <v>231</v>
      </c>
      <c r="I21" t="s">
        <v>232</v>
      </c>
      <c r="J21" t="s">
        <v>233</v>
      </c>
      <c r="K21" t="s">
        <v>34</v>
      </c>
      <c r="L21" t="s">
        <v>34</v>
      </c>
      <c r="M21" t="s">
        <v>207</v>
      </c>
      <c r="N21" t="s">
        <v>38</v>
      </c>
      <c r="O21" t="s">
        <v>39</v>
      </c>
      <c r="P21" t="s">
        <v>40</v>
      </c>
      <c r="Q21" t="s">
        <v>68</v>
      </c>
      <c r="R21" t="s">
        <v>234</v>
      </c>
      <c r="S21" t="s">
        <v>235</v>
      </c>
      <c r="T21" t="s">
        <v>44</v>
      </c>
      <c r="U21" t="s">
        <v>119</v>
      </c>
      <c r="V21">
        <v>25009</v>
      </c>
      <c r="W21">
        <v>1906</v>
      </c>
      <c r="X21">
        <v>42.512367274942399</v>
      </c>
      <c r="Y21">
        <v>-71.03042226328553</v>
      </c>
      <c r="Z21">
        <v>94421.68</v>
      </c>
      <c r="AA21">
        <v>17747.64</v>
      </c>
      <c r="AB21">
        <v>74223</v>
      </c>
    </row>
    <row r="22" spans="1:28">
      <c r="A22" t="s">
        <v>236</v>
      </c>
      <c r="B22" s="1">
        <v>29796</v>
      </c>
      <c r="C22" s="1"/>
      <c r="D22" t="s">
        <v>237</v>
      </c>
      <c r="E22" t="s">
        <v>238</v>
      </c>
      <c r="F22" t="s">
        <v>239</v>
      </c>
      <c r="G22" t="s">
        <v>32</v>
      </c>
      <c r="H22" t="s">
        <v>240</v>
      </c>
      <c r="I22" t="s">
        <v>34</v>
      </c>
      <c r="J22" t="s">
        <v>241</v>
      </c>
      <c r="K22" t="s">
        <v>34</v>
      </c>
      <c r="L22" t="s">
        <v>34</v>
      </c>
      <c r="M22" t="s">
        <v>207</v>
      </c>
      <c r="N22" t="s">
        <v>38</v>
      </c>
      <c r="O22" t="s">
        <v>39</v>
      </c>
      <c r="P22" t="s">
        <v>40</v>
      </c>
      <c r="Q22" t="s">
        <v>217</v>
      </c>
      <c r="R22" t="s">
        <v>242</v>
      </c>
      <c r="S22" t="s">
        <v>243</v>
      </c>
      <c r="T22" t="s">
        <v>44</v>
      </c>
      <c r="U22" t="s">
        <v>244</v>
      </c>
      <c r="V22">
        <v>25023</v>
      </c>
      <c r="W22">
        <v>2045</v>
      </c>
      <c r="X22">
        <v>42.29244889645495</v>
      </c>
      <c r="Y22">
        <v>-70.909539229773642</v>
      </c>
      <c r="Z22">
        <v>74166.25</v>
      </c>
      <c r="AA22">
        <v>102907.12</v>
      </c>
      <c r="AB22">
        <v>625136</v>
      </c>
    </row>
    <row r="23" spans="1:28">
      <c r="A23" t="s">
        <v>245</v>
      </c>
      <c r="B23" s="1">
        <v>32609</v>
      </c>
      <c r="C23" s="1"/>
      <c r="D23" t="s">
        <v>246</v>
      </c>
      <c r="E23" t="s">
        <v>247</v>
      </c>
      <c r="F23" t="s">
        <v>248</v>
      </c>
      <c r="G23" t="s">
        <v>63</v>
      </c>
      <c r="H23" t="s">
        <v>249</v>
      </c>
      <c r="I23" t="s">
        <v>250</v>
      </c>
      <c r="J23" t="s">
        <v>251</v>
      </c>
      <c r="K23" t="s">
        <v>34</v>
      </c>
      <c r="L23" t="s">
        <v>252</v>
      </c>
      <c r="M23" t="s">
        <v>37</v>
      </c>
      <c r="N23" t="s">
        <v>38</v>
      </c>
      <c r="O23" t="s">
        <v>39</v>
      </c>
      <c r="P23" t="s">
        <v>54</v>
      </c>
      <c r="Q23" t="s">
        <v>253</v>
      </c>
      <c r="R23" t="s">
        <v>254</v>
      </c>
      <c r="S23" t="s">
        <v>255</v>
      </c>
      <c r="T23" t="s">
        <v>44</v>
      </c>
      <c r="U23" t="s">
        <v>58</v>
      </c>
      <c r="V23">
        <v>25017</v>
      </c>
      <c r="W23">
        <v>2141</v>
      </c>
      <c r="X23">
        <v>42.406017871373571</v>
      </c>
      <c r="Y23">
        <v>-71.113421151115119</v>
      </c>
      <c r="Z23">
        <v>180750.07999999999</v>
      </c>
      <c r="AA23">
        <v>618870.13</v>
      </c>
      <c r="AB23">
        <v>33609</v>
      </c>
    </row>
    <row r="24" spans="1:28">
      <c r="A24" t="s">
        <v>256</v>
      </c>
      <c r="B24" s="1">
        <v>23686</v>
      </c>
      <c r="C24" s="1"/>
      <c r="D24" t="s">
        <v>257</v>
      </c>
      <c r="E24" t="s">
        <v>258</v>
      </c>
      <c r="F24" t="s">
        <v>259</v>
      </c>
      <c r="G24" t="s">
        <v>63</v>
      </c>
      <c r="H24" t="s">
        <v>260</v>
      </c>
      <c r="I24" t="s">
        <v>261</v>
      </c>
      <c r="J24" t="s">
        <v>262</v>
      </c>
      <c r="K24" t="s">
        <v>34</v>
      </c>
      <c r="L24" t="s">
        <v>263</v>
      </c>
      <c r="M24" t="s">
        <v>40</v>
      </c>
      <c r="N24" t="s">
        <v>38</v>
      </c>
      <c r="O24" t="s">
        <v>39</v>
      </c>
      <c r="P24" t="s">
        <v>54</v>
      </c>
      <c r="Q24" t="s">
        <v>264</v>
      </c>
      <c r="R24" t="s">
        <v>265</v>
      </c>
      <c r="S24" t="s">
        <v>140</v>
      </c>
      <c r="T24" t="s">
        <v>44</v>
      </c>
      <c r="U24" t="s">
        <v>71</v>
      </c>
      <c r="V24">
        <v>25021</v>
      </c>
      <c r="W24">
        <v>2481</v>
      </c>
      <c r="X24">
        <v>42.345001408600936</v>
      </c>
      <c r="Y24">
        <v>-71.310181702617044</v>
      </c>
      <c r="Z24">
        <v>358672.85</v>
      </c>
      <c r="AA24">
        <v>395190.43</v>
      </c>
      <c r="AB24">
        <v>133306</v>
      </c>
    </row>
    <row r="25" spans="1:28">
      <c r="A25" t="s">
        <v>266</v>
      </c>
      <c r="B25" s="1">
        <v>40161</v>
      </c>
      <c r="C25" s="1"/>
      <c r="D25" t="s">
        <v>267</v>
      </c>
      <c r="E25" t="s">
        <v>268</v>
      </c>
      <c r="F25" t="s">
        <v>34</v>
      </c>
      <c r="G25" t="s">
        <v>34</v>
      </c>
      <c r="H25" t="s">
        <v>269</v>
      </c>
      <c r="I25" t="s">
        <v>270</v>
      </c>
      <c r="J25" t="s">
        <v>271</v>
      </c>
      <c r="K25" t="s">
        <v>34</v>
      </c>
      <c r="L25" t="s">
        <v>34</v>
      </c>
      <c r="M25" t="s">
        <v>34</v>
      </c>
      <c r="N25" t="s">
        <v>87</v>
      </c>
      <c r="O25" t="s">
        <v>39</v>
      </c>
      <c r="P25" t="s">
        <v>40</v>
      </c>
      <c r="Q25" t="s">
        <v>272</v>
      </c>
      <c r="R25" t="s">
        <v>273</v>
      </c>
      <c r="S25" t="s">
        <v>274</v>
      </c>
      <c r="T25" t="s">
        <v>44</v>
      </c>
      <c r="U25" t="s">
        <v>119</v>
      </c>
      <c r="W25">
        <v>0</v>
      </c>
      <c r="X25">
        <v>42.635769450888347</v>
      </c>
      <c r="Y25">
        <v>-71.050367758209418</v>
      </c>
      <c r="Z25">
        <v>3373.28</v>
      </c>
      <c r="AA25">
        <v>57030.35</v>
      </c>
      <c r="AB25">
        <v>25900</v>
      </c>
    </row>
    <row r="26" spans="1:28">
      <c r="A26" t="s">
        <v>275</v>
      </c>
      <c r="B26" s="1">
        <v>45042</v>
      </c>
      <c r="C26" s="1"/>
      <c r="D26" t="s">
        <v>276</v>
      </c>
      <c r="E26" t="s">
        <v>34</v>
      </c>
      <c r="F26" t="s">
        <v>34</v>
      </c>
      <c r="G26" t="s">
        <v>34</v>
      </c>
      <c r="H26" t="s">
        <v>277</v>
      </c>
      <c r="I26" t="s">
        <v>278</v>
      </c>
      <c r="J26" t="s">
        <v>279</v>
      </c>
      <c r="K26" t="s">
        <v>34</v>
      </c>
      <c r="L26" t="s">
        <v>34</v>
      </c>
      <c r="M26" t="s">
        <v>34</v>
      </c>
      <c r="N26" t="s">
        <v>280</v>
      </c>
      <c r="O26" t="s">
        <v>39</v>
      </c>
      <c r="P26" t="s">
        <v>40</v>
      </c>
      <c r="Q26" t="s">
        <v>281</v>
      </c>
      <c r="R26" t="s">
        <v>282</v>
      </c>
      <c r="S26" t="s">
        <v>90</v>
      </c>
      <c r="T26" t="s">
        <v>44</v>
      </c>
      <c r="U26" t="s">
        <v>91</v>
      </c>
      <c r="V26">
        <v>25025</v>
      </c>
      <c r="W26">
        <v>2125</v>
      </c>
      <c r="X26">
        <v>42.281546833472554</v>
      </c>
      <c r="Y26">
        <v>-71.036491806006396</v>
      </c>
      <c r="Z26">
        <v>14835.82</v>
      </c>
      <c r="AA26">
        <v>5679.72</v>
      </c>
      <c r="AB26">
        <v>40431</v>
      </c>
    </row>
    <row r="27" spans="1:28">
      <c r="A27" t="s">
        <v>283</v>
      </c>
      <c r="B27" s="1">
        <v>43520</v>
      </c>
      <c r="C27" s="1"/>
      <c r="D27" t="s">
        <v>284</v>
      </c>
      <c r="E27" t="s">
        <v>34</v>
      </c>
      <c r="F27" t="s">
        <v>34</v>
      </c>
      <c r="G27" t="s">
        <v>34</v>
      </c>
      <c r="H27" t="s">
        <v>285</v>
      </c>
      <c r="I27" t="s">
        <v>286</v>
      </c>
      <c r="J27" t="s">
        <v>287</v>
      </c>
      <c r="K27" t="s">
        <v>34</v>
      </c>
      <c r="L27" t="s">
        <v>34</v>
      </c>
      <c r="M27" t="s">
        <v>34</v>
      </c>
      <c r="N27" t="s">
        <v>38</v>
      </c>
      <c r="O27" t="s">
        <v>39</v>
      </c>
      <c r="P27" t="s">
        <v>40</v>
      </c>
      <c r="Q27" t="s">
        <v>288</v>
      </c>
      <c r="R27" t="s">
        <v>289</v>
      </c>
      <c r="S27" t="s">
        <v>290</v>
      </c>
      <c r="T27" t="s">
        <v>44</v>
      </c>
      <c r="U27" t="s">
        <v>58</v>
      </c>
      <c r="V27">
        <v>25017</v>
      </c>
      <c r="W27">
        <v>1850</v>
      </c>
      <c r="X27">
        <v>42.634563603374232</v>
      </c>
      <c r="Y27">
        <v>-71.253340456326995</v>
      </c>
      <c r="Z27">
        <v>10843.47</v>
      </c>
      <c r="AA27">
        <v>12646.54</v>
      </c>
      <c r="AB27">
        <v>88769</v>
      </c>
    </row>
    <row r="28" spans="1:28">
      <c r="A28" t="s">
        <v>291</v>
      </c>
      <c r="B28" s="1">
        <v>23279</v>
      </c>
      <c r="C28" s="1"/>
      <c r="D28" t="s">
        <v>292</v>
      </c>
      <c r="E28" t="s">
        <v>293</v>
      </c>
      <c r="F28" t="s">
        <v>294</v>
      </c>
      <c r="G28" t="s">
        <v>32</v>
      </c>
      <c r="H28" t="s">
        <v>295</v>
      </c>
      <c r="I28" t="s">
        <v>296</v>
      </c>
      <c r="J28" t="s">
        <v>297</v>
      </c>
      <c r="K28" t="s">
        <v>34</v>
      </c>
      <c r="L28" t="s">
        <v>34</v>
      </c>
      <c r="M28" t="s">
        <v>37</v>
      </c>
      <c r="N28" t="s">
        <v>38</v>
      </c>
      <c r="O28" t="s">
        <v>39</v>
      </c>
      <c r="P28" t="s">
        <v>40</v>
      </c>
      <c r="Q28" t="s">
        <v>298</v>
      </c>
      <c r="R28" t="s">
        <v>299</v>
      </c>
      <c r="S28" t="s">
        <v>300</v>
      </c>
      <c r="T28" t="s">
        <v>44</v>
      </c>
      <c r="U28" t="s">
        <v>58</v>
      </c>
      <c r="V28">
        <v>25017</v>
      </c>
      <c r="W28">
        <v>1754</v>
      </c>
      <c r="X28">
        <v>42.438297683916794</v>
      </c>
      <c r="Y28">
        <v>-71.488909883361913</v>
      </c>
      <c r="Z28">
        <v>152288.4</v>
      </c>
      <c r="AA28">
        <v>90914.36</v>
      </c>
      <c r="AB28">
        <v>103697</v>
      </c>
    </row>
    <row r="29" spans="1:28">
      <c r="A29" t="s">
        <v>301</v>
      </c>
      <c r="B29" s="1">
        <v>22228</v>
      </c>
      <c r="C29" s="1"/>
      <c r="D29" t="s">
        <v>302</v>
      </c>
      <c r="E29" t="s">
        <v>303</v>
      </c>
      <c r="F29" t="s">
        <v>304</v>
      </c>
      <c r="G29" t="s">
        <v>32</v>
      </c>
      <c r="H29" t="s">
        <v>305</v>
      </c>
      <c r="I29" t="s">
        <v>34</v>
      </c>
      <c r="J29" t="s">
        <v>306</v>
      </c>
      <c r="K29" t="s">
        <v>34</v>
      </c>
      <c r="L29" t="s">
        <v>34</v>
      </c>
      <c r="M29" t="s">
        <v>207</v>
      </c>
      <c r="N29" t="s">
        <v>38</v>
      </c>
      <c r="O29" t="s">
        <v>39</v>
      </c>
      <c r="P29" t="s">
        <v>40</v>
      </c>
      <c r="Q29" t="s">
        <v>307</v>
      </c>
      <c r="R29" t="s">
        <v>308</v>
      </c>
      <c r="S29" t="s">
        <v>309</v>
      </c>
      <c r="T29" t="s">
        <v>44</v>
      </c>
      <c r="U29" t="s">
        <v>310</v>
      </c>
      <c r="V29">
        <v>25001</v>
      </c>
      <c r="W29">
        <v>2668</v>
      </c>
      <c r="X29">
        <v>41.639415284574255</v>
      </c>
      <c r="Y29">
        <v>-70.464391652679424</v>
      </c>
      <c r="Z29">
        <v>17491.43</v>
      </c>
      <c r="AA29">
        <v>523871.4</v>
      </c>
      <c r="AB29">
        <v>6976</v>
      </c>
    </row>
    <row r="30" spans="1:28">
      <c r="A30" t="s">
        <v>311</v>
      </c>
      <c r="B30" s="1">
        <v>33578</v>
      </c>
      <c r="C30" s="1"/>
      <c r="D30" t="s">
        <v>312</v>
      </c>
      <c r="E30" t="s">
        <v>313</v>
      </c>
      <c r="F30" t="s">
        <v>314</v>
      </c>
      <c r="G30" t="s">
        <v>32</v>
      </c>
      <c r="H30" t="s">
        <v>315</v>
      </c>
      <c r="I30" t="s">
        <v>316</v>
      </c>
      <c r="J30" t="s">
        <v>317</v>
      </c>
      <c r="K30" t="s">
        <v>34</v>
      </c>
      <c r="L30" t="s">
        <v>34</v>
      </c>
      <c r="M30" t="s">
        <v>207</v>
      </c>
      <c r="N30" t="s">
        <v>38</v>
      </c>
      <c r="O30" t="s">
        <v>39</v>
      </c>
      <c r="P30" t="s">
        <v>40</v>
      </c>
      <c r="Q30" t="s">
        <v>318</v>
      </c>
      <c r="R30" t="s">
        <v>319</v>
      </c>
      <c r="S30" t="s">
        <v>320</v>
      </c>
      <c r="T30" t="s">
        <v>44</v>
      </c>
      <c r="U30" t="s">
        <v>45</v>
      </c>
      <c r="V30">
        <v>25027</v>
      </c>
      <c r="W30">
        <v>1570</v>
      </c>
      <c r="X30">
        <v>42.058949356167467</v>
      </c>
      <c r="Y30">
        <v>-71.856940692079959</v>
      </c>
      <c r="Z30">
        <v>51495.95</v>
      </c>
      <c r="AA30">
        <v>679596.81</v>
      </c>
      <c r="AB30">
        <v>126188</v>
      </c>
    </row>
    <row r="31" spans="1:28">
      <c r="A31" t="s">
        <v>321</v>
      </c>
      <c r="B31" s="1">
        <v>42041</v>
      </c>
      <c r="C31" s="1"/>
      <c r="D31" t="s">
        <v>322</v>
      </c>
      <c r="E31" t="s">
        <v>34</v>
      </c>
      <c r="F31" t="s">
        <v>34</v>
      </c>
      <c r="G31" t="s">
        <v>34</v>
      </c>
      <c r="H31" t="s">
        <v>323</v>
      </c>
      <c r="I31" t="s">
        <v>324</v>
      </c>
      <c r="J31" t="s">
        <v>325</v>
      </c>
      <c r="K31" t="s">
        <v>34</v>
      </c>
      <c r="L31" t="s">
        <v>34</v>
      </c>
      <c r="M31" t="s">
        <v>34</v>
      </c>
      <c r="N31" t="s">
        <v>38</v>
      </c>
      <c r="O31" t="s">
        <v>39</v>
      </c>
      <c r="P31" t="s">
        <v>54</v>
      </c>
      <c r="Q31" t="s">
        <v>326</v>
      </c>
      <c r="R31" t="s">
        <v>327</v>
      </c>
      <c r="S31" t="s">
        <v>328</v>
      </c>
      <c r="T31" t="s">
        <v>44</v>
      </c>
      <c r="U31" t="s">
        <v>71</v>
      </c>
      <c r="V31">
        <v>25021</v>
      </c>
      <c r="W31">
        <v>2035</v>
      </c>
      <c r="X31">
        <v>42.040748794620043</v>
      </c>
      <c r="Y31">
        <v>-71.198917535540829</v>
      </c>
      <c r="Z31">
        <v>30805.48</v>
      </c>
      <c r="AA31">
        <v>2392.27</v>
      </c>
      <c r="AB31">
        <v>97024</v>
      </c>
    </row>
    <row r="32" spans="1:28">
      <c r="A32" t="s">
        <v>329</v>
      </c>
      <c r="B32" s="1">
        <v>24752</v>
      </c>
      <c r="C32" s="1">
        <v>33395</v>
      </c>
      <c r="D32" t="s">
        <v>330</v>
      </c>
      <c r="E32" t="s">
        <v>331</v>
      </c>
      <c r="F32" t="s">
        <v>332</v>
      </c>
      <c r="G32" t="s">
        <v>50</v>
      </c>
      <c r="H32" t="s">
        <v>333</v>
      </c>
      <c r="I32" t="s">
        <v>334</v>
      </c>
      <c r="J32" t="s">
        <v>335</v>
      </c>
      <c r="K32" t="s">
        <v>34</v>
      </c>
      <c r="L32" t="s">
        <v>34</v>
      </c>
      <c r="M32" t="s">
        <v>34</v>
      </c>
      <c r="N32" t="s">
        <v>87</v>
      </c>
      <c r="O32" t="s">
        <v>185</v>
      </c>
      <c r="P32" t="s">
        <v>54</v>
      </c>
      <c r="Q32" t="s">
        <v>99</v>
      </c>
      <c r="R32" t="s">
        <v>336</v>
      </c>
      <c r="S32" t="s">
        <v>90</v>
      </c>
      <c r="T32" t="s">
        <v>44</v>
      </c>
      <c r="U32" t="s">
        <v>91</v>
      </c>
      <c r="V32">
        <v>25025</v>
      </c>
      <c r="W32">
        <v>2113</v>
      </c>
      <c r="X32">
        <v>42.295166608601114</v>
      </c>
      <c r="Y32">
        <v>-71.106216418138686</v>
      </c>
      <c r="Z32">
        <v>14693.78</v>
      </c>
      <c r="AA32">
        <v>373286.98</v>
      </c>
      <c r="AB32">
        <v>18966</v>
      </c>
    </row>
    <row r="33" spans="1:28">
      <c r="A33" t="s">
        <v>337</v>
      </c>
      <c r="B33" s="1">
        <v>29212</v>
      </c>
      <c r="C33" s="1"/>
      <c r="D33" t="s">
        <v>338</v>
      </c>
      <c r="E33" t="s">
        <v>339</v>
      </c>
      <c r="F33" t="s">
        <v>340</v>
      </c>
      <c r="G33" t="s">
        <v>63</v>
      </c>
      <c r="H33" t="s">
        <v>341</v>
      </c>
      <c r="I33" t="s">
        <v>342</v>
      </c>
      <c r="J33" t="s">
        <v>343</v>
      </c>
      <c r="K33" t="s">
        <v>34</v>
      </c>
      <c r="L33" t="s">
        <v>344</v>
      </c>
      <c r="M33" t="s">
        <v>40</v>
      </c>
      <c r="N33" t="s">
        <v>38</v>
      </c>
      <c r="O33" t="s">
        <v>39</v>
      </c>
      <c r="P33" t="s">
        <v>54</v>
      </c>
      <c r="Q33" t="s">
        <v>345</v>
      </c>
      <c r="R33" t="s">
        <v>346</v>
      </c>
      <c r="S33" t="s">
        <v>347</v>
      </c>
      <c r="T33" t="s">
        <v>44</v>
      </c>
      <c r="U33" t="s">
        <v>71</v>
      </c>
      <c r="V33">
        <v>25021</v>
      </c>
      <c r="W33">
        <v>2191</v>
      </c>
      <c r="X33">
        <v>42.194924073210714</v>
      </c>
      <c r="Y33">
        <v>-70.879063013720938</v>
      </c>
      <c r="Z33">
        <v>54836.18</v>
      </c>
      <c r="AA33">
        <v>241136.98</v>
      </c>
      <c r="AB33">
        <v>24132</v>
      </c>
    </row>
    <row r="34" spans="1:28">
      <c r="A34" t="s">
        <v>348</v>
      </c>
      <c r="B34" s="1">
        <v>24752</v>
      </c>
      <c r="C34" s="1"/>
      <c r="D34" t="s">
        <v>349</v>
      </c>
      <c r="E34" t="s">
        <v>350</v>
      </c>
      <c r="F34" t="s">
        <v>351</v>
      </c>
      <c r="G34" t="s">
        <v>63</v>
      </c>
      <c r="H34" t="s">
        <v>352</v>
      </c>
      <c r="I34" t="s">
        <v>353</v>
      </c>
      <c r="J34" t="s">
        <v>354</v>
      </c>
      <c r="K34" t="s">
        <v>34</v>
      </c>
      <c r="L34" t="s">
        <v>355</v>
      </c>
      <c r="M34" t="s">
        <v>356</v>
      </c>
      <c r="N34" t="s">
        <v>87</v>
      </c>
      <c r="O34" t="s">
        <v>185</v>
      </c>
      <c r="P34" t="s">
        <v>54</v>
      </c>
      <c r="Q34" t="s">
        <v>168</v>
      </c>
      <c r="R34" t="s">
        <v>357</v>
      </c>
      <c r="S34" t="s">
        <v>90</v>
      </c>
      <c r="T34" t="s">
        <v>44</v>
      </c>
      <c r="U34" t="s">
        <v>91</v>
      </c>
      <c r="V34">
        <v>25025</v>
      </c>
      <c r="W34">
        <v>2129</v>
      </c>
      <c r="X34">
        <v>42.28755899599328</v>
      </c>
      <c r="Y34">
        <v>-71.098028270406132</v>
      </c>
      <c r="Z34">
        <v>12734.61</v>
      </c>
      <c r="AA34">
        <v>316978.26</v>
      </c>
      <c r="AB34">
        <v>18966</v>
      </c>
    </row>
    <row r="35" spans="1:28">
      <c r="A35" t="s">
        <v>358</v>
      </c>
      <c r="B35" s="1">
        <v>26604</v>
      </c>
      <c r="C35" s="1"/>
      <c r="D35" t="s">
        <v>359</v>
      </c>
      <c r="E35" t="s">
        <v>360</v>
      </c>
      <c r="F35" t="s">
        <v>361</v>
      </c>
      <c r="G35" t="s">
        <v>63</v>
      </c>
      <c r="H35" t="s">
        <v>362</v>
      </c>
      <c r="I35" t="s">
        <v>363</v>
      </c>
      <c r="J35" t="s">
        <v>364</v>
      </c>
      <c r="K35" t="s">
        <v>34</v>
      </c>
      <c r="L35" t="s">
        <v>365</v>
      </c>
      <c r="M35" t="s">
        <v>40</v>
      </c>
      <c r="N35" t="s">
        <v>38</v>
      </c>
      <c r="O35" t="s">
        <v>39</v>
      </c>
      <c r="P35" t="s">
        <v>54</v>
      </c>
      <c r="Q35" t="s">
        <v>366</v>
      </c>
      <c r="R35" t="s">
        <v>367</v>
      </c>
      <c r="S35" t="s">
        <v>368</v>
      </c>
      <c r="T35" t="s">
        <v>44</v>
      </c>
      <c r="U35" t="s">
        <v>58</v>
      </c>
      <c r="W35">
        <v>0</v>
      </c>
      <c r="X35">
        <v>42.548490734672008</v>
      </c>
      <c r="Y35">
        <v>-71.437068617265567</v>
      </c>
      <c r="Z35">
        <v>654939.59</v>
      </c>
      <c r="AA35">
        <v>444172.77</v>
      </c>
      <c r="AB35">
        <v>66692</v>
      </c>
    </row>
    <row r="36" spans="1:28">
      <c r="A36" t="s">
        <v>369</v>
      </c>
      <c r="B36" s="1">
        <v>38170</v>
      </c>
      <c r="C36" s="1"/>
      <c r="D36" t="s">
        <v>370</v>
      </c>
      <c r="E36" t="s">
        <v>371</v>
      </c>
      <c r="F36" t="s">
        <v>372</v>
      </c>
      <c r="G36" t="s">
        <v>50</v>
      </c>
      <c r="H36" t="s">
        <v>373</v>
      </c>
      <c r="I36" t="s">
        <v>374</v>
      </c>
      <c r="J36" t="s">
        <v>375</v>
      </c>
      <c r="K36" t="s">
        <v>34</v>
      </c>
      <c r="L36" t="s">
        <v>34</v>
      </c>
      <c r="M36" t="s">
        <v>34</v>
      </c>
      <c r="N36" t="s">
        <v>38</v>
      </c>
      <c r="O36" t="s">
        <v>39</v>
      </c>
      <c r="P36" t="s">
        <v>54</v>
      </c>
      <c r="Q36" t="s">
        <v>376</v>
      </c>
      <c r="R36" t="s">
        <v>377</v>
      </c>
      <c r="S36" t="s">
        <v>79</v>
      </c>
      <c r="T36" t="s">
        <v>44</v>
      </c>
      <c r="U36" t="s">
        <v>80</v>
      </c>
      <c r="V36">
        <v>25005</v>
      </c>
      <c r="W36">
        <v>2767</v>
      </c>
      <c r="X36">
        <v>41.906610708240471</v>
      </c>
      <c r="Y36">
        <v>-71.035571920716976</v>
      </c>
      <c r="Z36">
        <v>87531.48</v>
      </c>
      <c r="AA36">
        <v>51708.23</v>
      </c>
      <c r="AB36">
        <v>120419</v>
      </c>
    </row>
    <row r="37" spans="1:28">
      <c r="A37" t="s">
        <v>378</v>
      </c>
      <c r="B37" s="1">
        <v>45293</v>
      </c>
      <c r="C37" s="1"/>
      <c r="D37" t="s">
        <v>379</v>
      </c>
      <c r="E37" t="s">
        <v>34</v>
      </c>
      <c r="F37" t="s">
        <v>34</v>
      </c>
      <c r="G37" t="s">
        <v>34</v>
      </c>
      <c r="H37" t="s">
        <v>380</v>
      </c>
      <c r="I37" t="s">
        <v>381</v>
      </c>
      <c r="J37" t="s">
        <v>382</v>
      </c>
      <c r="K37" t="s">
        <v>34</v>
      </c>
      <c r="L37" t="s">
        <v>34</v>
      </c>
      <c r="M37" t="s">
        <v>34</v>
      </c>
      <c r="N37" t="s">
        <v>38</v>
      </c>
      <c r="O37" t="s">
        <v>39</v>
      </c>
      <c r="P37" t="s">
        <v>40</v>
      </c>
      <c r="Q37" t="s">
        <v>383</v>
      </c>
      <c r="R37" t="s">
        <v>384</v>
      </c>
      <c r="S37" t="s">
        <v>188</v>
      </c>
      <c r="T37" t="s">
        <v>44</v>
      </c>
      <c r="U37" t="s">
        <v>189</v>
      </c>
      <c r="W37">
        <v>0</v>
      </c>
      <c r="X37">
        <v>42.099106809370269</v>
      </c>
      <c r="Y37">
        <v>-72.81916282548579</v>
      </c>
      <c r="Z37">
        <v>14506.1</v>
      </c>
      <c r="AA37">
        <v>0</v>
      </c>
      <c r="AB37">
        <v>55591</v>
      </c>
    </row>
    <row r="38" spans="1:28">
      <c r="A38" t="s">
        <v>385</v>
      </c>
      <c r="B38" s="1">
        <v>42009</v>
      </c>
      <c r="C38" s="1"/>
      <c r="D38" t="s">
        <v>386</v>
      </c>
      <c r="E38" t="s">
        <v>34</v>
      </c>
      <c r="F38" t="s">
        <v>34</v>
      </c>
      <c r="G38" t="s">
        <v>34</v>
      </c>
      <c r="H38" t="s">
        <v>387</v>
      </c>
      <c r="I38" t="s">
        <v>388</v>
      </c>
      <c r="J38" t="s">
        <v>389</v>
      </c>
      <c r="K38" t="s">
        <v>34</v>
      </c>
      <c r="L38" t="s">
        <v>34</v>
      </c>
      <c r="M38" t="s">
        <v>34</v>
      </c>
      <c r="N38" t="s">
        <v>38</v>
      </c>
      <c r="O38" t="s">
        <v>185</v>
      </c>
      <c r="P38" t="s">
        <v>54</v>
      </c>
      <c r="Q38" t="s">
        <v>390</v>
      </c>
      <c r="R38" t="s">
        <v>391</v>
      </c>
      <c r="S38" t="s">
        <v>392</v>
      </c>
      <c r="T38" t="s">
        <v>44</v>
      </c>
      <c r="U38" t="s">
        <v>80</v>
      </c>
      <c r="V38">
        <v>25005</v>
      </c>
      <c r="W38">
        <v>2720</v>
      </c>
      <c r="X38">
        <v>41.677027241595098</v>
      </c>
      <c r="Y38">
        <v>-71.194176150760654</v>
      </c>
      <c r="Z38">
        <v>34860.160000000003</v>
      </c>
      <c r="AA38">
        <v>7348.13</v>
      </c>
      <c r="AB38">
        <v>68932</v>
      </c>
    </row>
    <row r="39" spans="1:28">
      <c r="A39" t="s">
        <v>393</v>
      </c>
      <c r="B39" s="1">
        <v>20002</v>
      </c>
      <c r="C39" s="1"/>
      <c r="D39" t="s">
        <v>394</v>
      </c>
      <c r="E39" t="s">
        <v>395</v>
      </c>
      <c r="F39" t="s">
        <v>396</v>
      </c>
      <c r="G39" t="s">
        <v>32</v>
      </c>
      <c r="H39" t="s">
        <v>397</v>
      </c>
      <c r="I39" t="s">
        <v>398</v>
      </c>
      <c r="J39" t="s">
        <v>399</v>
      </c>
      <c r="K39" t="s">
        <v>34</v>
      </c>
      <c r="L39" t="s">
        <v>34</v>
      </c>
      <c r="M39" t="s">
        <v>40</v>
      </c>
      <c r="N39" t="s">
        <v>38</v>
      </c>
      <c r="O39" t="s">
        <v>39</v>
      </c>
      <c r="P39" t="s">
        <v>40</v>
      </c>
      <c r="Q39" t="s">
        <v>68</v>
      </c>
      <c r="R39" t="s">
        <v>400</v>
      </c>
      <c r="S39" t="s">
        <v>401</v>
      </c>
      <c r="T39" t="s">
        <v>44</v>
      </c>
      <c r="U39" t="s">
        <v>119</v>
      </c>
      <c r="V39">
        <v>25009</v>
      </c>
      <c r="W39">
        <v>1915</v>
      </c>
      <c r="X39">
        <v>42.601084720571194</v>
      </c>
      <c r="Y39">
        <v>-70.901073750535403</v>
      </c>
      <c r="Z39">
        <v>309461.87</v>
      </c>
      <c r="AA39">
        <v>62997.75</v>
      </c>
      <c r="AB39">
        <v>93809</v>
      </c>
    </row>
    <row r="40" spans="1:28">
      <c r="A40" t="s">
        <v>402</v>
      </c>
      <c r="B40" s="1">
        <v>20746</v>
      </c>
      <c r="C40" s="1"/>
      <c r="D40" t="s">
        <v>403</v>
      </c>
      <c r="E40" t="s">
        <v>404</v>
      </c>
      <c r="F40" t="s">
        <v>405</v>
      </c>
      <c r="G40" t="s">
        <v>32</v>
      </c>
      <c r="H40" t="s">
        <v>406</v>
      </c>
      <c r="I40" t="s">
        <v>407</v>
      </c>
      <c r="J40" t="s">
        <v>408</v>
      </c>
      <c r="K40" t="s">
        <v>34</v>
      </c>
      <c r="L40" t="s">
        <v>34</v>
      </c>
      <c r="M40" t="s">
        <v>207</v>
      </c>
      <c r="N40" t="s">
        <v>87</v>
      </c>
      <c r="O40" t="s">
        <v>39</v>
      </c>
      <c r="P40" t="s">
        <v>40</v>
      </c>
      <c r="Q40" t="s">
        <v>409</v>
      </c>
      <c r="R40" t="s">
        <v>410</v>
      </c>
      <c r="S40" t="s">
        <v>411</v>
      </c>
      <c r="T40" t="s">
        <v>44</v>
      </c>
      <c r="U40" t="s">
        <v>244</v>
      </c>
      <c r="W40">
        <v>0</v>
      </c>
      <c r="X40">
        <v>42.094360169623656</v>
      </c>
      <c r="Y40">
        <v>-70.87486271265</v>
      </c>
      <c r="Z40">
        <v>33830.79</v>
      </c>
      <c r="AA40">
        <v>462521.31</v>
      </c>
      <c r="AB40">
        <v>74777</v>
      </c>
    </row>
    <row r="41" spans="1:28">
      <c r="A41" t="s">
        <v>412</v>
      </c>
      <c r="B41" s="1">
        <v>19491</v>
      </c>
      <c r="C41" s="1"/>
      <c r="D41" t="s">
        <v>413</v>
      </c>
      <c r="E41" t="s">
        <v>414</v>
      </c>
      <c r="F41" t="s">
        <v>415</v>
      </c>
      <c r="G41" t="s">
        <v>32</v>
      </c>
      <c r="H41" t="s">
        <v>416</v>
      </c>
      <c r="I41" t="s">
        <v>417</v>
      </c>
      <c r="J41" t="s">
        <v>418</v>
      </c>
      <c r="K41" t="s">
        <v>34</v>
      </c>
      <c r="L41" t="s">
        <v>34</v>
      </c>
      <c r="M41" t="s">
        <v>356</v>
      </c>
      <c r="N41" t="s">
        <v>38</v>
      </c>
      <c r="O41" t="s">
        <v>39</v>
      </c>
      <c r="P41" t="s">
        <v>40</v>
      </c>
      <c r="Q41" t="s">
        <v>419</v>
      </c>
      <c r="R41" t="s">
        <v>420</v>
      </c>
      <c r="S41" t="s">
        <v>140</v>
      </c>
      <c r="T41" t="s">
        <v>44</v>
      </c>
      <c r="U41" t="s">
        <v>71</v>
      </c>
      <c r="V41">
        <v>25021</v>
      </c>
      <c r="W41">
        <v>2481</v>
      </c>
      <c r="X41">
        <v>42.289123922015953</v>
      </c>
      <c r="Y41">
        <v>-71.283970819265832</v>
      </c>
      <c r="Z41">
        <v>541341.17000000004</v>
      </c>
      <c r="AA41">
        <v>373034.57</v>
      </c>
      <c r="AB41">
        <v>107562</v>
      </c>
    </row>
    <row r="42" spans="1:28">
      <c r="A42" t="s">
        <v>421</v>
      </c>
      <c r="B42" s="1">
        <v>33224</v>
      </c>
      <c r="C42" s="1"/>
      <c r="D42" t="s">
        <v>422</v>
      </c>
      <c r="E42" t="s">
        <v>423</v>
      </c>
      <c r="F42" t="s">
        <v>424</v>
      </c>
      <c r="G42" t="s">
        <v>63</v>
      </c>
      <c r="H42" t="s">
        <v>425</v>
      </c>
      <c r="I42" t="s">
        <v>426</v>
      </c>
      <c r="J42" t="s">
        <v>427</v>
      </c>
      <c r="K42" t="s">
        <v>34</v>
      </c>
      <c r="L42" t="s">
        <v>428</v>
      </c>
      <c r="M42" t="s">
        <v>37</v>
      </c>
      <c r="N42" t="s">
        <v>38</v>
      </c>
      <c r="O42" t="s">
        <v>39</v>
      </c>
      <c r="P42" t="s">
        <v>54</v>
      </c>
      <c r="Q42" t="s">
        <v>68</v>
      </c>
      <c r="R42" t="s">
        <v>429</v>
      </c>
      <c r="S42" t="s">
        <v>430</v>
      </c>
      <c r="T42" t="s">
        <v>44</v>
      </c>
      <c r="U42" t="s">
        <v>58</v>
      </c>
      <c r="W42">
        <v>0</v>
      </c>
      <c r="X42">
        <v>42.648224645299806</v>
      </c>
      <c r="Y42">
        <v>-71.20485523890909</v>
      </c>
      <c r="Z42">
        <v>105355.41</v>
      </c>
      <c r="AA42">
        <v>281025.17</v>
      </c>
      <c r="AB42">
        <v>27740</v>
      </c>
    </row>
    <row r="43" spans="1:28">
      <c r="A43" t="s">
        <v>431</v>
      </c>
      <c r="B43" s="1">
        <v>38900</v>
      </c>
      <c r="C43" s="1"/>
      <c r="D43" t="s">
        <v>432</v>
      </c>
      <c r="E43" t="s">
        <v>433</v>
      </c>
      <c r="F43" t="s">
        <v>34</v>
      </c>
      <c r="G43" t="s">
        <v>32</v>
      </c>
      <c r="H43" t="s">
        <v>434</v>
      </c>
      <c r="I43" t="s">
        <v>34</v>
      </c>
      <c r="J43" t="s">
        <v>435</v>
      </c>
      <c r="K43" t="s">
        <v>34</v>
      </c>
      <c r="L43" t="s">
        <v>34</v>
      </c>
      <c r="M43" t="s">
        <v>34</v>
      </c>
      <c r="N43" t="s">
        <v>87</v>
      </c>
      <c r="O43" t="s">
        <v>39</v>
      </c>
      <c r="P43" t="s">
        <v>40</v>
      </c>
      <c r="Q43" t="s">
        <v>436</v>
      </c>
      <c r="R43" t="s">
        <v>437</v>
      </c>
      <c r="S43" t="s">
        <v>438</v>
      </c>
      <c r="T43" t="s">
        <v>44</v>
      </c>
      <c r="U43" t="s">
        <v>439</v>
      </c>
      <c r="V43">
        <v>25003</v>
      </c>
      <c r="W43">
        <v>1267</v>
      </c>
      <c r="X43">
        <v>42.640529320442639</v>
      </c>
      <c r="Y43">
        <v>-73.277941800955233</v>
      </c>
      <c r="Z43">
        <v>59324.79</v>
      </c>
      <c r="AA43">
        <v>15104.37</v>
      </c>
      <c r="AB43">
        <v>188652</v>
      </c>
    </row>
    <row r="44" spans="1:28">
      <c r="A44" t="s">
        <v>440</v>
      </c>
      <c r="B44" s="1">
        <v>32887</v>
      </c>
      <c r="C44" s="1"/>
      <c r="D44" t="s">
        <v>441</v>
      </c>
      <c r="E44" t="s">
        <v>442</v>
      </c>
      <c r="F44" t="s">
        <v>443</v>
      </c>
      <c r="G44" t="s">
        <v>63</v>
      </c>
      <c r="H44" t="s">
        <v>444</v>
      </c>
      <c r="I44" t="s">
        <v>445</v>
      </c>
      <c r="J44" t="s">
        <v>35</v>
      </c>
      <c r="K44" t="s">
        <v>34</v>
      </c>
      <c r="L44" t="s">
        <v>446</v>
      </c>
      <c r="M44" t="s">
        <v>40</v>
      </c>
      <c r="N44" t="s">
        <v>38</v>
      </c>
      <c r="O44" t="s">
        <v>39</v>
      </c>
      <c r="P44" t="s">
        <v>54</v>
      </c>
      <c r="Q44" t="s">
        <v>68</v>
      </c>
      <c r="R44" t="s">
        <v>447</v>
      </c>
      <c r="S44" t="s">
        <v>448</v>
      </c>
      <c r="T44" t="s">
        <v>44</v>
      </c>
      <c r="U44" t="s">
        <v>58</v>
      </c>
      <c r="W44">
        <v>0</v>
      </c>
      <c r="X44">
        <v>42.663840077088345</v>
      </c>
      <c r="Y44">
        <v>-71.381195628801493</v>
      </c>
      <c r="Z44">
        <v>222548.4</v>
      </c>
      <c r="AA44">
        <v>376800.82</v>
      </c>
      <c r="AB44">
        <v>149604</v>
      </c>
    </row>
    <row r="45" spans="1:28">
      <c r="A45" t="s">
        <v>449</v>
      </c>
      <c r="B45" s="1">
        <v>29606</v>
      </c>
      <c r="C45" s="1"/>
      <c r="D45" t="s">
        <v>450</v>
      </c>
      <c r="E45" t="s">
        <v>451</v>
      </c>
      <c r="F45" t="s">
        <v>452</v>
      </c>
      <c r="G45" t="s">
        <v>63</v>
      </c>
      <c r="H45" t="s">
        <v>453</v>
      </c>
      <c r="I45" t="s">
        <v>454</v>
      </c>
      <c r="J45" t="s">
        <v>418</v>
      </c>
      <c r="K45" t="s">
        <v>34</v>
      </c>
      <c r="L45" t="s">
        <v>455</v>
      </c>
      <c r="M45" t="s">
        <v>40</v>
      </c>
      <c r="N45" t="s">
        <v>38</v>
      </c>
      <c r="O45" t="s">
        <v>39</v>
      </c>
      <c r="P45" t="s">
        <v>54</v>
      </c>
      <c r="Q45" t="s">
        <v>88</v>
      </c>
      <c r="R45" t="s">
        <v>456</v>
      </c>
      <c r="S45" t="s">
        <v>457</v>
      </c>
      <c r="T45" t="s">
        <v>44</v>
      </c>
      <c r="U45" t="s">
        <v>58</v>
      </c>
      <c r="V45">
        <v>25017</v>
      </c>
      <c r="W45">
        <v>1464</v>
      </c>
      <c r="X45">
        <v>42.573316449173774</v>
      </c>
      <c r="Y45">
        <v>-71.634672076466586</v>
      </c>
      <c r="Z45">
        <v>402593.6</v>
      </c>
      <c r="AA45">
        <v>621085.03</v>
      </c>
      <c r="AB45">
        <v>61674</v>
      </c>
    </row>
    <row r="46" spans="1:28">
      <c r="A46" t="s">
        <v>458</v>
      </c>
      <c r="B46" s="1">
        <v>23551</v>
      </c>
      <c r="C46" s="1">
        <v>45160</v>
      </c>
      <c r="D46" t="s">
        <v>459</v>
      </c>
      <c r="E46" t="s">
        <v>460</v>
      </c>
      <c r="F46" t="s">
        <v>461</v>
      </c>
      <c r="G46" t="s">
        <v>32</v>
      </c>
      <c r="H46" t="s">
        <v>462</v>
      </c>
      <c r="I46" t="s">
        <v>463</v>
      </c>
      <c r="J46" t="s">
        <v>464</v>
      </c>
      <c r="K46" t="s">
        <v>34</v>
      </c>
      <c r="L46" t="s">
        <v>34</v>
      </c>
      <c r="M46" t="s">
        <v>40</v>
      </c>
      <c r="N46" t="s">
        <v>87</v>
      </c>
      <c r="O46" t="s">
        <v>39</v>
      </c>
      <c r="P46" t="s">
        <v>40</v>
      </c>
      <c r="Q46" t="s">
        <v>366</v>
      </c>
      <c r="R46" t="s">
        <v>465</v>
      </c>
      <c r="S46" t="s">
        <v>90</v>
      </c>
      <c r="T46" t="s">
        <v>44</v>
      </c>
      <c r="U46" t="s">
        <v>91</v>
      </c>
      <c r="V46">
        <v>25025</v>
      </c>
      <c r="W46">
        <v>2131</v>
      </c>
      <c r="X46">
        <v>42.321170096555036</v>
      </c>
      <c r="Y46">
        <v>-71.093254482075125</v>
      </c>
      <c r="Z46">
        <v>245397.84</v>
      </c>
      <c r="AA46">
        <v>124955.08</v>
      </c>
      <c r="AB46">
        <v>47024</v>
      </c>
    </row>
    <row r="47" spans="1:28">
      <c r="A47" t="s">
        <v>466</v>
      </c>
      <c r="B47" s="1">
        <v>30963</v>
      </c>
      <c r="C47" s="1">
        <v>42524</v>
      </c>
      <c r="D47" t="s">
        <v>467</v>
      </c>
      <c r="E47" t="s">
        <v>468</v>
      </c>
      <c r="F47" t="s">
        <v>469</v>
      </c>
      <c r="G47" t="s">
        <v>50</v>
      </c>
      <c r="H47" t="s">
        <v>470</v>
      </c>
      <c r="I47" t="s">
        <v>471</v>
      </c>
      <c r="J47" t="s">
        <v>472</v>
      </c>
      <c r="K47" t="s">
        <v>34</v>
      </c>
      <c r="L47" t="s">
        <v>34</v>
      </c>
      <c r="M47" t="s">
        <v>207</v>
      </c>
      <c r="N47" t="s">
        <v>38</v>
      </c>
      <c r="O47" t="s">
        <v>39</v>
      </c>
      <c r="P47" t="s">
        <v>54</v>
      </c>
      <c r="Q47" t="s">
        <v>473</v>
      </c>
      <c r="R47" t="s">
        <v>474</v>
      </c>
      <c r="S47" t="s">
        <v>101</v>
      </c>
      <c r="T47" t="s">
        <v>44</v>
      </c>
      <c r="U47" t="s">
        <v>58</v>
      </c>
      <c r="V47">
        <v>25017</v>
      </c>
      <c r="W47">
        <v>1752</v>
      </c>
      <c r="X47">
        <v>42.352401343789609</v>
      </c>
      <c r="Y47">
        <v>-71.50969979018177</v>
      </c>
      <c r="Z47">
        <v>20104.52</v>
      </c>
      <c r="AA47">
        <v>1285292.19</v>
      </c>
      <c r="AB47">
        <v>11818</v>
      </c>
    </row>
    <row r="48" spans="1:28">
      <c r="A48" t="s">
        <v>475</v>
      </c>
      <c r="B48" s="1">
        <v>23551</v>
      </c>
      <c r="C48" s="1">
        <v>42045</v>
      </c>
      <c r="D48" t="s">
        <v>476</v>
      </c>
      <c r="E48" t="s">
        <v>477</v>
      </c>
      <c r="F48" t="s">
        <v>478</v>
      </c>
      <c r="G48" t="s">
        <v>32</v>
      </c>
      <c r="H48" t="s">
        <v>479</v>
      </c>
      <c r="I48" t="s">
        <v>480</v>
      </c>
      <c r="J48" t="s">
        <v>167</v>
      </c>
      <c r="K48" t="s">
        <v>34</v>
      </c>
      <c r="L48" t="s">
        <v>34</v>
      </c>
      <c r="M48" t="s">
        <v>40</v>
      </c>
      <c r="N48" t="s">
        <v>87</v>
      </c>
      <c r="O48" t="s">
        <v>39</v>
      </c>
      <c r="P48" t="s">
        <v>40</v>
      </c>
      <c r="Q48" t="s">
        <v>177</v>
      </c>
      <c r="R48" t="s">
        <v>481</v>
      </c>
      <c r="S48" t="s">
        <v>90</v>
      </c>
      <c r="T48" t="s">
        <v>44</v>
      </c>
      <c r="U48" t="s">
        <v>91</v>
      </c>
      <c r="V48">
        <v>25025</v>
      </c>
      <c r="W48">
        <v>2110</v>
      </c>
      <c r="X48">
        <v>42.385488108143541</v>
      </c>
      <c r="Y48">
        <v>-71.065723099511814</v>
      </c>
      <c r="Z48">
        <v>119934.15</v>
      </c>
      <c r="AA48">
        <v>71248.59</v>
      </c>
      <c r="AB48">
        <v>47024</v>
      </c>
    </row>
    <row r="49" spans="1:28">
      <c r="A49" t="s">
        <v>482</v>
      </c>
      <c r="B49" s="1">
        <v>15435</v>
      </c>
      <c r="C49" s="1"/>
      <c r="D49" t="s">
        <v>483</v>
      </c>
      <c r="E49" t="s">
        <v>484</v>
      </c>
      <c r="F49" t="s">
        <v>485</v>
      </c>
      <c r="G49" t="s">
        <v>32</v>
      </c>
      <c r="H49" t="s">
        <v>486</v>
      </c>
      <c r="I49" t="s">
        <v>487</v>
      </c>
      <c r="J49" t="s">
        <v>488</v>
      </c>
      <c r="K49" t="s">
        <v>34</v>
      </c>
      <c r="L49" t="s">
        <v>34</v>
      </c>
      <c r="M49" t="s">
        <v>40</v>
      </c>
      <c r="N49" t="s">
        <v>38</v>
      </c>
      <c r="O49" t="s">
        <v>39</v>
      </c>
      <c r="P49" t="s">
        <v>40</v>
      </c>
      <c r="Q49" t="s">
        <v>489</v>
      </c>
      <c r="R49" t="s">
        <v>490</v>
      </c>
      <c r="S49" t="s">
        <v>491</v>
      </c>
      <c r="T49" t="s">
        <v>44</v>
      </c>
      <c r="U49" t="s">
        <v>244</v>
      </c>
      <c r="W49">
        <v>0</v>
      </c>
      <c r="X49">
        <v>41.643800257933862</v>
      </c>
      <c r="Y49">
        <v>-70.85225370063651</v>
      </c>
      <c r="Z49">
        <v>15478.46</v>
      </c>
      <c r="AA49">
        <v>358533.21</v>
      </c>
      <c r="AB49">
        <v>20233</v>
      </c>
    </row>
    <row r="50" spans="1:28">
      <c r="A50" t="s">
        <v>492</v>
      </c>
      <c r="B50" s="1">
        <v>30963</v>
      </c>
      <c r="C50" s="1"/>
      <c r="D50" t="s">
        <v>493</v>
      </c>
      <c r="E50" t="s">
        <v>494</v>
      </c>
      <c r="F50" t="s">
        <v>495</v>
      </c>
      <c r="G50" t="s">
        <v>50</v>
      </c>
      <c r="H50" t="s">
        <v>496</v>
      </c>
      <c r="I50" t="s">
        <v>497</v>
      </c>
      <c r="J50" t="s">
        <v>498</v>
      </c>
      <c r="K50" t="s">
        <v>34</v>
      </c>
      <c r="L50" t="s">
        <v>34</v>
      </c>
      <c r="M50" t="s">
        <v>207</v>
      </c>
      <c r="N50" t="s">
        <v>38</v>
      </c>
      <c r="O50" t="s">
        <v>39</v>
      </c>
      <c r="P50" t="s">
        <v>54</v>
      </c>
      <c r="Q50" t="s">
        <v>298</v>
      </c>
      <c r="R50" t="s">
        <v>499</v>
      </c>
      <c r="S50" t="s">
        <v>101</v>
      </c>
      <c r="T50" t="s">
        <v>44</v>
      </c>
      <c r="U50" t="s">
        <v>58</v>
      </c>
      <c r="V50">
        <v>25017</v>
      </c>
      <c r="W50">
        <v>1752</v>
      </c>
      <c r="X50">
        <v>42.379306016058386</v>
      </c>
      <c r="Y50">
        <v>-71.517539078407864</v>
      </c>
      <c r="Z50">
        <v>15039.54</v>
      </c>
      <c r="AA50">
        <v>678516.65</v>
      </c>
      <c r="AB50">
        <v>11818</v>
      </c>
    </row>
    <row r="51" spans="1:28">
      <c r="A51" t="s">
        <v>500</v>
      </c>
      <c r="B51" s="1">
        <v>34762</v>
      </c>
      <c r="C51" s="1"/>
      <c r="D51" t="s">
        <v>501</v>
      </c>
      <c r="E51" t="s">
        <v>502</v>
      </c>
      <c r="F51" t="s">
        <v>503</v>
      </c>
      <c r="G51" t="s">
        <v>32</v>
      </c>
      <c r="H51" t="s">
        <v>504</v>
      </c>
      <c r="I51" t="s">
        <v>34</v>
      </c>
      <c r="J51" t="s">
        <v>505</v>
      </c>
      <c r="K51" t="s">
        <v>34</v>
      </c>
      <c r="L51" t="s">
        <v>34</v>
      </c>
      <c r="M51" t="s">
        <v>40</v>
      </c>
      <c r="N51" t="s">
        <v>38</v>
      </c>
      <c r="O51" t="s">
        <v>39</v>
      </c>
      <c r="P51" t="s">
        <v>40</v>
      </c>
      <c r="Q51" t="s">
        <v>506</v>
      </c>
      <c r="R51" t="s">
        <v>507</v>
      </c>
      <c r="S51" t="s">
        <v>508</v>
      </c>
      <c r="T51" t="s">
        <v>44</v>
      </c>
      <c r="U51" t="s">
        <v>509</v>
      </c>
      <c r="W51">
        <v>0</v>
      </c>
      <c r="X51">
        <v>41.325350772321634</v>
      </c>
      <c r="Y51">
        <v>-70.474775243782972</v>
      </c>
      <c r="Z51">
        <v>75125.8</v>
      </c>
      <c r="AA51">
        <v>16802.7</v>
      </c>
      <c r="AB51">
        <v>196301</v>
      </c>
    </row>
    <row r="52" spans="1:28">
      <c r="A52" t="s">
        <v>510</v>
      </c>
      <c r="B52" s="1">
        <v>23551</v>
      </c>
      <c r="C52" s="1"/>
      <c r="D52" t="s">
        <v>511</v>
      </c>
      <c r="E52" t="s">
        <v>512</v>
      </c>
      <c r="F52" t="s">
        <v>513</v>
      </c>
      <c r="G52" t="s">
        <v>32</v>
      </c>
      <c r="H52" t="s">
        <v>514</v>
      </c>
      <c r="I52" t="s">
        <v>515</v>
      </c>
      <c r="J52" t="s">
        <v>516</v>
      </c>
      <c r="K52" t="s">
        <v>34</v>
      </c>
      <c r="L52" t="s">
        <v>34</v>
      </c>
      <c r="M52" t="s">
        <v>40</v>
      </c>
      <c r="N52" t="s">
        <v>87</v>
      </c>
      <c r="O52" t="s">
        <v>39</v>
      </c>
      <c r="P52" t="s">
        <v>40</v>
      </c>
      <c r="Q52" t="s">
        <v>116</v>
      </c>
      <c r="R52" t="s">
        <v>517</v>
      </c>
      <c r="S52" t="s">
        <v>90</v>
      </c>
      <c r="T52" t="s">
        <v>44</v>
      </c>
      <c r="U52" t="s">
        <v>91</v>
      </c>
      <c r="V52">
        <v>25025</v>
      </c>
      <c r="W52">
        <v>2109</v>
      </c>
      <c r="X52">
        <v>42.370638253031828</v>
      </c>
      <c r="Y52">
        <v>-71.070195227696487</v>
      </c>
      <c r="Z52">
        <v>184208</v>
      </c>
      <c r="AA52">
        <v>9763.7000000000007</v>
      </c>
      <c r="AB52">
        <v>47024</v>
      </c>
    </row>
    <row r="53" spans="1:28">
      <c r="A53" t="s">
        <v>518</v>
      </c>
      <c r="B53" s="1">
        <v>38272</v>
      </c>
      <c r="C53" s="1"/>
      <c r="D53" t="s">
        <v>519</v>
      </c>
      <c r="E53" t="s">
        <v>520</v>
      </c>
      <c r="F53" t="s">
        <v>521</v>
      </c>
      <c r="G53" t="s">
        <v>50</v>
      </c>
      <c r="H53" t="s">
        <v>522</v>
      </c>
      <c r="I53" t="s">
        <v>523</v>
      </c>
      <c r="J53" t="s">
        <v>524</v>
      </c>
      <c r="K53" t="s">
        <v>34</v>
      </c>
      <c r="L53" t="s">
        <v>34</v>
      </c>
      <c r="M53" t="s">
        <v>34</v>
      </c>
      <c r="N53" t="s">
        <v>38</v>
      </c>
      <c r="O53" t="s">
        <v>185</v>
      </c>
      <c r="P53" t="s">
        <v>54</v>
      </c>
      <c r="Q53" t="s">
        <v>525</v>
      </c>
      <c r="R53" t="s">
        <v>526</v>
      </c>
      <c r="S53" t="s">
        <v>527</v>
      </c>
      <c r="T53" t="s">
        <v>44</v>
      </c>
      <c r="U53" t="s">
        <v>119</v>
      </c>
      <c r="V53">
        <v>25009</v>
      </c>
      <c r="W53">
        <v>1945</v>
      </c>
      <c r="X53">
        <v>42.53114276322011</v>
      </c>
      <c r="Y53">
        <v>-70.831732822177102</v>
      </c>
      <c r="Z53">
        <v>82459.710000000006</v>
      </c>
      <c r="AA53">
        <v>787335.78</v>
      </c>
      <c r="AB53">
        <v>212904</v>
      </c>
    </row>
    <row r="54" spans="1:28">
      <c r="A54" t="s">
        <v>528</v>
      </c>
      <c r="B54" s="1">
        <v>29498</v>
      </c>
      <c r="C54" s="1">
        <v>36076</v>
      </c>
      <c r="D54" t="s">
        <v>529</v>
      </c>
      <c r="E54" t="s">
        <v>530</v>
      </c>
      <c r="F54" t="s">
        <v>34</v>
      </c>
      <c r="G54" t="s">
        <v>32</v>
      </c>
      <c r="H54" t="s">
        <v>531</v>
      </c>
      <c r="I54" t="s">
        <v>532</v>
      </c>
      <c r="J54" t="s">
        <v>533</v>
      </c>
      <c r="K54" t="s">
        <v>34</v>
      </c>
      <c r="L54" t="s">
        <v>34</v>
      </c>
      <c r="M54" t="s">
        <v>34</v>
      </c>
      <c r="N54" t="s">
        <v>280</v>
      </c>
      <c r="O54" t="s">
        <v>39</v>
      </c>
      <c r="P54" t="s">
        <v>40</v>
      </c>
      <c r="Q54" t="s">
        <v>534</v>
      </c>
      <c r="R54" t="s">
        <v>535</v>
      </c>
      <c r="S54" t="s">
        <v>536</v>
      </c>
      <c r="T54" t="s">
        <v>44</v>
      </c>
      <c r="U54" t="s">
        <v>58</v>
      </c>
      <c r="V54">
        <v>25017</v>
      </c>
      <c r="W54">
        <v>1801</v>
      </c>
      <c r="X54">
        <v>42.569802304916983</v>
      </c>
      <c r="Y54">
        <v>-71.106788020939234</v>
      </c>
      <c r="Z54">
        <v>71824.460000000006</v>
      </c>
      <c r="AA54">
        <v>3981.39</v>
      </c>
      <c r="AB54">
        <v>123942</v>
      </c>
    </row>
    <row r="55" spans="1:28">
      <c r="A55" t="s">
        <v>537</v>
      </c>
      <c r="B55" s="1">
        <v>39880</v>
      </c>
      <c r="C55" s="1"/>
      <c r="D55" t="s">
        <v>538</v>
      </c>
      <c r="E55" t="s">
        <v>539</v>
      </c>
      <c r="F55" t="s">
        <v>34</v>
      </c>
      <c r="G55" t="s">
        <v>34</v>
      </c>
      <c r="H55" t="s">
        <v>540</v>
      </c>
      <c r="I55" t="s">
        <v>541</v>
      </c>
      <c r="J55" t="s">
        <v>240</v>
      </c>
      <c r="K55" t="s">
        <v>34</v>
      </c>
      <c r="L55" t="s">
        <v>34</v>
      </c>
      <c r="M55" t="s">
        <v>34</v>
      </c>
      <c r="N55" t="s">
        <v>38</v>
      </c>
      <c r="O55" t="s">
        <v>39</v>
      </c>
      <c r="P55" t="s">
        <v>54</v>
      </c>
      <c r="Q55" t="s">
        <v>106</v>
      </c>
      <c r="R55" t="s">
        <v>542</v>
      </c>
      <c r="S55" t="s">
        <v>543</v>
      </c>
      <c r="T55" t="s">
        <v>44</v>
      </c>
      <c r="U55" t="s">
        <v>58</v>
      </c>
      <c r="V55">
        <v>25017</v>
      </c>
      <c r="W55">
        <v>1890</v>
      </c>
      <c r="X55">
        <v>42.481335252208545</v>
      </c>
      <c r="Y55">
        <v>-71.166256014518112</v>
      </c>
      <c r="Z55">
        <v>12190.61</v>
      </c>
      <c r="AA55">
        <v>651393.84</v>
      </c>
      <c r="AB55">
        <v>77838</v>
      </c>
    </row>
    <row r="56" spans="1:28">
      <c r="A56" t="s">
        <v>544</v>
      </c>
      <c r="B56" s="1">
        <v>41133</v>
      </c>
      <c r="C56" s="1"/>
      <c r="D56" t="s">
        <v>545</v>
      </c>
      <c r="E56" t="s">
        <v>34</v>
      </c>
      <c r="F56" t="s">
        <v>34</v>
      </c>
      <c r="G56" t="s">
        <v>34</v>
      </c>
      <c r="H56" t="s">
        <v>546</v>
      </c>
      <c r="I56" t="s">
        <v>547</v>
      </c>
      <c r="J56" t="s">
        <v>548</v>
      </c>
      <c r="K56" t="s">
        <v>34</v>
      </c>
      <c r="L56" t="s">
        <v>34</v>
      </c>
      <c r="M56" t="s">
        <v>34</v>
      </c>
      <c r="N56" t="s">
        <v>38</v>
      </c>
      <c r="O56" t="s">
        <v>185</v>
      </c>
      <c r="P56" t="s">
        <v>40</v>
      </c>
      <c r="Q56" t="s">
        <v>68</v>
      </c>
      <c r="R56" t="s">
        <v>549</v>
      </c>
      <c r="S56" t="s">
        <v>550</v>
      </c>
      <c r="T56" t="s">
        <v>44</v>
      </c>
      <c r="U56" t="s">
        <v>45</v>
      </c>
      <c r="V56">
        <v>25027</v>
      </c>
      <c r="W56">
        <v>1440</v>
      </c>
      <c r="X56">
        <v>42.5414783743513</v>
      </c>
      <c r="Y56">
        <v>-71.988752362918561</v>
      </c>
      <c r="Z56">
        <v>18525.86</v>
      </c>
      <c r="AA56">
        <v>17038.73</v>
      </c>
      <c r="AB56">
        <v>74737</v>
      </c>
    </row>
    <row r="57" spans="1:28">
      <c r="A57" t="s">
        <v>551</v>
      </c>
      <c r="B57" s="1">
        <v>39261</v>
      </c>
      <c r="C57" s="1"/>
      <c r="D57" t="s">
        <v>552</v>
      </c>
      <c r="E57" t="s">
        <v>553</v>
      </c>
      <c r="F57" t="s">
        <v>34</v>
      </c>
      <c r="G57" t="s">
        <v>50</v>
      </c>
      <c r="H57" t="s">
        <v>554</v>
      </c>
      <c r="I57" t="s">
        <v>555</v>
      </c>
      <c r="J57" t="s">
        <v>556</v>
      </c>
      <c r="K57" t="s">
        <v>34</v>
      </c>
      <c r="L57" t="s">
        <v>34</v>
      </c>
      <c r="M57" t="s">
        <v>34</v>
      </c>
      <c r="N57" t="s">
        <v>38</v>
      </c>
      <c r="O57" t="s">
        <v>39</v>
      </c>
      <c r="P57" t="s">
        <v>54</v>
      </c>
      <c r="Q57" t="s">
        <v>557</v>
      </c>
      <c r="R57" t="s">
        <v>558</v>
      </c>
      <c r="S57" t="s">
        <v>559</v>
      </c>
      <c r="T57" t="s">
        <v>44</v>
      </c>
      <c r="U57" t="s">
        <v>80</v>
      </c>
      <c r="W57">
        <v>0</v>
      </c>
      <c r="X57">
        <v>42.020754549723847</v>
      </c>
      <c r="Y57">
        <v>-71.149831353573006</v>
      </c>
      <c r="Z57">
        <v>47722.45</v>
      </c>
      <c r="AA57">
        <v>0</v>
      </c>
      <c r="AB57">
        <v>48180</v>
      </c>
    </row>
    <row r="58" spans="1:28">
      <c r="A58" t="s">
        <v>560</v>
      </c>
      <c r="B58" s="1">
        <v>36471</v>
      </c>
      <c r="C58" s="1"/>
      <c r="D58" t="s">
        <v>561</v>
      </c>
      <c r="E58" t="s">
        <v>562</v>
      </c>
      <c r="F58" t="s">
        <v>563</v>
      </c>
      <c r="G58" t="s">
        <v>50</v>
      </c>
      <c r="H58" t="s">
        <v>564</v>
      </c>
      <c r="I58" t="s">
        <v>34</v>
      </c>
      <c r="J58" t="s">
        <v>375</v>
      </c>
      <c r="K58" t="s">
        <v>34</v>
      </c>
      <c r="L58" t="s">
        <v>34</v>
      </c>
      <c r="M58" t="s">
        <v>34</v>
      </c>
      <c r="N58" t="s">
        <v>87</v>
      </c>
      <c r="O58" t="s">
        <v>39</v>
      </c>
      <c r="P58" t="s">
        <v>54</v>
      </c>
      <c r="Q58" t="s">
        <v>565</v>
      </c>
      <c r="R58" t="s">
        <v>566</v>
      </c>
      <c r="S58" t="s">
        <v>567</v>
      </c>
      <c r="T58" t="s">
        <v>44</v>
      </c>
      <c r="U58" t="s">
        <v>58</v>
      </c>
      <c r="W58">
        <v>0</v>
      </c>
      <c r="X58">
        <v>42.435103450429658</v>
      </c>
      <c r="Y58">
        <v>-71.433374420690598</v>
      </c>
      <c r="Z58">
        <v>15890.71</v>
      </c>
      <c r="AA58">
        <v>1002306.68</v>
      </c>
      <c r="AB58">
        <v>1604</v>
      </c>
    </row>
    <row r="59" spans="1:28">
      <c r="A59" t="s">
        <v>568</v>
      </c>
      <c r="B59" s="1">
        <v>29498</v>
      </c>
      <c r="C59" s="1">
        <v>42271</v>
      </c>
      <c r="D59" t="s">
        <v>569</v>
      </c>
      <c r="E59" t="s">
        <v>570</v>
      </c>
      <c r="F59" t="s">
        <v>571</v>
      </c>
      <c r="G59" t="s">
        <v>32</v>
      </c>
      <c r="H59" t="s">
        <v>572</v>
      </c>
      <c r="I59" t="s">
        <v>573</v>
      </c>
      <c r="J59" t="s">
        <v>574</v>
      </c>
      <c r="K59" t="s">
        <v>34</v>
      </c>
      <c r="L59" t="s">
        <v>34</v>
      </c>
      <c r="M59" t="s">
        <v>40</v>
      </c>
      <c r="N59" t="s">
        <v>280</v>
      </c>
      <c r="O59" t="s">
        <v>39</v>
      </c>
      <c r="P59" t="s">
        <v>40</v>
      </c>
      <c r="Q59" t="s">
        <v>575</v>
      </c>
      <c r="R59" t="s">
        <v>576</v>
      </c>
      <c r="S59" t="s">
        <v>536</v>
      </c>
      <c r="T59" t="s">
        <v>44</v>
      </c>
      <c r="U59" t="s">
        <v>58</v>
      </c>
      <c r="V59">
        <v>25017</v>
      </c>
      <c r="W59">
        <v>1801</v>
      </c>
      <c r="X59">
        <v>42.570383386808196</v>
      </c>
      <c r="Y59">
        <v>-71.109225039985517</v>
      </c>
      <c r="Z59">
        <v>112830.51</v>
      </c>
      <c r="AA59">
        <v>88507.13</v>
      </c>
      <c r="AB59">
        <v>123942</v>
      </c>
    </row>
    <row r="60" spans="1:28">
      <c r="A60" t="s">
        <v>577</v>
      </c>
      <c r="B60" s="1">
        <v>41644</v>
      </c>
      <c r="C60" s="1"/>
      <c r="D60" t="s">
        <v>578</v>
      </c>
      <c r="E60" t="s">
        <v>34</v>
      </c>
      <c r="F60" t="s">
        <v>34</v>
      </c>
      <c r="G60" t="s">
        <v>34</v>
      </c>
      <c r="H60" t="s">
        <v>579</v>
      </c>
      <c r="I60" t="s">
        <v>580</v>
      </c>
      <c r="J60" t="s">
        <v>581</v>
      </c>
      <c r="K60" t="s">
        <v>34</v>
      </c>
      <c r="L60" t="s">
        <v>34</v>
      </c>
      <c r="M60" t="s">
        <v>34</v>
      </c>
      <c r="N60" t="s">
        <v>38</v>
      </c>
      <c r="O60" t="s">
        <v>39</v>
      </c>
      <c r="P60" t="s">
        <v>54</v>
      </c>
      <c r="Q60" t="s">
        <v>582</v>
      </c>
      <c r="R60" t="s">
        <v>583</v>
      </c>
      <c r="S60" t="s">
        <v>584</v>
      </c>
      <c r="T60" t="s">
        <v>44</v>
      </c>
      <c r="U60" t="s">
        <v>71</v>
      </c>
      <c r="W60">
        <v>0</v>
      </c>
      <c r="X60">
        <v>42.142812989170999</v>
      </c>
      <c r="Y60">
        <v>-71.09743800178012</v>
      </c>
      <c r="Z60">
        <v>33205.26</v>
      </c>
      <c r="AA60">
        <v>8625</v>
      </c>
      <c r="AB60">
        <v>38305</v>
      </c>
    </row>
    <row r="61" spans="1:28">
      <c r="A61" t="s">
        <v>585</v>
      </c>
      <c r="B61" s="1">
        <v>27689</v>
      </c>
      <c r="C61" s="1"/>
      <c r="D61" t="s">
        <v>586</v>
      </c>
      <c r="E61" t="s">
        <v>587</v>
      </c>
      <c r="F61" t="s">
        <v>588</v>
      </c>
      <c r="G61" t="s">
        <v>32</v>
      </c>
      <c r="H61" t="s">
        <v>589</v>
      </c>
      <c r="I61" t="s">
        <v>590</v>
      </c>
      <c r="J61" t="s">
        <v>591</v>
      </c>
      <c r="K61" t="s">
        <v>34</v>
      </c>
      <c r="L61" t="s">
        <v>34</v>
      </c>
      <c r="M61" t="s">
        <v>40</v>
      </c>
      <c r="N61" t="s">
        <v>38</v>
      </c>
      <c r="O61" t="s">
        <v>39</v>
      </c>
      <c r="P61" t="s">
        <v>40</v>
      </c>
      <c r="Q61" t="s">
        <v>592</v>
      </c>
      <c r="R61" t="s">
        <v>593</v>
      </c>
      <c r="S61" t="s">
        <v>118</v>
      </c>
      <c r="T61" t="s">
        <v>44</v>
      </c>
      <c r="U61" t="s">
        <v>119</v>
      </c>
      <c r="V61">
        <v>25009</v>
      </c>
      <c r="W61">
        <v>1940</v>
      </c>
      <c r="X61">
        <v>42.515687529906614</v>
      </c>
      <c r="Y61">
        <v>-70.888954636082715</v>
      </c>
      <c r="Z61">
        <v>767951.91</v>
      </c>
      <c r="AA61">
        <v>506201.65</v>
      </c>
      <c r="AB61">
        <v>41102</v>
      </c>
    </row>
    <row r="62" spans="1:28">
      <c r="A62" t="s">
        <v>594</v>
      </c>
      <c r="B62" s="1">
        <v>29498</v>
      </c>
      <c r="C62" s="1"/>
      <c r="D62" t="s">
        <v>595</v>
      </c>
      <c r="E62" t="s">
        <v>596</v>
      </c>
      <c r="F62" t="s">
        <v>597</v>
      </c>
      <c r="G62" t="s">
        <v>32</v>
      </c>
      <c r="H62" t="s">
        <v>598</v>
      </c>
      <c r="I62" t="s">
        <v>599</v>
      </c>
      <c r="J62" t="s">
        <v>600</v>
      </c>
      <c r="K62" t="s">
        <v>34</v>
      </c>
      <c r="L62" t="s">
        <v>34</v>
      </c>
      <c r="M62" t="s">
        <v>40</v>
      </c>
      <c r="N62" t="s">
        <v>280</v>
      </c>
      <c r="O62" t="s">
        <v>39</v>
      </c>
      <c r="P62" t="s">
        <v>40</v>
      </c>
      <c r="Q62" t="s">
        <v>601</v>
      </c>
      <c r="R62" t="s">
        <v>602</v>
      </c>
      <c r="S62" t="s">
        <v>536</v>
      </c>
      <c r="T62" t="s">
        <v>44</v>
      </c>
      <c r="U62" t="s">
        <v>58</v>
      </c>
      <c r="V62">
        <v>25017</v>
      </c>
      <c r="W62">
        <v>1801</v>
      </c>
      <c r="X62">
        <v>42.567071779367431</v>
      </c>
      <c r="Y62">
        <v>-71.087509483255644</v>
      </c>
      <c r="Z62">
        <v>138390.68</v>
      </c>
      <c r="AA62">
        <v>36616.1</v>
      </c>
      <c r="AB62">
        <v>123942</v>
      </c>
    </row>
    <row r="63" spans="1:28">
      <c r="A63" t="s">
        <v>603</v>
      </c>
      <c r="B63" s="1">
        <v>23429</v>
      </c>
      <c r="C63" s="1"/>
      <c r="D63" t="s">
        <v>604</v>
      </c>
      <c r="E63" t="s">
        <v>605</v>
      </c>
      <c r="F63" t="s">
        <v>606</v>
      </c>
      <c r="G63" t="s">
        <v>32</v>
      </c>
      <c r="H63" t="s">
        <v>607</v>
      </c>
      <c r="I63" t="s">
        <v>608</v>
      </c>
      <c r="J63" t="s">
        <v>609</v>
      </c>
      <c r="K63" t="s">
        <v>34</v>
      </c>
      <c r="L63" t="s">
        <v>34</v>
      </c>
      <c r="M63" t="s">
        <v>40</v>
      </c>
      <c r="N63" t="s">
        <v>38</v>
      </c>
      <c r="O63" t="s">
        <v>39</v>
      </c>
      <c r="P63" t="s">
        <v>40</v>
      </c>
      <c r="Q63" t="s">
        <v>88</v>
      </c>
      <c r="R63" t="s">
        <v>610</v>
      </c>
      <c r="S63" t="s">
        <v>611</v>
      </c>
      <c r="T63" t="s">
        <v>44</v>
      </c>
      <c r="U63" t="s">
        <v>80</v>
      </c>
      <c r="W63">
        <v>0</v>
      </c>
      <c r="X63">
        <v>41.956242990019646</v>
      </c>
      <c r="Y63">
        <v>-71.137088009020403</v>
      </c>
      <c r="Z63">
        <v>167464.26</v>
      </c>
      <c r="AA63">
        <v>56693.75</v>
      </c>
      <c r="AB63">
        <v>137307</v>
      </c>
    </row>
    <row r="64" spans="1:28">
      <c r="A64" t="s">
        <v>612</v>
      </c>
      <c r="B64" s="1">
        <v>43741</v>
      </c>
      <c r="C64" s="1"/>
      <c r="D64" t="s">
        <v>613</v>
      </c>
      <c r="E64" t="s">
        <v>34</v>
      </c>
      <c r="F64" t="s">
        <v>34</v>
      </c>
      <c r="G64" t="s">
        <v>34</v>
      </c>
      <c r="H64" t="s">
        <v>614</v>
      </c>
      <c r="I64" t="s">
        <v>34</v>
      </c>
      <c r="J64" t="s">
        <v>615</v>
      </c>
      <c r="K64" t="s">
        <v>34</v>
      </c>
      <c r="L64" t="s">
        <v>34</v>
      </c>
      <c r="M64" t="s">
        <v>34</v>
      </c>
      <c r="N64" t="s">
        <v>280</v>
      </c>
      <c r="O64" t="s">
        <v>39</v>
      </c>
      <c r="P64" t="s">
        <v>54</v>
      </c>
      <c r="Q64" t="s">
        <v>616</v>
      </c>
      <c r="R64" t="s">
        <v>617</v>
      </c>
      <c r="S64" t="s">
        <v>584</v>
      </c>
      <c r="T64" t="s">
        <v>44</v>
      </c>
      <c r="U64" t="s">
        <v>71</v>
      </c>
      <c r="W64">
        <v>0</v>
      </c>
      <c r="X64">
        <v>42.115423366340657</v>
      </c>
      <c r="Y64">
        <v>-71.095997211847163</v>
      </c>
      <c r="Z64">
        <v>22686.880000000001</v>
      </c>
      <c r="AA64">
        <v>654.79999999999995</v>
      </c>
      <c r="AB64">
        <v>194118</v>
      </c>
    </row>
    <row r="65" spans="1:28">
      <c r="A65" t="s">
        <v>618</v>
      </c>
      <c r="B65" s="1">
        <v>42819</v>
      </c>
      <c r="C65" s="1"/>
      <c r="D65" t="s">
        <v>619</v>
      </c>
      <c r="E65" t="s">
        <v>34</v>
      </c>
      <c r="F65" t="s">
        <v>34</v>
      </c>
      <c r="G65" t="s">
        <v>34</v>
      </c>
      <c r="H65" t="s">
        <v>620</v>
      </c>
      <c r="I65" t="s">
        <v>621</v>
      </c>
      <c r="J65" t="s">
        <v>622</v>
      </c>
      <c r="K65" t="s">
        <v>34</v>
      </c>
      <c r="L65" t="s">
        <v>34</v>
      </c>
      <c r="M65" t="s">
        <v>34</v>
      </c>
      <c r="N65" t="s">
        <v>38</v>
      </c>
      <c r="O65" t="s">
        <v>39</v>
      </c>
      <c r="P65" t="s">
        <v>40</v>
      </c>
      <c r="Q65" t="s">
        <v>623</v>
      </c>
      <c r="R65" t="s">
        <v>624</v>
      </c>
      <c r="S65" t="s">
        <v>625</v>
      </c>
      <c r="T65" t="s">
        <v>44</v>
      </c>
      <c r="U65" t="s">
        <v>189</v>
      </c>
      <c r="V65">
        <v>25013</v>
      </c>
      <c r="W65">
        <v>1040</v>
      </c>
      <c r="X65">
        <v>42.173033119242142</v>
      </c>
      <c r="Y65">
        <v>-72.678466501184204</v>
      </c>
      <c r="Z65">
        <v>23281.59</v>
      </c>
      <c r="AA65">
        <v>1639.64</v>
      </c>
      <c r="AB65">
        <v>60009</v>
      </c>
    </row>
    <row r="66" spans="1:28">
      <c r="A66" t="s">
        <v>626</v>
      </c>
      <c r="B66" s="1">
        <v>38991</v>
      </c>
      <c r="C66" s="1"/>
      <c r="D66" t="s">
        <v>627</v>
      </c>
      <c r="E66" t="s">
        <v>628</v>
      </c>
      <c r="F66" t="s">
        <v>34</v>
      </c>
      <c r="G66" t="s">
        <v>50</v>
      </c>
      <c r="H66" t="s">
        <v>629</v>
      </c>
      <c r="I66" t="s">
        <v>630</v>
      </c>
      <c r="J66" t="s">
        <v>206</v>
      </c>
      <c r="K66" t="s">
        <v>34</v>
      </c>
      <c r="L66" t="s">
        <v>34</v>
      </c>
      <c r="M66" t="s">
        <v>34</v>
      </c>
      <c r="N66" t="s">
        <v>38</v>
      </c>
      <c r="O66" t="s">
        <v>39</v>
      </c>
      <c r="P66" t="s">
        <v>54</v>
      </c>
      <c r="Q66" t="s">
        <v>68</v>
      </c>
      <c r="R66" t="s">
        <v>631</v>
      </c>
      <c r="S66" t="s">
        <v>320</v>
      </c>
      <c r="T66" t="s">
        <v>44</v>
      </c>
      <c r="U66" t="s">
        <v>45</v>
      </c>
      <c r="V66">
        <v>25027</v>
      </c>
      <c r="W66">
        <v>1570</v>
      </c>
      <c r="X66">
        <v>42.035571426254585</v>
      </c>
      <c r="Y66">
        <v>-71.873058216537629</v>
      </c>
      <c r="Z66">
        <v>7700</v>
      </c>
      <c r="AA66">
        <v>91238.31</v>
      </c>
      <c r="AB66">
        <v>22590</v>
      </c>
    </row>
    <row r="67" spans="1:28">
      <c r="A67" t="s">
        <v>632</v>
      </c>
      <c r="B67" s="1">
        <v>32526</v>
      </c>
      <c r="C67" s="1"/>
      <c r="D67" t="s">
        <v>633</v>
      </c>
      <c r="E67" t="s">
        <v>634</v>
      </c>
      <c r="F67" t="s">
        <v>635</v>
      </c>
      <c r="G67" t="s">
        <v>63</v>
      </c>
      <c r="H67" t="s">
        <v>636</v>
      </c>
      <c r="I67" t="s">
        <v>637</v>
      </c>
      <c r="J67" t="s">
        <v>262</v>
      </c>
      <c r="K67" t="s">
        <v>34</v>
      </c>
      <c r="L67" t="s">
        <v>638</v>
      </c>
      <c r="M67" t="s">
        <v>40</v>
      </c>
      <c r="N67" t="s">
        <v>38</v>
      </c>
      <c r="O67" t="s">
        <v>185</v>
      </c>
      <c r="P67" t="s">
        <v>54</v>
      </c>
      <c r="Q67" t="s">
        <v>116</v>
      </c>
      <c r="R67" t="s">
        <v>639</v>
      </c>
      <c r="S67" t="s">
        <v>640</v>
      </c>
      <c r="T67" t="s">
        <v>44</v>
      </c>
      <c r="U67" t="s">
        <v>509</v>
      </c>
      <c r="W67">
        <v>0</v>
      </c>
      <c r="X67">
        <v>41.478779021825588</v>
      </c>
      <c r="Y67">
        <v>-70.585779013432997</v>
      </c>
      <c r="Z67">
        <v>210301.61</v>
      </c>
      <c r="AA67">
        <v>618117.55000000005</v>
      </c>
      <c r="AB67">
        <v>109885</v>
      </c>
    </row>
    <row r="68" spans="1:28">
      <c r="A68" t="s">
        <v>641</v>
      </c>
      <c r="B68" s="1">
        <v>38349</v>
      </c>
      <c r="C68" s="1"/>
      <c r="D68" t="s">
        <v>642</v>
      </c>
      <c r="E68" t="s">
        <v>643</v>
      </c>
      <c r="F68" t="s">
        <v>644</v>
      </c>
      <c r="G68" t="s">
        <v>32</v>
      </c>
      <c r="H68" t="s">
        <v>645</v>
      </c>
      <c r="I68" t="s">
        <v>194</v>
      </c>
      <c r="J68" t="s">
        <v>646</v>
      </c>
      <c r="K68" t="s">
        <v>34</v>
      </c>
      <c r="L68" t="s">
        <v>34</v>
      </c>
      <c r="M68" t="s">
        <v>34</v>
      </c>
      <c r="N68" t="s">
        <v>280</v>
      </c>
      <c r="O68" t="s">
        <v>39</v>
      </c>
      <c r="P68" t="s">
        <v>40</v>
      </c>
      <c r="Q68" t="s">
        <v>647</v>
      </c>
      <c r="R68" t="s">
        <v>648</v>
      </c>
      <c r="S68" t="s">
        <v>649</v>
      </c>
      <c r="T68" t="s">
        <v>44</v>
      </c>
      <c r="U68" t="s">
        <v>71</v>
      </c>
      <c r="W68">
        <v>0</v>
      </c>
      <c r="X68">
        <v>42.181839927897904</v>
      </c>
      <c r="Y68">
        <v>-71.174485386580926</v>
      </c>
      <c r="Z68">
        <v>7783.76</v>
      </c>
      <c r="AA68">
        <v>628258.97</v>
      </c>
      <c r="AB68">
        <v>17074</v>
      </c>
    </row>
    <row r="69" spans="1:28">
      <c r="A69" t="s">
        <v>650</v>
      </c>
      <c r="B69" s="1">
        <v>11268</v>
      </c>
      <c r="C69" s="1"/>
      <c r="D69" t="s">
        <v>651</v>
      </c>
      <c r="E69" t="s">
        <v>652</v>
      </c>
      <c r="F69" t="s">
        <v>653</v>
      </c>
      <c r="G69" t="s">
        <v>32</v>
      </c>
      <c r="H69" t="s">
        <v>654</v>
      </c>
      <c r="I69" t="s">
        <v>34</v>
      </c>
      <c r="J69" t="s">
        <v>655</v>
      </c>
      <c r="K69" t="s">
        <v>34</v>
      </c>
      <c r="L69" t="s">
        <v>34</v>
      </c>
      <c r="M69" t="s">
        <v>356</v>
      </c>
      <c r="N69" t="s">
        <v>38</v>
      </c>
      <c r="O69" t="s">
        <v>39</v>
      </c>
      <c r="P69" t="s">
        <v>40</v>
      </c>
      <c r="Q69" t="s">
        <v>656</v>
      </c>
      <c r="R69" t="s">
        <v>657</v>
      </c>
      <c r="S69" t="s">
        <v>658</v>
      </c>
      <c r="T69" t="s">
        <v>44</v>
      </c>
      <c r="U69" t="s">
        <v>58</v>
      </c>
      <c r="V69">
        <v>25017</v>
      </c>
      <c r="W69">
        <v>2478</v>
      </c>
      <c r="X69">
        <v>42.34762397067977</v>
      </c>
      <c r="Y69">
        <v>-71.095215176420467</v>
      </c>
      <c r="Z69">
        <v>132002.26</v>
      </c>
      <c r="AA69">
        <v>589286.03</v>
      </c>
      <c r="AB69">
        <v>884375</v>
      </c>
    </row>
    <row r="70" spans="1:28">
      <c r="A70" t="s">
        <v>659</v>
      </c>
      <c r="B70" s="1">
        <v>29233</v>
      </c>
      <c r="C70" s="1"/>
      <c r="D70" t="s">
        <v>660</v>
      </c>
      <c r="E70" t="s">
        <v>661</v>
      </c>
      <c r="F70" t="s">
        <v>662</v>
      </c>
      <c r="G70" t="s">
        <v>32</v>
      </c>
      <c r="H70" t="s">
        <v>663</v>
      </c>
      <c r="I70" t="s">
        <v>664</v>
      </c>
      <c r="J70" t="s">
        <v>665</v>
      </c>
      <c r="K70" t="s">
        <v>34</v>
      </c>
      <c r="L70" t="s">
        <v>34</v>
      </c>
      <c r="M70" t="s">
        <v>40</v>
      </c>
      <c r="N70" t="s">
        <v>38</v>
      </c>
      <c r="O70" t="s">
        <v>39</v>
      </c>
      <c r="P70" t="s">
        <v>40</v>
      </c>
      <c r="Q70" t="s">
        <v>666</v>
      </c>
      <c r="R70" t="s">
        <v>667</v>
      </c>
      <c r="S70" t="s">
        <v>668</v>
      </c>
      <c r="T70" t="s">
        <v>44</v>
      </c>
      <c r="U70" t="s">
        <v>189</v>
      </c>
      <c r="V70">
        <v>25013</v>
      </c>
      <c r="W70">
        <v>1105</v>
      </c>
      <c r="X70">
        <v>42.1548542944603</v>
      </c>
      <c r="Y70">
        <v>-72.556552912326936</v>
      </c>
      <c r="Z70">
        <v>110458.16</v>
      </c>
      <c r="AA70">
        <v>69276.289999999994</v>
      </c>
      <c r="AB70">
        <v>62019</v>
      </c>
    </row>
    <row r="71" spans="1:28">
      <c r="A71" t="s">
        <v>669</v>
      </c>
      <c r="B71" s="1">
        <v>37205</v>
      </c>
      <c r="C71" s="1"/>
      <c r="D71" t="s">
        <v>670</v>
      </c>
      <c r="E71" t="s">
        <v>671</v>
      </c>
      <c r="F71" t="s">
        <v>672</v>
      </c>
      <c r="G71" t="s">
        <v>50</v>
      </c>
      <c r="H71" t="s">
        <v>673</v>
      </c>
      <c r="I71" t="s">
        <v>34</v>
      </c>
      <c r="J71" t="s">
        <v>114</v>
      </c>
      <c r="K71" t="s">
        <v>34</v>
      </c>
      <c r="L71" t="s">
        <v>34</v>
      </c>
      <c r="M71" t="s">
        <v>34</v>
      </c>
      <c r="N71" t="s">
        <v>280</v>
      </c>
      <c r="O71" t="s">
        <v>39</v>
      </c>
      <c r="P71" t="s">
        <v>54</v>
      </c>
      <c r="Q71" t="s">
        <v>674</v>
      </c>
      <c r="R71" t="s">
        <v>675</v>
      </c>
      <c r="S71" t="s">
        <v>90</v>
      </c>
      <c r="T71" t="s">
        <v>44</v>
      </c>
      <c r="U71" t="s">
        <v>91</v>
      </c>
      <c r="V71">
        <v>25025</v>
      </c>
      <c r="W71">
        <v>2126</v>
      </c>
      <c r="X71">
        <v>42.329932389356927</v>
      </c>
      <c r="Y71">
        <v>-71.11335785376184</v>
      </c>
      <c r="Z71">
        <v>6493.33</v>
      </c>
      <c r="AA71">
        <v>297865.65999999997</v>
      </c>
      <c r="AB71">
        <v>933</v>
      </c>
    </row>
    <row r="72" spans="1:28">
      <c r="A72" t="s">
        <v>676</v>
      </c>
      <c r="B72" s="1">
        <v>25435</v>
      </c>
      <c r="C72" s="1"/>
      <c r="D72" t="s">
        <v>677</v>
      </c>
      <c r="E72" t="s">
        <v>678</v>
      </c>
      <c r="F72" t="s">
        <v>679</v>
      </c>
      <c r="G72" t="s">
        <v>32</v>
      </c>
      <c r="H72" t="s">
        <v>680</v>
      </c>
      <c r="I72" t="s">
        <v>34</v>
      </c>
      <c r="J72" t="s">
        <v>681</v>
      </c>
      <c r="K72" t="s">
        <v>34</v>
      </c>
      <c r="L72" t="s">
        <v>34</v>
      </c>
      <c r="M72" t="s">
        <v>40</v>
      </c>
      <c r="N72" t="s">
        <v>87</v>
      </c>
      <c r="O72" t="s">
        <v>39</v>
      </c>
      <c r="P72" t="s">
        <v>40</v>
      </c>
      <c r="Q72" t="s">
        <v>557</v>
      </c>
      <c r="R72" t="s">
        <v>682</v>
      </c>
      <c r="S72" t="s">
        <v>129</v>
      </c>
      <c r="T72" t="s">
        <v>44</v>
      </c>
      <c r="U72" t="s">
        <v>58</v>
      </c>
      <c r="V72">
        <v>25017</v>
      </c>
      <c r="W72">
        <v>2460</v>
      </c>
      <c r="X72">
        <v>42.366501673253545</v>
      </c>
      <c r="Y72">
        <v>-71.208927369055033</v>
      </c>
      <c r="Z72">
        <v>85944.73</v>
      </c>
      <c r="AA72">
        <v>92561.61</v>
      </c>
      <c r="AB72">
        <v>193222</v>
      </c>
    </row>
    <row r="73" spans="1:28">
      <c r="A73" t="s">
        <v>683</v>
      </c>
      <c r="B73" s="1">
        <v>22633</v>
      </c>
      <c r="C73" s="1"/>
      <c r="D73" t="s">
        <v>684</v>
      </c>
      <c r="E73" t="s">
        <v>685</v>
      </c>
      <c r="F73" t="s">
        <v>686</v>
      </c>
      <c r="G73" t="s">
        <v>32</v>
      </c>
      <c r="H73" t="s">
        <v>687</v>
      </c>
      <c r="I73" t="s">
        <v>532</v>
      </c>
      <c r="J73" t="s">
        <v>688</v>
      </c>
      <c r="K73" t="s">
        <v>34</v>
      </c>
      <c r="L73" t="s">
        <v>34</v>
      </c>
      <c r="M73" t="s">
        <v>40</v>
      </c>
      <c r="N73" t="s">
        <v>38</v>
      </c>
      <c r="O73" t="s">
        <v>39</v>
      </c>
      <c r="P73" t="s">
        <v>40</v>
      </c>
      <c r="Q73" t="s">
        <v>582</v>
      </c>
      <c r="R73" t="s">
        <v>689</v>
      </c>
      <c r="S73" t="s">
        <v>108</v>
      </c>
      <c r="T73" t="s">
        <v>44</v>
      </c>
      <c r="U73" t="s">
        <v>58</v>
      </c>
      <c r="W73">
        <v>0</v>
      </c>
      <c r="X73">
        <v>42.382837671539839</v>
      </c>
      <c r="Y73">
        <v>-71.469043378520695</v>
      </c>
      <c r="Z73">
        <v>412854.29</v>
      </c>
      <c r="AA73">
        <v>314948.69</v>
      </c>
      <c r="AB73">
        <v>96281</v>
      </c>
    </row>
    <row r="74" spans="1:28">
      <c r="A74" t="s">
        <v>690</v>
      </c>
      <c r="B74" s="1">
        <v>25980</v>
      </c>
      <c r="C74" s="1"/>
      <c r="D74" t="s">
        <v>691</v>
      </c>
      <c r="E74" t="s">
        <v>692</v>
      </c>
      <c r="F74" t="s">
        <v>693</v>
      </c>
      <c r="G74" t="s">
        <v>32</v>
      </c>
      <c r="H74" t="s">
        <v>694</v>
      </c>
      <c r="I74" t="s">
        <v>695</v>
      </c>
      <c r="J74" t="s">
        <v>696</v>
      </c>
      <c r="K74" t="s">
        <v>34</v>
      </c>
      <c r="L74" t="s">
        <v>34</v>
      </c>
      <c r="M74" t="s">
        <v>37</v>
      </c>
      <c r="N74" t="s">
        <v>38</v>
      </c>
      <c r="O74" t="s">
        <v>39</v>
      </c>
      <c r="P74" t="s">
        <v>40</v>
      </c>
      <c r="Q74" t="s">
        <v>697</v>
      </c>
      <c r="R74" t="s">
        <v>698</v>
      </c>
      <c r="S74" t="s">
        <v>699</v>
      </c>
      <c r="T74" t="s">
        <v>44</v>
      </c>
      <c r="U74" t="s">
        <v>71</v>
      </c>
      <c r="V74">
        <v>25021</v>
      </c>
      <c r="W74">
        <v>2492</v>
      </c>
      <c r="X74">
        <v>42.319474482298112</v>
      </c>
      <c r="Y74">
        <v>-71.211668902226364</v>
      </c>
      <c r="Z74">
        <v>152500.94</v>
      </c>
      <c r="AA74">
        <v>63151.72</v>
      </c>
      <c r="AB74">
        <v>50081</v>
      </c>
    </row>
    <row r="75" spans="1:28">
      <c r="A75" t="s">
        <v>700</v>
      </c>
      <c r="B75" s="1">
        <v>29594</v>
      </c>
      <c r="C75" s="1">
        <v>43366</v>
      </c>
      <c r="D75" t="s">
        <v>701</v>
      </c>
      <c r="E75" t="s">
        <v>702</v>
      </c>
      <c r="F75" t="s">
        <v>703</v>
      </c>
      <c r="G75" t="s">
        <v>32</v>
      </c>
      <c r="H75" t="s">
        <v>704</v>
      </c>
      <c r="I75" t="s">
        <v>705</v>
      </c>
      <c r="J75" t="s">
        <v>706</v>
      </c>
      <c r="K75" t="s">
        <v>34</v>
      </c>
      <c r="L75" t="s">
        <v>34</v>
      </c>
      <c r="M75" t="s">
        <v>40</v>
      </c>
      <c r="N75" t="s">
        <v>38</v>
      </c>
      <c r="O75" t="s">
        <v>39</v>
      </c>
      <c r="P75" t="s">
        <v>40</v>
      </c>
      <c r="Q75" t="s">
        <v>707</v>
      </c>
      <c r="R75" t="s">
        <v>708</v>
      </c>
      <c r="S75" t="s">
        <v>649</v>
      </c>
      <c r="T75" t="s">
        <v>44</v>
      </c>
      <c r="U75" t="s">
        <v>71</v>
      </c>
      <c r="W75">
        <v>0</v>
      </c>
      <c r="X75">
        <v>42.178053135257819</v>
      </c>
      <c r="Y75">
        <v>-71.127229769359886</v>
      </c>
      <c r="Z75">
        <v>12869.13</v>
      </c>
      <c r="AA75">
        <v>106242.8</v>
      </c>
      <c r="AB75">
        <v>20828</v>
      </c>
    </row>
    <row r="76" spans="1:28">
      <c r="A76" t="s">
        <v>709</v>
      </c>
      <c r="B76" s="1">
        <v>23086</v>
      </c>
      <c r="C76" s="1"/>
      <c r="D76" t="s">
        <v>710</v>
      </c>
      <c r="E76" t="s">
        <v>711</v>
      </c>
      <c r="F76" t="s">
        <v>712</v>
      </c>
      <c r="G76" t="s">
        <v>32</v>
      </c>
      <c r="H76" t="s">
        <v>713</v>
      </c>
      <c r="I76" t="s">
        <v>714</v>
      </c>
      <c r="J76" t="s">
        <v>715</v>
      </c>
      <c r="K76" t="s">
        <v>34</v>
      </c>
      <c r="L76" t="s">
        <v>34</v>
      </c>
      <c r="M76" t="s">
        <v>356</v>
      </c>
      <c r="N76" t="s">
        <v>38</v>
      </c>
      <c r="O76" t="s">
        <v>39</v>
      </c>
      <c r="P76" t="s">
        <v>40</v>
      </c>
      <c r="Q76" t="s">
        <v>106</v>
      </c>
      <c r="R76" t="s">
        <v>716</v>
      </c>
      <c r="S76" t="s">
        <v>235</v>
      </c>
      <c r="T76" t="s">
        <v>44</v>
      </c>
      <c r="U76" t="s">
        <v>119</v>
      </c>
      <c r="V76">
        <v>25009</v>
      </c>
      <c r="W76">
        <v>1906</v>
      </c>
      <c r="X76">
        <v>42.473541456665778</v>
      </c>
      <c r="Y76">
        <v>-70.99703047592395</v>
      </c>
      <c r="Z76">
        <v>149857.51</v>
      </c>
      <c r="AA76">
        <v>144530.56</v>
      </c>
      <c r="AB76">
        <v>146983</v>
      </c>
    </row>
    <row r="77" spans="1:28">
      <c r="A77" t="s">
        <v>717</v>
      </c>
      <c r="B77" s="1">
        <v>31030</v>
      </c>
      <c r="C77" s="1"/>
      <c r="D77" t="s">
        <v>718</v>
      </c>
      <c r="E77" t="s">
        <v>719</v>
      </c>
      <c r="F77" t="s">
        <v>720</v>
      </c>
      <c r="G77" t="s">
        <v>32</v>
      </c>
      <c r="H77" t="s">
        <v>721</v>
      </c>
      <c r="I77" t="s">
        <v>722</v>
      </c>
      <c r="J77" t="s">
        <v>723</v>
      </c>
      <c r="K77" t="s">
        <v>34</v>
      </c>
      <c r="L77" t="s">
        <v>34</v>
      </c>
      <c r="M77" t="s">
        <v>40</v>
      </c>
      <c r="N77" t="s">
        <v>38</v>
      </c>
      <c r="O77" t="s">
        <v>185</v>
      </c>
      <c r="P77" t="s">
        <v>40</v>
      </c>
      <c r="Q77" t="s">
        <v>724</v>
      </c>
      <c r="R77" t="s">
        <v>725</v>
      </c>
      <c r="S77" t="s">
        <v>726</v>
      </c>
      <c r="T77" t="s">
        <v>44</v>
      </c>
      <c r="U77" t="s">
        <v>80</v>
      </c>
      <c r="W77">
        <v>0</v>
      </c>
      <c r="X77">
        <v>42.039437737350937</v>
      </c>
      <c r="Y77">
        <v>-71.184529393025656</v>
      </c>
      <c r="Z77">
        <v>351296.18</v>
      </c>
      <c r="AA77">
        <v>346477.44</v>
      </c>
      <c r="AB77">
        <v>67906</v>
      </c>
    </row>
    <row r="78" spans="1:28">
      <c r="A78" t="s">
        <v>727</v>
      </c>
      <c r="B78" s="1">
        <v>29594</v>
      </c>
      <c r="C78" s="1"/>
      <c r="D78" t="s">
        <v>728</v>
      </c>
      <c r="E78" t="s">
        <v>729</v>
      </c>
      <c r="F78" t="s">
        <v>730</v>
      </c>
      <c r="G78" t="s">
        <v>32</v>
      </c>
      <c r="H78" t="s">
        <v>731</v>
      </c>
      <c r="I78" t="s">
        <v>34</v>
      </c>
      <c r="J78" t="s">
        <v>732</v>
      </c>
      <c r="K78" t="s">
        <v>34</v>
      </c>
      <c r="L78" t="s">
        <v>34</v>
      </c>
      <c r="M78" t="s">
        <v>207</v>
      </c>
      <c r="N78" t="s">
        <v>38</v>
      </c>
      <c r="O78" t="s">
        <v>39</v>
      </c>
      <c r="P78" t="s">
        <v>40</v>
      </c>
      <c r="Q78" t="s">
        <v>68</v>
      </c>
      <c r="R78" t="s">
        <v>733</v>
      </c>
      <c r="S78" t="s">
        <v>649</v>
      </c>
      <c r="T78" t="s">
        <v>44</v>
      </c>
      <c r="U78" t="s">
        <v>71</v>
      </c>
      <c r="W78">
        <v>0</v>
      </c>
      <c r="X78">
        <v>42.19874200768642</v>
      </c>
      <c r="Y78">
        <v>-71.097506650459366</v>
      </c>
      <c r="Z78">
        <v>16226.31</v>
      </c>
      <c r="AA78">
        <v>324144.32</v>
      </c>
      <c r="AB78">
        <v>20828</v>
      </c>
    </row>
    <row r="79" spans="1:28">
      <c r="A79" t="s">
        <v>734</v>
      </c>
      <c r="B79" s="1">
        <v>36570</v>
      </c>
      <c r="C79" s="1"/>
      <c r="D79" t="s">
        <v>735</v>
      </c>
      <c r="E79" t="s">
        <v>736</v>
      </c>
      <c r="F79" t="s">
        <v>737</v>
      </c>
      <c r="G79" t="s">
        <v>32</v>
      </c>
      <c r="H79" t="s">
        <v>738</v>
      </c>
      <c r="I79" t="s">
        <v>739</v>
      </c>
      <c r="J79" t="s">
        <v>740</v>
      </c>
      <c r="K79" t="s">
        <v>34</v>
      </c>
      <c r="L79" t="s">
        <v>34</v>
      </c>
      <c r="M79" t="s">
        <v>34</v>
      </c>
      <c r="N79" t="s">
        <v>38</v>
      </c>
      <c r="O79" t="s">
        <v>39</v>
      </c>
      <c r="P79" t="s">
        <v>40</v>
      </c>
      <c r="Q79" t="s">
        <v>741</v>
      </c>
      <c r="R79" t="s">
        <v>742</v>
      </c>
      <c r="S79" t="s">
        <v>743</v>
      </c>
      <c r="T79" t="s">
        <v>44</v>
      </c>
      <c r="U79" t="s">
        <v>58</v>
      </c>
      <c r="V79">
        <v>25017</v>
      </c>
      <c r="W79">
        <v>2474</v>
      </c>
      <c r="X79">
        <v>42.409485065101485</v>
      </c>
      <c r="Y79">
        <v>-71.172183936584403</v>
      </c>
      <c r="Z79">
        <v>73138.39</v>
      </c>
      <c r="AA79">
        <v>3978.59</v>
      </c>
      <c r="AB79">
        <v>77627</v>
      </c>
    </row>
    <row r="80" spans="1:28">
      <c r="A80" t="s">
        <v>744</v>
      </c>
      <c r="B80" s="1">
        <v>40469</v>
      </c>
      <c r="C80" s="1"/>
      <c r="D80" t="s">
        <v>745</v>
      </c>
      <c r="E80" t="s">
        <v>34</v>
      </c>
      <c r="F80" t="s">
        <v>34</v>
      </c>
      <c r="G80" t="s">
        <v>34</v>
      </c>
      <c r="H80" t="s">
        <v>746</v>
      </c>
      <c r="I80" t="s">
        <v>34</v>
      </c>
      <c r="J80" t="s">
        <v>747</v>
      </c>
      <c r="K80" t="s">
        <v>34</v>
      </c>
      <c r="L80" t="s">
        <v>34</v>
      </c>
      <c r="M80" t="s">
        <v>34</v>
      </c>
      <c r="N80" t="s">
        <v>38</v>
      </c>
      <c r="O80" t="s">
        <v>39</v>
      </c>
      <c r="P80" t="s">
        <v>54</v>
      </c>
      <c r="Q80" t="s">
        <v>748</v>
      </c>
      <c r="R80" t="s">
        <v>749</v>
      </c>
      <c r="S80" t="s">
        <v>750</v>
      </c>
      <c r="T80" t="s">
        <v>44</v>
      </c>
      <c r="U80" t="s">
        <v>189</v>
      </c>
      <c r="V80">
        <v>25013</v>
      </c>
      <c r="W80">
        <v>1022</v>
      </c>
      <c r="X80">
        <v>42.203763486312489</v>
      </c>
      <c r="Y80">
        <v>-72.586579560406648</v>
      </c>
      <c r="Z80">
        <v>39101.1</v>
      </c>
      <c r="AA80">
        <v>119395.17</v>
      </c>
      <c r="AB80">
        <v>46121</v>
      </c>
    </row>
    <row r="81" spans="1:28">
      <c r="A81" t="s">
        <v>751</v>
      </c>
      <c r="B81" s="1">
        <v>29233</v>
      </c>
      <c r="C81" s="1"/>
      <c r="D81" t="s">
        <v>752</v>
      </c>
      <c r="E81" t="s">
        <v>753</v>
      </c>
      <c r="F81" t="s">
        <v>754</v>
      </c>
      <c r="G81" t="s">
        <v>32</v>
      </c>
      <c r="H81" t="s">
        <v>755</v>
      </c>
      <c r="I81" t="s">
        <v>756</v>
      </c>
      <c r="J81" t="s">
        <v>757</v>
      </c>
      <c r="K81" t="s">
        <v>34</v>
      </c>
      <c r="L81" t="s">
        <v>34</v>
      </c>
      <c r="M81" t="s">
        <v>207</v>
      </c>
      <c r="N81" t="s">
        <v>38</v>
      </c>
      <c r="O81" t="s">
        <v>39</v>
      </c>
      <c r="P81" t="s">
        <v>40</v>
      </c>
      <c r="Q81" t="s">
        <v>758</v>
      </c>
      <c r="R81" t="s">
        <v>759</v>
      </c>
      <c r="S81" t="s">
        <v>760</v>
      </c>
      <c r="T81" t="s">
        <v>44</v>
      </c>
      <c r="U81" t="s">
        <v>80</v>
      </c>
      <c r="W81">
        <v>0</v>
      </c>
      <c r="X81">
        <v>42.08102951060804</v>
      </c>
      <c r="Y81">
        <v>-71.14752479240488</v>
      </c>
      <c r="Z81">
        <v>85253.53</v>
      </c>
      <c r="AA81">
        <v>4813.37</v>
      </c>
      <c r="AB81">
        <v>631750</v>
      </c>
    </row>
    <row r="82" spans="1:28">
      <c r="A82" t="s">
        <v>761</v>
      </c>
      <c r="B82" s="1">
        <v>45010</v>
      </c>
      <c r="C82" s="1"/>
      <c r="D82" t="s">
        <v>762</v>
      </c>
      <c r="E82" t="s">
        <v>34</v>
      </c>
      <c r="F82" t="s">
        <v>34</v>
      </c>
      <c r="G82" t="s">
        <v>34</v>
      </c>
      <c r="H82" t="s">
        <v>763</v>
      </c>
      <c r="I82" t="s">
        <v>764</v>
      </c>
      <c r="J82" t="s">
        <v>765</v>
      </c>
      <c r="K82" t="s">
        <v>34</v>
      </c>
      <c r="L82" t="s">
        <v>34</v>
      </c>
      <c r="M82" t="s">
        <v>34</v>
      </c>
      <c r="N82" t="s">
        <v>87</v>
      </c>
      <c r="O82" t="s">
        <v>39</v>
      </c>
      <c r="P82" t="s">
        <v>54</v>
      </c>
      <c r="Q82" t="s">
        <v>766</v>
      </c>
      <c r="R82" t="s">
        <v>767</v>
      </c>
      <c r="S82" t="s">
        <v>668</v>
      </c>
      <c r="T82" t="s">
        <v>44</v>
      </c>
      <c r="U82" t="s">
        <v>189</v>
      </c>
      <c r="V82">
        <v>25013</v>
      </c>
      <c r="W82">
        <v>1013</v>
      </c>
      <c r="X82">
        <v>42.105700715479699</v>
      </c>
      <c r="Y82">
        <v>-72.53127694865637</v>
      </c>
      <c r="Z82">
        <v>650</v>
      </c>
      <c r="AA82">
        <v>10607.92</v>
      </c>
      <c r="AB82">
        <v>15838</v>
      </c>
    </row>
    <row r="83" spans="1:28">
      <c r="A83" t="s">
        <v>768</v>
      </c>
      <c r="B83" s="1">
        <v>31018</v>
      </c>
      <c r="C83" s="1"/>
      <c r="D83" t="s">
        <v>769</v>
      </c>
      <c r="E83" t="s">
        <v>770</v>
      </c>
      <c r="F83" t="s">
        <v>771</v>
      </c>
      <c r="G83" t="s">
        <v>32</v>
      </c>
      <c r="H83" t="s">
        <v>772</v>
      </c>
      <c r="I83" t="s">
        <v>34</v>
      </c>
      <c r="J83" t="s">
        <v>773</v>
      </c>
      <c r="K83" t="s">
        <v>34</v>
      </c>
      <c r="L83" t="s">
        <v>34</v>
      </c>
      <c r="M83" t="s">
        <v>40</v>
      </c>
      <c r="N83" t="s">
        <v>38</v>
      </c>
      <c r="O83" t="s">
        <v>39</v>
      </c>
      <c r="P83" t="s">
        <v>40</v>
      </c>
      <c r="Q83" t="s">
        <v>68</v>
      </c>
      <c r="R83" t="s">
        <v>774</v>
      </c>
      <c r="S83" t="s">
        <v>775</v>
      </c>
      <c r="T83" t="s">
        <v>44</v>
      </c>
      <c r="U83" t="s">
        <v>58</v>
      </c>
      <c r="V83">
        <v>25017</v>
      </c>
      <c r="W83">
        <v>2149</v>
      </c>
      <c r="X83">
        <v>42.430394069734753</v>
      </c>
      <c r="Y83">
        <v>-71.007533224051542</v>
      </c>
      <c r="Z83">
        <v>84571.67</v>
      </c>
      <c r="AA83">
        <v>10779.84</v>
      </c>
      <c r="AB83">
        <v>188914</v>
      </c>
    </row>
    <row r="84" spans="1:28">
      <c r="A84" t="s">
        <v>776</v>
      </c>
      <c r="B84" s="1">
        <v>39020</v>
      </c>
      <c r="C84" s="1"/>
      <c r="D84" t="s">
        <v>777</v>
      </c>
      <c r="E84" t="s">
        <v>778</v>
      </c>
      <c r="F84" t="s">
        <v>34</v>
      </c>
      <c r="G84" t="s">
        <v>50</v>
      </c>
      <c r="H84" t="s">
        <v>779</v>
      </c>
      <c r="I84" t="s">
        <v>34</v>
      </c>
      <c r="J84" t="s">
        <v>780</v>
      </c>
      <c r="K84" t="s">
        <v>34</v>
      </c>
      <c r="L84" t="s">
        <v>34</v>
      </c>
      <c r="M84" t="s">
        <v>34</v>
      </c>
      <c r="N84" t="s">
        <v>38</v>
      </c>
      <c r="O84" t="s">
        <v>39</v>
      </c>
      <c r="P84" t="s">
        <v>54</v>
      </c>
      <c r="Q84" t="s">
        <v>781</v>
      </c>
      <c r="R84" t="s">
        <v>782</v>
      </c>
      <c r="S84" t="s">
        <v>783</v>
      </c>
      <c r="T84" t="s">
        <v>44</v>
      </c>
      <c r="U84" t="s">
        <v>244</v>
      </c>
      <c r="V84">
        <v>25023</v>
      </c>
      <c r="W84">
        <v>2051</v>
      </c>
      <c r="X84">
        <v>42.192867003184531</v>
      </c>
      <c r="Y84">
        <v>-70.75376079501946</v>
      </c>
      <c r="Z84">
        <v>82140.25</v>
      </c>
      <c r="AA84">
        <v>122392.67</v>
      </c>
      <c r="AB84">
        <v>179555</v>
      </c>
    </row>
    <row r="85" spans="1:28">
      <c r="A85" t="s">
        <v>784</v>
      </c>
      <c r="B85" s="1">
        <v>36077</v>
      </c>
      <c r="C85" s="1"/>
      <c r="D85" t="s">
        <v>785</v>
      </c>
      <c r="E85" t="s">
        <v>786</v>
      </c>
      <c r="F85" t="s">
        <v>787</v>
      </c>
      <c r="G85" t="s">
        <v>32</v>
      </c>
      <c r="H85" t="s">
        <v>788</v>
      </c>
      <c r="I85" t="s">
        <v>789</v>
      </c>
      <c r="J85" t="s">
        <v>790</v>
      </c>
      <c r="K85" t="s">
        <v>34</v>
      </c>
      <c r="L85" t="s">
        <v>34</v>
      </c>
      <c r="M85" t="s">
        <v>34</v>
      </c>
      <c r="N85" t="s">
        <v>38</v>
      </c>
      <c r="O85" t="s">
        <v>39</v>
      </c>
      <c r="P85" t="s">
        <v>40</v>
      </c>
      <c r="Q85" t="s">
        <v>791</v>
      </c>
      <c r="R85" t="s">
        <v>792</v>
      </c>
      <c r="S85" t="s">
        <v>793</v>
      </c>
      <c r="T85" t="s">
        <v>44</v>
      </c>
      <c r="U85" t="s">
        <v>45</v>
      </c>
      <c r="W85">
        <v>0</v>
      </c>
      <c r="X85">
        <v>42.061727274532714</v>
      </c>
      <c r="Y85">
        <v>-71.579322449424353</v>
      </c>
      <c r="Z85">
        <v>73488.88</v>
      </c>
      <c r="AA85">
        <v>10115.129999999999</v>
      </c>
      <c r="AB85">
        <v>113444</v>
      </c>
    </row>
    <row r="86" spans="1:28">
      <c r="A86" t="s">
        <v>794</v>
      </c>
      <c r="B86" s="1">
        <v>34462</v>
      </c>
      <c r="C86" s="1"/>
      <c r="D86" t="s">
        <v>795</v>
      </c>
      <c r="E86" t="s">
        <v>796</v>
      </c>
      <c r="F86" t="s">
        <v>797</v>
      </c>
      <c r="G86" t="s">
        <v>32</v>
      </c>
      <c r="H86" t="s">
        <v>798</v>
      </c>
      <c r="I86" t="s">
        <v>799</v>
      </c>
      <c r="J86" t="s">
        <v>800</v>
      </c>
      <c r="K86" t="s">
        <v>34</v>
      </c>
      <c r="L86" t="s">
        <v>34</v>
      </c>
      <c r="M86" t="s">
        <v>40</v>
      </c>
      <c r="N86" t="s">
        <v>38</v>
      </c>
      <c r="O86" t="s">
        <v>39</v>
      </c>
      <c r="P86" t="s">
        <v>40</v>
      </c>
      <c r="Q86" t="s">
        <v>557</v>
      </c>
      <c r="R86" t="s">
        <v>801</v>
      </c>
      <c r="S86" t="s">
        <v>802</v>
      </c>
      <c r="T86" t="s">
        <v>44</v>
      </c>
      <c r="U86" t="s">
        <v>244</v>
      </c>
      <c r="W86">
        <v>0</v>
      </c>
      <c r="X86">
        <v>41.944176640311653</v>
      </c>
      <c r="Y86">
        <v>-70.894573514167419</v>
      </c>
      <c r="Z86">
        <v>78185.070000000007</v>
      </c>
      <c r="AA86">
        <v>10349.91</v>
      </c>
      <c r="AB86">
        <v>142164</v>
      </c>
    </row>
    <row r="87" spans="1:28">
      <c r="A87" t="s">
        <v>803</v>
      </c>
      <c r="B87" s="1">
        <v>22464</v>
      </c>
      <c r="C87" s="1"/>
      <c r="D87" t="s">
        <v>804</v>
      </c>
      <c r="E87" t="s">
        <v>805</v>
      </c>
      <c r="F87" t="s">
        <v>806</v>
      </c>
      <c r="G87" t="s">
        <v>50</v>
      </c>
      <c r="H87" t="s">
        <v>342</v>
      </c>
      <c r="I87" t="s">
        <v>807</v>
      </c>
      <c r="J87" t="s">
        <v>808</v>
      </c>
      <c r="K87" t="s">
        <v>34</v>
      </c>
      <c r="L87" t="s">
        <v>34</v>
      </c>
      <c r="M87" t="s">
        <v>207</v>
      </c>
      <c r="N87" t="s">
        <v>38</v>
      </c>
      <c r="O87" t="s">
        <v>39</v>
      </c>
      <c r="P87" t="s">
        <v>54</v>
      </c>
      <c r="Q87" t="s">
        <v>68</v>
      </c>
      <c r="R87" t="s">
        <v>809</v>
      </c>
      <c r="S87" t="s">
        <v>810</v>
      </c>
      <c r="T87" t="s">
        <v>44</v>
      </c>
      <c r="U87" t="s">
        <v>58</v>
      </c>
      <c r="V87">
        <v>25017</v>
      </c>
      <c r="W87">
        <v>2472</v>
      </c>
      <c r="X87">
        <v>42.324647855173161</v>
      </c>
      <c r="Y87">
        <v>-71.175315331490125</v>
      </c>
      <c r="Z87">
        <v>1048238.37</v>
      </c>
      <c r="AA87">
        <v>89889.02</v>
      </c>
      <c r="AB87">
        <v>79033</v>
      </c>
    </row>
    <row r="88" spans="1:28">
      <c r="A88" t="s">
        <v>811</v>
      </c>
      <c r="B88" s="1">
        <v>22775</v>
      </c>
      <c r="C88" s="1"/>
      <c r="D88" t="s">
        <v>812</v>
      </c>
      <c r="E88" t="s">
        <v>813</v>
      </c>
      <c r="F88" t="s">
        <v>814</v>
      </c>
      <c r="G88" t="s">
        <v>32</v>
      </c>
      <c r="H88" t="s">
        <v>815</v>
      </c>
      <c r="I88" t="s">
        <v>816</v>
      </c>
      <c r="J88" t="s">
        <v>817</v>
      </c>
      <c r="K88" t="s">
        <v>34</v>
      </c>
      <c r="L88" t="s">
        <v>34</v>
      </c>
      <c r="M88" t="s">
        <v>207</v>
      </c>
      <c r="N88" t="s">
        <v>38</v>
      </c>
      <c r="O88" t="s">
        <v>39</v>
      </c>
      <c r="P88" t="s">
        <v>40</v>
      </c>
      <c r="Q88" t="s">
        <v>390</v>
      </c>
      <c r="R88" t="s">
        <v>818</v>
      </c>
      <c r="S88" t="s">
        <v>129</v>
      </c>
      <c r="T88" t="s">
        <v>44</v>
      </c>
      <c r="U88" t="s">
        <v>58</v>
      </c>
      <c r="V88">
        <v>25017</v>
      </c>
      <c r="W88">
        <v>2462</v>
      </c>
      <c r="X88">
        <v>42.339431273725666</v>
      </c>
      <c r="Y88">
        <v>-71.211607221097339</v>
      </c>
      <c r="Z88">
        <v>244719.9</v>
      </c>
      <c r="AA88">
        <v>133921.54</v>
      </c>
      <c r="AB88">
        <v>407543</v>
      </c>
    </row>
    <row r="89" spans="1:28">
      <c r="A89" t="s">
        <v>819</v>
      </c>
      <c r="B89" s="1">
        <v>32922</v>
      </c>
      <c r="C89" s="1"/>
      <c r="D89" t="s">
        <v>820</v>
      </c>
      <c r="E89" t="s">
        <v>821</v>
      </c>
      <c r="F89" t="s">
        <v>822</v>
      </c>
      <c r="G89" t="s">
        <v>32</v>
      </c>
      <c r="H89" t="s">
        <v>823</v>
      </c>
      <c r="I89" t="s">
        <v>824</v>
      </c>
      <c r="J89" t="s">
        <v>505</v>
      </c>
      <c r="K89" t="s">
        <v>34</v>
      </c>
      <c r="L89" t="s">
        <v>34</v>
      </c>
      <c r="M89" t="s">
        <v>40</v>
      </c>
      <c r="N89" t="s">
        <v>38</v>
      </c>
      <c r="O89" t="s">
        <v>39</v>
      </c>
      <c r="P89" t="s">
        <v>40</v>
      </c>
      <c r="Q89" t="s">
        <v>825</v>
      </c>
      <c r="R89" t="s">
        <v>826</v>
      </c>
      <c r="S89" t="s">
        <v>827</v>
      </c>
      <c r="T89" t="s">
        <v>44</v>
      </c>
      <c r="U89" t="s">
        <v>71</v>
      </c>
      <c r="V89">
        <v>25021</v>
      </c>
      <c r="W89">
        <v>2062</v>
      </c>
      <c r="X89">
        <v>42.206025387921926</v>
      </c>
      <c r="Y89">
        <v>-71.167886970797881</v>
      </c>
      <c r="Z89">
        <v>67034.25</v>
      </c>
      <c r="AA89">
        <v>1314.92</v>
      </c>
      <c r="AB89">
        <v>85055</v>
      </c>
    </row>
    <row r="90" spans="1:28">
      <c r="A90" t="s">
        <v>828</v>
      </c>
      <c r="B90" s="1">
        <v>35998</v>
      </c>
      <c r="C90" s="1"/>
      <c r="D90" t="s">
        <v>829</v>
      </c>
      <c r="E90" t="s">
        <v>830</v>
      </c>
      <c r="F90" t="s">
        <v>831</v>
      </c>
      <c r="G90" t="s">
        <v>50</v>
      </c>
      <c r="H90" t="s">
        <v>832</v>
      </c>
      <c r="I90" t="s">
        <v>833</v>
      </c>
      <c r="J90" t="s">
        <v>35</v>
      </c>
      <c r="K90" t="s">
        <v>34</v>
      </c>
      <c r="L90" t="s">
        <v>34</v>
      </c>
      <c r="M90" t="s">
        <v>207</v>
      </c>
      <c r="N90" t="s">
        <v>280</v>
      </c>
      <c r="O90" t="s">
        <v>185</v>
      </c>
      <c r="P90" t="s">
        <v>54</v>
      </c>
      <c r="Q90" t="s">
        <v>834</v>
      </c>
      <c r="R90" t="s">
        <v>835</v>
      </c>
      <c r="S90" t="s">
        <v>255</v>
      </c>
      <c r="T90" t="s">
        <v>44</v>
      </c>
      <c r="U90" t="s">
        <v>58</v>
      </c>
      <c r="V90">
        <v>25017</v>
      </c>
      <c r="W90">
        <v>2139</v>
      </c>
      <c r="X90">
        <v>42.400077635542381</v>
      </c>
      <c r="Y90">
        <v>-71.10067567941492</v>
      </c>
      <c r="Z90">
        <v>199557.15</v>
      </c>
      <c r="AA90">
        <v>1186861.45</v>
      </c>
      <c r="AB90">
        <v>74140</v>
      </c>
    </row>
    <row r="91" spans="1:28">
      <c r="A91" t="s">
        <v>836</v>
      </c>
      <c r="B91" s="1">
        <v>31210</v>
      </c>
      <c r="C91" s="1"/>
      <c r="D91" t="s">
        <v>837</v>
      </c>
      <c r="E91" t="s">
        <v>838</v>
      </c>
      <c r="F91" t="s">
        <v>839</v>
      </c>
      <c r="G91" t="s">
        <v>63</v>
      </c>
      <c r="H91" t="s">
        <v>840</v>
      </c>
      <c r="I91" t="s">
        <v>841</v>
      </c>
      <c r="J91" t="s">
        <v>842</v>
      </c>
      <c r="K91" t="s">
        <v>34</v>
      </c>
      <c r="L91" t="s">
        <v>843</v>
      </c>
      <c r="M91" t="s">
        <v>37</v>
      </c>
      <c r="N91" t="s">
        <v>38</v>
      </c>
      <c r="O91" t="s">
        <v>185</v>
      </c>
      <c r="P91" t="s">
        <v>54</v>
      </c>
      <c r="Q91" t="s">
        <v>844</v>
      </c>
      <c r="R91" t="s">
        <v>845</v>
      </c>
      <c r="S91" t="s">
        <v>846</v>
      </c>
      <c r="T91" t="s">
        <v>44</v>
      </c>
      <c r="U91" t="s">
        <v>45</v>
      </c>
      <c r="W91">
        <v>0</v>
      </c>
      <c r="X91">
        <v>42.082045152086053</v>
      </c>
      <c r="Y91">
        <v>-71.696295652367226</v>
      </c>
      <c r="Z91">
        <v>246581.9</v>
      </c>
      <c r="AA91">
        <v>1231675.8500000001</v>
      </c>
      <c r="AB91">
        <v>29792</v>
      </c>
    </row>
    <row r="92" spans="1:28">
      <c r="A92" t="s">
        <v>847</v>
      </c>
      <c r="B92" s="1">
        <v>31381</v>
      </c>
      <c r="C92" s="1"/>
      <c r="D92" t="s">
        <v>848</v>
      </c>
      <c r="E92" t="s">
        <v>849</v>
      </c>
      <c r="F92" t="s">
        <v>850</v>
      </c>
      <c r="G92" t="s">
        <v>32</v>
      </c>
      <c r="H92" t="s">
        <v>851</v>
      </c>
      <c r="I92" t="s">
        <v>34</v>
      </c>
      <c r="J92" t="s">
        <v>852</v>
      </c>
      <c r="K92" t="s">
        <v>34</v>
      </c>
      <c r="L92" t="s">
        <v>34</v>
      </c>
      <c r="M92" t="s">
        <v>40</v>
      </c>
      <c r="N92" t="s">
        <v>280</v>
      </c>
      <c r="O92" t="s">
        <v>39</v>
      </c>
      <c r="P92" t="s">
        <v>40</v>
      </c>
      <c r="Q92" t="s">
        <v>853</v>
      </c>
      <c r="R92" t="s">
        <v>854</v>
      </c>
      <c r="S92" t="s">
        <v>855</v>
      </c>
      <c r="T92" t="s">
        <v>44</v>
      </c>
      <c r="U92" t="s">
        <v>58</v>
      </c>
      <c r="V92">
        <v>25017</v>
      </c>
      <c r="W92">
        <v>1701</v>
      </c>
      <c r="X92">
        <v>42.282065356339047</v>
      </c>
      <c r="Y92">
        <v>-71.456200214193686</v>
      </c>
      <c r="Z92">
        <v>6498.56</v>
      </c>
      <c r="AA92">
        <v>80823.600000000006</v>
      </c>
      <c r="AB92">
        <v>2499</v>
      </c>
    </row>
    <row r="93" spans="1:28">
      <c r="A93" t="s">
        <v>856</v>
      </c>
      <c r="B93" s="1">
        <v>22000</v>
      </c>
      <c r="C93" s="1">
        <v>22516</v>
      </c>
      <c r="D93" t="s">
        <v>857</v>
      </c>
      <c r="E93" t="s">
        <v>34</v>
      </c>
      <c r="F93" t="s">
        <v>34</v>
      </c>
      <c r="G93" t="s">
        <v>34</v>
      </c>
      <c r="H93" t="s">
        <v>858</v>
      </c>
      <c r="I93" t="s">
        <v>859</v>
      </c>
      <c r="J93" t="s">
        <v>860</v>
      </c>
      <c r="K93" t="s">
        <v>34</v>
      </c>
      <c r="L93" t="s">
        <v>34</v>
      </c>
      <c r="M93" t="s">
        <v>34</v>
      </c>
      <c r="N93" t="s">
        <v>38</v>
      </c>
      <c r="O93" t="s">
        <v>39</v>
      </c>
      <c r="P93" t="s">
        <v>40</v>
      </c>
      <c r="Q93" t="s">
        <v>366</v>
      </c>
      <c r="R93" t="s">
        <v>861</v>
      </c>
      <c r="S93" t="s">
        <v>862</v>
      </c>
      <c r="T93" t="s">
        <v>44</v>
      </c>
      <c r="U93" t="s">
        <v>80</v>
      </c>
      <c r="V93">
        <v>25005</v>
      </c>
      <c r="W93">
        <v>2747</v>
      </c>
      <c r="X93">
        <v>41.654522440653864</v>
      </c>
      <c r="Y93">
        <v>-70.908670172644776</v>
      </c>
      <c r="Z93">
        <v>10056.91</v>
      </c>
      <c r="AA93">
        <v>9469.4500000000007</v>
      </c>
      <c r="AB93">
        <v>43443</v>
      </c>
    </row>
    <row r="94" spans="1:28">
      <c r="A94" t="s">
        <v>863</v>
      </c>
      <c r="B94" s="1">
        <v>34290</v>
      </c>
      <c r="C94" s="1"/>
      <c r="D94" t="s">
        <v>864</v>
      </c>
      <c r="E94" t="s">
        <v>865</v>
      </c>
      <c r="F94" t="s">
        <v>866</v>
      </c>
      <c r="G94" t="s">
        <v>50</v>
      </c>
      <c r="H94" t="s">
        <v>867</v>
      </c>
      <c r="I94" t="s">
        <v>868</v>
      </c>
      <c r="J94" t="s">
        <v>869</v>
      </c>
      <c r="K94" t="s">
        <v>34</v>
      </c>
      <c r="L94" t="s">
        <v>34</v>
      </c>
      <c r="M94" t="s">
        <v>207</v>
      </c>
      <c r="N94" t="s">
        <v>38</v>
      </c>
      <c r="O94" t="s">
        <v>39</v>
      </c>
      <c r="P94" t="s">
        <v>54</v>
      </c>
      <c r="Q94" t="s">
        <v>870</v>
      </c>
      <c r="R94" t="s">
        <v>871</v>
      </c>
      <c r="S94" t="s">
        <v>90</v>
      </c>
      <c r="T94" t="s">
        <v>44</v>
      </c>
      <c r="U94" t="s">
        <v>91</v>
      </c>
      <c r="V94">
        <v>25025</v>
      </c>
      <c r="W94">
        <v>2124</v>
      </c>
      <c r="X94">
        <v>42.30226867929732</v>
      </c>
      <c r="Y94">
        <v>-71.070963404208953</v>
      </c>
      <c r="Z94">
        <v>8105.86</v>
      </c>
      <c r="AA94">
        <v>129817.91</v>
      </c>
      <c r="AB94">
        <v>12947</v>
      </c>
    </row>
    <row r="95" spans="1:28">
      <c r="A95" t="s">
        <v>872</v>
      </c>
      <c r="B95" s="1">
        <v>46169</v>
      </c>
      <c r="C95" s="1"/>
      <c r="D95" t="s">
        <v>873</v>
      </c>
      <c r="E95" t="s">
        <v>34</v>
      </c>
      <c r="F95" t="s">
        <v>34</v>
      </c>
      <c r="G95" t="s">
        <v>34</v>
      </c>
      <c r="H95" t="s">
        <v>874</v>
      </c>
      <c r="I95" t="s">
        <v>875</v>
      </c>
      <c r="J95" t="s">
        <v>876</v>
      </c>
      <c r="K95" t="s">
        <v>34</v>
      </c>
      <c r="L95" t="s">
        <v>34</v>
      </c>
      <c r="M95" t="s">
        <v>34</v>
      </c>
      <c r="N95" t="s">
        <v>38</v>
      </c>
      <c r="O95" t="s">
        <v>39</v>
      </c>
      <c r="P95" t="s">
        <v>40</v>
      </c>
      <c r="Q95" t="s">
        <v>877</v>
      </c>
      <c r="R95" t="s">
        <v>878</v>
      </c>
      <c r="S95" t="s">
        <v>879</v>
      </c>
      <c r="T95" t="s">
        <v>44</v>
      </c>
      <c r="U95" t="s">
        <v>880</v>
      </c>
      <c r="V95">
        <v>25015</v>
      </c>
      <c r="W95">
        <v>1033</v>
      </c>
      <c r="X95">
        <v>42.268492479431579</v>
      </c>
      <c r="Y95">
        <v>-72.491516818324072</v>
      </c>
      <c r="Z95">
        <v>620.17999999999995</v>
      </c>
      <c r="AA95">
        <v>0</v>
      </c>
      <c r="AB95">
        <v>131616</v>
      </c>
    </row>
    <row r="96" spans="1:28">
      <c r="A96" t="s">
        <v>881</v>
      </c>
      <c r="B96" s="1">
        <v>25105</v>
      </c>
      <c r="C96" s="1"/>
      <c r="D96" t="s">
        <v>882</v>
      </c>
      <c r="E96" t="s">
        <v>883</v>
      </c>
      <c r="F96" t="s">
        <v>884</v>
      </c>
      <c r="G96" t="s">
        <v>50</v>
      </c>
      <c r="H96" t="s">
        <v>885</v>
      </c>
      <c r="I96" t="s">
        <v>886</v>
      </c>
      <c r="J96" t="s">
        <v>887</v>
      </c>
      <c r="K96" t="s">
        <v>34</v>
      </c>
      <c r="L96" t="s">
        <v>34</v>
      </c>
      <c r="M96" t="s">
        <v>207</v>
      </c>
      <c r="N96" t="s">
        <v>38</v>
      </c>
      <c r="O96" t="s">
        <v>39</v>
      </c>
      <c r="P96" t="s">
        <v>54</v>
      </c>
      <c r="Q96" t="s">
        <v>288</v>
      </c>
      <c r="R96" t="s">
        <v>888</v>
      </c>
      <c r="S96" t="s">
        <v>889</v>
      </c>
      <c r="T96" t="s">
        <v>44</v>
      </c>
      <c r="U96" t="s">
        <v>880</v>
      </c>
      <c r="V96">
        <v>25015</v>
      </c>
      <c r="W96">
        <v>1007</v>
      </c>
      <c r="X96">
        <v>42.23838498506516</v>
      </c>
      <c r="Y96">
        <v>-72.444508208960642</v>
      </c>
      <c r="Z96">
        <v>16651.38</v>
      </c>
      <c r="AA96">
        <v>916015.57</v>
      </c>
      <c r="AB96">
        <v>16793</v>
      </c>
    </row>
    <row r="97" spans="1:28">
      <c r="A97" t="s">
        <v>890</v>
      </c>
      <c r="B97" s="1">
        <v>43227</v>
      </c>
      <c r="C97" s="1"/>
      <c r="D97" t="s">
        <v>891</v>
      </c>
      <c r="E97" t="s">
        <v>34</v>
      </c>
      <c r="F97" t="s">
        <v>34</v>
      </c>
      <c r="G97" t="s">
        <v>34</v>
      </c>
      <c r="H97" t="s">
        <v>892</v>
      </c>
      <c r="I97" t="s">
        <v>893</v>
      </c>
      <c r="J97" t="s">
        <v>894</v>
      </c>
      <c r="K97" t="s">
        <v>34</v>
      </c>
      <c r="L97" t="s">
        <v>34</v>
      </c>
      <c r="M97" t="s">
        <v>34</v>
      </c>
      <c r="N97" t="s">
        <v>87</v>
      </c>
      <c r="O97" t="s">
        <v>39</v>
      </c>
      <c r="P97" t="s">
        <v>54</v>
      </c>
      <c r="Q97" t="s">
        <v>895</v>
      </c>
      <c r="R97" t="s">
        <v>896</v>
      </c>
      <c r="S97" t="s">
        <v>392</v>
      </c>
      <c r="T97" t="s">
        <v>44</v>
      </c>
      <c r="U97" t="s">
        <v>80</v>
      </c>
      <c r="V97">
        <v>25005</v>
      </c>
      <c r="W97">
        <v>2723</v>
      </c>
      <c r="X97">
        <v>41.753332029798266</v>
      </c>
      <c r="Y97">
        <v>-71.145210973721063</v>
      </c>
      <c r="Z97">
        <v>1891.78</v>
      </c>
      <c r="AA97">
        <v>42641.2</v>
      </c>
      <c r="AB97">
        <v>14640</v>
      </c>
    </row>
    <row r="98" spans="1:28">
      <c r="A98" t="s">
        <v>897</v>
      </c>
      <c r="B98" s="1">
        <v>22000</v>
      </c>
      <c r="C98" s="1"/>
      <c r="D98" t="s">
        <v>898</v>
      </c>
      <c r="E98" t="s">
        <v>899</v>
      </c>
      <c r="F98" t="s">
        <v>900</v>
      </c>
      <c r="G98" t="s">
        <v>32</v>
      </c>
      <c r="H98" t="s">
        <v>901</v>
      </c>
      <c r="I98" t="s">
        <v>902</v>
      </c>
      <c r="J98" t="s">
        <v>903</v>
      </c>
      <c r="K98" t="s">
        <v>34</v>
      </c>
      <c r="L98" t="s">
        <v>34</v>
      </c>
      <c r="M98" t="s">
        <v>207</v>
      </c>
      <c r="N98" t="s">
        <v>38</v>
      </c>
      <c r="O98" t="s">
        <v>39</v>
      </c>
      <c r="P98" t="s">
        <v>40</v>
      </c>
      <c r="Q98" t="s">
        <v>904</v>
      </c>
      <c r="R98" t="s">
        <v>905</v>
      </c>
      <c r="S98" t="s">
        <v>862</v>
      </c>
      <c r="T98" t="s">
        <v>44</v>
      </c>
      <c r="U98" t="s">
        <v>80</v>
      </c>
      <c r="V98">
        <v>25005</v>
      </c>
      <c r="W98">
        <v>2743</v>
      </c>
      <c r="X98">
        <v>41.566621528653343</v>
      </c>
      <c r="Y98">
        <v>-70.928627024505005</v>
      </c>
      <c r="Z98">
        <v>176333.51</v>
      </c>
      <c r="AA98">
        <v>64422.13</v>
      </c>
      <c r="AB98">
        <v>43443</v>
      </c>
    </row>
    <row r="99" spans="1:28">
      <c r="A99" t="s">
        <v>906</v>
      </c>
      <c r="B99" s="1">
        <v>35837</v>
      </c>
      <c r="C99" s="1"/>
      <c r="D99" t="s">
        <v>907</v>
      </c>
      <c r="E99" t="s">
        <v>908</v>
      </c>
      <c r="F99" t="s">
        <v>909</v>
      </c>
      <c r="G99" t="s">
        <v>63</v>
      </c>
      <c r="H99" t="s">
        <v>910</v>
      </c>
      <c r="I99" t="s">
        <v>911</v>
      </c>
      <c r="J99" t="s">
        <v>912</v>
      </c>
      <c r="K99" t="s">
        <v>34</v>
      </c>
      <c r="L99" t="s">
        <v>913</v>
      </c>
      <c r="M99" t="s">
        <v>40</v>
      </c>
      <c r="N99" t="s">
        <v>38</v>
      </c>
      <c r="O99" t="s">
        <v>39</v>
      </c>
      <c r="P99" t="s">
        <v>54</v>
      </c>
      <c r="Q99" t="s">
        <v>106</v>
      </c>
      <c r="R99" t="s">
        <v>914</v>
      </c>
      <c r="S99" t="s">
        <v>915</v>
      </c>
      <c r="T99" t="s">
        <v>44</v>
      </c>
      <c r="U99" t="s">
        <v>58</v>
      </c>
      <c r="W99">
        <v>0</v>
      </c>
      <c r="X99">
        <v>42.453644760012978</v>
      </c>
      <c r="Y99">
        <v>-71.513119287456377</v>
      </c>
      <c r="Z99">
        <v>82310.31</v>
      </c>
      <c r="AA99">
        <v>104204.79</v>
      </c>
      <c r="AB99">
        <v>320521</v>
      </c>
    </row>
    <row r="100" spans="1:28">
      <c r="A100" t="s">
        <v>916</v>
      </c>
      <c r="B100" s="1">
        <v>33020</v>
      </c>
      <c r="C100" s="1"/>
      <c r="D100" t="s">
        <v>917</v>
      </c>
      <c r="E100" t="s">
        <v>918</v>
      </c>
      <c r="F100" t="s">
        <v>919</v>
      </c>
      <c r="G100" t="s">
        <v>63</v>
      </c>
      <c r="H100" t="s">
        <v>920</v>
      </c>
      <c r="I100" t="s">
        <v>921</v>
      </c>
      <c r="J100" t="s">
        <v>922</v>
      </c>
      <c r="K100" t="s">
        <v>34</v>
      </c>
      <c r="L100" t="s">
        <v>923</v>
      </c>
      <c r="M100" t="s">
        <v>40</v>
      </c>
      <c r="N100" t="s">
        <v>38</v>
      </c>
      <c r="O100" t="s">
        <v>185</v>
      </c>
      <c r="P100" t="s">
        <v>54</v>
      </c>
      <c r="Q100" t="s">
        <v>924</v>
      </c>
      <c r="R100" t="s">
        <v>925</v>
      </c>
      <c r="S100" t="s">
        <v>926</v>
      </c>
      <c r="T100" t="s">
        <v>44</v>
      </c>
      <c r="U100" t="s">
        <v>45</v>
      </c>
      <c r="W100">
        <v>0</v>
      </c>
      <c r="X100">
        <v>42.387623269672872</v>
      </c>
      <c r="Y100">
        <v>-71.861167365973316</v>
      </c>
      <c r="Z100">
        <v>231250.67</v>
      </c>
      <c r="AA100">
        <v>800431.4</v>
      </c>
      <c r="AB100">
        <v>128123</v>
      </c>
    </row>
    <row r="101" spans="1:28">
      <c r="A101" t="s">
        <v>927</v>
      </c>
      <c r="B101" s="1">
        <v>34729</v>
      </c>
      <c r="C101" s="1"/>
      <c r="D101" t="s">
        <v>928</v>
      </c>
      <c r="E101" t="s">
        <v>929</v>
      </c>
      <c r="F101" t="s">
        <v>930</v>
      </c>
      <c r="G101" t="s">
        <v>50</v>
      </c>
      <c r="H101" t="s">
        <v>931</v>
      </c>
      <c r="I101" t="s">
        <v>34</v>
      </c>
      <c r="J101" t="s">
        <v>932</v>
      </c>
      <c r="K101" t="s">
        <v>34</v>
      </c>
      <c r="L101" t="s">
        <v>34</v>
      </c>
      <c r="M101" t="s">
        <v>207</v>
      </c>
      <c r="N101" t="s">
        <v>38</v>
      </c>
      <c r="O101" t="s">
        <v>39</v>
      </c>
      <c r="P101" t="s">
        <v>54</v>
      </c>
      <c r="Q101" t="s">
        <v>208</v>
      </c>
      <c r="R101" t="s">
        <v>933</v>
      </c>
      <c r="S101" t="s">
        <v>810</v>
      </c>
      <c r="T101" t="s">
        <v>44</v>
      </c>
      <c r="U101" t="s">
        <v>58</v>
      </c>
      <c r="V101">
        <v>25017</v>
      </c>
      <c r="W101">
        <v>2472</v>
      </c>
      <c r="X101">
        <v>42.419053218028139</v>
      </c>
      <c r="Y101">
        <v>-71.222712210094812</v>
      </c>
      <c r="Z101">
        <v>8199.73</v>
      </c>
      <c r="AA101">
        <v>340850.37</v>
      </c>
      <c r="AB101">
        <v>9657</v>
      </c>
    </row>
    <row r="102" spans="1:28">
      <c r="A102" t="s">
        <v>934</v>
      </c>
      <c r="B102" s="1">
        <v>33076</v>
      </c>
      <c r="C102" s="1"/>
      <c r="D102" t="s">
        <v>935</v>
      </c>
      <c r="E102" t="s">
        <v>936</v>
      </c>
      <c r="F102" t="s">
        <v>937</v>
      </c>
      <c r="G102" t="s">
        <v>63</v>
      </c>
      <c r="H102" t="s">
        <v>938</v>
      </c>
      <c r="I102" t="s">
        <v>939</v>
      </c>
      <c r="J102" t="s">
        <v>533</v>
      </c>
      <c r="K102" t="s">
        <v>34</v>
      </c>
      <c r="L102" t="s">
        <v>940</v>
      </c>
      <c r="M102" t="s">
        <v>40</v>
      </c>
      <c r="N102" t="s">
        <v>38</v>
      </c>
      <c r="O102" t="s">
        <v>39</v>
      </c>
      <c r="P102" t="s">
        <v>54</v>
      </c>
      <c r="Q102" t="s">
        <v>941</v>
      </c>
      <c r="R102" t="s">
        <v>942</v>
      </c>
      <c r="S102" t="s">
        <v>943</v>
      </c>
      <c r="T102" t="s">
        <v>44</v>
      </c>
      <c r="U102" t="s">
        <v>439</v>
      </c>
      <c r="V102">
        <v>25003</v>
      </c>
      <c r="W102">
        <v>1240</v>
      </c>
      <c r="X102">
        <v>42.351476574034649</v>
      </c>
      <c r="Y102">
        <v>-73.315832259041372</v>
      </c>
      <c r="Z102">
        <v>10291.459999999999</v>
      </c>
      <c r="AA102">
        <v>743224.22</v>
      </c>
      <c r="AB102">
        <v>11593</v>
      </c>
    </row>
    <row r="103" spans="1:28">
      <c r="A103" t="s">
        <v>944</v>
      </c>
      <c r="B103" s="1">
        <v>34697</v>
      </c>
      <c r="C103" s="1"/>
      <c r="D103" t="s">
        <v>945</v>
      </c>
      <c r="E103" t="s">
        <v>946</v>
      </c>
      <c r="F103" t="s">
        <v>947</v>
      </c>
      <c r="G103" t="s">
        <v>63</v>
      </c>
      <c r="H103" t="s">
        <v>948</v>
      </c>
      <c r="I103" t="s">
        <v>249</v>
      </c>
      <c r="J103" t="s">
        <v>949</v>
      </c>
      <c r="K103" t="s">
        <v>34</v>
      </c>
      <c r="L103" t="s">
        <v>740</v>
      </c>
      <c r="M103" t="s">
        <v>40</v>
      </c>
      <c r="N103" t="s">
        <v>38</v>
      </c>
      <c r="O103" t="s">
        <v>39</v>
      </c>
      <c r="P103" t="s">
        <v>54</v>
      </c>
      <c r="Q103" t="s">
        <v>950</v>
      </c>
      <c r="R103" t="s">
        <v>951</v>
      </c>
      <c r="S103" t="s">
        <v>952</v>
      </c>
      <c r="T103" t="s">
        <v>44</v>
      </c>
      <c r="U103" t="s">
        <v>45</v>
      </c>
      <c r="W103">
        <v>0</v>
      </c>
      <c r="X103">
        <v>42.249626807358652</v>
      </c>
      <c r="Y103">
        <v>-71.940228642083028</v>
      </c>
      <c r="Z103">
        <v>193339.5</v>
      </c>
      <c r="AA103">
        <v>559768.98</v>
      </c>
      <c r="AB103">
        <v>146258</v>
      </c>
    </row>
    <row r="104" spans="1:28">
      <c r="A104" t="s">
        <v>953</v>
      </c>
      <c r="B104" s="1">
        <v>40832</v>
      </c>
      <c r="C104" s="1"/>
      <c r="D104" t="s">
        <v>954</v>
      </c>
      <c r="E104" t="s">
        <v>34</v>
      </c>
      <c r="F104" t="s">
        <v>34</v>
      </c>
      <c r="G104" t="s">
        <v>34</v>
      </c>
      <c r="H104" t="s">
        <v>955</v>
      </c>
      <c r="I104" t="s">
        <v>34</v>
      </c>
      <c r="J104" t="s">
        <v>956</v>
      </c>
      <c r="K104" t="s">
        <v>34</v>
      </c>
      <c r="L104" t="s">
        <v>34</v>
      </c>
      <c r="M104" t="s">
        <v>34</v>
      </c>
      <c r="N104" t="s">
        <v>38</v>
      </c>
      <c r="O104" t="s">
        <v>39</v>
      </c>
      <c r="P104" t="s">
        <v>54</v>
      </c>
      <c r="Q104" t="s">
        <v>957</v>
      </c>
      <c r="R104" t="s">
        <v>958</v>
      </c>
      <c r="S104" t="s">
        <v>290</v>
      </c>
      <c r="T104" t="s">
        <v>44</v>
      </c>
      <c r="U104" t="s">
        <v>58</v>
      </c>
      <c r="V104">
        <v>25017</v>
      </c>
      <c r="W104">
        <v>1852</v>
      </c>
      <c r="X104">
        <v>42.620370842434454</v>
      </c>
      <c r="Y104">
        <v>-71.30922815768335</v>
      </c>
      <c r="Z104">
        <v>38373.99</v>
      </c>
      <c r="AA104">
        <v>3765.18</v>
      </c>
      <c r="AB104">
        <v>181092</v>
      </c>
    </row>
    <row r="105" spans="1:28">
      <c r="A105" t="s">
        <v>959</v>
      </c>
      <c r="B105" s="1">
        <v>44057</v>
      </c>
      <c r="C105" s="1"/>
      <c r="D105" t="s">
        <v>960</v>
      </c>
      <c r="E105" t="s">
        <v>34</v>
      </c>
      <c r="F105" t="s">
        <v>34</v>
      </c>
      <c r="G105" t="s">
        <v>34</v>
      </c>
      <c r="H105" t="s">
        <v>961</v>
      </c>
      <c r="I105" t="s">
        <v>962</v>
      </c>
      <c r="J105" t="s">
        <v>963</v>
      </c>
      <c r="K105" t="s">
        <v>34</v>
      </c>
      <c r="L105" t="s">
        <v>34</v>
      </c>
      <c r="M105" t="s">
        <v>34</v>
      </c>
      <c r="N105" t="s">
        <v>38</v>
      </c>
      <c r="O105" t="s">
        <v>39</v>
      </c>
      <c r="P105" t="s">
        <v>40</v>
      </c>
      <c r="Q105" t="s">
        <v>964</v>
      </c>
      <c r="R105" t="s">
        <v>965</v>
      </c>
      <c r="S105" t="s">
        <v>966</v>
      </c>
      <c r="T105" t="s">
        <v>44</v>
      </c>
      <c r="U105" t="s">
        <v>244</v>
      </c>
      <c r="V105">
        <v>25023</v>
      </c>
      <c r="W105">
        <v>2351</v>
      </c>
      <c r="X105">
        <v>42.045240701430856</v>
      </c>
      <c r="Y105">
        <v>-71.020708361812808</v>
      </c>
      <c r="Z105">
        <v>10698.37</v>
      </c>
      <c r="AA105">
        <v>9129.6200000000008</v>
      </c>
      <c r="AB105">
        <v>81610</v>
      </c>
    </row>
    <row r="106" spans="1:28">
      <c r="A106" t="s">
        <v>967</v>
      </c>
      <c r="B106" s="1">
        <v>29485</v>
      </c>
      <c r="C106" s="1"/>
      <c r="D106" t="s">
        <v>968</v>
      </c>
      <c r="E106" t="s">
        <v>969</v>
      </c>
      <c r="F106" t="s">
        <v>970</v>
      </c>
      <c r="G106" t="s">
        <v>50</v>
      </c>
      <c r="H106" t="s">
        <v>971</v>
      </c>
      <c r="I106" t="s">
        <v>972</v>
      </c>
      <c r="J106" t="s">
        <v>973</v>
      </c>
      <c r="K106" t="s">
        <v>34</v>
      </c>
      <c r="L106" t="s">
        <v>34</v>
      </c>
      <c r="M106" t="s">
        <v>207</v>
      </c>
      <c r="N106" t="s">
        <v>38</v>
      </c>
      <c r="O106" t="s">
        <v>39</v>
      </c>
      <c r="P106" t="s">
        <v>54</v>
      </c>
      <c r="Q106" t="s">
        <v>390</v>
      </c>
      <c r="R106" t="s">
        <v>974</v>
      </c>
      <c r="S106" t="s">
        <v>975</v>
      </c>
      <c r="T106" t="s">
        <v>44</v>
      </c>
      <c r="U106" t="s">
        <v>244</v>
      </c>
      <c r="V106">
        <v>25023</v>
      </c>
      <c r="W106">
        <v>2050</v>
      </c>
      <c r="X106">
        <v>42.134720688555284</v>
      </c>
      <c r="Y106">
        <v>-70.673622585056933</v>
      </c>
      <c r="Z106">
        <v>698809.39</v>
      </c>
      <c r="AA106">
        <v>74789.33</v>
      </c>
      <c r="AB106">
        <v>45471</v>
      </c>
    </row>
    <row r="107" spans="1:28">
      <c r="A107" t="s">
        <v>976</v>
      </c>
      <c r="B107" s="1">
        <v>16356</v>
      </c>
      <c r="C107" s="1"/>
      <c r="D107" t="s">
        <v>977</v>
      </c>
      <c r="E107" t="s">
        <v>978</v>
      </c>
      <c r="F107" t="s">
        <v>979</v>
      </c>
      <c r="G107" t="s">
        <v>32</v>
      </c>
      <c r="H107" t="s">
        <v>980</v>
      </c>
      <c r="I107" t="s">
        <v>981</v>
      </c>
      <c r="J107" t="s">
        <v>982</v>
      </c>
      <c r="K107" t="s">
        <v>34</v>
      </c>
      <c r="L107" t="s">
        <v>34</v>
      </c>
      <c r="M107" t="s">
        <v>37</v>
      </c>
      <c r="N107" t="s">
        <v>38</v>
      </c>
      <c r="O107" t="s">
        <v>39</v>
      </c>
      <c r="P107" t="s">
        <v>40</v>
      </c>
      <c r="Q107" t="s">
        <v>983</v>
      </c>
      <c r="R107" t="s">
        <v>984</v>
      </c>
      <c r="S107" t="s">
        <v>90</v>
      </c>
      <c r="T107" t="s">
        <v>44</v>
      </c>
      <c r="U107" t="s">
        <v>91</v>
      </c>
      <c r="V107">
        <v>25025</v>
      </c>
      <c r="W107">
        <v>2114</v>
      </c>
      <c r="X107">
        <v>42.37098107981268</v>
      </c>
      <c r="Y107">
        <v>-71.110845178944885</v>
      </c>
      <c r="Z107">
        <v>355471.48</v>
      </c>
      <c r="AA107">
        <v>787323.1</v>
      </c>
      <c r="AB107">
        <v>105055</v>
      </c>
    </row>
    <row r="108" spans="1:28">
      <c r="A108" t="s">
        <v>985</v>
      </c>
      <c r="B108" s="1">
        <v>31381</v>
      </c>
      <c r="C108" s="1"/>
      <c r="D108" t="s">
        <v>986</v>
      </c>
      <c r="E108" t="s">
        <v>987</v>
      </c>
      <c r="F108" t="s">
        <v>988</v>
      </c>
      <c r="G108" t="s">
        <v>63</v>
      </c>
      <c r="H108" t="s">
        <v>989</v>
      </c>
      <c r="I108" t="s">
        <v>990</v>
      </c>
      <c r="J108" t="s">
        <v>581</v>
      </c>
      <c r="K108" t="s">
        <v>34</v>
      </c>
      <c r="L108" t="s">
        <v>991</v>
      </c>
      <c r="M108" t="s">
        <v>40</v>
      </c>
      <c r="N108" t="s">
        <v>38</v>
      </c>
      <c r="O108" t="s">
        <v>39</v>
      </c>
      <c r="P108" t="s">
        <v>54</v>
      </c>
      <c r="Q108" t="s">
        <v>992</v>
      </c>
      <c r="R108" t="s">
        <v>993</v>
      </c>
      <c r="S108" t="s">
        <v>70</v>
      </c>
      <c r="T108" t="s">
        <v>44</v>
      </c>
      <c r="U108" t="s">
        <v>71</v>
      </c>
      <c r="V108">
        <v>25021</v>
      </c>
      <c r="W108">
        <v>2186</v>
      </c>
      <c r="X108">
        <v>42.214215395781366</v>
      </c>
      <c r="Y108">
        <v>-71.016935950839851</v>
      </c>
      <c r="Z108">
        <v>222773.48</v>
      </c>
      <c r="AA108">
        <v>322200.98</v>
      </c>
      <c r="AB108">
        <v>70798</v>
      </c>
    </row>
    <row r="109" spans="1:28">
      <c r="A109" t="s">
        <v>994</v>
      </c>
      <c r="B109" s="1">
        <v>26748</v>
      </c>
      <c r="C109" s="1"/>
      <c r="D109" t="s">
        <v>995</v>
      </c>
      <c r="E109" t="s">
        <v>996</v>
      </c>
      <c r="F109" t="s">
        <v>997</v>
      </c>
      <c r="G109" t="s">
        <v>32</v>
      </c>
      <c r="H109" t="s">
        <v>998</v>
      </c>
      <c r="I109" t="s">
        <v>999</v>
      </c>
      <c r="J109" t="s">
        <v>76</v>
      </c>
      <c r="K109" t="s">
        <v>34</v>
      </c>
      <c r="L109" t="s">
        <v>34</v>
      </c>
      <c r="M109" t="s">
        <v>40</v>
      </c>
      <c r="N109" t="s">
        <v>87</v>
      </c>
      <c r="O109" t="s">
        <v>39</v>
      </c>
      <c r="P109" t="s">
        <v>40</v>
      </c>
      <c r="Q109" t="s">
        <v>68</v>
      </c>
      <c r="R109" t="s">
        <v>1000</v>
      </c>
      <c r="S109" t="s">
        <v>1001</v>
      </c>
      <c r="T109" t="s">
        <v>44</v>
      </c>
      <c r="U109" t="s">
        <v>119</v>
      </c>
      <c r="V109">
        <v>25009</v>
      </c>
      <c r="W109">
        <v>1810</v>
      </c>
      <c r="X109">
        <v>42.6696266710046</v>
      </c>
      <c r="Y109">
        <v>-71.123361770934025</v>
      </c>
      <c r="Z109">
        <v>212085.46</v>
      </c>
      <c r="AA109">
        <v>218037.69</v>
      </c>
      <c r="AB109">
        <v>120467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6199A-5F62-401D-8EF2-9277A52BD1E2}">
  <dimension ref="A1:O5572"/>
  <sheetViews>
    <sheetView topLeftCell="A2" workbookViewId="0">
      <selection activeCell="A15" sqref="A15"/>
    </sheetView>
  </sheetViews>
  <sheetFormatPr defaultRowHeight="14.5"/>
  <cols>
    <col min="1" max="1" width="35.90625" bestFit="1" customWidth="1"/>
    <col min="2" max="3" width="15.08984375" bestFit="1" customWidth="1"/>
    <col min="4" max="7" width="35.90625" bestFit="1" customWidth="1"/>
    <col min="8" max="8" width="19.08984375" bestFit="1" customWidth="1"/>
    <col min="9" max="9" width="11.81640625" bestFit="1" customWidth="1"/>
    <col min="10" max="10" width="60.54296875" bestFit="1" customWidth="1"/>
    <col min="11" max="11" width="24.26953125" bestFit="1" customWidth="1"/>
    <col min="12" max="12" width="19.81640625" bestFit="1" customWidth="1"/>
    <col min="13" max="13" width="18.6328125" bestFit="1" customWidth="1"/>
    <col min="14" max="14" width="14.81640625" bestFit="1" customWidth="1"/>
    <col min="15" max="15" width="65.453125" bestFit="1" customWidth="1"/>
  </cols>
  <sheetData>
    <row r="1" spans="1:15">
      <c r="A1" t="s">
        <v>0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J1" t="s">
        <v>1010</v>
      </c>
      <c r="K1" t="s">
        <v>1011</v>
      </c>
      <c r="L1" t="s">
        <v>1012</v>
      </c>
      <c r="M1" t="s">
        <v>1013</v>
      </c>
      <c r="N1" t="s">
        <v>1014</v>
      </c>
      <c r="O1" t="s">
        <v>1015</v>
      </c>
    </row>
    <row r="2" spans="1:15">
      <c r="A2" t="s">
        <v>1016</v>
      </c>
      <c r="B2" s="2">
        <v>35135.149722222224</v>
      </c>
      <c r="C2" s="2">
        <v>35135.181631944448</v>
      </c>
      <c r="D2" t="s">
        <v>28</v>
      </c>
      <c r="E2" t="s">
        <v>1017</v>
      </c>
      <c r="F2" t="s">
        <v>1018</v>
      </c>
      <c r="G2" t="s">
        <v>1019</v>
      </c>
      <c r="H2" t="s">
        <v>1020</v>
      </c>
      <c r="I2">
        <v>162673000</v>
      </c>
      <c r="J2" t="s">
        <v>1021</v>
      </c>
      <c r="K2">
        <v>136.80000000000001</v>
      </c>
      <c r="L2">
        <v>704.2</v>
      </c>
      <c r="M2">
        <v>0</v>
      </c>
      <c r="O2" t="s">
        <v>34</v>
      </c>
    </row>
    <row r="3" spans="1:15">
      <c r="A3" t="s">
        <v>1022</v>
      </c>
      <c r="B3" s="2">
        <v>38803.149722222224</v>
      </c>
      <c r="C3" s="2">
        <v>38803.187222222223</v>
      </c>
      <c r="D3" t="s">
        <v>28</v>
      </c>
      <c r="E3" t="s">
        <v>1017</v>
      </c>
      <c r="F3" t="s">
        <v>1018</v>
      </c>
      <c r="G3" t="s">
        <v>1023</v>
      </c>
      <c r="H3" t="s">
        <v>1020</v>
      </c>
      <c r="I3">
        <v>162673000</v>
      </c>
      <c r="J3" t="s">
        <v>1021</v>
      </c>
      <c r="K3">
        <v>136.80000000000001</v>
      </c>
      <c r="L3">
        <v>1300.9100000000001</v>
      </c>
      <c r="M3">
        <v>0</v>
      </c>
      <c r="O3" t="s">
        <v>34</v>
      </c>
    </row>
    <row r="4" spans="1:15">
      <c r="A4" t="s">
        <v>1024</v>
      </c>
      <c r="B4" s="2">
        <v>39902.191388888888</v>
      </c>
      <c r="C4" s="2">
        <v>39902.225856481484</v>
      </c>
      <c r="D4" t="s">
        <v>28</v>
      </c>
      <c r="E4" t="s">
        <v>1017</v>
      </c>
      <c r="F4" t="s">
        <v>1018</v>
      </c>
      <c r="G4" t="s">
        <v>1023</v>
      </c>
      <c r="H4" t="s">
        <v>1020</v>
      </c>
      <c r="I4">
        <v>162673000</v>
      </c>
      <c r="J4" t="s">
        <v>1021</v>
      </c>
      <c r="K4">
        <v>136.80000000000001</v>
      </c>
      <c r="L4">
        <v>1275.5</v>
      </c>
      <c r="M4">
        <v>0</v>
      </c>
      <c r="O4" t="s">
        <v>34</v>
      </c>
    </row>
    <row r="5" spans="1:15">
      <c r="A5" t="s">
        <v>1025</v>
      </c>
      <c r="B5" s="2">
        <v>41001.191388888888</v>
      </c>
      <c r="C5" s="2">
        <v>41001.220868055556</v>
      </c>
      <c r="D5" t="s">
        <v>28</v>
      </c>
      <c r="E5" t="s">
        <v>1017</v>
      </c>
      <c r="F5" t="s">
        <v>1018</v>
      </c>
      <c r="G5" t="s">
        <v>1026</v>
      </c>
      <c r="H5" t="s">
        <v>1020</v>
      </c>
      <c r="I5">
        <v>162673000</v>
      </c>
      <c r="J5" t="s">
        <v>1021</v>
      </c>
      <c r="K5">
        <v>136.80000000000001</v>
      </c>
      <c r="L5">
        <v>934.74</v>
      </c>
      <c r="M5">
        <v>0</v>
      </c>
      <c r="O5" t="s">
        <v>34</v>
      </c>
    </row>
    <row r="6" spans="1:15">
      <c r="A6" t="s">
        <v>1027</v>
      </c>
      <c r="B6" s="2">
        <v>42100.191388888888</v>
      </c>
      <c r="C6" s="2">
        <v>42100.213495370372</v>
      </c>
      <c r="D6" t="s">
        <v>28</v>
      </c>
      <c r="E6" t="s">
        <v>1017</v>
      </c>
      <c r="F6" t="s">
        <v>1018</v>
      </c>
      <c r="G6" t="s">
        <v>1026</v>
      </c>
      <c r="H6" t="s">
        <v>1020</v>
      </c>
      <c r="I6">
        <v>162673000</v>
      </c>
      <c r="J6" t="s">
        <v>1021</v>
      </c>
      <c r="K6">
        <v>136.80000000000001</v>
      </c>
      <c r="L6">
        <v>860.16</v>
      </c>
      <c r="M6">
        <v>0</v>
      </c>
      <c r="O6" t="s">
        <v>34</v>
      </c>
    </row>
    <row r="7" spans="1:15">
      <c r="A7" t="s">
        <v>1028</v>
      </c>
      <c r="B7" s="2">
        <v>42457.024722222224</v>
      </c>
      <c r="C7" s="2">
        <v>42457.036215277774</v>
      </c>
      <c r="D7" t="s">
        <v>28</v>
      </c>
      <c r="E7" t="s">
        <v>1029</v>
      </c>
      <c r="F7" t="s">
        <v>1030</v>
      </c>
      <c r="G7" t="s">
        <v>1026</v>
      </c>
      <c r="H7" t="s">
        <v>1031</v>
      </c>
      <c r="I7">
        <v>185345009</v>
      </c>
      <c r="J7" t="s">
        <v>1032</v>
      </c>
      <c r="K7">
        <v>85.55</v>
      </c>
      <c r="L7">
        <v>13218.36</v>
      </c>
      <c r="M7">
        <v>4341.54</v>
      </c>
      <c r="N7">
        <v>10509002</v>
      </c>
      <c r="O7" t="s">
        <v>1033</v>
      </c>
    </row>
    <row r="8" spans="1:15">
      <c r="A8" t="s">
        <v>1034</v>
      </c>
      <c r="B8" s="2">
        <v>42668.233055555553</v>
      </c>
      <c r="C8" s="2">
        <v>42668.243472222224</v>
      </c>
      <c r="D8" t="s">
        <v>28</v>
      </c>
      <c r="E8" t="s">
        <v>1029</v>
      </c>
      <c r="F8" t="s">
        <v>1030</v>
      </c>
      <c r="G8" t="s">
        <v>1026</v>
      </c>
      <c r="H8" t="s">
        <v>1031</v>
      </c>
      <c r="I8">
        <v>185345009</v>
      </c>
      <c r="J8" t="s">
        <v>1032</v>
      </c>
      <c r="K8">
        <v>85.55</v>
      </c>
      <c r="L8">
        <v>85.55</v>
      </c>
      <c r="M8">
        <v>85.55</v>
      </c>
      <c r="N8">
        <v>444814009</v>
      </c>
      <c r="O8" t="s">
        <v>1035</v>
      </c>
    </row>
    <row r="9" spans="1:15">
      <c r="A9" t="s">
        <v>1036</v>
      </c>
      <c r="B9" s="2">
        <v>43122.149722222224</v>
      </c>
      <c r="C9" s="2">
        <v>43122.190381944441</v>
      </c>
      <c r="D9" t="s">
        <v>28</v>
      </c>
      <c r="E9" t="s">
        <v>1017</v>
      </c>
      <c r="F9" t="s">
        <v>1018</v>
      </c>
      <c r="G9" t="s">
        <v>1026</v>
      </c>
      <c r="H9" t="s">
        <v>1020</v>
      </c>
      <c r="I9">
        <v>162673000</v>
      </c>
      <c r="J9" t="s">
        <v>1021</v>
      </c>
      <c r="K9">
        <v>136.80000000000001</v>
      </c>
      <c r="L9">
        <v>1211.8599999999999</v>
      </c>
      <c r="M9">
        <v>0</v>
      </c>
      <c r="O9" t="s">
        <v>34</v>
      </c>
    </row>
    <row r="10" spans="1:15">
      <c r="A10" t="s">
        <v>1037</v>
      </c>
      <c r="B10" s="2">
        <v>43136.149722222224</v>
      </c>
      <c r="C10" s="2">
        <v>43136.329027777778</v>
      </c>
      <c r="D10" t="s">
        <v>28</v>
      </c>
      <c r="E10" t="s">
        <v>1029</v>
      </c>
      <c r="F10" t="s">
        <v>1030</v>
      </c>
      <c r="G10" t="s">
        <v>1026</v>
      </c>
      <c r="H10" t="s">
        <v>1031</v>
      </c>
      <c r="I10">
        <v>185349003</v>
      </c>
      <c r="J10" t="s">
        <v>1038</v>
      </c>
      <c r="K10">
        <v>85.55</v>
      </c>
      <c r="L10">
        <v>3968.15</v>
      </c>
      <c r="M10">
        <v>0</v>
      </c>
      <c r="N10">
        <v>103697008</v>
      </c>
      <c r="O10" t="s">
        <v>1039</v>
      </c>
    </row>
    <row r="11" spans="1:15">
      <c r="A11" t="s">
        <v>1040</v>
      </c>
      <c r="B11" s="2">
        <v>43857.149722222224</v>
      </c>
      <c r="C11" s="2">
        <v>43857.172199074077</v>
      </c>
      <c r="D11" t="s">
        <v>28</v>
      </c>
      <c r="E11" t="s">
        <v>1017</v>
      </c>
      <c r="F11" t="s">
        <v>1018</v>
      </c>
      <c r="G11" t="s">
        <v>1026</v>
      </c>
      <c r="H11" t="s">
        <v>1020</v>
      </c>
      <c r="I11">
        <v>162673000</v>
      </c>
      <c r="J11" t="s">
        <v>1021</v>
      </c>
      <c r="K11">
        <v>136.80000000000001</v>
      </c>
      <c r="L11">
        <v>1347.86</v>
      </c>
      <c r="M11">
        <v>0</v>
      </c>
      <c r="O11" t="s">
        <v>34</v>
      </c>
    </row>
    <row r="12" spans="1:15">
      <c r="A12" t="s">
        <v>1041</v>
      </c>
      <c r="B12" s="2">
        <v>43871.149722222224</v>
      </c>
      <c r="C12" s="2">
        <v>43871.287488425929</v>
      </c>
      <c r="D12" t="s">
        <v>28</v>
      </c>
      <c r="E12" t="s">
        <v>1029</v>
      </c>
      <c r="F12" t="s">
        <v>1030</v>
      </c>
      <c r="G12" t="s">
        <v>1026</v>
      </c>
      <c r="H12" t="s">
        <v>1031</v>
      </c>
      <c r="I12">
        <v>185349003</v>
      </c>
      <c r="J12" t="s">
        <v>1038</v>
      </c>
      <c r="K12">
        <v>85.55</v>
      </c>
      <c r="L12">
        <v>3536.75</v>
      </c>
      <c r="M12">
        <v>0</v>
      </c>
      <c r="N12">
        <v>103697008</v>
      </c>
      <c r="O12" t="s">
        <v>1039</v>
      </c>
    </row>
    <row r="13" spans="1:15">
      <c r="A13" t="s">
        <v>1042</v>
      </c>
      <c r="B13" s="2">
        <v>44487.191388888888</v>
      </c>
      <c r="C13" s="2">
        <v>44487.201805555553</v>
      </c>
      <c r="D13" t="s">
        <v>28</v>
      </c>
      <c r="E13" t="s">
        <v>1029</v>
      </c>
      <c r="F13" t="s">
        <v>1030</v>
      </c>
      <c r="G13" t="s">
        <v>1026</v>
      </c>
      <c r="H13" t="s">
        <v>1043</v>
      </c>
      <c r="I13">
        <v>33879002</v>
      </c>
      <c r="J13" t="s">
        <v>1044</v>
      </c>
      <c r="K13">
        <v>142.58000000000001</v>
      </c>
      <c r="L13">
        <v>278.58</v>
      </c>
      <c r="M13">
        <v>0</v>
      </c>
      <c r="O13" t="s">
        <v>34</v>
      </c>
    </row>
    <row r="14" spans="1:15">
      <c r="A14" t="s">
        <v>1045</v>
      </c>
      <c r="B14" s="2">
        <v>44508.149722222224</v>
      </c>
      <c r="C14" s="2">
        <v>44508.160138888888</v>
      </c>
      <c r="D14" t="s">
        <v>28</v>
      </c>
      <c r="E14" t="s">
        <v>1029</v>
      </c>
      <c r="F14" t="s">
        <v>1030</v>
      </c>
      <c r="G14" t="s">
        <v>1026</v>
      </c>
      <c r="H14" t="s">
        <v>1043</v>
      </c>
      <c r="I14">
        <v>33879002</v>
      </c>
      <c r="J14" t="s">
        <v>1044</v>
      </c>
      <c r="K14">
        <v>142.58000000000001</v>
      </c>
      <c r="L14">
        <v>278.58</v>
      </c>
      <c r="M14">
        <v>0</v>
      </c>
      <c r="O14" t="s">
        <v>34</v>
      </c>
    </row>
    <row r="15" spans="1:15">
      <c r="A15" t="s">
        <v>1046</v>
      </c>
      <c r="B15" s="2">
        <v>44592.149722222224</v>
      </c>
      <c r="C15" s="2">
        <v>44592.191064814811</v>
      </c>
      <c r="D15" t="s">
        <v>28</v>
      </c>
      <c r="E15" t="s">
        <v>1017</v>
      </c>
      <c r="F15" t="s">
        <v>1018</v>
      </c>
      <c r="G15" t="s">
        <v>1026</v>
      </c>
      <c r="H15" t="s">
        <v>1020</v>
      </c>
      <c r="I15">
        <v>162673000</v>
      </c>
      <c r="J15" t="s">
        <v>1021</v>
      </c>
      <c r="K15">
        <v>136.80000000000001</v>
      </c>
      <c r="L15">
        <v>785.58</v>
      </c>
      <c r="M15">
        <v>0</v>
      </c>
      <c r="O15" t="s">
        <v>34</v>
      </c>
    </row>
    <row r="16" spans="1:15">
      <c r="A16" t="s">
        <v>1047</v>
      </c>
      <c r="B16" s="2">
        <v>44606.149722222224</v>
      </c>
      <c r="C16" s="2">
        <v>44606.285787037035</v>
      </c>
      <c r="D16" t="s">
        <v>28</v>
      </c>
      <c r="E16" t="s">
        <v>1029</v>
      </c>
      <c r="F16" t="s">
        <v>1030</v>
      </c>
      <c r="G16" t="s">
        <v>1026</v>
      </c>
      <c r="H16" t="s">
        <v>1031</v>
      </c>
      <c r="I16">
        <v>185349003</v>
      </c>
      <c r="J16" t="s">
        <v>1038</v>
      </c>
      <c r="K16">
        <v>85.55</v>
      </c>
      <c r="L16">
        <v>3105.35</v>
      </c>
      <c r="M16">
        <v>0</v>
      </c>
      <c r="N16">
        <v>103697008</v>
      </c>
      <c r="O16" t="s">
        <v>1039</v>
      </c>
    </row>
    <row r="17" spans="1:15">
      <c r="A17" t="s">
        <v>1048</v>
      </c>
      <c r="B17" s="2">
        <v>45327.149722222224</v>
      </c>
      <c r="C17" s="2">
        <v>45327.191076388888</v>
      </c>
      <c r="D17" t="s">
        <v>28</v>
      </c>
      <c r="E17" t="s">
        <v>1017</v>
      </c>
      <c r="F17" t="s">
        <v>1018</v>
      </c>
      <c r="G17" t="s">
        <v>1023</v>
      </c>
      <c r="H17" t="s">
        <v>1020</v>
      </c>
      <c r="I17">
        <v>162673000</v>
      </c>
      <c r="J17" t="s">
        <v>1021</v>
      </c>
      <c r="K17">
        <v>136.80000000000001</v>
      </c>
      <c r="L17">
        <v>934.74</v>
      </c>
      <c r="M17">
        <v>0</v>
      </c>
      <c r="O17" t="s">
        <v>34</v>
      </c>
    </row>
    <row r="18" spans="1:15">
      <c r="A18" t="s">
        <v>1049</v>
      </c>
      <c r="B18" s="2">
        <v>45990.358055555553</v>
      </c>
      <c r="C18" s="2">
        <v>45990.368472222224</v>
      </c>
      <c r="D18" t="s">
        <v>28</v>
      </c>
      <c r="E18" t="s">
        <v>1029</v>
      </c>
      <c r="F18" t="s">
        <v>1030</v>
      </c>
      <c r="G18" t="s">
        <v>1023</v>
      </c>
      <c r="H18" t="s">
        <v>1031</v>
      </c>
      <c r="I18">
        <v>185345009</v>
      </c>
      <c r="J18" t="s">
        <v>1032</v>
      </c>
      <c r="K18">
        <v>85.55</v>
      </c>
      <c r="L18">
        <v>85.55</v>
      </c>
      <c r="M18">
        <v>0</v>
      </c>
      <c r="N18">
        <v>444814009</v>
      </c>
      <c r="O18" t="s">
        <v>1035</v>
      </c>
    </row>
    <row r="19" spans="1:15">
      <c r="A19" t="s">
        <v>1050</v>
      </c>
      <c r="B19" s="2">
        <v>46062.149722222224</v>
      </c>
      <c r="C19" s="2">
        <v>46062.186921296299</v>
      </c>
      <c r="D19" t="s">
        <v>28</v>
      </c>
      <c r="E19" t="s">
        <v>1017</v>
      </c>
      <c r="F19" t="s">
        <v>1018</v>
      </c>
      <c r="G19" t="s">
        <v>1023</v>
      </c>
      <c r="H19" t="s">
        <v>1020</v>
      </c>
      <c r="I19">
        <v>162673000</v>
      </c>
      <c r="J19" t="s">
        <v>1021</v>
      </c>
      <c r="K19">
        <v>136.80000000000001</v>
      </c>
      <c r="L19">
        <v>778.78</v>
      </c>
      <c r="M19">
        <v>0</v>
      </c>
      <c r="O19" t="s">
        <v>34</v>
      </c>
    </row>
    <row r="20" spans="1:15">
      <c r="A20" t="s">
        <v>1051</v>
      </c>
      <c r="B20" s="2">
        <v>42448.986840277779</v>
      </c>
      <c r="C20" s="2">
        <v>42448.997256944444</v>
      </c>
      <c r="D20" t="s">
        <v>46</v>
      </c>
      <c r="E20" t="s">
        <v>1052</v>
      </c>
      <c r="F20" t="s">
        <v>1053</v>
      </c>
      <c r="G20" t="s">
        <v>1023</v>
      </c>
      <c r="H20" t="s">
        <v>1020</v>
      </c>
      <c r="I20">
        <v>410620009</v>
      </c>
      <c r="J20" t="s">
        <v>1054</v>
      </c>
      <c r="K20">
        <v>136.80000000000001</v>
      </c>
      <c r="L20">
        <v>704.2</v>
      </c>
      <c r="M20">
        <v>0</v>
      </c>
      <c r="O20" t="s">
        <v>34</v>
      </c>
    </row>
    <row r="21" spans="1:15">
      <c r="A21" t="s">
        <v>1055</v>
      </c>
      <c r="B21" s="2">
        <v>42819.986840277779</v>
      </c>
      <c r="C21" s="2">
        <v>42819.997256944444</v>
      </c>
      <c r="D21" t="s">
        <v>46</v>
      </c>
      <c r="E21" t="s">
        <v>1052</v>
      </c>
      <c r="F21" t="s">
        <v>1053</v>
      </c>
      <c r="G21" t="s">
        <v>1023</v>
      </c>
      <c r="H21" t="s">
        <v>1020</v>
      </c>
      <c r="I21">
        <v>410620009</v>
      </c>
      <c r="J21" t="s">
        <v>1054</v>
      </c>
      <c r="K21">
        <v>136.80000000000001</v>
      </c>
      <c r="L21">
        <v>914.78</v>
      </c>
      <c r="M21">
        <v>0</v>
      </c>
      <c r="O21" t="s">
        <v>34</v>
      </c>
    </row>
    <row r="22" spans="1:15">
      <c r="A22" t="s">
        <v>1056</v>
      </c>
      <c r="B22" s="2">
        <v>43015.986840277779</v>
      </c>
      <c r="C22" s="2">
        <v>43015.997256944444</v>
      </c>
      <c r="D22" t="s">
        <v>46</v>
      </c>
      <c r="E22" t="s">
        <v>1057</v>
      </c>
      <c r="F22" t="s">
        <v>1058</v>
      </c>
      <c r="G22" t="s">
        <v>1023</v>
      </c>
      <c r="H22" t="s">
        <v>1031</v>
      </c>
      <c r="I22">
        <v>424441002</v>
      </c>
      <c r="J22" t="s">
        <v>1059</v>
      </c>
      <c r="K22">
        <v>142.58000000000001</v>
      </c>
      <c r="L22">
        <v>34696.559999999998</v>
      </c>
      <c r="M22">
        <v>27322.67</v>
      </c>
      <c r="N22">
        <v>72892002</v>
      </c>
      <c r="O22" t="s">
        <v>1060</v>
      </c>
    </row>
    <row r="23" spans="1:15">
      <c r="A23" t="s">
        <v>1061</v>
      </c>
      <c r="B23" s="2">
        <v>43043.986840277779</v>
      </c>
      <c r="C23" s="2">
        <v>43043.997256944444</v>
      </c>
      <c r="D23" t="s">
        <v>46</v>
      </c>
      <c r="E23" t="s">
        <v>1057</v>
      </c>
      <c r="F23" t="s">
        <v>1058</v>
      </c>
      <c r="G23" t="s">
        <v>1023</v>
      </c>
      <c r="H23" t="s">
        <v>1031</v>
      </c>
      <c r="I23">
        <v>424619006</v>
      </c>
      <c r="J23" t="s">
        <v>1062</v>
      </c>
      <c r="K23">
        <v>142.58000000000001</v>
      </c>
      <c r="L23">
        <v>10048.06</v>
      </c>
      <c r="M23">
        <v>8038.44</v>
      </c>
      <c r="N23">
        <v>72892002</v>
      </c>
      <c r="O23" t="s">
        <v>1060</v>
      </c>
    </row>
    <row r="24" spans="1:15">
      <c r="A24" t="s">
        <v>1063</v>
      </c>
      <c r="B24" s="2">
        <v>43071.945173611108</v>
      </c>
      <c r="C24" s="2">
        <v>43071.955590277779</v>
      </c>
      <c r="D24" t="s">
        <v>46</v>
      </c>
      <c r="E24" t="s">
        <v>1057</v>
      </c>
      <c r="F24" t="s">
        <v>1058</v>
      </c>
      <c r="G24" t="s">
        <v>1023</v>
      </c>
      <c r="H24" t="s">
        <v>1031</v>
      </c>
      <c r="I24">
        <v>424619006</v>
      </c>
      <c r="J24" t="s">
        <v>1062</v>
      </c>
      <c r="K24">
        <v>142.58000000000001</v>
      </c>
      <c r="L24">
        <v>16073.89</v>
      </c>
      <c r="M24">
        <v>16073.89</v>
      </c>
      <c r="N24">
        <v>72892002</v>
      </c>
      <c r="O24" t="s">
        <v>1060</v>
      </c>
    </row>
    <row r="25" spans="1:15">
      <c r="A25" t="s">
        <v>1064</v>
      </c>
      <c r="B25" s="2">
        <v>43099.945173611108</v>
      </c>
      <c r="C25" s="2">
        <v>43099.955590277779</v>
      </c>
      <c r="D25" t="s">
        <v>46</v>
      </c>
      <c r="E25" t="s">
        <v>1057</v>
      </c>
      <c r="F25" t="s">
        <v>1058</v>
      </c>
      <c r="G25" t="s">
        <v>1023</v>
      </c>
      <c r="H25" t="s">
        <v>1031</v>
      </c>
      <c r="I25">
        <v>424619006</v>
      </c>
      <c r="J25" t="s">
        <v>1062</v>
      </c>
      <c r="K25">
        <v>142.58000000000001</v>
      </c>
      <c r="L25">
        <v>11046.15</v>
      </c>
      <c r="M25">
        <v>11046.15</v>
      </c>
      <c r="N25">
        <v>72892002</v>
      </c>
      <c r="O25" t="s">
        <v>1060</v>
      </c>
    </row>
    <row r="26" spans="1:15">
      <c r="A26" t="s">
        <v>1065</v>
      </c>
      <c r="B26" s="2">
        <v>43127.945173611108</v>
      </c>
      <c r="C26" s="2">
        <v>43127.955590277779</v>
      </c>
      <c r="D26" t="s">
        <v>46</v>
      </c>
      <c r="E26" t="s">
        <v>1057</v>
      </c>
      <c r="F26" t="s">
        <v>1058</v>
      </c>
      <c r="G26" t="s">
        <v>1023</v>
      </c>
      <c r="H26" t="s">
        <v>1031</v>
      </c>
      <c r="I26">
        <v>424619006</v>
      </c>
      <c r="J26" t="s">
        <v>1062</v>
      </c>
      <c r="K26">
        <v>142.58000000000001</v>
      </c>
      <c r="L26">
        <v>12619.2</v>
      </c>
      <c r="M26">
        <v>12619.2</v>
      </c>
      <c r="N26">
        <v>72892002</v>
      </c>
      <c r="O26" t="s">
        <v>1060</v>
      </c>
    </row>
    <row r="27" spans="1:15">
      <c r="A27" t="s">
        <v>1066</v>
      </c>
      <c r="B27" s="2">
        <v>43155.945173611108</v>
      </c>
      <c r="C27" s="2">
        <v>43155.955590277779</v>
      </c>
      <c r="D27" t="s">
        <v>46</v>
      </c>
      <c r="E27" t="s">
        <v>1057</v>
      </c>
      <c r="F27" t="s">
        <v>1058</v>
      </c>
      <c r="G27" t="s">
        <v>1023</v>
      </c>
      <c r="H27" t="s">
        <v>1031</v>
      </c>
      <c r="I27">
        <v>424619006</v>
      </c>
      <c r="J27" t="s">
        <v>1062</v>
      </c>
      <c r="K27">
        <v>142.58000000000001</v>
      </c>
      <c r="L27">
        <v>15661.8</v>
      </c>
      <c r="M27">
        <v>11363.04</v>
      </c>
      <c r="N27">
        <v>72892002</v>
      </c>
      <c r="O27" t="s">
        <v>1060</v>
      </c>
    </row>
    <row r="28" spans="1:15">
      <c r="A28" t="s">
        <v>1067</v>
      </c>
      <c r="B28" s="2">
        <v>43183.986840277779</v>
      </c>
      <c r="C28" s="2">
        <v>43183.997256944444</v>
      </c>
      <c r="D28" t="s">
        <v>46</v>
      </c>
      <c r="E28" t="s">
        <v>1057</v>
      </c>
      <c r="F28" t="s">
        <v>1058</v>
      </c>
      <c r="G28" t="s">
        <v>1023</v>
      </c>
      <c r="H28" t="s">
        <v>1031</v>
      </c>
      <c r="I28">
        <v>424619006</v>
      </c>
      <c r="J28" t="s">
        <v>1062</v>
      </c>
      <c r="K28">
        <v>142.58000000000001</v>
      </c>
      <c r="L28">
        <v>15125.45</v>
      </c>
      <c r="M28">
        <v>12100.36</v>
      </c>
      <c r="N28">
        <v>72892002</v>
      </c>
      <c r="O28" t="s">
        <v>1060</v>
      </c>
    </row>
    <row r="29" spans="1:15">
      <c r="A29" t="s">
        <v>1068</v>
      </c>
      <c r="B29" s="2">
        <v>43190.986840277779</v>
      </c>
      <c r="C29" s="2">
        <v>43191.014641203707</v>
      </c>
      <c r="D29" t="s">
        <v>46</v>
      </c>
      <c r="E29" t="s">
        <v>1052</v>
      </c>
      <c r="F29" t="s">
        <v>1053</v>
      </c>
      <c r="G29" t="s">
        <v>1023</v>
      </c>
      <c r="H29" t="s">
        <v>1020</v>
      </c>
      <c r="I29">
        <v>410620009</v>
      </c>
      <c r="J29" t="s">
        <v>1054</v>
      </c>
      <c r="K29">
        <v>136.80000000000001</v>
      </c>
      <c r="L29">
        <v>704.2</v>
      </c>
      <c r="M29">
        <v>563.36</v>
      </c>
      <c r="O29" t="s">
        <v>34</v>
      </c>
    </row>
    <row r="30" spans="1:15">
      <c r="A30" t="s">
        <v>1069</v>
      </c>
      <c r="B30" s="2">
        <v>43211.986840277779</v>
      </c>
      <c r="C30" s="2">
        <v>43211.997256944444</v>
      </c>
      <c r="D30" t="s">
        <v>46</v>
      </c>
      <c r="E30" t="s">
        <v>1057</v>
      </c>
      <c r="F30" t="s">
        <v>1058</v>
      </c>
      <c r="G30" t="s">
        <v>1023</v>
      </c>
      <c r="H30" t="s">
        <v>1031</v>
      </c>
      <c r="I30">
        <v>424619006</v>
      </c>
      <c r="J30" t="s">
        <v>1062</v>
      </c>
      <c r="K30">
        <v>142.58000000000001</v>
      </c>
      <c r="L30">
        <v>8420.2000000000007</v>
      </c>
      <c r="M30">
        <v>6736.16</v>
      </c>
      <c r="N30">
        <v>72892002</v>
      </c>
      <c r="O30" t="s">
        <v>1060</v>
      </c>
    </row>
    <row r="31" spans="1:15">
      <c r="A31" t="s">
        <v>1070</v>
      </c>
      <c r="B31" s="2">
        <v>43225.986840277779</v>
      </c>
      <c r="C31" s="2">
        <v>43225.997256944444</v>
      </c>
      <c r="D31" t="s">
        <v>46</v>
      </c>
      <c r="E31" t="s">
        <v>1057</v>
      </c>
      <c r="F31" t="s">
        <v>1058</v>
      </c>
      <c r="G31" t="s">
        <v>1023</v>
      </c>
      <c r="H31" t="s">
        <v>1031</v>
      </c>
      <c r="I31">
        <v>424619006</v>
      </c>
      <c r="J31" t="s">
        <v>1062</v>
      </c>
      <c r="K31">
        <v>142.58000000000001</v>
      </c>
      <c r="L31">
        <v>14081.91</v>
      </c>
      <c r="M31">
        <v>14081.91</v>
      </c>
      <c r="N31">
        <v>72892002</v>
      </c>
      <c r="O31" t="s">
        <v>1060</v>
      </c>
    </row>
    <row r="32" spans="1:15">
      <c r="A32" t="s">
        <v>1071</v>
      </c>
      <c r="B32" s="2">
        <v>43232.986840277779</v>
      </c>
      <c r="C32" s="2">
        <v>43232.997256944444</v>
      </c>
      <c r="D32" t="s">
        <v>46</v>
      </c>
      <c r="E32" t="s">
        <v>1057</v>
      </c>
      <c r="F32" t="s">
        <v>1058</v>
      </c>
      <c r="G32" t="s">
        <v>1023</v>
      </c>
      <c r="H32" t="s">
        <v>1031</v>
      </c>
      <c r="I32">
        <v>424619006</v>
      </c>
      <c r="J32" t="s">
        <v>1062</v>
      </c>
      <c r="K32">
        <v>142.58000000000001</v>
      </c>
      <c r="L32">
        <v>12541.92</v>
      </c>
      <c r="M32">
        <v>12541.92</v>
      </c>
      <c r="N32">
        <v>72892002</v>
      </c>
      <c r="O32" t="s">
        <v>1060</v>
      </c>
    </row>
    <row r="33" spans="1:15">
      <c r="A33" t="s">
        <v>1072</v>
      </c>
      <c r="B33" s="2">
        <v>43239.986840277779</v>
      </c>
      <c r="C33" s="2">
        <v>43239.997256944444</v>
      </c>
      <c r="D33" t="s">
        <v>46</v>
      </c>
      <c r="E33" t="s">
        <v>1057</v>
      </c>
      <c r="F33" t="s">
        <v>1058</v>
      </c>
      <c r="G33" t="s">
        <v>1023</v>
      </c>
      <c r="H33" t="s">
        <v>1031</v>
      </c>
      <c r="I33">
        <v>424619006</v>
      </c>
      <c r="J33" t="s">
        <v>1062</v>
      </c>
      <c r="K33">
        <v>142.58000000000001</v>
      </c>
      <c r="L33">
        <v>4665.96</v>
      </c>
      <c r="M33">
        <v>4665.96</v>
      </c>
      <c r="N33">
        <v>72892002</v>
      </c>
      <c r="O33" t="s">
        <v>1060</v>
      </c>
    </row>
    <row r="34" spans="1:15">
      <c r="A34" t="s">
        <v>1073</v>
      </c>
      <c r="B34" s="2">
        <v>43246.986840277779</v>
      </c>
      <c r="C34" s="2">
        <v>43247.028506944444</v>
      </c>
      <c r="D34" t="s">
        <v>46</v>
      </c>
      <c r="E34" t="s">
        <v>1074</v>
      </c>
      <c r="F34" t="s">
        <v>1075</v>
      </c>
      <c r="G34" t="s">
        <v>1023</v>
      </c>
      <c r="H34" t="s">
        <v>1076</v>
      </c>
      <c r="I34">
        <v>183460006</v>
      </c>
      <c r="J34" t="s">
        <v>1077</v>
      </c>
      <c r="K34">
        <v>146.18</v>
      </c>
      <c r="L34">
        <v>4512.5200000000004</v>
      </c>
      <c r="M34">
        <v>4512.5200000000004</v>
      </c>
      <c r="N34">
        <v>72892002</v>
      </c>
      <c r="O34" t="s">
        <v>1060</v>
      </c>
    </row>
    <row r="35" spans="1:15">
      <c r="A35" t="s">
        <v>1078</v>
      </c>
      <c r="B35" s="2">
        <v>43288.986840277779</v>
      </c>
      <c r="C35" s="2">
        <v>43288.997256944444</v>
      </c>
      <c r="D35" t="s">
        <v>46</v>
      </c>
      <c r="E35" t="s">
        <v>1057</v>
      </c>
      <c r="F35" t="s">
        <v>1058</v>
      </c>
      <c r="G35" t="s">
        <v>1023</v>
      </c>
      <c r="H35" t="s">
        <v>1031</v>
      </c>
      <c r="I35">
        <v>169762003</v>
      </c>
      <c r="J35" t="s">
        <v>1079</v>
      </c>
      <c r="K35">
        <v>142.58000000000001</v>
      </c>
      <c r="L35">
        <v>1005.38</v>
      </c>
      <c r="M35">
        <v>1005.38</v>
      </c>
      <c r="O35" t="s">
        <v>34</v>
      </c>
    </row>
    <row r="36" spans="1:15">
      <c r="A36" t="s">
        <v>1080</v>
      </c>
      <c r="B36" s="2">
        <v>43561.986840277779</v>
      </c>
      <c r="C36" s="2">
        <v>43562.00986111111</v>
      </c>
      <c r="D36" t="s">
        <v>46</v>
      </c>
      <c r="E36" t="s">
        <v>1052</v>
      </c>
      <c r="F36" t="s">
        <v>1053</v>
      </c>
      <c r="G36" t="s">
        <v>1023</v>
      </c>
      <c r="H36" t="s">
        <v>1020</v>
      </c>
      <c r="I36">
        <v>162673000</v>
      </c>
      <c r="J36" t="s">
        <v>1021</v>
      </c>
      <c r="K36">
        <v>136.80000000000001</v>
      </c>
      <c r="L36">
        <v>919.9</v>
      </c>
      <c r="M36">
        <v>0</v>
      </c>
      <c r="O36" t="s">
        <v>34</v>
      </c>
    </row>
    <row r="37" spans="1:15">
      <c r="A37" t="s">
        <v>1081</v>
      </c>
      <c r="B37" s="2">
        <v>43575.986840277779</v>
      </c>
      <c r="C37" s="2">
        <v>43576.11986111111</v>
      </c>
      <c r="D37" t="s">
        <v>46</v>
      </c>
      <c r="E37" t="s">
        <v>1057</v>
      </c>
      <c r="F37" t="s">
        <v>1058</v>
      </c>
      <c r="G37" t="s">
        <v>1023</v>
      </c>
      <c r="H37" t="s">
        <v>1031</v>
      </c>
      <c r="I37">
        <v>185349003</v>
      </c>
      <c r="J37" t="s">
        <v>1038</v>
      </c>
      <c r="K37">
        <v>85.55</v>
      </c>
      <c r="L37">
        <v>3105.35</v>
      </c>
      <c r="M37">
        <v>2053.8000000000002</v>
      </c>
      <c r="N37">
        <v>103697008</v>
      </c>
      <c r="O37" t="s">
        <v>1039</v>
      </c>
    </row>
    <row r="38" spans="1:15">
      <c r="A38" t="s">
        <v>1082</v>
      </c>
      <c r="B38" s="2">
        <v>43932.986840277779</v>
      </c>
      <c r="C38" s="2">
        <v>43933.024710648147</v>
      </c>
      <c r="D38" t="s">
        <v>46</v>
      </c>
      <c r="E38" t="s">
        <v>1052</v>
      </c>
      <c r="F38" t="s">
        <v>1053</v>
      </c>
      <c r="G38" t="s">
        <v>1023</v>
      </c>
      <c r="H38" t="s">
        <v>1020</v>
      </c>
      <c r="I38">
        <v>162673000</v>
      </c>
      <c r="J38" t="s">
        <v>1021</v>
      </c>
      <c r="K38">
        <v>136.80000000000001</v>
      </c>
      <c r="L38">
        <v>919.9</v>
      </c>
      <c r="M38">
        <v>0</v>
      </c>
      <c r="O38" t="s">
        <v>34</v>
      </c>
    </row>
    <row r="39" spans="1:15">
      <c r="A39" t="s">
        <v>1083</v>
      </c>
      <c r="B39" s="2">
        <v>44037.986840277779</v>
      </c>
      <c r="C39" s="2">
        <v>44037.997256944444</v>
      </c>
      <c r="D39" t="s">
        <v>46</v>
      </c>
      <c r="E39" t="s">
        <v>1057</v>
      </c>
      <c r="F39" t="s">
        <v>1058</v>
      </c>
      <c r="G39" t="s">
        <v>1023</v>
      </c>
      <c r="H39" t="s">
        <v>1031</v>
      </c>
      <c r="I39">
        <v>424441002</v>
      </c>
      <c r="J39" t="s">
        <v>1059</v>
      </c>
      <c r="K39">
        <v>142.58000000000001</v>
      </c>
      <c r="L39">
        <v>42342.36</v>
      </c>
      <c r="M39">
        <v>33443.4</v>
      </c>
      <c r="N39">
        <v>72892002</v>
      </c>
      <c r="O39" t="s">
        <v>1060</v>
      </c>
    </row>
    <row r="40" spans="1:15">
      <c r="A40" t="s">
        <v>1084</v>
      </c>
      <c r="B40" s="2">
        <v>44065.986840277779</v>
      </c>
      <c r="C40" s="2">
        <v>44065.997256944444</v>
      </c>
      <c r="D40" t="s">
        <v>46</v>
      </c>
      <c r="E40" t="s">
        <v>1057</v>
      </c>
      <c r="F40" t="s">
        <v>1058</v>
      </c>
      <c r="G40" t="s">
        <v>1023</v>
      </c>
      <c r="H40" t="s">
        <v>1031</v>
      </c>
      <c r="I40">
        <v>424619006</v>
      </c>
      <c r="J40" t="s">
        <v>1062</v>
      </c>
      <c r="K40">
        <v>142.58000000000001</v>
      </c>
      <c r="L40">
        <v>8314.75</v>
      </c>
      <c r="M40">
        <v>8314.75</v>
      </c>
      <c r="N40">
        <v>72892002</v>
      </c>
      <c r="O40" t="s">
        <v>1060</v>
      </c>
    </row>
    <row r="41" spans="1:15">
      <c r="A41" t="s">
        <v>1085</v>
      </c>
      <c r="B41" s="2">
        <v>44093.986840277779</v>
      </c>
      <c r="C41" s="2">
        <v>44093.997256944444</v>
      </c>
      <c r="D41" t="s">
        <v>46</v>
      </c>
      <c r="E41" t="s">
        <v>1057</v>
      </c>
      <c r="F41" t="s">
        <v>1058</v>
      </c>
      <c r="G41" t="s">
        <v>1023</v>
      </c>
      <c r="H41" t="s">
        <v>1031</v>
      </c>
      <c r="I41">
        <v>424619006</v>
      </c>
      <c r="J41" t="s">
        <v>1062</v>
      </c>
      <c r="K41">
        <v>142.58000000000001</v>
      </c>
      <c r="L41">
        <v>14315.46</v>
      </c>
      <c r="M41">
        <v>14315.46</v>
      </c>
      <c r="N41">
        <v>72892002</v>
      </c>
      <c r="O41" t="s">
        <v>1060</v>
      </c>
    </row>
    <row r="42" spans="1:15">
      <c r="A42" t="s">
        <v>1086</v>
      </c>
      <c r="B42" s="2">
        <v>44121.986840277779</v>
      </c>
      <c r="C42" s="2">
        <v>44121.997256944444</v>
      </c>
      <c r="D42" t="s">
        <v>46</v>
      </c>
      <c r="E42" t="s">
        <v>1057</v>
      </c>
      <c r="F42" t="s">
        <v>1058</v>
      </c>
      <c r="G42" t="s">
        <v>1023</v>
      </c>
      <c r="H42" t="s">
        <v>1031</v>
      </c>
      <c r="I42">
        <v>424619006</v>
      </c>
      <c r="J42" t="s">
        <v>1062</v>
      </c>
      <c r="K42">
        <v>142.58000000000001</v>
      </c>
      <c r="L42">
        <v>6523.31</v>
      </c>
      <c r="M42">
        <v>6523.31</v>
      </c>
      <c r="N42">
        <v>72892002</v>
      </c>
      <c r="O42" t="s">
        <v>1060</v>
      </c>
    </row>
    <row r="43" spans="1:15">
      <c r="A43" t="s">
        <v>1087</v>
      </c>
      <c r="B43" s="2">
        <v>44149.945173611108</v>
      </c>
      <c r="C43" s="2">
        <v>44149.955590277779</v>
      </c>
      <c r="D43" t="s">
        <v>46</v>
      </c>
      <c r="E43" t="s">
        <v>1057</v>
      </c>
      <c r="F43" t="s">
        <v>1058</v>
      </c>
      <c r="G43" t="s">
        <v>1023</v>
      </c>
      <c r="H43" t="s">
        <v>1031</v>
      </c>
      <c r="I43">
        <v>424619006</v>
      </c>
      <c r="J43" t="s">
        <v>1062</v>
      </c>
      <c r="K43">
        <v>142.58000000000001</v>
      </c>
      <c r="L43">
        <v>6443.19</v>
      </c>
      <c r="M43">
        <v>6443.19</v>
      </c>
      <c r="N43">
        <v>72892002</v>
      </c>
      <c r="O43" t="s">
        <v>1060</v>
      </c>
    </row>
    <row r="44" spans="1:15">
      <c r="A44" t="s">
        <v>1088</v>
      </c>
      <c r="B44" s="2">
        <v>44158.153506944444</v>
      </c>
      <c r="C44" s="2">
        <v>44158.163923611108</v>
      </c>
      <c r="D44" t="s">
        <v>46</v>
      </c>
      <c r="E44" t="s">
        <v>1057</v>
      </c>
      <c r="F44" t="s">
        <v>1058</v>
      </c>
      <c r="G44" t="s">
        <v>1023</v>
      </c>
      <c r="H44" t="s">
        <v>1031</v>
      </c>
      <c r="I44">
        <v>185345009</v>
      </c>
      <c r="J44" t="s">
        <v>1032</v>
      </c>
      <c r="K44">
        <v>85.55</v>
      </c>
      <c r="L44">
        <v>85.55</v>
      </c>
      <c r="M44">
        <v>85.55</v>
      </c>
      <c r="N44">
        <v>444814009</v>
      </c>
      <c r="O44" t="s">
        <v>1035</v>
      </c>
    </row>
    <row r="45" spans="1:15">
      <c r="A45" t="s">
        <v>1089</v>
      </c>
      <c r="B45" s="2">
        <v>44177.945173611108</v>
      </c>
      <c r="C45" s="2">
        <v>44177.955590277779</v>
      </c>
      <c r="D45" t="s">
        <v>46</v>
      </c>
      <c r="E45" t="s">
        <v>1057</v>
      </c>
      <c r="F45" t="s">
        <v>1058</v>
      </c>
      <c r="G45" t="s">
        <v>1023</v>
      </c>
      <c r="H45" t="s">
        <v>1031</v>
      </c>
      <c r="I45">
        <v>424619006</v>
      </c>
      <c r="J45" t="s">
        <v>1062</v>
      </c>
      <c r="K45">
        <v>142.58000000000001</v>
      </c>
      <c r="L45">
        <v>17853.29</v>
      </c>
      <c r="M45">
        <v>17853.29</v>
      </c>
      <c r="N45">
        <v>72892002</v>
      </c>
      <c r="O45" t="s">
        <v>1060</v>
      </c>
    </row>
    <row r="46" spans="1:15">
      <c r="A46" t="s">
        <v>1090</v>
      </c>
      <c r="B46" s="2">
        <v>44205.945173611108</v>
      </c>
      <c r="C46" s="2">
        <v>44205.955590277779</v>
      </c>
      <c r="D46" t="s">
        <v>46</v>
      </c>
      <c r="E46" t="s">
        <v>1057</v>
      </c>
      <c r="F46" t="s">
        <v>1058</v>
      </c>
      <c r="G46" t="s">
        <v>1023</v>
      </c>
      <c r="H46" t="s">
        <v>1031</v>
      </c>
      <c r="I46">
        <v>424619006</v>
      </c>
      <c r="J46" t="s">
        <v>1062</v>
      </c>
      <c r="K46">
        <v>142.58000000000001</v>
      </c>
      <c r="L46">
        <v>4665.96</v>
      </c>
      <c r="M46">
        <v>4665.96</v>
      </c>
      <c r="N46">
        <v>72892002</v>
      </c>
      <c r="O46" t="s">
        <v>1060</v>
      </c>
    </row>
    <row r="47" spans="1:15">
      <c r="A47" t="s">
        <v>1091</v>
      </c>
      <c r="B47" s="2">
        <v>44233.945173611108</v>
      </c>
      <c r="C47" s="2">
        <v>44233.955590277779</v>
      </c>
      <c r="D47" t="s">
        <v>46</v>
      </c>
      <c r="E47" t="s">
        <v>1057</v>
      </c>
      <c r="F47" t="s">
        <v>1058</v>
      </c>
      <c r="G47" t="s">
        <v>1023</v>
      </c>
      <c r="H47" t="s">
        <v>1031</v>
      </c>
      <c r="I47">
        <v>424619006</v>
      </c>
      <c r="J47" t="s">
        <v>1062</v>
      </c>
      <c r="K47">
        <v>142.58000000000001</v>
      </c>
      <c r="L47">
        <v>8291.18</v>
      </c>
      <c r="M47">
        <v>8291.18</v>
      </c>
      <c r="N47">
        <v>72892002</v>
      </c>
      <c r="O47" t="s">
        <v>1060</v>
      </c>
    </row>
    <row r="48" spans="1:15">
      <c r="A48" t="s">
        <v>1092</v>
      </c>
      <c r="B48" s="2">
        <v>44247.945173611108</v>
      </c>
      <c r="C48" s="2">
        <v>44247.955590277779</v>
      </c>
      <c r="D48" t="s">
        <v>46</v>
      </c>
      <c r="E48" t="s">
        <v>1057</v>
      </c>
      <c r="F48" t="s">
        <v>1058</v>
      </c>
      <c r="G48" t="s">
        <v>1093</v>
      </c>
      <c r="H48" t="s">
        <v>1031</v>
      </c>
      <c r="I48">
        <v>424619006</v>
      </c>
      <c r="J48" t="s">
        <v>1062</v>
      </c>
      <c r="K48">
        <v>142.58000000000001</v>
      </c>
      <c r="L48">
        <v>7664.78</v>
      </c>
      <c r="M48">
        <v>7514.78</v>
      </c>
      <c r="N48">
        <v>72892002</v>
      </c>
      <c r="O48" t="s">
        <v>1060</v>
      </c>
    </row>
    <row r="49" spans="1:15">
      <c r="A49" t="s">
        <v>1094</v>
      </c>
      <c r="B49" s="2">
        <v>44254.945173611108</v>
      </c>
      <c r="C49" s="2">
        <v>44254.986840277779</v>
      </c>
      <c r="D49" t="s">
        <v>46</v>
      </c>
      <c r="E49" t="s">
        <v>1074</v>
      </c>
      <c r="F49" t="s">
        <v>1075</v>
      </c>
      <c r="G49" t="s">
        <v>1093</v>
      </c>
      <c r="H49" t="s">
        <v>1076</v>
      </c>
      <c r="I49">
        <v>183460006</v>
      </c>
      <c r="J49" t="s">
        <v>1077</v>
      </c>
      <c r="K49">
        <v>146.18</v>
      </c>
      <c r="L49">
        <v>1440.38</v>
      </c>
      <c r="M49">
        <v>1390.38</v>
      </c>
      <c r="N49">
        <v>72892002</v>
      </c>
      <c r="O49" t="s">
        <v>1060</v>
      </c>
    </row>
    <row r="50" spans="1:15">
      <c r="A50" t="s">
        <v>1095</v>
      </c>
      <c r="B50" s="2">
        <v>44296.986840277779</v>
      </c>
      <c r="C50" s="2">
        <v>44296.997256944444</v>
      </c>
      <c r="D50" t="s">
        <v>46</v>
      </c>
      <c r="E50" t="s">
        <v>1057</v>
      </c>
      <c r="F50" t="s">
        <v>1058</v>
      </c>
      <c r="G50" t="s">
        <v>1093</v>
      </c>
      <c r="H50" t="s">
        <v>1031</v>
      </c>
      <c r="I50">
        <v>169762003</v>
      </c>
      <c r="J50" t="s">
        <v>1079</v>
      </c>
      <c r="K50">
        <v>142.58000000000001</v>
      </c>
      <c r="L50">
        <v>1005.38</v>
      </c>
      <c r="M50">
        <v>955.38</v>
      </c>
      <c r="O50" t="s">
        <v>34</v>
      </c>
    </row>
    <row r="51" spans="1:15">
      <c r="A51" t="s">
        <v>1096</v>
      </c>
      <c r="B51" s="2">
        <v>44363.986840277779</v>
      </c>
      <c r="C51" s="2">
        <v>44364.043414351851</v>
      </c>
      <c r="D51" t="s">
        <v>46</v>
      </c>
      <c r="E51" t="s">
        <v>1057</v>
      </c>
      <c r="F51" t="s">
        <v>1058</v>
      </c>
      <c r="G51" t="s">
        <v>1093</v>
      </c>
      <c r="H51" t="s">
        <v>1031</v>
      </c>
      <c r="I51">
        <v>185345009</v>
      </c>
      <c r="J51" t="s">
        <v>1032</v>
      </c>
      <c r="K51">
        <v>85.55</v>
      </c>
      <c r="L51">
        <v>3179.93</v>
      </c>
      <c r="M51">
        <v>3129.93</v>
      </c>
      <c r="N51">
        <v>307426000</v>
      </c>
      <c r="O51" t="s">
        <v>1097</v>
      </c>
    </row>
    <row r="52" spans="1:15">
      <c r="A52" t="s">
        <v>1098</v>
      </c>
      <c r="B52" s="2">
        <v>44422.986840277779</v>
      </c>
      <c r="C52" s="2">
        <v>44422.997256944444</v>
      </c>
      <c r="D52" t="s">
        <v>46</v>
      </c>
      <c r="E52" t="s">
        <v>1057</v>
      </c>
      <c r="F52" t="s">
        <v>1058</v>
      </c>
      <c r="G52" t="s">
        <v>1093</v>
      </c>
      <c r="H52" t="s">
        <v>1031</v>
      </c>
      <c r="I52">
        <v>424441002</v>
      </c>
      <c r="J52" t="s">
        <v>1059</v>
      </c>
      <c r="K52">
        <v>142.58000000000001</v>
      </c>
      <c r="L52">
        <v>56031.53</v>
      </c>
      <c r="M52">
        <v>55981.53</v>
      </c>
      <c r="N52">
        <v>72892002</v>
      </c>
      <c r="O52" t="s">
        <v>1060</v>
      </c>
    </row>
    <row r="53" spans="1:15">
      <c r="A53" t="s">
        <v>1099</v>
      </c>
      <c r="B53" s="2">
        <v>44450.986840277779</v>
      </c>
      <c r="C53" s="2">
        <v>44450.997256944444</v>
      </c>
      <c r="D53" t="s">
        <v>46</v>
      </c>
      <c r="E53" t="s">
        <v>1057</v>
      </c>
      <c r="F53" t="s">
        <v>1058</v>
      </c>
      <c r="G53" t="s">
        <v>1093</v>
      </c>
      <c r="H53" t="s">
        <v>1031</v>
      </c>
      <c r="I53">
        <v>424619006</v>
      </c>
      <c r="J53" t="s">
        <v>1062</v>
      </c>
      <c r="K53">
        <v>142.58000000000001</v>
      </c>
      <c r="L53">
        <v>11944.96</v>
      </c>
      <c r="M53">
        <v>11894.96</v>
      </c>
      <c r="N53">
        <v>72892002</v>
      </c>
      <c r="O53" t="s">
        <v>1060</v>
      </c>
    </row>
    <row r="54" spans="1:15">
      <c r="A54" t="s">
        <v>1100</v>
      </c>
      <c r="B54" s="2">
        <v>44478.986840277779</v>
      </c>
      <c r="C54" s="2">
        <v>44478.997256944444</v>
      </c>
      <c r="D54" t="s">
        <v>46</v>
      </c>
      <c r="E54" t="s">
        <v>1057</v>
      </c>
      <c r="F54" t="s">
        <v>1058</v>
      </c>
      <c r="G54" t="s">
        <v>1093</v>
      </c>
      <c r="H54" t="s">
        <v>1031</v>
      </c>
      <c r="I54">
        <v>424619006</v>
      </c>
      <c r="J54" t="s">
        <v>1062</v>
      </c>
      <c r="K54">
        <v>142.58000000000001</v>
      </c>
      <c r="L54">
        <v>142.58000000000001</v>
      </c>
      <c r="M54">
        <v>92.58</v>
      </c>
      <c r="N54">
        <v>72892002</v>
      </c>
      <c r="O54" t="s">
        <v>1060</v>
      </c>
    </row>
    <row r="55" spans="1:15">
      <c r="A55" t="s">
        <v>1101</v>
      </c>
      <c r="B55" s="2">
        <v>44498.986840277779</v>
      </c>
      <c r="C55" s="2">
        <v>44498.997256944444</v>
      </c>
      <c r="D55" t="s">
        <v>46</v>
      </c>
      <c r="E55" t="s">
        <v>1057</v>
      </c>
      <c r="F55" t="s">
        <v>1058</v>
      </c>
      <c r="G55" t="s">
        <v>1093</v>
      </c>
      <c r="H55" t="s">
        <v>1031</v>
      </c>
      <c r="I55">
        <v>424619006</v>
      </c>
      <c r="J55" t="s">
        <v>1062</v>
      </c>
      <c r="K55">
        <v>142.58000000000001</v>
      </c>
      <c r="L55">
        <v>1005.38</v>
      </c>
      <c r="M55">
        <v>955.38</v>
      </c>
      <c r="N55">
        <v>37849005</v>
      </c>
      <c r="O55" t="s">
        <v>1102</v>
      </c>
    </row>
    <row r="56" spans="1:15">
      <c r="A56" t="s">
        <v>1103</v>
      </c>
      <c r="B56" s="2">
        <v>44506.986840277779</v>
      </c>
      <c r="C56" s="2">
        <v>44506.997256944444</v>
      </c>
      <c r="D56" t="s">
        <v>46</v>
      </c>
      <c r="E56" t="s">
        <v>1057</v>
      </c>
      <c r="F56" t="s">
        <v>1058</v>
      </c>
      <c r="G56" t="s">
        <v>1093</v>
      </c>
      <c r="H56" t="s">
        <v>1043</v>
      </c>
      <c r="I56">
        <v>33879002</v>
      </c>
      <c r="J56" t="s">
        <v>1044</v>
      </c>
      <c r="K56">
        <v>142.58000000000001</v>
      </c>
      <c r="L56">
        <v>278.58</v>
      </c>
      <c r="M56">
        <v>228.58</v>
      </c>
      <c r="O56" t="s">
        <v>34</v>
      </c>
    </row>
    <row r="57" spans="1:15">
      <c r="A57" t="s">
        <v>1104</v>
      </c>
      <c r="B57" s="2">
        <v>44527.945173611108</v>
      </c>
      <c r="C57" s="2">
        <v>44527.955590277779</v>
      </c>
      <c r="D57" t="s">
        <v>46</v>
      </c>
      <c r="E57" t="s">
        <v>1057</v>
      </c>
      <c r="F57" t="s">
        <v>1058</v>
      </c>
      <c r="G57" t="s">
        <v>1093</v>
      </c>
      <c r="H57" t="s">
        <v>1043</v>
      </c>
      <c r="I57">
        <v>33879002</v>
      </c>
      <c r="J57" t="s">
        <v>1044</v>
      </c>
      <c r="K57">
        <v>142.58000000000001</v>
      </c>
      <c r="L57">
        <v>278.58</v>
      </c>
      <c r="M57">
        <v>228.58</v>
      </c>
      <c r="O57" t="s">
        <v>34</v>
      </c>
    </row>
    <row r="58" spans="1:15">
      <c r="A58" t="s">
        <v>1105</v>
      </c>
      <c r="B58" s="2">
        <v>44593.695173611108</v>
      </c>
      <c r="C58" s="2">
        <v>44593.705590277779</v>
      </c>
      <c r="D58" t="s">
        <v>46</v>
      </c>
      <c r="E58" t="s">
        <v>1057</v>
      </c>
      <c r="F58" t="s">
        <v>1058</v>
      </c>
      <c r="G58" t="s">
        <v>1093</v>
      </c>
      <c r="H58" t="s">
        <v>1031</v>
      </c>
      <c r="I58">
        <v>185345009</v>
      </c>
      <c r="J58" t="s">
        <v>1032</v>
      </c>
      <c r="K58">
        <v>85.55</v>
      </c>
      <c r="L58">
        <v>624.47</v>
      </c>
      <c r="M58">
        <v>574.47</v>
      </c>
      <c r="N58">
        <v>10509002</v>
      </c>
      <c r="O58" t="s">
        <v>1033</v>
      </c>
    </row>
    <row r="59" spans="1:15">
      <c r="A59" t="s">
        <v>1106</v>
      </c>
      <c r="B59" s="2">
        <v>44604.945173611108</v>
      </c>
      <c r="C59" s="2">
        <v>44604.967685185184</v>
      </c>
      <c r="D59" t="s">
        <v>46</v>
      </c>
      <c r="E59" t="s">
        <v>1057</v>
      </c>
      <c r="F59" t="s">
        <v>1058</v>
      </c>
      <c r="G59" t="s">
        <v>1107</v>
      </c>
      <c r="H59" t="s">
        <v>1043</v>
      </c>
      <c r="I59">
        <v>185349003</v>
      </c>
      <c r="J59" t="s">
        <v>1038</v>
      </c>
      <c r="K59">
        <v>85.55</v>
      </c>
      <c r="L59">
        <v>1060.95</v>
      </c>
      <c r="M59">
        <v>0</v>
      </c>
      <c r="O59" t="s">
        <v>34</v>
      </c>
    </row>
    <row r="60" spans="1:15">
      <c r="A60" t="s">
        <v>1108</v>
      </c>
      <c r="B60" s="2">
        <v>44655.986840277779</v>
      </c>
      <c r="C60" s="2">
        <v>44655.997256944444</v>
      </c>
      <c r="D60" t="s">
        <v>46</v>
      </c>
      <c r="E60" t="s">
        <v>1057</v>
      </c>
      <c r="F60" t="s">
        <v>1058</v>
      </c>
      <c r="G60" t="s">
        <v>1107</v>
      </c>
      <c r="H60" t="s">
        <v>1031</v>
      </c>
      <c r="I60">
        <v>185345009</v>
      </c>
      <c r="J60" t="s">
        <v>1032</v>
      </c>
      <c r="K60">
        <v>85.55</v>
      </c>
      <c r="L60">
        <v>85.55</v>
      </c>
      <c r="M60">
        <v>0</v>
      </c>
      <c r="N60">
        <v>444814009</v>
      </c>
      <c r="O60" t="s">
        <v>1035</v>
      </c>
    </row>
    <row r="61" spans="1:15">
      <c r="A61" t="s">
        <v>1109</v>
      </c>
      <c r="B61" s="2">
        <v>44723.986840277779</v>
      </c>
      <c r="C61" s="2">
        <v>44723.997256944444</v>
      </c>
      <c r="D61" t="s">
        <v>46</v>
      </c>
      <c r="E61" t="s">
        <v>1057</v>
      </c>
      <c r="F61" t="s">
        <v>1058</v>
      </c>
      <c r="G61" t="s">
        <v>1107</v>
      </c>
      <c r="H61" t="s">
        <v>1031</v>
      </c>
      <c r="I61">
        <v>424441002</v>
      </c>
      <c r="J61" t="s">
        <v>1059</v>
      </c>
      <c r="K61">
        <v>142.58000000000001</v>
      </c>
      <c r="L61">
        <v>36386.83</v>
      </c>
      <c r="M61">
        <v>23123.33</v>
      </c>
      <c r="N61">
        <v>72892002</v>
      </c>
      <c r="O61" t="s">
        <v>1060</v>
      </c>
    </row>
    <row r="62" spans="1:15">
      <c r="A62" t="s">
        <v>1110</v>
      </c>
      <c r="B62" s="2">
        <v>24328.108078703703</v>
      </c>
      <c r="C62" s="2">
        <v>24328.148136574073</v>
      </c>
      <c r="D62" t="s">
        <v>59</v>
      </c>
      <c r="E62" t="s">
        <v>1111</v>
      </c>
      <c r="F62" t="s">
        <v>1112</v>
      </c>
      <c r="G62" t="s">
        <v>1019</v>
      </c>
      <c r="H62" t="s">
        <v>1020</v>
      </c>
      <c r="I62">
        <v>162673000</v>
      </c>
      <c r="J62" t="s">
        <v>1021</v>
      </c>
      <c r="K62">
        <v>136.80000000000001</v>
      </c>
      <c r="L62">
        <v>704.2</v>
      </c>
      <c r="M62">
        <v>0</v>
      </c>
      <c r="O62" t="s">
        <v>34</v>
      </c>
    </row>
    <row r="63" spans="1:15">
      <c r="A63" t="s">
        <v>1113</v>
      </c>
      <c r="B63" s="2">
        <v>31281.108078703703</v>
      </c>
      <c r="C63" s="2">
        <v>31281.118495370371</v>
      </c>
      <c r="D63" t="s">
        <v>59</v>
      </c>
      <c r="E63" t="s">
        <v>1114</v>
      </c>
      <c r="F63" t="s">
        <v>1115</v>
      </c>
      <c r="G63" t="s">
        <v>1019</v>
      </c>
      <c r="H63" t="s">
        <v>1031</v>
      </c>
      <c r="I63">
        <v>424619006</v>
      </c>
      <c r="J63" t="s">
        <v>1062</v>
      </c>
      <c r="K63">
        <v>142.58000000000001</v>
      </c>
      <c r="L63">
        <v>1005.38</v>
      </c>
      <c r="M63">
        <v>0</v>
      </c>
      <c r="N63">
        <v>35999006</v>
      </c>
      <c r="O63" t="s">
        <v>1116</v>
      </c>
    </row>
    <row r="64" spans="1:15">
      <c r="A64" t="s">
        <v>1117</v>
      </c>
      <c r="B64" s="2">
        <v>33050.108078703706</v>
      </c>
      <c r="C64" s="2">
        <v>33050.141400462962</v>
      </c>
      <c r="D64" t="s">
        <v>59</v>
      </c>
      <c r="E64" t="s">
        <v>1111</v>
      </c>
      <c r="F64" t="s">
        <v>1112</v>
      </c>
      <c r="G64" t="s">
        <v>1019</v>
      </c>
      <c r="H64" t="s">
        <v>1020</v>
      </c>
      <c r="I64">
        <v>162673000</v>
      </c>
      <c r="J64" t="s">
        <v>1021</v>
      </c>
      <c r="K64">
        <v>136.80000000000001</v>
      </c>
      <c r="L64">
        <v>1053.25</v>
      </c>
      <c r="M64">
        <v>0</v>
      </c>
      <c r="O64" t="s">
        <v>34</v>
      </c>
    </row>
    <row r="65" spans="1:15">
      <c r="A65" t="s">
        <v>1118</v>
      </c>
      <c r="B65" s="2">
        <v>36333.108078703706</v>
      </c>
      <c r="C65" s="2">
        <v>36333.138912037037</v>
      </c>
      <c r="D65" t="s">
        <v>59</v>
      </c>
      <c r="E65" t="s">
        <v>1111</v>
      </c>
      <c r="F65" t="s">
        <v>1112</v>
      </c>
      <c r="G65" t="s">
        <v>1019</v>
      </c>
      <c r="H65" t="s">
        <v>1020</v>
      </c>
      <c r="I65">
        <v>162673000</v>
      </c>
      <c r="J65" t="s">
        <v>1021</v>
      </c>
      <c r="K65">
        <v>136.80000000000001</v>
      </c>
      <c r="L65">
        <v>1545.82</v>
      </c>
      <c r="M65">
        <v>0</v>
      </c>
      <c r="O65" t="s">
        <v>34</v>
      </c>
    </row>
    <row r="66" spans="1:15">
      <c r="A66" t="s">
        <v>1119</v>
      </c>
      <c r="B66" s="2">
        <v>39672.108078703706</v>
      </c>
      <c r="C66" s="2">
        <v>39672.141018518516</v>
      </c>
      <c r="D66" t="s">
        <v>59</v>
      </c>
      <c r="E66" t="s">
        <v>1111</v>
      </c>
      <c r="F66" t="s">
        <v>1112</v>
      </c>
      <c r="G66" t="s">
        <v>1026</v>
      </c>
      <c r="H66" t="s">
        <v>1020</v>
      </c>
      <c r="I66">
        <v>162673000</v>
      </c>
      <c r="J66" t="s">
        <v>1021</v>
      </c>
      <c r="K66">
        <v>136.80000000000001</v>
      </c>
      <c r="L66">
        <v>4799.8900000000003</v>
      </c>
      <c r="M66">
        <v>0</v>
      </c>
      <c r="O66" t="s">
        <v>34</v>
      </c>
    </row>
    <row r="67" spans="1:15">
      <c r="A67" t="s">
        <v>1120</v>
      </c>
      <c r="B67" s="2">
        <v>41156.108078703706</v>
      </c>
      <c r="C67" s="2">
        <v>41156.142592592594</v>
      </c>
      <c r="D67" t="s">
        <v>59</v>
      </c>
      <c r="E67" t="s">
        <v>1111</v>
      </c>
      <c r="F67" t="s">
        <v>1112</v>
      </c>
      <c r="G67" t="s">
        <v>1026</v>
      </c>
      <c r="H67" t="s">
        <v>1020</v>
      </c>
      <c r="I67">
        <v>162673000</v>
      </c>
      <c r="J67" t="s">
        <v>1021</v>
      </c>
      <c r="K67">
        <v>136.80000000000001</v>
      </c>
      <c r="L67">
        <v>704.2</v>
      </c>
      <c r="M67">
        <v>0</v>
      </c>
      <c r="O67" t="s">
        <v>34</v>
      </c>
    </row>
    <row r="68" spans="1:15">
      <c r="A68" t="s">
        <v>1121</v>
      </c>
      <c r="B68" s="2">
        <v>41527.108078703706</v>
      </c>
      <c r="C68" s="2">
        <v>41527.145624999997</v>
      </c>
      <c r="D68" t="s">
        <v>59</v>
      </c>
      <c r="E68" t="s">
        <v>1111</v>
      </c>
      <c r="F68" t="s">
        <v>1112</v>
      </c>
      <c r="G68" t="s">
        <v>1122</v>
      </c>
      <c r="H68" t="s">
        <v>1020</v>
      </c>
      <c r="I68">
        <v>162673000</v>
      </c>
      <c r="J68" t="s">
        <v>1021</v>
      </c>
      <c r="K68">
        <v>136.80000000000001</v>
      </c>
      <c r="L68">
        <v>914.78</v>
      </c>
      <c r="M68">
        <v>564.98</v>
      </c>
      <c r="O68" t="s">
        <v>34</v>
      </c>
    </row>
    <row r="69" spans="1:15">
      <c r="A69" t="s">
        <v>1123</v>
      </c>
      <c r="B69" s="2">
        <v>41548.108078703706</v>
      </c>
      <c r="C69" s="2">
        <v>41548.16028935185</v>
      </c>
      <c r="D69" t="s">
        <v>59</v>
      </c>
      <c r="E69" t="s">
        <v>1114</v>
      </c>
      <c r="F69" t="s">
        <v>1115</v>
      </c>
      <c r="G69" t="s">
        <v>1122</v>
      </c>
      <c r="H69" t="s">
        <v>1031</v>
      </c>
      <c r="I69">
        <v>185347001</v>
      </c>
      <c r="J69" t="s">
        <v>1124</v>
      </c>
      <c r="K69">
        <v>85.55</v>
      </c>
      <c r="L69">
        <v>1379.75</v>
      </c>
      <c r="M69">
        <v>1103.8</v>
      </c>
      <c r="N69">
        <v>37320007</v>
      </c>
      <c r="O69" t="s">
        <v>1125</v>
      </c>
    </row>
    <row r="70" spans="1:15">
      <c r="A70" t="s">
        <v>1126</v>
      </c>
      <c r="B70" s="2">
        <v>41898.108078703706</v>
      </c>
      <c r="C70" s="2">
        <v>41898.136041666665</v>
      </c>
      <c r="D70" t="s">
        <v>59</v>
      </c>
      <c r="E70" t="s">
        <v>1111</v>
      </c>
      <c r="F70" t="s">
        <v>1112</v>
      </c>
      <c r="G70" t="s">
        <v>1122</v>
      </c>
      <c r="H70" t="s">
        <v>1020</v>
      </c>
      <c r="I70">
        <v>162673000</v>
      </c>
      <c r="J70" t="s">
        <v>1021</v>
      </c>
      <c r="K70">
        <v>136.80000000000001</v>
      </c>
      <c r="L70">
        <v>914.78</v>
      </c>
      <c r="M70">
        <v>547.16</v>
      </c>
      <c r="O70" t="s">
        <v>34</v>
      </c>
    </row>
    <row r="71" spans="1:15">
      <c r="A71" t="s">
        <v>1127</v>
      </c>
      <c r="B71" s="2">
        <v>42269.108078703706</v>
      </c>
      <c r="C71" s="2">
        <v>42269.129548611112</v>
      </c>
      <c r="D71" t="s">
        <v>59</v>
      </c>
      <c r="E71" t="s">
        <v>1111</v>
      </c>
      <c r="F71" t="s">
        <v>1112</v>
      </c>
      <c r="G71" t="s">
        <v>1122</v>
      </c>
      <c r="H71" t="s">
        <v>1020</v>
      </c>
      <c r="I71">
        <v>162673000</v>
      </c>
      <c r="J71" t="s">
        <v>1021</v>
      </c>
      <c r="K71">
        <v>136.80000000000001</v>
      </c>
      <c r="L71">
        <v>704.2</v>
      </c>
      <c r="M71">
        <v>379.38</v>
      </c>
      <c r="O71" t="s">
        <v>34</v>
      </c>
    </row>
    <row r="72" spans="1:15">
      <c r="A72" t="s">
        <v>1128</v>
      </c>
      <c r="B72" s="2">
        <v>42640.108078703706</v>
      </c>
      <c r="C72" s="2">
        <v>42640.146273148152</v>
      </c>
      <c r="D72" t="s">
        <v>59</v>
      </c>
      <c r="E72" t="s">
        <v>1111</v>
      </c>
      <c r="F72" t="s">
        <v>1112</v>
      </c>
      <c r="G72" t="s">
        <v>1122</v>
      </c>
      <c r="H72" t="s">
        <v>1020</v>
      </c>
      <c r="I72">
        <v>162673000</v>
      </c>
      <c r="J72" t="s">
        <v>1021</v>
      </c>
      <c r="K72">
        <v>136.80000000000001</v>
      </c>
      <c r="L72">
        <v>778.78</v>
      </c>
      <c r="M72">
        <v>445.48</v>
      </c>
      <c r="O72" t="s">
        <v>34</v>
      </c>
    </row>
    <row r="73" spans="1:15">
      <c r="A73" t="s">
        <v>1129</v>
      </c>
      <c r="B73" s="2">
        <v>44735.111840277779</v>
      </c>
      <c r="C73" s="2">
        <v>44735.122256944444</v>
      </c>
      <c r="D73" t="s">
        <v>46</v>
      </c>
      <c r="E73" t="s">
        <v>1057</v>
      </c>
      <c r="F73" t="s">
        <v>1058</v>
      </c>
      <c r="G73" t="s">
        <v>1107</v>
      </c>
      <c r="H73" t="s">
        <v>1031</v>
      </c>
      <c r="I73">
        <v>185345009</v>
      </c>
      <c r="J73" t="s">
        <v>1032</v>
      </c>
      <c r="K73">
        <v>85.55</v>
      </c>
      <c r="L73">
        <v>948.35</v>
      </c>
      <c r="M73">
        <v>948.35</v>
      </c>
      <c r="N73">
        <v>195662009</v>
      </c>
      <c r="O73" t="s">
        <v>1130</v>
      </c>
    </row>
    <row r="74" spans="1:15">
      <c r="A74" t="s">
        <v>1131</v>
      </c>
      <c r="B74" s="2">
        <v>42462.927442129629</v>
      </c>
      <c r="C74" s="2">
        <v>42462.937858796293</v>
      </c>
      <c r="D74" t="s">
        <v>72</v>
      </c>
      <c r="E74" t="s">
        <v>1132</v>
      </c>
      <c r="F74" t="s">
        <v>1133</v>
      </c>
      <c r="G74" t="s">
        <v>1093</v>
      </c>
      <c r="H74" t="s">
        <v>1031</v>
      </c>
      <c r="I74">
        <v>185347001</v>
      </c>
      <c r="J74" t="s">
        <v>1124</v>
      </c>
      <c r="K74">
        <v>85.55</v>
      </c>
      <c r="L74">
        <v>85.55</v>
      </c>
      <c r="M74">
        <v>35.549999999999997</v>
      </c>
      <c r="N74">
        <v>442571000124108</v>
      </c>
      <c r="O74" t="s">
        <v>1134</v>
      </c>
    </row>
    <row r="75" spans="1:15">
      <c r="A75" t="s">
        <v>1135</v>
      </c>
      <c r="B75" s="2">
        <v>44751.986840277779</v>
      </c>
      <c r="C75" s="2">
        <v>44751.997256944444</v>
      </c>
      <c r="D75" t="s">
        <v>46</v>
      </c>
      <c r="E75" t="s">
        <v>1057</v>
      </c>
      <c r="F75" t="s">
        <v>1058</v>
      </c>
      <c r="G75" t="s">
        <v>1107</v>
      </c>
      <c r="H75" t="s">
        <v>1031</v>
      </c>
      <c r="I75">
        <v>424619006</v>
      </c>
      <c r="J75" t="s">
        <v>1062</v>
      </c>
      <c r="K75">
        <v>142.58000000000001</v>
      </c>
      <c r="L75">
        <v>13274.66</v>
      </c>
      <c r="M75">
        <v>13274.66</v>
      </c>
      <c r="N75">
        <v>72892002</v>
      </c>
      <c r="O75" t="s">
        <v>1060</v>
      </c>
    </row>
    <row r="76" spans="1:15">
      <c r="A76" t="s">
        <v>1136</v>
      </c>
      <c r="B76" s="2">
        <v>42473.552442129629</v>
      </c>
      <c r="C76" s="2">
        <v>42473.578020833331</v>
      </c>
      <c r="D76" t="s">
        <v>72</v>
      </c>
      <c r="E76" t="s">
        <v>1132</v>
      </c>
      <c r="F76" t="s">
        <v>1133</v>
      </c>
      <c r="G76" t="s">
        <v>1093</v>
      </c>
      <c r="H76" t="s">
        <v>1031</v>
      </c>
      <c r="I76">
        <v>185347001</v>
      </c>
      <c r="J76" t="s">
        <v>1124</v>
      </c>
      <c r="K76">
        <v>85.55</v>
      </c>
      <c r="L76">
        <v>516.95000000000005</v>
      </c>
      <c r="M76">
        <v>466.95</v>
      </c>
      <c r="N76">
        <v>609328004</v>
      </c>
      <c r="O76" t="s">
        <v>1137</v>
      </c>
    </row>
    <row r="77" spans="1:15">
      <c r="A77" t="s">
        <v>1138</v>
      </c>
      <c r="B77" s="2">
        <v>42647.108078703706</v>
      </c>
      <c r="C77" s="2">
        <v>42647.118495370371</v>
      </c>
      <c r="D77" t="s">
        <v>59</v>
      </c>
      <c r="E77" t="s">
        <v>1114</v>
      </c>
      <c r="F77" t="s">
        <v>1115</v>
      </c>
      <c r="G77" t="s">
        <v>1122</v>
      </c>
      <c r="H77" t="s">
        <v>1031</v>
      </c>
      <c r="I77">
        <v>185345009</v>
      </c>
      <c r="J77" t="s">
        <v>1032</v>
      </c>
      <c r="K77">
        <v>85.55</v>
      </c>
      <c r="L77">
        <v>85.55</v>
      </c>
      <c r="M77">
        <v>68.44</v>
      </c>
      <c r="N77">
        <v>444814009</v>
      </c>
      <c r="O77" t="s">
        <v>1035</v>
      </c>
    </row>
    <row r="78" spans="1:15">
      <c r="A78" t="s">
        <v>1139</v>
      </c>
      <c r="B78" s="2">
        <v>42654.108078703706</v>
      </c>
      <c r="C78" s="2">
        <v>42654.230115740742</v>
      </c>
      <c r="D78" t="s">
        <v>59</v>
      </c>
      <c r="E78" t="s">
        <v>1114</v>
      </c>
      <c r="F78" t="s">
        <v>1115</v>
      </c>
      <c r="G78" t="s">
        <v>1122</v>
      </c>
      <c r="H78" t="s">
        <v>1031</v>
      </c>
      <c r="I78">
        <v>185349003</v>
      </c>
      <c r="J78" t="s">
        <v>1038</v>
      </c>
      <c r="K78">
        <v>85.55</v>
      </c>
      <c r="L78">
        <v>3105.35</v>
      </c>
      <c r="M78">
        <v>2484.2800000000002</v>
      </c>
      <c r="N78">
        <v>103697008</v>
      </c>
      <c r="O78" t="s">
        <v>1039</v>
      </c>
    </row>
    <row r="79" spans="1:15">
      <c r="A79" t="s">
        <v>1140</v>
      </c>
      <c r="B79" s="2">
        <v>44779.986840277779</v>
      </c>
      <c r="C79" s="2">
        <v>44779.997256944444</v>
      </c>
      <c r="D79" t="s">
        <v>46</v>
      </c>
      <c r="E79" t="s">
        <v>1057</v>
      </c>
      <c r="F79" t="s">
        <v>1058</v>
      </c>
      <c r="G79" t="s">
        <v>1107</v>
      </c>
      <c r="H79" t="s">
        <v>1031</v>
      </c>
      <c r="I79">
        <v>424619006</v>
      </c>
      <c r="J79" t="s">
        <v>1062</v>
      </c>
      <c r="K79">
        <v>142.58000000000001</v>
      </c>
      <c r="L79">
        <v>13983.43</v>
      </c>
      <c r="M79">
        <v>13983.43</v>
      </c>
      <c r="N79">
        <v>72892002</v>
      </c>
      <c r="O79" t="s">
        <v>1060</v>
      </c>
    </row>
    <row r="80" spans="1:15">
      <c r="A80" t="s">
        <v>1141</v>
      </c>
      <c r="B80" s="2">
        <v>42637.927442129629</v>
      </c>
      <c r="C80" s="2">
        <v>42637.937858796293</v>
      </c>
      <c r="D80" t="s">
        <v>72</v>
      </c>
      <c r="E80" t="s">
        <v>1142</v>
      </c>
      <c r="F80" t="s">
        <v>1143</v>
      </c>
      <c r="G80" t="s">
        <v>1093</v>
      </c>
      <c r="H80" t="s">
        <v>1020</v>
      </c>
      <c r="I80">
        <v>410620009</v>
      </c>
      <c r="J80" t="s">
        <v>1054</v>
      </c>
      <c r="K80">
        <v>136.80000000000001</v>
      </c>
      <c r="L80">
        <v>816.8</v>
      </c>
      <c r="M80">
        <v>716.8</v>
      </c>
      <c r="O80" t="s">
        <v>34</v>
      </c>
    </row>
    <row r="81" spans="1:15">
      <c r="A81" t="s">
        <v>1144</v>
      </c>
      <c r="B81" s="2">
        <v>42728.885775462964</v>
      </c>
      <c r="C81" s="2">
        <v>42728.896192129629</v>
      </c>
      <c r="D81" t="s">
        <v>72</v>
      </c>
      <c r="E81" t="s">
        <v>1142</v>
      </c>
      <c r="F81" t="s">
        <v>1143</v>
      </c>
      <c r="G81" t="s">
        <v>1093</v>
      </c>
      <c r="H81" t="s">
        <v>1020</v>
      </c>
      <c r="I81">
        <v>410620009</v>
      </c>
      <c r="J81" t="s">
        <v>1054</v>
      </c>
      <c r="K81">
        <v>136.80000000000001</v>
      </c>
      <c r="L81">
        <v>272.8</v>
      </c>
      <c r="M81">
        <v>272.8</v>
      </c>
      <c r="O81" t="s">
        <v>34</v>
      </c>
    </row>
    <row r="82" spans="1:15">
      <c r="A82" t="s">
        <v>1145</v>
      </c>
      <c r="B82" s="2">
        <v>43011.108078703706</v>
      </c>
      <c r="C82" s="2">
        <v>43011.148136574076</v>
      </c>
      <c r="D82" t="s">
        <v>59</v>
      </c>
      <c r="E82" t="s">
        <v>1111</v>
      </c>
      <c r="F82" t="s">
        <v>1112</v>
      </c>
      <c r="G82" t="s">
        <v>1122</v>
      </c>
      <c r="H82" t="s">
        <v>1020</v>
      </c>
      <c r="I82">
        <v>162673000</v>
      </c>
      <c r="J82" t="s">
        <v>1021</v>
      </c>
      <c r="K82">
        <v>136.80000000000001</v>
      </c>
      <c r="L82">
        <v>704.2</v>
      </c>
      <c r="M82">
        <v>379.65</v>
      </c>
      <c r="O82" t="s">
        <v>34</v>
      </c>
    </row>
    <row r="83" spans="1:15">
      <c r="A83" t="s">
        <v>1146</v>
      </c>
      <c r="B83" s="2">
        <v>42910.927442129629</v>
      </c>
      <c r="C83" s="2">
        <v>42910.937858796293</v>
      </c>
      <c r="D83" t="s">
        <v>72</v>
      </c>
      <c r="E83" t="s">
        <v>1142</v>
      </c>
      <c r="F83" t="s">
        <v>1143</v>
      </c>
      <c r="G83" t="s">
        <v>1093</v>
      </c>
      <c r="H83" t="s">
        <v>1020</v>
      </c>
      <c r="I83">
        <v>410620009</v>
      </c>
      <c r="J83" t="s">
        <v>1054</v>
      </c>
      <c r="K83">
        <v>136.80000000000001</v>
      </c>
      <c r="L83">
        <v>1108.99</v>
      </c>
      <c r="M83">
        <v>1108.99</v>
      </c>
      <c r="O83" t="s">
        <v>34</v>
      </c>
    </row>
    <row r="84" spans="1:15">
      <c r="A84" t="s">
        <v>1147</v>
      </c>
      <c r="B84" s="2">
        <v>42984.927442129629</v>
      </c>
      <c r="C84" s="2">
        <v>42984.937858796293</v>
      </c>
      <c r="D84" t="s">
        <v>72</v>
      </c>
      <c r="E84" t="s">
        <v>1132</v>
      </c>
      <c r="F84" t="s">
        <v>1133</v>
      </c>
      <c r="G84" t="s">
        <v>1026</v>
      </c>
      <c r="H84" t="s">
        <v>1031</v>
      </c>
      <c r="I84">
        <v>185345009</v>
      </c>
      <c r="J84" t="s">
        <v>1032</v>
      </c>
      <c r="K84">
        <v>85.55</v>
      </c>
      <c r="L84">
        <v>516.95000000000005</v>
      </c>
      <c r="M84">
        <v>0</v>
      </c>
      <c r="N84">
        <v>233678006</v>
      </c>
      <c r="O84" t="s">
        <v>1148</v>
      </c>
    </row>
    <row r="85" spans="1:15">
      <c r="A85" t="s">
        <v>1149</v>
      </c>
      <c r="B85" s="2">
        <v>44807.986840277779</v>
      </c>
      <c r="C85" s="2">
        <v>44807.997256944444</v>
      </c>
      <c r="D85" t="s">
        <v>46</v>
      </c>
      <c r="E85" t="s">
        <v>1057</v>
      </c>
      <c r="F85" t="s">
        <v>1058</v>
      </c>
      <c r="G85" t="s">
        <v>1107</v>
      </c>
      <c r="H85" t="s">
        <v>1031</v>
      </c>
      <c r="I85">
        <v>424619006</v>
      </c>
      <c r="J85" t="s">
        <v>1062</v>
      </c>
      <c r="K85">
        <v>142.58000000000001</v>
      </c>
      <c r="L85">
        <v>8693.92</v>
      </c>
      <c r="M85">
        <v>8693.92</v>
      </c>
      <c r="N85">
        <v>72892002</v>
      </c>
      <c r="O85" t="s">
        <v>1060</v>
      </c>
    </row>
    <row r="86" spans="1:15">
      <c r="A86" t="s">
        <v>1150</v>
      </c>
      <c r="B86" s="2">
        <v>43092.885775462964</v>
      </c>
      <c r="C86" s="2">
        <v>43092.896192129629</v>
      </c>
      <c r="D86" t="s">
        <v>72</v>
      </c>
      <c r="E86" t="s">
        <v>1142</v>
      </c>
      <c r="F86" t="s">
        <v>1143</v>
      </c>
      <c r="G86" t="s">
        <v>1026</v>
      </c>
      <c r="H86" t="s">
        <v>1020</v>
      </c>
      <c r="I86">
        <v>410620009</v>
      </c>
      <c r="J86" t="s">
        <v>1054</v>
      </c>
      <c r="K86">
        <v>136.80000000000001</v>
      </c>
      <c r="L86">
        <v>272.8</v>
      </c>
      <c r="M86">
        <v>0</v>
      </c>
      <c r="O86" t="s">
        <v>34</v>
      </c>
    </row>
    <row r="87" spans="1:15">
      <c r="A87" t="s">
        <v>1151</v>
      </c>
      <c r="B87" s="2">
        <v>44835.986840277779</v>
      </c>
      <c r="C87" s="2">
        <v>44835.997256944444</v>
      </c>
      <c r="D87" t="s">
        <v>46</v>
      </c>
      <c r="E87" t="s">
        <v>1057</v>
      </c>
      <c r="F87" t="s">
        <v>1058</v>
      </c>
      <c r="G87" t="s">
        <v>1107</v>
      </c>
      <c r="H87" t="s">
        <v>1031</v>
      </c>
      <c r="I87">
        <v>424619006</v>
      </c>
      <c r="J87" t="s">
        <v>1062</v>
      </c>
      <c r="K87">
        <v>142.58000000000001</v>
      </c>
      <c r="L87">
        <v>8335.43</v>
      </c>
      <c r="M87">
        <v>8335.43</v>
      </c>
      <c r="N87">
        <v>72892002</v>
      </c>
      <c r="O87" t="s">
        <v>1060</v>
      </c>
    </row>
    <row r="88" spans="1:15">
      <c r="A88" t="s">
        <v>1152</v>
      </c>
      <c r="B88" s="2">
        <v>44863.986840277779</v>
      </c>
      <c r="C88" s="2">
        <v>44863.997256944444</v>
      </c>
      <c r="D88" t="s">
        <v>46</v>
      </c>
      <c r="E88" t="s">
        <v>1057</v>
      </c>
      <c r="F88" t="s">
        <v>1058</v>
      </c>
      <c r="G88" t="s">
        <v>1107</v>
      </c>
      <c r="H88" t="s">
        <v>1031</v>
      </c>
      <c r="I88">
        <v>424619006</v>
      </c>
      <c r="J88" t="s">
        <v>1062</v>
      </c>
      <c r="K88">
        <v>142.58000000000001</v>
      </c>
      <c r="L88">
        <v>18324.73</v>
      </c>
      <c r="M88">
        <v>18324.73</v>
      </c>
      <c r="N88">
        <v>72892002</v>
      </c>
      <c r="O88" t="s">
        <v>1060</v>
      </c>
    </row>
    <row r="89" spans="1:15">
      <c r="A89" t="s">
        <v>1153</v>
      </c>
      <c r="B89" s="2">
        <v>43164.885775462964</v>
      </c>
      <c r="C89" s="2">
        <v>43164.896192129629</v>
      </c>
      <c r="D89" t="s">
        <v>72</v>
      </c>
      <c r="E89" t="s">
        <v>1132</v>
      </c>
      <c r="F89" t="s">
        <v>1133</v>
      </c>
      <c r="G89" t="s">
        <v>1026</v>
      </c>
      <c r="H89" t="s">
        <v>1031</v>
      </c>
      <c r="I89">
        <v>394701000</v>
      </c>
      <c r="J89" t="s">
        <v>1154</v>
      </c>
      <c r="K89">
        <v>142.58000000000001</v>
      </c>
      <c r="L89">
        <v>142.58000000000001</v>
      </c>
      <c r="M89">
        <v>0</v>
      </c>
      <c r="N89">
        <v>233678006</v>
      </c>
      <c r="O89" t="s">
        <v>1148</v>
      </c>
    </row>
    <row r="90" spans="1:15">
      <c r="A90" t="s">
        <v>1155</v>
      </c>
      <c r="B90" s="2">
        <v>44891.945173611108</v>
      </c>
      <c r="C90" s="2">
        <v>44891.955590277779</v>
      </c>
      <c r="D90" t="s">
        <v>46</v>
      </c>
      <c r="E90" t="s">
        <v>1057</v>
      </c>
      <c r="F90" t="s">
        <v>1058</v>
      </c>
      <c r="G90" t="s">
        <v>1107</v>
      </c>
      <c r="H90" t="s">
        <v>1031</v>
      </c>
      <c r="I90">
        <v>424619006</v>
      </c>
      <c r="J90" t="s">
        <v>1062</v>
      </c>
      <c r="K90">
        <v>142.58000000000001</v>
      </c>
      <c r="L90">
        <v>16484.990000000002</v>
      </c>
      <c r="M90">
        <v>16484.990000000002</v>
      </c>
      <c r="N90">
        <v>72892002</v>
      </c>
      <c r="O90" t="s">
        <v>1060</v>
      </c>
    </row>
    <row r="91" spans="1:15">
      <c r="A91" t="s">
        <v>1156</v>
      </c>
      <c r="B91" s="2">
        <v>43260.927442129629</v>
      </c>
      <c r="C91" s="2">
        <v>43260.937858796293</v>
      </c>
      <c r="D91" t="s">
        <v>72</v>
      </c>
      <c r="E91" t="s">
        <v>1157</v>
      </c>
      <c r="F91" t="s">
        <v>1158</v>
      </c>
      <c r="G91" t="s">
        <v>1026</v>
      </c>
      <c r="H91" t="s">
        <v>1159</v>
      </c>
      <c r="I91">
        <v>702927004</v>
      </c>
      <c r="J91" t="s">
        <v>1160</v>
      </c>
      <c r="K91">
        <v>142.58000000000001</v>
      </c>
      <c r="L91">
        <v>278.58</v>
      </c>
      <c r="M91">
        <v>0</v>
      </c>
      <c r="O91" t="s">
        <v>34</v>
      </c>
    </row>
    <row r="92" spans="1:15">
      <c r="A92" t="s">
        <v>1161</v>
      </c>
      <c r="B92" s="2">
        <v>44919.945173611108</v>
      </c>
      <c r="C92" s="2">
        <v>44919.955590277779</v>
      </c>
      <c r="D92" t="s">
        <v>46</v>
      </c>
      <c r="E92" t="s">
        <v>1057</v>
      </c>
      <c r="F92" t="s">
        <v>1058</v>
      </c>
      <c r="G92" t="s">
        <v>1107</v>
      </c>
      <c r="H92" t="s">
        <v>1031</v>
      </c>
      <c r="I92">
        <v>424619006</v>
      </c>
      <c r="J92" t="s">
        <v>1062</v>
      </c>
      <c r="K92">
        <v>142.58000000000001</v>
      </c>
      <c r="L92">
        <v>5528.76</v>
      </c>
      <c r="M92">
        <v>5528.76</v>
      </c>
      <c r="N92">
        <v>72892002</v>
      </c>
      <c r="O92" t="s">
        <v>1060</v>
      </c>
    </row>
    <row r="93" spans="1:15">
      <c r="A93" t="s">
        <v>1162</v>
      </c>
      <c r="B93" s="2">
        <v>44930.954594907409</v>
      </c>
      <c r="C93" s="2">
        <v>44930.996261574073</v>
      </c>
      <c r="D93" t="s">
        <v>46</v>
      </c>
      <c r="E93" t="s">
        <v>1074</v>
      </c>
      <c r="F93" t="s">
        <v>1075</v>
      </c>
      <c r="G93" t="s">
        <v>1107</v>
      </c>
      <c r="H93" t="s">
        <v>1076</v>
      </c>
      <c r="I93">
        <v>50849002</v>
      </c>
      <c r="J93" t="s">
        <v>1163</v>
      </c>
      <c r="K93">
        <v>146.18</v>
      </c>
      <c r="L93">
        <v>146.18</v>
      </c>
      <c r="M93">
        <v>146.18</v>
      </c>
      <c r="N93">
        <v>384709000</v>
      </c>
      <c r="O93" t="s">
        <v>1164</v>
      </c>
    </row>
    <row r="94" spans="1:15">
      <c r="A94" t="s">
        <v>1165</v>
      </c>
      <c r="B94" s="2">
        <v>44933.945173611108</v>
      </c>
      <c r="C94" s="2">
        <v>44933.986840277779</v>
      </c>
      <c r="D94" t="s">
        <v>46</v>
      </c>
      <c r="E94" t="s">
        <v>1074</v>
      </c>
      <c r="F94" t="s">
        <v>1075</v>
      </c>
      <c r="G94" t="s">
        <v>1107</v>
      </c>
      <c r="H94" t="s">
        <v>1076</v>
      </c>
      <c r="I94">
        <v>183460006</v>
      </c>
      <c r="J94" t="s">
        <v>1077</v>
      </c>
      <c r="K94">
        <v>146.18</v>
      </c>
      <c r="L94">
        <v>3218.38</v>
      </c>
      <c r="M94">
        <v>3218.38</v>
      </c>
      <c r="N94">
        <v>72892002</v>
      </c>
      <c r="O94" t="s">
        <v>1060</v>
      </c>
    </row>
    <row r="95" spans="1:15">
      <c r="A95" t="s">
        <v>1166</v>
      </c>
      <c r="B95" s="2">
        <v>43267.927442129629</v>
      </c>
      <c r="C95" s="2">
        <v>43267.942013888889</v>
      </c>
      <c r="D95" t="s">
        <v>72</v>
      </c>
      <c r="E95" t="s">
        <v>1132</v>
      </c>
      <c r="F95" t="s">
        <v>1133</v>
      </c>
      <c r="G95" t="s">
        <v>1026</v>
      </c>
      <c r="H95" t="s">
        <v>1043</v>
      </c>
      <c r="I95">
        <v>185349003</v>
      </c>
      <c r="J95" t="s">
        <v>1038</v>
      </c>
      <c r="K95">
        <v>85.55</v>
      </c>
      <c r="L95">
        <v>516.95000000000005</v>
      </c>
      <c r="M95">
        <v>0</v>
      </c>
      <c r="O95" t="s">
        <v>34</v>
      </c>
    </row>
    <row r="96" spans="1:15">
      <c r="A96" t="s">
        <v>1167</v>
      </c>
      <c r="B96" s="2">
        <v>44975.945173611108</v>
      </c>
      <c r="C96" s="2">
        <v>44975.955590277779</v>
      </c>
      <c r="D96" t="s">
        <v>46</v>
      </c>
      <c r="E96" t="s">
        <v>1057</v>
      </c>
      <c r="F96" t="s">
        <v>1058</v>
      </c>
      <c r="G96" t="s">
        <v>1093</v>
      </c>
      <c r="H96" t="s">
        <v>1031</v>
      </c>
      <c r="I96">
        <v>169762003</v>
      </c>
      <c r="J96" t="s">
        <v>1079</v>
      </c>
      <c r="K96">
        <v>142.58000000000001</v>
      </c>
      <c r="L96">
        <v>1005.38</v>
      </c>
      <c r="M96">
        <v>855.38</v>
      </c>
      <c r="O96" t="s">
        <v>34</v>
      </c>
    </row>
    <row r="97" spans="1:15">
      <c r="A97" t="s">
        <v>1168</v>
      </c>
      <c r="B97" s="2">
        <v>45031.986840277779</v>
      </c>
      <c r="C97" s="2">
        <v>45032.022557870368</v>
      </c>
      <c r="D97" t="s">
        <v>46</v>
      </c>
      <c r="E97" t="s">
        <v>1052</v>
      </c>
      <c r="F97" t="s">
        <v>1053</v>
      </c>
      <c r="G97" t="s">
        <v>1093</v>
      </c>
      <c r="H97" t="s">
        <v>1020</v>
      </c>
      <c r="I97">
        <v>162673000</v>
      </c>
      <c r="J97" t="s">
        <v>1021</v>
      </c>
      <c r="K97">
        <v>136.80000000000001</v>
      </c>
      <c r="L97">
        <v>1777.58</v>
      </c>
      <c r="M97">
        <v>1777.58</v>
      </c>
      <c r="O97" t="s">
        <v>34</v>
      </c>
    </row>
    <row r="98" spans="1:15">
      <c r="A98" t="s">
        <v>1169</v>
      </c>
      <c r="B98" s="2">
        <v>43274.927442129629</v>
      </c>
      <c r="C98" s="2">
        <v>43274.937858796293</v>
      </c>
      <c r="D98" t="s">
        <v>72</v>
      </c>
      <c r="E98" t="s">
        <v>1142</v>
      </c>
      <c r="F98" t="s">
        <v>1143</v>
      </c>
      <c r="G98" t="s">
        <v>1026</v>
      </c>
      <c r="H98" t="s">
        <v>1020</v>
      </c>
      <c r="I98">
        <v>410620009</v>
      </c>
      <c r="J98" t="s">
        <v>1054</v>
      </c>
      <c r="K98">
        <v>136.80000000000001</v>
      </c>
      <c r="L98">
        <v>796.52</v>
      </c>
      <c r="M98">
        <v>0</v>
      </c>
      <c r="O98" t="s">
        <v>34</v>
      </c>
    </row>
    <row r="99" spans="1:15">
      <c r="A99" t="s">
        <v>1170</v>
      </c>
      <c r="B99" s="2">
        <v>43281.927442129629</v>
      </c>
      <c r="C99" s="2">
        <v>43282.09611111111</v>
      </c>
      <c r="D99" t="s">
        <v>72</v>
      </c>
      <c r="E99" t="s">
        <v>1132</v>
      </c>
      <c r="F99" t="s">
        <v>1133</v>
      </c>
      <c r="G99" t="s">
        <v>1026</v>
      </c>
      <c r="H99" t="s">
        <v>1031</v>
      </c>
      <c r="I99">
        <v>185349003</v>
      </c>
      <c r="J99" t="s">
        <v>1038</v>
      </c>
      <c r="K99">
        <v>85.55</v>
      </c>
      <c r="L99">
        <v>3536.75</v>
      </c>
      <c r="M99">
        <v>837.88</v>
      </c>
      <c r="N99">
        <v>103697008</v>
      </c>
      <c r="O99" t="s">
        <v>1039</v>
      </c>
    </row>
    <row r="100" spans="1:15">
      <c r="A100" t="s">
        <v>1171</v>
      </c>
      <c r="B100" s="2">
        <v>45101.986840277779</v>
      </c>
      <c r="C100" s="2">
        <v>45101.997256944444</v>
      </c>
      <c r="D100" t="s">
        <v>46</v>
      </c>
      <c r="E100" t="s">
        <v>1057</v>
      </c>
      <c r="F100" t="s">
        <v>1058</v>
      </c>
      <c r="G100" t="s">
        <v>1093</v>
      </c>
      <c r="H100" t="s">
        <v>1031</v>
      </c>
      <c r="I100">
        <v>424441002</v>
      </c>
      <c r="J100" t="s">
        <v>1059</v>
      </c>
      <c r="K100">
        <v>142.58000000000001</v>
      </c>
      <c r="L100">
        <v>6453.97</v>
      </c>
      <c r="M100">
        <v>6403.97</v>
      </c>
      <c r="N100">
        <v>72892002</v>
      </c>
      <c r="O100" t="s">
        <v>1060</v>
      </c>
    </row>
    <row r="101" spans="1:15">
      <c r="A101" t="s">
        <v>1172</v>
      </c>
      <c r="B101" s="2">
        <v>43025.108078703706</v>
      </c>
      <c r="C101" s="2">
        <v>43025.253946759258</v>
      </c>
      <c r="D101" t="s">
        <v>59</v>
      </c>
      <c r="E101" t="s">
        <v>1114</v>
      </c>
      <c r="F101" t="s">
        <v>1115</v>
      </c>
      <c r="G101" t="s">
        <v>1122</v>
      </c>
      <c r="H101" t="s">
        <v>1031</v>
      </c>
      <c r="I101">
        <v>185349003</v>
      </c>
      <c r="J101" t="s">
        <v>1038</v>
      </c>
      <c r="K101">
        <v>85.55</v>
      </c>
      <c r="L101">
        <v>3536.75</v>
      </c>
      <c r="M101">
        <v>2829.4</v>
      </c>
      <c r="N101">
        <v>103697008</v>
      </c>
      <c r="O101" t="s">
        <v>1039</v>
      </c>
    </row>
    <row r="102" spans="1:15">
      <c r="A102" t="s">
        <v>1173</v>
      </c>
      <c r="B102" s="2">
        <v>43288.927442129629</v>
      </c>
      <c r="C102" s="2">
        <v>43288.937858796293</v>
      </c>
      <c r="D102" t="s">
        <v>72</v>
      </c>
      <c r="E102" t="s">
        <v>1132</v>
      </c>
      <c r="F102" t="s">
        <v>1133</v>
      </c>
      <c r="G102" t="s">
        <v>1026</v>
      </c>
      <c r="H102" t="s">
        <v>1031</v>
      </c>
      <c r="I102">
        <v>185345009</v>
      </c>
      <c r="J102" t="s">
        <v>1032</v>
      </c>
      <c r="K102">
        <v>85.55</v>
      </c>
      <c r="L102">
        <v>85.55</v>
      </c>
      <c r="M102">
        <v>51.33</v>
      </c>
      <c r="N102">
        <v>75498004</v>
      </c>
      <c r="O102" t="s">
        <v>1174</v>
      </c>
    </row>
    <row r="103" spans="1:15">
      <c r="A103" t="s">
        <v>1175</v>
      </c>
      <c r="B103" s="2">
        <v>43346.927442129629</v>
      </c>
      <c r="C103" s="2">
        <v>43346.937858796293</v>
      </c>
      <c r="D103" t="s">
        <v>72</v>
      </c>
      <c r="E103" t="s">
        <v>1132</v>
      </c>
      <c r="F103" t="s">
        <v>1133</v>
      </c>
      <c r="G103" t="s">
        <v>1026</v>
      </c>
      <c r="H103" t="s">
        <v>1031</v>
      </c>
      <c r="I103">
        <v>185345009</v>
      </c>
      <c r="J103" t="s">
        <v>1032</v>
      </c>
      <c r="K103">
        <v>85.55</v>
      </c>
      <c r="L103">
        <v>92.93</v>
      </c>
      <c r="M103">
        <v>0</v>
      </c>
      <c r="N103">
        <v>75498004</v>
      </c>
      <c r="O103" t="s">
        <v>1174</v>
      </c>
    </row>
    <row r="104" spans="1:15">
      <c r="A104" t="s">
        <v>1176</v>
      </c>
      <c r="B104" s="2">
        <v>43358.927442129629</v>
      </c>
      <c r="C104" s="2">
        <v>43358.937858796293</v>
      </c>
      <c r="D104" t="s">
        <v>72</v>
      </c>
      <c r="E104" t="s">
        <v>1157</v>
      </c>
      <c r="F104" t="s">
        <v>1158</v>
      </c>
      <c r="G104" t="s">
        <v>1026</v>
      </c>
      <c r="H104" t="s">
        <v>1159</v>
      </c>
      <c r="I104">
        <v>702927004</v>
      </c>
      <c r="J104" t="s">
        <v>1160</v>
      </c>
      <c r="K104">
        <v>142.58000000000001</v>
      </c>
      <c r="L104">
        <v>358.28</v>
      </c>
      <c r="M104">
        <v>0</v>
      </c>
      <c r="O104" t="s">
        <v>34</v>
      </c>
    </row>
    <row r="105" spans="1:15">
      <c r="A105" t="s">
        <v>1177</v>
      </c>
      <c r="B105" s="2">
        <v>43365.927442129629</v>
      </c>
      <c r="C105" s="2">
        <v>43365.937858796293</v>
      </c>
      <c r="D105" t="s">
        <v>72</v>
      </c>
      <c r="E105" t="s">
        <v>1157</v>
      </c>
      <c r="F105" t="s">
        <v>1158</v>
      </c>
      <c r="G105" t="s">
        <v>1026</v>
      </c>
      <c r="H105" t="s">
        <v>1159</v>
      </c>
      <c r="I105">
        <v>702927004</v>
      </c>
      <c r="J105" t="s">
        <v>1160</v>
      </c>
      <c r="K105">
        <v>142.58000000000001</v>
      </c>
      <c r="L105">
        <v>358.28</v>
      </c>
      <c r="M105">
        <v>0</v>
      </c>
      <c r="O105" t="s">
        <v>34</v>
      </c>
    </row>
    <row r="106" spans="1:15">
      <c r="A106" t="s">
        <v>1178</v>
      </c>
      <c r="B106" s="2">
        <v>45113.986840277779</v>
      </c>
      <c r="C106" s="2">
        <v>45113.997256944444</v>
      </c>
      <c r="D106" t="s">
        <v>46</v>
      </c>
      <c r="E106" t="s">
        <v>1057</v>
      </c>
      <c r="F106" t="s">
        <v>1058</v>
      </c>
      <c r="G106" t="s">
        <v>1093</v>
      </c>
      <c r="H106" t="s">
        <v>1031</v>
      </c>
      <c r="I106">
        <v>270427003</v>
      </c>
      <c r="J106" t="s">
        <v>1179</v>
      </c>
      <c r="K106">
        <v>85.55</v>
      </c>
      <c r="L106">
        <v>4444.9799999999996</v>
      </c>
      <c r="M106">
        <v>4394.9799999999996</v>
      </c>
      <c r="N106">
        <v>72892002</v>
      </c>
      <c r="O106" t="s">
        <v>1060</v>
      </c>
    </row>
    <row r="107" spans="1:15">
      <c r="A107" t="s">
        <v>1180</v>
      </c>
      <c r="B107" s="2">
        <v>45130.986840277779</v>
      </c>
      <c r="C107" s="2">
        <v>45130.997256944444</v>
      </c>
      <c r="D107" t="s">
        <v>46</v>
      </c>
      <c r="E107" t="s">
        <v>1057</v>
      </c>
      <c r="F107" t="s">
        <v>1058</v>
      </c>
      <c r="G107" t="s">
        <v>1093</v>
      </c>
      <c r="H107" t="s">
        <v>1031</v>
      </c>
      <c r="I107">
        <v>424619006</v>
      </c>
      <c r="J107" t="s">
        <v>1062</v>
      </c>
      <c r="K107">
        <v>142.58000000000001</v>
      </c>
      <c r="L107">
        <v>1443.68</v>
      </c>
      <c r="M107">
        <v>1393.68</v>
      </c>
      <c r="N107">
        <v>72892002</v>
      </c>
      <c r="O107" t="s">
        <v>1060</v>
      </c>
    </row>
    <row r="108" spans="1:15">
      <c r="A108" t="s">
        <v>1181</v>
      </c>
      <c r="B108" s="2">
        <v>45227.986840277779</v>
      </c>
      <c r="C108" s="2">
        <v>45227.997256944444</v>
      </c>
      <c r="D108" t="s">
        <v>46</v>
      </c>
      <c r="E108" t="s">
        <v>1057</v>
      </c>
      <c r="F108" t="s">
        <v>1058</v>
      </c>
      <c r="G108" t="s">
        <v>1093</v>
      </c>
      <c r="H108" t="s">
        <v>1031</v>
      </c>
      <c r="I108">
        <v>424441002</v>
      </c>
      <c r="J108" t="s">
        <v>1059</v>
      </c>
      <c r="K108">
        <v>142.58000000000001</v>
      </c>
      <c r="L108">
        <v>10856.7</v>
      </c>
      <c r="M108">
        <v>10806.7</v>
      </c>
      <c r="N108">
        <v>72892002</v>
      </c>
      <c r="O108" t="s">
        <v>1060</v>
      </c>
    </row>
    <row r="109" spans="1:15">
      <c r="A109" t="s">
        <v>1182</v>
      </c>
      <c r="B109" s="2">
        <v>43303.733078703706</v>
      </c>
      <c r="C109" s="2">
        <v>43303.743495370371</v>
      </c>
      <c r="D109" t="s">
        <v>59</v>
      </c>
      <c r="E109" t="s">
        <v>1114</v>
      </c>
      <c r="F109" t="s">
        <v>1115</v>
      </c>
      <c r="G109" t="s">
        <v>1122</v>
      </c>
      <c r="H109" t="s">
        <v>1031</v>
      </c>
      <c r="I109">
        <v>185345009</v>
      </c>
      <c r="J109" t="s">
        <v>1032</v>
      </c>
      <c r="K109">
        <v>85.55</v>
      </c>
      <c r="L109">
        <v>85.55</v>
      </c>
      <c r="M109">
        <v>0</v>
      </c>
      <c r="N109">
        <v>195662009</v>
      </c>
      <c r="O109" t="s">
        <v>1130</v>
      </c>
    </row>
    <row r="110" spans="1:15">
      <c r="A110" t="s">
        <v>1183</v>
      </c>
      <c r="B110" s="2">
        <v>45235.945173611108</v>
      </c>
      <c r="C110" s="2">
        <v>45235.955590277779</v>
      </c>
      <c r="D110" t="s">
        <v>46</v>
      </c>
      <c r="E110" t="s">
        <v>1057</v>
      </c>
      <c r="F110" t="s">
        <v>1058</v>
      </c>
      <c r="G110" t="s">
        <v>1093</v>
      </c>
      <c r="H110" t="s">
        <v>1031</v>
      </c>
      <c r="I110">
        <v>270427003</v>
      </c>
      <c r="J110" t="s">
        <v>1179</v>
      </c>
      <c r="K110">
        <v>85.55</v>
      </c>
      <c r="L110">
        <v>4444.9799999999996</v>
      </c>
      <c r="M110">
        <v>4394.9799999999996</v>
      </c>
      <c r="N110">
        <v>72892002</v>
      </c>
      <c r="O110" t="s">
        <v>1060</v>
      </c>
    </row>
    <row r="111" spans="1:15">
      <c r="A111" t="s">
        <v>1184</v>
      </c>
      <c r="B111" s="2">
        <v>43382.108078703706</v>
      </c>
      <c r="C111" s="2">
        <v>43382.138865740744</v>
      </c>
      <c r="D111" t="s">
        <v>59</v>
      </c>
      <c r="E111" t="s">
        <v>1111</v>
      </c>
      <c r="F111" t="s">
        <v>1112</v>
      </c>
      <c r="G111" t="s">
        <v>1122</v>
      </c>
      <c r="H111" t="s">
        <v>1020</v>
      </c>
      <c r="I111">
        <v>162673000</v>
      </c>
      <c r="J111" t="s">
        <v>1021</v>
      </c>
      <c r="K111">
        <v>136.80000000000001</v>
      </c>
      <c r="L111">
        <v>704.2</v>
      </c>
      <c r="M111">
        <v>454.35</v>
      </c>
      <c r="O111" t="s">
        <v>34</v>
      </c>
    </row>
    <row r="112" spans="1:15">
      <c r="A112" t="s">
        <v>1185</v>
      </c>
      <c r="B112" s="2">
        <v>45245.945173611108</v>
      </c>
      <c r="C112" s="2">
        <v>45245.955590277779</v>
      </c>
      <c r="D112" t="s">
        <v>46</v>
      </c>
      <c r="E112" t="s">
        <v>1057</v>
      </c>
      <c r="F112" t="s">
        <v>1058</v>
      </c>
      <c r="G112" t="s">
        <v>1093</v>
      </c>
      <c r="H112" t="s">
        <v>1031</v>
      </c>
      <c r="I112">
        <v>424619006</v>
      </c>
      <c r="J112" t="s">
        <v>1062</v>
      </c>
      <c r="K112">
        <v>142.58000000000001</v>
      </c>
      <c r="L112">
        <v>1443.68</v>
      </c>
      <c r="M112">
        <v>1393.68</v>
      </c>
      <c r="N112">
        <v>72892002</v>
      </c>
      <c r="O112" t="s">
        <v>1060</v>
      </c>
    </row>
    <row r="113" spans="1:15">
      <c r="A113" t="s">
        <v>1186</v>
      </c>
      <c r="B113" s="2">
        <v>45339.945173611108</v>
      </c>
      <c r="C113" s="2">
        <v>45339.955590277779</v>
      </c>
      <c r="D113" t="s">
        <v>46</v>
      </c>
      <c r="E113" t="s">
        <v>1057</v>
      </c>
      <c r="F113" t="s">
        <v>1058</v>
      </c>
      <c r="G113" t="s">
        <v>1093</v>
      </c>
      <c r="H113" t="s">
        <v>1031</v>
      </c>
      <c r="I113">
        <v>424441002</v>
      </c>
      <c r="J113" t="s">
        <v>1059</v>
      </c>
      <c r="K113">
        <v>142.58000000000001</v>
      </c>
      <c r="L113">
        <v>22217.93</v>
      </c>
      <c r="M113">
        <v>22067.93</v>
      </c>
      <c r="N113">
        <v>72892002</v>
      </c>
      <c r="O113" t="s">
        <v>1060</v>
      </c>
    </row>
    <row r="114" spans="1:15">
      <c r="A114" t="s">
        <v>1187</v>
      </c>
      <c r="B114" s="2">
        <v>45350.945173611108</v>
      </c>
      <c r="C114" s="2">
        <v>45350.955590277779</v>
      </c>
      <c r="D114" t="s">
        <v>46</v>
      </c>
      <c r="E114" t="s">
        <v>1057</v>
      </c>
      <c r="F114" t="s">
        <v>1058</v>
      </c>
      <c r="G114" t="s">
        <v>1093</v>
      </c>
      <c r="H114" t="s">
        <v>1031</v>
      </c>
      <c r="I114">
        <v>270427003</v>
      </c>
      <c r="J114" t="s">
        <v>1179</v>
      </c>
      <c r="K114">
        <v>85.55</v>
      </c>
      <c r="L114">
        <v>4444.9799999999996</v>
      </c>
      <c r="M114">
        <v>4394.9799999999996</v>
      </c>
      <c r="N114">
        <v>72892002</v>
      </c>
      <c r="O114" t="s">
        <v>1060</v>
      </c>
    </row>
    <row r="115" spans="1:15">
      <c r="A115" t="s">
        <v>1188</v>
      </c>
      <c r="B115" s="2">
        <v>45357.945173611108</v>
      </c>
      <c r="C115" s="2">
        <v>45357.955590277779</v>
      </c>
      <c r="D115" t="s">
        <v>46</v>
      </c>
      <c r="E115" t="s">
        <v>1057</v>
      </c>
      <c r="F115" t="s">
        <v>1058</v>
      </c>
      <c r="G115" t="s">
        <v>1093</v>
      </c>
      <c r="H115" t="s">
        <v>1031</v>
      </c>
      <c r="I115">
        <v>424619006</v>
      </c>
      <c r="J115" t="s">
        <v>1062</v>
      </c>
      <c r="K115">
        <v>142.58000000000001</v>
      </c>
      <c r="L115">
        <v>1594.98</v>
      </c>
      <c r="M115">
        <v>1544.98</v>
      </c>
      <c r="N115">
        <v>72892002</v>
      </c>
      <c r="O115" t="s">
        <v>1060</v>
      </c>
    </row>
    <row r="116" spans="1:15">
      <c r="A116" t="s">
        <v>1189</v>
      </c>
      <c r="B116" s="2">
        <v>45383.986840277779</v>
      </c>
      <c r="C116" s="2">
        <v>45383.999907407408</v>
      </c>
      <c r="D116" t="s">
        <v>46</v>
      </c>
      <c r="E116" t="s">
        <v>1057</v>
      </c>
      <c r="F116" t="s">
        <v>1058</v>
      </c>
      <c r="G116" t="s">
        <v>1093</v>
      </c>
      <c r="H116" t="s">
        <v>1043</v>
      </c>
      <c r="I116">
        <v>698314001</v>
      </c>
      <c r="J116" t="s">
        <v>1190</v>
      </c>
      <c r="K116">
        <v>142.58000000000001</v>
      </c>
      <c r="L116">
        <v>1250.8499999999999</v>
      </c>
      <c r="M116">
        <v>1200.8499999999999</v>
      </c>
      <c r="N116">
        <v>389095005</v>
      </c>
      <c r="O116" t="s">
        <v>1191</v>
      </c>
    </row>
    <row r="117" spans="1:15">
      <c r="A117" t="s">
        <v>1192</v>
      </c>
      <c r="B117" s="2">
        <v>43372.927442129629</v>
      </c>
      <c r="C117" s="2">
        <v>43372.937858796293</v>
      </c>
      <c r="D117" t="s">
        <v>72</v>
      </c>
      <c r="E117" t="s">
        <v>1132</v>
      </c>
      <c r="F117" t="s">
        <v>1133</v>
      </c>
      <c r="G117" t="s">
        <v>1026</v>
      </c>
      <c r="H117" t="s">
        <v>1031</v>
      </c>
      <c r="I117">
        <v>185345009</v>
      </c>
      <c r="J117" t="s">
        <v>1032</v>
      </c>
      <c r="K117">
        <v>85.55</v>
      </c>
      <c r="L117">
        <v>85.55</v>
      </c>
      <c r="M117">
        <v>0</v>
      </c>
      <c r="N117">
        <v>75498004</v>
      </c>
      <c r="O117" t="s">
        <v>1174</v>
      </c>
    </row>
    <row r="118" spans="1:15">
      <c r="A118" t="s">
        <v>1193</v>
      </c>
      <c r="B118" s="2">
        <v>45486.986840277779</v>
      </c>
      <c r="C118" s="2">
        <v>45487.000393518516</v>
      </c>
      <c r="D118" t="s">
        <v>46</v>
      </c>
      <c r="E118" t="s">
        <v>1057</v>
      </c>
      <c r="F118" t="s">
        <v>1058</v>
      </c>
      <c r="G118" t="s">
        <v>1093</v>
      </c>
      <c r="H118" t="s">
        <v>1043</v>
      </c>
      <c r="I118">
        <v>308335008</v>
      </c>
      <c r="J118" t="s">
        <v>1194</v>
      </c>
      <c r="K118">
        <v>142.58000000000001</v>
      </c>
      <c r="L118">
        <v>1250.8499999999999</v>
      </c>
      <c r="M118">
        <v>1200.8499999999999</v>
      </c>
      <c r="N118">
        <v>389095005</v>
      </c>
      <c r="O118" t="s">
        <v>1191</v>
      </c>
    </row>
    <row r="119" spans="1:15">
      <c r="A119" t="s">
        <v>1195</v>
      </c>
      <c r="B119" s="2">
        <v>43399.927442129629</v>
      </c>
      <c r="C119" s="2">
        <v>43399.937858796293</v>
      </c>
      <c r="D119" t="s">
        <v>72</v>
      </c>
      <c r="E119" t="s">
        <v>1132</v>
      </c>
      <c r="F119" t="s">
        <v>1133</v>
      </c>
      <c r="G119" t="s">
        <v>1026</v>
      </c>
      <c r="H119" t="s">
        <v>1031</v>
      </c>
      <c r="I119">
        <v>185345009</v>
      </c>
      <c r="J119" t="s">
        <v>1032</v>
      </c>
      <c r="K119">
        <v>85.55</v>
      </c>
      <c r="L119">
        <v>85.55</v>
      </c>
      <c r="M119">
        <v>0</v>
      </c>
      <c r="N119">
        <v>232353008</v>
      </c>
      <c r="O119" t="s">
        <v>1196</v>
      </c>
    </row>
    <row r="120" spans="1:15">
      <c r="A120" t="s">
        <v>1197</v>
      </c>
      <c r="B120" s="2">
        <v>43456.885775462964</v>
      </c>
      <c r="C120" s="2">
        <v>43456.896192129629</v>
      </c>
      <c r="D120" t="s">
        <v>72</v>
      </c>
      <c r="E120" t="s">
        <v>1142</v>
      </c>
      <c r="F120" t="s">
        <v>1143</v>
      </c>
      <c r="G120" t="s">
        <v>1026</v>
      </c>
      <c r="H120" t="s">
        <v>1020</v>
      </c>
      <c r="I120">
        <v>410620009</v>
      </c>
      <c r="J120" t="s">
        <v>1054</v>
      </c>
      <c r="K120">
        <v>136.80000000000001</v>
      </c>
      <c r="L120">
        <v>352.5</v>
      </c>
      <c r="M120">
        <v>0</v>
      </c>
      <c r="O120" t="s">
        <v>34</v>
      </c>
    </row>
    <row r="121" spans="1:15">
      <c r="A121" t="s">
        <v>1198</v>
      </c>
      <c r="B121" s="2">
        <v>45577.986840277779</v>
      </c>
      <c r="C121" s="2">
        <v>45577.999525462961</v>
      </c>
      <c r="D121" t="s">
        <v>46</v>
      </c>
      <c r="E121" t="s">
        <v>1057</v>
      </c>
      <c r="F121" t="s">
        <v>1058</v>
      </c>
      <c r="G121" t="s">
        <v>1093</v>
      </c>
      <c r="H121" t="s">
        <v>1043</v>
      </c>
      <c r="I121">
        <v>308335008</v>
      </c>
      <c r="J121" t="s">
        <v>1194</v>
      </c>
      <c r="K121">
        <v>142.58000000000001</v>
      </c>
      <c r="L121">
        <v>1677.53</v>
      </c>
      <c r="M121">
        <v>1627.53</v>
      </c>
      <c r="N121">
        <v>389095005</v>
      </c>
      <c r="O121" t="s">
        <v>1191</v>
      </c>
    </row>
    <row r="122" spans="1:15">
      <c r="A122" t="s">
        <v>1199</v>
      </c>
      <c r="B122" s="2">
        <v>45668.945173611108</v>
      </c>
      <c r="C122" s="2">
        <v>45668.955590277779</v>
      </c>
      <c r="D122" t="s">
        <v>46</v>
      </c>
      <c r="E122" t="s">
        <v>1057</v>
      </c>
      <c r="F122" t="s">
        <v>1058</v>
      </c>
      <c r="G122" t="s">
        <v>1093</v>
      </c>
      <c r="H122" t="s">
        <v>1043</v>
      </c>
      <c r="I122">
        <v>308335008</v>
      </c>
      <c r="J122" t="s">
        <v>1194</v>
      </c>
      <c r="K122">
        <v>142.58000000000001</v>
      </c>
      <c r="L122">
        <v>1250.8499999999999</v>
      </c>
      <c r="M122">
        <v>1200.8499999999999</v>
      </c>
      <c r="N122">
        <v>389095005</v>
      </c>
      <c r="O122" t="s">
        <v>1191</v>
      </c>
    </row>
    <row r="123" spans="1:15">
      <c r="A123" t="s">
        <v>1200</v>
      </c>
      <c r="B123" s="2">
        <v>45759.986840277779</v>
      </c>
      <c r="C123" s="2">
        <v>45759.998425925929</v>
      </c>
      <c r="D123" t="s">
        <v>46</v>
      </c>
      <c r="E123" t="s">
        <v>1057</v>
      </c>
      <c r="F123" t="s">
        <v>1058</v>
      </c>
      <c r="G123" t="s">
        <v>1107</v>
      </c>
      <c r="H123" t="s">
        <v>1043</v>
      </c>
      <c r="I123">
        <v>308335008</v>
      </c>
      <c r="J123" t="s">
        <v>1194</v>
      </c>
      <c r="K123">
        <v>142.58000000000001</v>
      </c>
      <c r="L123">
        <v>2685.7</v>
      </c>
      <c r="M123">
        <v>0</v>
      </c>
      <c r="N123">
        <v>389095005</v>
      </c>
      <c r="O123" t="s">
        <v>1191</v>
      </c>
    </row>
    <row r="124" spans="1:15">
      <c r="A124" t="s">
        <v>1201</v>
      </c>
      <c r="B124" s="2">
        <v>45850.986840277779</v>
      </c>
      <c r="C124" s="2">
        <v>45850.997256944444</v>
      </c>
      <c r="D124" t="s">
        <v>46</v>
      </c>
      <c r="E124" t="s">
        <v>1057</v>
      </c>
      <c r="F124" t="s">
        <v>1058</v>
      </c>
      <c r="G124" t="s">
        <v>1107</v>
      </c>
      <c r="H124" t="s">
        <v>1043</v>
      </c>
      <c r="I124">
        <v>308335008</v>
      </c>
      <c r="J124" t="s">
        <v>1194</v>
      </c>
      <c r="K124">
        <v>142.58000000000001</v>
      </c>
      <c r="L124">
        <v>1250.8499999999999</v>
      </c>
      <c r="M124">
        <v>0</v>
      </c>
      <c r="N124">
        <v>389095005</v>
      </c>
      <c r="O124" t="s">
        <v>1191</v>
      </c>
    </row>
    <row r="125" spans="1:15">
      <c r="A125" t="s">
        <v>1202</v>
      </c>
      <c r="B125" s="2">
        <v>43470.885775462964</v>
      </c>
      <c r="C125" s="2">
        <v>43470.896192129629</v>
      </c>
      <c r="D125" t="s">
        <v>72</v>
      </c>
      <c r="E125" t="s">
        <v>1157</v>
      </c>
      <c r="F125" t="s">
        <v>1158</v>
      </c>
      <c r="G125" t="s">
        <v>1026</v>
      </c>
      <c r="H125" t="s">
        <v>1159</v>
      </c>
      <c r="I125">
        <v>702927004</v>
      </c>
      <c r="J125" t="s">
        <v>1160</v>
      </c>
      <c r="K125">
        <v>142.58000000000001</v>
      </c>
      <c r="L125">
        <v>938.26</v>
      </c>
      <c r="M125">
        <v>0</v>
      </c>
      <c r="O125" t="s">
        <v>34</v>
      </c>
    </row>
    <row r="126" spans="1:15">
      <c r="A126" t="s">
        <v>1203</v>
      </c>
      <c r="B126" s="2">
        <v>45941.986840277779</v>
      </c>
      <c r="C126" s="2">
        <v>45941.997256944444</v>
      </c>
      <c r="D126" t="s">
        <v>46</v>
      </c>
      <c r="E126" t="s">
        <v>1057</v>
      </c>
      <c r="F126" t="s">
        <v>1058</v>
      </c>
      <c r="G126" t="s">
        <v>1107</v>
      </c>
      <c r="H126" t="s">
        <v>1043</v>
      </c>
      <c r="I126">
        <v>308335008</v>
      </c>
      <c r="J126" t="s">
        <v>1194</v>
      </c>
      <c r="K126">
        <v>142.58000000000001</v>
      </c>
      <c r="L126">
        <v>1250.8499999999999</v>
      </c>
      <c r="M126">
        <v>481.18</v>
      </c>
      <c r="N126">
        <v>389095005</v>
      </c>
      <c r="O126" t="s">
        <v>1191</v>
      </c>
    </row>
    <row r="127" spans="1:15">
      <c r="A127" t="s">
        <v>1204</v>
      </c>
      <c r="B127" s="2">
        <v>46032.945173611108</v>
      </c>
      <c r="C127" s="2">
        <v>46032.955590277779</v>
      </c>
      <c r="D127" t="s">
        <v>46</v>
      </c>
      <c r="E127" t="s">
        <v>1057</v>
      </c>
      <c r="F127" t="s">
        <v>1058</v>
      </c>
      <c r="G127" t="s">
        <v>1107</v>
      </c>
      <c r="H127" t="s">
        <v>1043</v>
      </c>
      <c r="I127">
        <v>308335008</v>
      </c>
      <c r="J127" t="s">
        <v>1194</v>
      </c>
      <c r="K127">
        <v>142.58000000000001</v>
      </c>
      <c r="L127">
        <v>1250.8499999999999</v>
      </c>
      <c r="M127">
        <v>875.6</v>
      </c>
      <c r="N127">
        <v>389095005</v>
      </c>
      <c r="O127" t="s">
        <v>1191</v>
      </c>
    </row>
    <row r="128" spans="1:15">
      <c r="A128" t="s">
        <v>1205</v>
      </c>
      <c r="B128" s="2">
        <v>46123.986840277779</v>
      </c>
      <c r="C128" s="2">
        <v>46123.997256944444</v>
      </c>
      <c r="D128" t="s">
        <v>46</v>
      </c>
      <c r="E128" t="s">
        <v>1057</v>
      </c>
      <c r="F128" t="s">
        <v>1058</v>
      </c>
      <c r="G128" t="s">
        <v>1107</v>
      </c>
      <c r="H128" t="s">
        <v>1043</v>
      </c>
      <c r="I128">
        <v>308335008</v>
      </c>
      <c r="J128" t="s">
        <v>1194</v>
      </c>
      <c r="K128">
        <v>142.58000000000001</v>
      </c>
      <c r="L128">
        <v>1250.8499999999999</v>
      </c>
      <c r="M128">
        <v>0</v>
      </c>
      <c r="N128">
        <v>389095005</v>
      </c>
      <c r="O128" t="s">
        <v>1191</v>
      </c>
    </row>
    <row r="129" spans="1:15">
      <c r="A129" t="s">
        <v>1206</v>
      </c>
      <c r="B129" s="2">
        <v>43477.885775462964</v>
      </c>
      <c r="C129" s="2">
        <v>43477.896192129629</v>
      </c>
      <c r="D129" t="s">
        <v>72</v>
      </c>
      <c r="E129" t="s">
        <v>1157</v>
      </c>
      <c r="F129" t="s">
        <v>1158</v>
      </c>
      <c r="G129" t="s">
        <v>1026</v>
      </c>
      <c r="H129" t="s">
        <v>1159</v>
      </c>
      <c r="I129">
        <v>702927004</v>
      </c>
      <c r="J129" t="s">
        <v>1160</v>
      </c>
      <c r="K129">
        <v>142.58000000000001</v>
      </c>
      <c r="L129">
        <v>142.58000000000001</v>
      </c>
      <c r="M129">
        <v>0</v>
      </c>
      <c r="O129" t="s">
        <v>34</v>
      </c>
    </row>
    <row r="130" spans="1:15">
      <c r="A130" t="s">
        <v>1207</v>
      </c>
      <c r="B130" s="2">
        <v>46137.986840277779</v>
      </c>
      <c r="C130" s="2">
        <v>46138.018043981479</v>
      </c>
      <c r="D130" t="s">
        <v>46</v>
      </c>
      <c r="E130" t="s">
        <v>1052</v>
      </c>
      <c r="F130" t="s">
        <v>1053</v>
      </c>
      <c r="G130" t="s">
        <v>1107</v>
      </c>
      <c r="H130" t="s">
        <v>1020</v>
      </c>
      <c r="I130">
        <v>162673000</v>
      </c>
      <c r="J130" t="s">
        <v>1021</v>
      </c>
      <c r="K130">
        <v>136.80000000000001</v>
      </c>
      <c r="L130">
        <v>1362.13</v>
      </c>
      <c r="M130">
        <v>0</v>
      </c>
      <c r="O130" t="s">
        <v>34</v>
      </c>
    </row>
    <row r="131" spans="1:15">
      <c r="A131" t="s">
        <v>1208</v>
      </c>
      <c r="B131" s="2">
        <v>46151.986840277779</v>
      </c>
      <c r="C131" s="2">
        <v>46152.151597222219</v>
      </c>
      <c r="D131" t="s">
        <v>46</v>
      </c>
      <c r="E131" t="s">
        <v>1057</v>
      </c>
      <c r="F131" t="s">
        <v>1058</v>
      </c>
      <c r="G131" t="s">
        <v>1107</v>
      </c>
      <c r="H131" t="s">
        <v>1031</v>
      </c>
      <c r="I131">
        <v>185349003</v>
      </c>
      <c r="J131" t="s">
        <v>1038</v>
      </c>
      <c r="K131">
        <v>85.55</v>
      </c>
      <c r="L131">
        <v>3105.35</v>
      </c>
      <c r="M131">
        <v>943.79</v>
      </c>
      <c r="N131">
        <v>66383009</v>
      </c>
      <c r="O131" t="s">
        <v>1209</v>
      </c>
    </row>
    <row r="132" spans="1:15">
      <c r="A132" t="s">
        <v>1210</v>
      </c>
      <c r="B132" s="2">
        <v>43396.108078703706</v>
      </c>
      <c r="C132" s="2">
        <v>43396.282696759263</v>
      </c>
      <c r="D132" t="s">
        <v>59</v>
      </c>
      <c r="E132" t="s">
        <v>1114</v>
      </c>
      <c r="F132" t="s">
        <v>1115</v>
      </c>
      <c r="G132" t="s">
        <v>1122</v>
      </c>
      <c r="H132" t="s">
        <v>1031</v>
      </c>
      <c r="I132">
        <v>185349003</v>
      </c>
      <c r="J132" t="s">
        <v>1038</v>
      </c>
      <c r="K132">
        <v>85.55</v>
      </c>
      <c r="L132">
        <v>3536.75</v>
      </c>
      <c r="M132">
        <v>2829.4</v>
      </c>
      <c r="N132">
        <v>103697008</v>
      </c>
      <c r="O132" t="s">
        <v>1039</v>
      </c>
    </row>
    <row r="133" spans="1:15">
      <c r="A133" t="s">
        <v>1211</v>
      </c>
      <c r="B133" s="2">
        <v>46214.986840277779</v>
      </c>
      <c r="C133" s="2">
        <v>46214.997256944444</v>
      </c>
      <c r="D133" t="s">
        <v>46</v>
      </c>
      <c r="E133" t="s">
        <v>1057</v>
      </c>
      <c r="F133" t="s">
        <v>1058</v>
      </c>
      <c r="G133" t="s">
        <v>1107</v>
      </c>
      <c r="H133" t="s">
        <v>1043</v>
      </c>
      <c r="I133">
        <v>308335008</v>
      </c>
      <c r="J133" t="s">
        <v>1194</v>
      </c>
      <c r="K133">
        <v>142.58000000000001</v>
      </c>
      <c r="L133">
        <v>2174.48</v>
      </c>
      <c r="M133">
        <v>1522.14</v>
      </c>
      <c r="N133">
        <v>389095005</v>
      </c>
      <c r="O133" t="s">
        <v>1191</v>
      </c>
    </row>
    <row r="134" spans="1:15">
      <c r="A134" t="s">
        <v>1212</v>
      </c>
      <c r="B134" s="2">
        <v>43484.885775462964</v>
      </c>
      <c r="C134" s="2">
        <v>43484.896192129629</v>
      </c>
      <c r="D134" t="s">
        <v>72</v>
      </c>
      <c r="E134" t="s">
        <v>1157</v>
      </c>
      <c r="F134" t="s">
        <v>1158</v>
      </c>
      <c r="G134" t="s">
        <v>1026</v>
      </c>
      <c r="H134" t="s">
        <v>1159</v>
      </c>
      <c r="I134">
        <v>702927004</v>
      </c>
      <c r="J134" t="s">
        <v>1160</v>
      </c>
      <c r="K134">
        <v>142.58000000000001</v>
      </c>
      <c r="L134">
        <v>864.14</v>
      </c>
      <c r="M134">
        <v>0</v>
      </c>
      <c r="O134" t="s">
        <v>34</v>
      </c>
    </row>
    <row r="135" spans="1:15">
      <c r="A135" t="s">
        <v>1213</v>
      </c>
      <c r="B135" s="2">
        <v>43491.885775462964</v>
      </c>
      <c r="C135" s="2">
        <v>43491.896192129629</v>
      </c>
      <c r="D135" t="s">
        <v>72</v>
      </c>
      <c r="E135" t="s">
        <v>1157</v>
      </c>
      <c r="F135" t="s">
        <v>1158</v>
      </c>
      <c r="G135" t="s">
        <v>1026</v>
      </c>
      <c r="H135" t="s">
        <v>1159</v>
      </c>
      <c r="I135">
        <v>702927004</v>
      </c>
      <c r="J135" t="s">
        <v>1160</v>
      </c>
      <c r="K135">
        <v>142.58000000000001</v>
      </c>
      <c r="L135">
        <v>573.98</v>
      </c>
      <c r="M135">
        <v>0</v>
      </c>
      <c r="O135" t="s">
        <v>34</v>
      </c>
    </row>
    <row r="136" spans="1:15">
      <c r="A136" t="s">
        <v>1214</v>
      </c>
      <c r="B136" s="2">
        <v>43753.108078703706</v>
      </c>
      <c r="C136" s="2">
        <v>43753.131620370368</v>
      </c>
      <c r="D136" t="s">
        <v>59</v>
      </c>
      <c r="E136" t="s">
        <v>1111</v>
      </c>
      <c r="F136" t="s">
        <v>1112</v>
      </c>
      <c r="G136" t="s">
        <v>1122</v>
      </c>
      <c r="H136" t="s">
        <v>1020</v>
      </c>
      <c r="I136">
        <v>162673000</v>
      </c>
      <c r="J136" t="s">
        <v>1021</v>
      </c>
      <c r="K136">
        <v>136.80000000000001</v>
      </c>
      <c r="L136">
        <v>989.36</v>
      </c>
      <c r="M136">
        <v>615.99</v>
      </c>
      <c r="O136" t="s">
        <v>34</v>
      </c>
    </row>
    <row r="137" spans="1:15">
      <c r="A137" t="s">
        <v>1215</v>
      </c>
      <c r="B137" s="2">
        <v>43498.885775462964</v>
      </c>
      <c r="C137" s="2">
        <v>43498.972511574073</v>
      </c>
      <c r="D137" t="s">
        <v>72</v>
      </c>
      <c r="E137" t="s">
        <v>1132</v>
      </c>
      <c r="F137" t="s">
        <v>1133</v>
      </c>
      <c r="G137" t="s">
        <v>1026</v>
      </c>
      <c r="H137" t="s">
        <v>1031</v>
      </c>
      <c r="I137">
        <v>185349003</v>
      </c>
      <c r="J137" t="s">
        <v>1038</v>
      </c>
      <c r="K137">
        <v>85.55</v>
      </c>
      <c r="L137">
        <v>3105.35</v>
      </c>
      <c r="M137">
        <v>1609.54</v>
      </c>
      <c r="N137">
        <v>103697008</v>
      </c>
      <c r="O137" t="s">
        <v>1039</v>
      </c>
    </row>
    <row r="138" spans="1:15">
      <c r="A138" t="s">
        <v>1216</v>
      </c>
      <c r="B138" s="2">
        <v>43505.885775462964</v>
      </c>
      <c r="C138" s="2">
        <v>43505.896192129629</v>
      </c>
      <c r="D138" t="s">
        <v>72</v>
      </c>
      <c r="E138" t="s">
        <v>1132</v>
      </c>
      <c r="F138" t="s">
        <v>1133</v>
      </c>
      <c r="G138" t="s">
        <v>1026</v>
      </c>
      <c r="H138" t="s">
        <v>1031</v>
      </c>
      <c r="I138">
        <v>185345009</v>
      </c>
      <c r="J138" t="s">
        <v>1032</v>
      </c>
      <c r="K138">
        <v>85.55</v>
      </c>
      <c r="L138">
        <v>2340.9</v>
      </c>
      <c r="M138">
        <v>1404.54</v>
      </c>
      <c r="N138">
        <v>43878008</v>
      </c>
      <c r="O138" t="s">
        <v>1217</v>
      </c>
    </row>
    <row r="139" spans="1:15">
      <c r="A139" t="s">
        <v>1218</v>
      </c>
      <c r="B139" s="2">
        <v>43524.885775462964</v>
      </c>
      <c r="C139" s="2">
        <v>43524.896192129629</v>
      </c>
      <c r="D139" t="s">
        <v>72</v>
      </c>
      <c r="E139" t="s">
        <v>1132</v>
      </c>
      <c r="F139" t="s">
        <v>1133</v>
      </c>
      <c r="G139" t="s">
        <v>1026</v>
      </c>
      <c r="H139" t="s">
        <v>1031</v>
      </c>
      <c r="I139">
        <v>394701000</v>
      </c>
      <c r="J139" t="s">
        <v>1154</v>
      </c>
      <c r="K139">
        <v>142.58000000000001</v>
      </c>
      <c r="L139">
        <v>142.58000000000001</v>
      </c>
      <c r="M139">
        <v>85.55</v>
      </c>
      <c r="N139">
        <v>233678006</v>
      </c>
      <c r="O139" t="s">
        <v>1148</v>
      </c>
    </row>
    <row r="140" spans="1:15">
      <c r="A140" t="s">
        <v>1219</v>
      </c>
      <c r="B140" s="2">
        <v>43767.108078703706</v>
      </c>
      <c r="C140" s="2">
        <v>43767.253923611112</v>
      </c>
      <c r="D140" t="s">
        <v>59</v>
      </c>
      <c r="E140" t="s">
        <v>1114</v>
      </c>
      <c r="F140" t="s">
        <v>1115</v>
      </c>
      <c r="G140" t="s">
        <v>1122</v>
      </c>
      <c r="H140" t="s">
        <v>1031</v>
      </c>
      <c r="I140">
        <v>185349003</v>
      </c>
      <c r="J140" t="s">
        <v>1038</v>
      </c>
      <c r="K140">
        <v>85.55</v>
      </c>
      <c r="L140">
        <v>2673.95</v>
      </c>
      <c r="M140">
        <v>2139.16</v>
      </c>
      <c r="N140">
        <v>66383009</v>
      </c>
      <c r="O140" t="s">
        <v>1209</v>
      </c>
    </row>
    <row r="141" spans="1:15">
      <c r="A141" t="s">
        <v>1220</v>
      </c>
      <c r="B141" s="2">
        <v>43638.927442129629</v>
      </c>
      <c r="C141" s="2">
        <v>43638.937858796293</v>
      </c>
      <c r="D141" t="s">
        <v>72</v>
      </c>
      <c r="E141" t="s">
        <v>1142</v>
      </c>
      <c r="F141" t="s">
        <v>1143</v>
      </c>
      <c r="G141" t="s">
        <v>1026</v>
      </c>
      <c r="H141" t="s">
        <v>1020</v>
      </c>
      <c r="I141">
        <v>410620009</v>
      </c>
      <c r="J141" t="s">
        <v>1054</v>
      </c>
      <c r="K141">
        <v>136.80000000000001</v>
      </c>
      <c r="L141">
        <v>136.80000000000001</v>
      </c>
      <c r="M141">
        <v>82.08</v>
      </c>
      <c r="O141" t="s">
        <v>34</v>
      </c>
    </row>
    <row r="142" spans="1:15">
      <c r="A142" t="s">
        <v>1221</v>
      </c>
      <c r="B142" s="2">
        <v>43979.469108796293</v>
      </c>
      <c r="C142" s="2">
        <v>43979.479525462964</v>
      </c>
      <c r="D142" t="s">
        <v>72</v>
      </c>
      <c r="E142" t="s">
        <v>1132</v>
      </c>
      <c r="F142" t="s">
        <v>1133</v>
      </c>
      <c r="G142" t="s">
        <v>1026</v>
      </c>
      <c r="H142" t="s">
        <v>1031</v>
      </c>
      <c r="I142">
        <v>185347001</v>
      </c>
      <c r="J142" t="s">
        <v>1124</v>
      </c>
      <c r="K142">
        <v>85.55</v>
      </c>
      <c r="L142">
        <v>85.55</v>
      </c>
      <c r="M142">
        <v>0</v>
      </c>
      <c r="N142">
        <v>442571000124108</v>
      </c>
      <c r="O142" t="s">
        <v>1134</v>
      </c>
    </row>
    <row r="143" spans="1:15">
      <c r="A143" t="s">
        <v>1222</v>
      </c>
      <c r="B143" s="2">
        <v>44009.927442129629</v>
      </c>
      <c r="C143" s="2">
        <v>44009.937858796293</v>
      </c>
      <c r="D143" t="s">
        <v>72</v>
      </c>
      <c r="E143" t="s">
        <v>1142</v>
      </c>
      <c r="F143" t="s">
        <v>1143</v>
      </c>
      <c r="G143" t="s">
        <v>1026</v>
      </c>
      <c r="H143" t="s">
        <v>1020</v>
      </c>
      <c r="I143">
        <v>410620009</v>
      </c>
      <c r="J143" t="s">
        <v>1054</v>
      </c>
      <c r="K143">
        <v>136.80000000000001</v>
      </c>
      <c r="L143">
        <v>816.8</v>
      </c>
      <c r="M143">
        <v>0</v>
      </c>
      <c r="O143" t="s">
        <v>34</v>
      </c>
    </row>
    <row r="144" spans="1:15">
      <c r="A144" t="s">
        <v>1223</v>
      </c>
      <c r="B144" s="2">
        <v>44064.927442129629</v>
      </c>
      <c r="C144" s="2">
        <v>44064.937858796293</v>
      </c>
      <c r="D144" t="s">
        <v>72</v>
      </c>
      <c r="E144" t="s">
        <v>1132</v>
      </c>
      <c r="F144" t="s">
        <v>1133</v>
      </c>
      <c r="G144" t="s">
        <v>1026</v>
      </c>
      <c r="H144" t="s">
        <v>1031</v>
      </c>
      <c r="I144">
        <v>394701000</v>
      </c>
      <c r="J144" t="s">
        <v>1154</v>
      </c>
      <c r="K144">
        <v>142.58000000000001</v>
      </c>
      <c r="L144">
        <v>142.58000000000001</v>
      </c>
      <c r="M144">
        <v>0</v>
      </c>
      <c r="N144">
        <v>233678006</v>
      </c>
      <c r="O144" t="s">
        <v>1148</v>
      </c>
    </row>
    <row r="145" spans="1:15">
      <c r="A145" t="s">
        <v>1224</v>
      </c>
      <c r="B145" s="2">
        <v>44380.927442129629</v>
      </c>
      <c r="C145" s="2">
        <v>44380.93917824074</v>
      </c>
      <c r="D145" t="s">
        <v>72</v>
      </c>
      <c r="E145" t="s">
        <v>1142</v>
      </c>
      <c r="F145" t="s">
        <v>1143</v>
      </c>
      <c r="G145" t="s">
        <v>1026</v>
      </c>
      <c r="H145" t="s">
        <v>1020</v>
      </c>
      <c r="I145">
        <v>410620009</v>
      </c>
      <c r="J145" t="s">
        <v>1054</v>
      </c>
      <c r="K145">
        <v>136.80000000000001</v>
      </c>
      <c r="L145">
        <v>778.78</v>
      </c>
      <c r="M145">
        <v>0</v>
      </c>
      <c r="O145" t="s">
        <v>34</v>
      </c>
    </row>
    <row r="146" spans="1:15">
      <c r="A146" t="s">
        <v>1225</v>
      </c>
      <c r="B146" s="2">
        <v>43774.066412037035</v>
      </c>
      <c r="C146" s="2">
        <v>43774.101111111115</v>
      </c>
      <c r="D146" t="s">
        <v>59</v>
      </c>
      <c r="E146" t="s">
        <v>1226</v>
      </c>
      <c r="F146" t="s">
        <v>1227</v>
      </c>
      <c r="G146" t="s">
        <v>1122</v>
      </c>
      <c r="H146" t="s">
        <v>1031</v>
      </c>
      <c r="I146">
        <v>185347001</v>
      </c>
      <c r="J146" t="s">
        <v>1124</v>
      </c>
      <c r="K146">
        <v>85.55</v>
      </c>
      <c r="L146">
        <v>516.95000000000005</v>
      </c>
      <c r="M146">
        <v>413.56</v>
      </c>
      <c r="N146">
        <v>414545008</v>
      </c>
      <c r="O146" t="s">
        <v>1228</v>
      </c>
    </row>
    <row r="147" spans="1:15">
      <c r="A147" t="s">
        <v>1229</v>
      </c>
      <c r="B147" s="2">
        <v>43778.559444444443</v>
      </c>
      <c r="C147" s="2">
        <v>43778.7344212963</v>
      </c>
      <c r="D147" t="s">
        <v>59</v>
      </c>
      <c r="E147" t="s">
        <v>1226</v>
      </c>
      <c r="F147" t="s">
        <v>1227</v>
      </c>
      <c r="G147" t="s">
        <v>1122</v>
      </c>
      <c r="H147" t="s">
        <v>1031</v>
      </c>
      <c r="I147">
        <v>185347001</v>
      </c>
      <c r="J147" t="s">
        <v>1124</v>
      </c>
      <c r="K147">
        <v>85.55</v>
      </c>
      <c r="L147">
        <v>1444.46</v>
      </c>
      <c r="M147">
        <v>1155.57</v>
      </c>
      <c r="N147">
        <v>414545008</v>
      </c>
      <c r="O147" t="s">
        <v>1228</v>
      </c>
    </row>
    <row r="148" spans="1:15">
      <c r="A148" t="s">
        <v>1230</v>
      </c>
      <c r="B148" s="2">
        <v>43781.401087962964</v>
      </c>
      <c r="C148" s="2">
        <v>43781.446597222224</v>
      </c>
      <c r="D148" t="s">
        <v>59</v>
      </c>
      <c r="E148" t="s">
        <v>1226</v>
      </c>
      <c r="F148" t="s">
        <v>1227</v>
      </c>
      <c r="G148" t="s">
        <v>1122</v>
      </c>
      <c r="H148" t="s">
        <v>1031</v>
      </c>
      <c r="I148">
        <v>185347001</v>
      </c>
      <c r="J148" t="s">
        <v>1124</v>
      </c>
      <c r="K148">
        <v>85.55</v>
      </c>
      <c r="L148">
        <v>9341.15</v>
      </c>
      <c r="M148">
        <v>7472.92</v>
      </c>
      <c r="N148">
        <v>414545008</v>
      </c>
      <c r="O148" t="s">
        <v>1228</v>
      </c>
    </row>
    <row r="149" spans="1:15">
      <c r="A149" t="s">
        <v>1231</v>
      </c>
      <c r="B149" s="2">
        <v>43822.149745370371</v>
      </c>
      <c r="C149" s="2">
        <v>43822.164143518516</v>
      </c>
      <c r="D149" t="s">
        <v>59</v>
      </c>
      <c r="E149" t="s">
        <v>1114</v>
      </c>
      <c r="F149" t="s">
        <v>1115</v>
      </c>
      <c r="G149" t="s">
        <v>1122</v>
      </c>
      <c r="H149" t="s">
        <v>1031</v>
      </c>
      <c r="I149">
        <v>185345009</v>
      </c>
      <c r="J149" t="s">
        <v>1032</v>
      </c>
      <c r="K149">
        <v>85.55</v>
      </c>
      <c r="L149">
        <v>5740.39</v>
      </c>
      <c r="M149">
        <v>4592.3100000000004</v>
      </c>
      <c r="N149">
        <v>10509002</v>
      </c>
      <c r="O149" t="s">
        <v>1033</v>
      </c>
    </row>
    <row r="150" spans="1:15">
      <c r="A150" t="s">
        <v>1232</v>
      </c>
      <c r="B150" s="2">
        <v>43830.066412037035</v>
      </c>
      <c r="C150" s="2">
        <v>43830.087685185186</v>
      </c>
      <c r="D150" t="s">
        <v>59</v>
      </c>
      <c r="E150" t="s">
        <v>1157</v>
      </c>
      <c r="F150" t="s">
        <v>1158</v>
      </c>
      <c r="G150" t="s">
        <v>1122</v>
      </c>
      <c r="H150" t="s">
        <v>1159</v>
      </c>
      <c r="I150">
        <v>702927004</v>
      </c>
      <c r="J150" t="s">
        <v>1160</v>
      </c>
      <c r="K150">
        <v>142.58000000000001</v>
      </c>
      <c r="L150">
        <v>1366</v>
      </c>
      <c r="M150">
        <v>1092.8</v>
      </c>
      <c r="O150" t="s">
        <v>34</v>
      </c>
    </row>
    <row r="151" spans="1:15">
      <c r="A151" t="s">
        <v>1233</v>
      </c>
      <c r="B151" s="2">
        <v>44387.927442129629</v>
      </c>
      <c r="C151" s="2">
        <v>44388.076527777775</v>
      </c>
      <c r="D151" t="s">
        <v>72</v>
      </c>
      <c r="E151" t="s">
        <v>1132</v>
      </c>
      <c r="F151" t="s">
        <v>1133</v>
      </c>
      <c r="G151" t="s">
        <v>1026</v>
      </c>
      <c r="H151" t="s">
        <v>1031</v>
      </c>
      <c r="I151">
        <v>185349003</v>
      </c>
      <c r="J151" t="s">
        <v>1038</v>
      </c>
      <c r="K151">
        <v>85.55</v>
      </c>
      <c r="L151">
        <v>3105.35</v>
      </c>
      <c r="M151">
        <v>0</v>
      </c>
      <c r="N151">
        <v>103697008</v>
      </c>
      <c r="O151" t="s">
        <v>1039</v>
      </c>
    </row>
    <row r="152" spans="1:15">
      <c r="A152" t="s">
        <v>1234</v>
      </c>
      <c r="B152" s="2">
        <v>43844.066412037035</v>
      </c>
      <c r="C152" s="2">
        <v>43844.210787037038</v>
      </c>
      <c r="D152" t="s">
        <v>59</v>
      </c>
      <c r="E152" t="s">
        <v>1114</v>
      </c>
      <c r="F152" t="s">
        <v>1115</v>
      </c>
      <c r="G152" t="s">
        <v>1122</v>
      </c>
      <c r="H152" t="s">
        <v>1031</v>
      </c>
      <c r="I152">
        <v>185349003</v>
      </c>
      <c r="J152" t="s">
        <v>1038</v>
      </c>
      <c r="K152">
        <v>85.55</v>
      </c>
      <c r="L152">
        <v>2673.95</v>
      </c>
      <c r="M152">
        <v>2139.16</v>
      </c>
      <c r="N152">
        <v>66383009</v>
      </c>
      <c r="O152" t="s">
        <v>1209</v>
      </c>
    </row>
    <row r="153" spans="1:15">
      <c r="A153" t="s">
        <v>1235</v>
      </c>
      <c r="B153" s="2">
        <v>44124.108078703706</v>
      </c>
      <c r="C153" s="2">
        <v>44124.131018518521</v>
      </c>
      <c r="D153" t="s">
        <v>59</v>
      </c>
      <c r="E153" t="s">
        <v>1111</v>
      </c>
      <c r="F153" t="s">
        <v>1112</v>
      </c>
      <c r="G153" t="s">
        <v>1122</v>
      </c>
      <c r="H153" t="s">
        <v>1020</v>
      </c>
      <c r="I153">
        <v>162673000</v>
      </c>
      <c r="J153" t="s">
        <v>1021</v>
      </c>
      <c r="K153">
        <v>136.80000000000001</v>
      </c>
      <c r="L153">
        <v>789.66</v>
      </c>
      <c r="M153">
        <v>449.62</v>
      </c>
      <c r="O153" t="s">
        <v>34</v>
      </c>
    </row>
    <row r="154" spans="1:15">
      <c r="A154" t="s">
        <v>1236</v>
      </c>
      <c r="B154" s="2">
        <v>44604.885775462964</v>
      </c>
      <c r="C154" s="2">
        <v>44604.896192129629</v>
      </c>
      <c r="D154" t="s">
        <v>72</v>
      </c>
      <c r="E154" t="s">
        <v>1132</v>
      </c>
      <c r="F154" t="s">
        <v>1133</v>
      </c>
      <c r="G154" t="s">
        <v>1026</v>
      </c>
      <c r="H154" t="s">
        <v>1031</v>
      </c>
      <c r="I154">
        <v>394701000</v>
      </c>
      <c r="J154" t="s">
        <v>1154</v>
      </c>
      <c r="K154">
        <v>142.58000000000001</v>
      </c>
      <c r="L154">
        <v>142.58000000000001</v>
      </c>
      <c r="M154">
        <v>0</v>
      </c>
      <c r="N154">
        <v>233678006</v>
      </c>
      <c r="O154" t="s">
        <v>1148</v>
      </c>
    </row>
    <row r="155" spans="1:15">
      <c r="A155" t="s">
        <v>1237</v>
      </c>
      <c r="B155" s="2">
        <v>44751.927442129629</v>
      </c>
      <c r="C155" s="2">
        <v>44751.937858796293</v>
      </c>
      <c r="D155" t="s">
        <v>72</v>
      </c>
      <c r="E155" t="s">
        <v>1142</v>
      </c>
      <c r="F155" t="s">
        <v>1143</v>
      </c>
      <c r="G155" t="s">
        <v>1026</v>
      </c>
      <c r="H155" t="s">
        <v>1020</v>
      </c>
      <c r="I155">
        <v>410620009</v>
      </c>
      <c r="J155" t="s">
        <v>1054</v>
      </c>
      <c r="K155">
        <v>136.80000000000001</v>
      </c>
      <c r="L155">
        <v>696.6</v>
      </c>
      <c r="M155">
        <v>0</v>
      </c>
      <c r="O155" t="s">
        <v>34</v>
      </c>
    </row>
    <row r="156" spans="1:15">
      <c r="A156" t="s">
        <v>1238</v>
      </c>
      <c r="B156" s="2">
        <v>44138.066412037035</v>
      </c>
      <c r="C156" s="2">
        <v>44138.192974537036</v>
      </c>
      <c r="D156" t="s">
        <v>59</v>
      </c>
      <c r="E156" t="s">
        <v>1114</v>
      </c>
      <c r="F156" t="s">
        <v>1115</v>
      </c>
      <c r="G156" t="s">
        <v>1122</v>
      </c>
      <c r="H156" t="s">
        <v>1031</v>
      </c>
      <c r="I156">
        <v>185349003</v>
      </c>
      <c r="J156" t="s">
        <v>1038</v>
      </c>
      <c r="K156">
        <v>85.55</v>
      </c>
      <c r="L156">
        <v>3536.75</v>
      </c>
      <c r="M156">
        <v>2829.4</v>
      </c>
      <c r="N156">
        <v>103697008</v>
      </c>
      <c r="O156" t="s">
        <v>1039</v>
      </c>
    </row>
    <row r="157" spans="1:15">
      <c r="A157" t="s">
        <v>1239</v>
      </c>
      <c r="B157" s="2">
        <v>45122.927442129629</v>
      </c>
      <c r="C157" s="2">
        <v>45122.937858796293</v>
      </c>
      <c r="D157" t="s">
        <v>72</v>
      </c>
      <c r="E157" t="s">
        <v>1142</v>
      </c>
      <c r="F157" t="s">
        <v>1143</v>
      </c>
      <c r="G157" t="s">
        <v>1019</v>
      </c>
      <c r="H157" t="s">
        <v>1020</v>
      </c>
      <c r="I157">
        <v>410620009</v>
      </c>
      <c r="J157" t="s">
        <v>1054</v>
      </c>
      <c r="K157">
        <v>136.80000000000001</v>
      </c>
      <c r="L157">
        <v>1011.45</v>
      </c>
      <c r="M157">
        <v>0</v>
      </c>
      <c r="O157" t="s">
        <v>34</v>
      </c>
    </row>
    <row r="158" spans="1:15">
      <c r="A158" t="s">
        <v>1240</v>
      </c>
      <c r="B158" s="2">
        <v>44236.066412037035</v>
      </c>
      <c r="C158" s="2">
        <v>44236.076828703706</v>
      </c>
      <c r="D158" t="s">
        <v>59</v>
      </c>
      <c r="E158" t="s">
        <v>1114</v>
      </c>
      <c r="F158" t="s">
        <v>1115</v>
      </c>
      <c r="G158" t="s">
        <v>1122</v>
      </c>
      <c r="H158" t="s">
        <v>1043</v>
      </c>
      <c r="I158">
        <v>33879002</v>
      </c>
      <c r="J158" t="s">
        <v>1044</v>
      </c>
      <c r="K158">
        <v>142.58000000000001</v>
      </c>
      <c r="L158">
        <v>278.58</v>
      </c>
      <c r="M158">
        <v>222.86</v>
      </c>
      <c r="O158" t="s">
        <v>34</v>
      </c>
    </row>
    <row r="159" spans="1:15">
      <c r="A159" t="s">
        <v>1241</v>
      </c>
      <c r="B159" s="2">
        <v>44257.066412037035</v>
      </c>
      <c r="C159" s="2">
        <v>44257.076828703706</v>
      </c>
      <c r="D159" t="s">
        <v>59</v>
      </c>
      <c r="E159" t="s">
        <v>1114</v>
      </c>
      <c r="F159" t="s">
        <v>1115</v>
      </c>
      <c r="G159" t="s">
        <v>1122</v>
      </c>
      <c r="H159" t="s">
        <v>1043</v>
      </c>
      <c r="I159">
        <v>33879002</v>
      </c>
      <c r="J159" t="s">
        <v>1044</v>
      </c>
      <c r="K159">
        <v>142.58000000000001</v>
      </c>
      <c r="L159">
        <v>278.58</v>
      </c>
      <c r="M159">
        <v>222.86</v>
      </c>
      <c r="O159" t="s">
        <v>34</v>
      </c>
    </row>
    <row r="160" spans="1:15">
      <c r="A160" t="s">
        <v>1242</v>
      </c>
      <c r="B160" s="2">
        <v>45129.927442129629</v>
      </c>
      <c r="C160" s="2">
        <v>45130.101585648146</v>
      </c>
      <c r="D160" t="s">
        <v>72</v>
      </c>
      <c r="E160" t="s">
        <v>1132</v>
      </c>
      <c r="F160" t="s">
        <v>1133</v>
      </c>
      <c r="G160" t="s">
        <v>1026</v>
      </c>
      <c r="H160" t="s">
        <v>1031</v>
      </c>
      <c r="I160">
        <v>185349003</v>
      </c>
      <c r="J160" t="s">
        <v>1038</v>
      </c>
      <c r="K160">
        <v>85.55</v>
      </c>
      <c r="L160">
        <v>3968.15</v>
      </c>
      <c r="M160">
        <v>0</v>
      </c>
      <c r="N160">
        <v>103697008</v>
      </c>
      <c r="O160" t="s">
        <v>1039</v>
      </c>
    </row>
    <row r="161" spans="1:15">
      <c r="A161" t="s">
        <v>1243</v>
      </c>
      <c r="B161" s="2">
        <v>44495.108078703706</v>
      </c>
      <c r="C161" s="2">
        <v>44495.140590277777</v>
      </c>
      <c r="D161" t="s">
        <v>59</v>
      </c>
      <c r="E161" t="s">
        <v>1111</v>
      </c>
      <c r="F161" t="s">
        <v>1112</v>
      </c>
      <c r="G161" t="s">
        <v>1122</v>
      </c>
      <c r="H161" t="s">
        <v>1020</v>
      </c>
      <c r="I161">
        <v>162673000</v>
      </c>
      <c r="J161" t="s">
        <v>1021</v>
      </c>
      <c r="K161">
        <v>136.80000000000001</v>
      </c>
      <c r="L161">
        <v>1567</v>
      </c>
      <c r="M161">
        <v>1071.58</v>
      </c>
      <c r="O161" t="s">
        <v>34</v>
      </c>
    </row>
    <row r="162" spans="1:15">
      <c r="A162" t="s">
        <v>1244</v>
      </c>
      <c r="B162" s="2">
        <v>45144.927442129629</v>
      </c>
      <c r="C162" s="2">
        <v>45144.937858796293</v>
      </c>
      <c r="D162" t="s">
        <v>72</v>
      </c>
      <c r="E162" t="s">
        <v>1132</v>
      </c>
      <c r="F162" t="s">
        <v>1133</v>
      </c>
      <c r="G162" t="s">
        <v>1026</v>
      </c>
      <c r="H162" t="s">
        <v>1031</v>
      </c>
      <c r="I162">
        <v>394701000</v>
      </c>
      <c r="J162" t="s">
        <v>1154</v>
      </c>
      <c r="K162">
        <v>142.58000000000001</v>
      </c>
      <c r="L162">
        <v>142.58000000000001</v>
      </c>
      <c r="M162">
        <v>0</v>
      </c>
      <c r="N162">
        <v>233678006</v>
      </c>
      <c r="O162" t="s">
        <v>1148</v>
      </c>
    </row>
    <row r="163" spans="1:15">
      <c r="A163" t="s">
        <v>1245</v>
      </c>
      <c r="B163" s="2">
        <v>45493.927442129629</v>
      </c>
      <c r="C163" s="2">
        <v>45493.937858796293</v>
      </c>
      <c r="D163" t="s">
        <v>72</v>
      </c>
      <c r="E163" t="s">
        <v>1142</v>
      </c>
      <c r="F163" t="s">
        <v>1143</v>
      </c>
      <c r="G163" t="s">
        <v>1026</v>
      </c>
      <c r="H163" t="s">
        <v>1020</v>
      </c>
      <c r="I163">
        <v>410620009</v>
      </c>
      <c r="J163" t="s">
        <v>1054</v>
      </c>
      <c r="K163">
        <v>136.80000000000001</v>
      </c>
      <c r="L163">
        <v>272.8</v>
      </c>
      <c r="M163">
        <v>0</v>
      </c>
      <c r="O163" t="s">
        <v>34</v>
      </c>
    </row>
    <row r="164" spans="1:15">
      <c r="A164" t="s">
        <v>1246</v>
      </c>
      <c r="B164" s="2">
        <v>45507.927442129629</v>
      </c>
      <c r="C164" s="2">
        <v>45507.969108796293</v>
      </c>
      <c r="D164" t="s">
        <v>72</v>
      </c>
      <c r="E164" t="s">
        <v>1247</v>
      </c>
      <c r="F164" t="s">
        <v>1248</v>
      </c>
      <c r="G164" t="s">
        <v>1026</v>
      </c>
      <c r="H164" t="s">
        <v>1076</v>
      </c>
      <c r="I164">
        <v>50849002</v>
      </c>
      <c r="J164" t="s">
        <v>1163</v>
      </c>
      <c r="K164">
        <v>146.18</v>
      </c>
      <c r="L164">
        <v>5458.96</v>
      </c>
      <c r="M164">
        <v>2.57</v>
      </c>
      <c r="N164">
        <v>312608009</v>
      </c>
      <c r="O164" t="s">
        <v>1249</v>
      </c>
    </row>
    <row r="165" spans="1:15">
      <c r="A165" t="s">
        <v>1250</v>
      </c>
      <c r="B165" s="2">
        <v>44502.108078703706</v>
      </c>
      <c r="C165" s="2">
        <v>44502.154872685183</v>
      </c>
      <c r="D165" t="s">
        <v>59</v>
      </c>
      <c r="E165" t="s">
        <v>1114</v>
      </c>
      <c r="F165" t="s">
        <v>1115</v>
      </c>
      <c r="G165" t="s">
        <v>1122</v>
      </c>
      <c r="H165" t="s">
        <v>1031</v>
      </c>
      <c r="I165">
        <v>185347001</v>
      </c>
      <c r="J165" t="s">
        <v>1124</v>
      </c>
      <c r="K165">
        <v>85.55</v>
      </c>
      <c r="L165">
        <v>1379.75</v>
      </c>
      <c r="M165">
        <v>1103.8</v>
      </c>
      <c r="N165">
        <v>37320007</v>
      </c>
      <c r="O165" t="s">
        <v>1125</v>
      </c>
    </row>
    <row r="166" spans="1:15">
      <c r="A166" t="s">
        <v>1251</v>
      </c>
      <c r="B166" s="2">
        <v>44516.066412037035</v>
      </c>
      <c r="C166" s="2">
        <v>44516.198692129627</v>
      </c>
      <c r="D166" t="s">
        <v>59</v>
      </c>
      <c r="E166" t="s">
        <v>1114</v>
      </c>
      <c r="F166" t="s">
        <v>1115</v>
      </c>
      <c r="G166" t="s">
        <v>1122</v>
      </c>
      <c r="H166" t="s">
        <v>1031</v>
      </c>
      <c r="I166">
        <v>185349003</v>
      </c>
      <c r="J166" t="s">
        <v>1038</v>
      </c>
      <c r="K166">
        <v>85.55</v>
      </c>
      <c r="L166">
        <v>3105.35</v>
      </c>
      <c r="M166">
        <v>2484.2800000000002</v>
      </c>
      <c r="N166">
        <v>103697008</v>
      </c>
      <c r="O166" t="s">
        <v>1039</v>
      </c>
    </row>
    <row r="167" spans="1:15">
      <c r="A167" t="s">
        <v>1252</v>
      </c>
      <c r="B167" s="2">
        <v>45596.844108796293</v>
      </c>
      <c r="C167" s="2">
        <v>45596.854525462964</v>
      </c>
      <c r="D167" t="s">
        <v>72</v>
      </c>
      <c r="E167" t="s">
        <v>1132</v>
      </c>
      <c r="F167" t="s">
        <v>1133</v>
      </c>
      <c r="G167" t="s">
        <v>1026</v>
      </c>
      <c r="H167" t="s">
        <v>1031</v>
      </c>
      <c r="I167">
        <v>185345009</v>
      </c>
      <c r="J167" t="s">
        <v>1032</v>
      </c>
      <c r="K167">
        <v>85.55</v>
      </c>
      <c r="L167">
        <v>4094.67</v>
      </c>
      <c r="M167">
        <v>2456.8000000000002</v>
      </c>
      <c r="N167">
        <v>10509002</v>
      </c>
      <c r="O167" t="s">
        <v>1033</v>
      </c>
    </row>
    <row r="168" spans="1:15">
      <c r="A168" t="s">
        <v>1253</v>
      </c>
      <c r="B168" s="2">
        <v>45605.885775462964</v>
      </c>
      <c r="C168" s="2">
        <v>45605.896192129629</v>
      </c>
      <c r="D168" t="s">
        <v>72</v>
      </c>
      <c r="E168" t="s">
        <v>1157</v>
      </c>
      <c r="F168" t="s">
        <v>1158</v>
      </c>
      <c r="G168" t="s">
        <v>1026</v>
      </c>
      <c r="H168" t="s">
        <v>1159</v>
      </c>
      <c r="I168">
        <v>702927004</v>
      </c>
      <c r="J168" t="s">
        <v>1160</v>
      </c>
      <c r="K168">
        <v>142.58000000000001</v>
      </c>
      <c r="L168">
        <v>573.98</v>
      </c>
      <c r="M168">
        <v>344.39</v>
      </c>
      <c r="O168" t="s">
        <v>34</v>
      </c>
    </row>
    <row r="169" spans="1:15">
      <c r="A169" t="s">
        <v>1254</v>
      </c>
      <c r="B169" s="2">
        <v>44523.113206018519</v>
      </c>
      <c r="C169" s="2">
        <v>44523.145532407405</v>
      </c>
      <c r="D169" t="s">
        <v>59</v>
      </c>
      <c r="E169" t="s">
        <v>1114</v>
      </c>
      <c r="F169" t="s">
        <v>1115</v>
      </c>
      <c r="G169" t="s">
        <v>1122</v>
      </c>
      <c r="H169" t="s">
        <v>1031</v>
      </c>
      <c r="I169">
        <v>390906007</v>
      </c>
      <c r="J169" t="s">
        <v>1255</v>
      </c>
      <c r="K169">
        <v>85.55</v>
      </c>
      <c r="L169">
        <v>516.95000000000005</v>
      </c>
      <c r="M169">
        <v>413.56</v>
      </c>
      <c r="N169">
        <v>37320007</v>
      </c>
      <c r="O169" t="s">
        <v>1125</v>
      </c>
    </row>
    <row r="170" spans="1:15">
      <c r="A170" t="s">
        <v>1256</v>
      </c>
      <c r="B170" s="2">
        <v>45612.885775462964</v>
      </c>
      <c r="C170" s="2">
        <v>45613.147534722222</v>
      </c>
      <c r="D170" t="s">
        <v>72</v>
      </c>
      <c r="E170" t="s">
        <v>1132</v>
      </c>
      <c r="F170" t="s">
        <v>1133</v>
      </c>
      <c r="G170" t="s">
        <v>1026</v>
      </c>
      <c r="H170" t="s">
        <v>1031</v>
      </c>
      <c r="I170">
        <v>185349003</v>
      </c>
      <c r="J170" t="s">
        <v>1038</v>
      </c>
      <c r="K170">
        <v>85.55</v>
      </c>
      <c r="L170">
        <v>5262.35</v>
      </c>
      <c r="M170">
        <v>3157.41</v>
      </c>
      <c r="N170">
        <v>66383009</v>
      </c>
      <c r="O170" t="s">
        <v>1209</v>
      </c>
    </row>
    <row r="171" spans="1:15">
      <c r="A171" t="s">
        <v>1257</v>
      </c>
      <c r="B171" s="2">
        <v>44866.108078703706</v>
      </c>
      <c r="C171" s="2">
        <v>44866.147280092591</v>
      </c>
      <c r="D171" t="s">
        <v>59</v>
      </c>
      <c r="E171" t="s">
        <v>1111</v>
      </c>
      <c r="F171" t="s">
        <v>1112</v>
      </c>
      <c r="G171" t="s">
        <v>1122</v>
      </c>
      <c r="H171" t="s">
        <v>1020</v>
      </c>
      <c r="I171">
        <v>162673000</v>
      </c>
      <c r="J171" t="s">
        <v>1021</v>
      </c>
      <c r="K171">
        <v>136.80000000000001</v>
      </c>
      <c r="L171">
        <v>1641.58</v>
      </c>
      <c r="M171">
        <v>1127.96</v>
      </c>
      <c r="O171" t="s">
        <v>34</v>
      </c>
    </row>
    <row r="172" spans="1:15">
      <c r="A172" t="s">
        <v>1258</v>
      </c>
      <c r="B172" s="2">
        <v>44880.066412037035</v>
      </c>
      <c r="C172" s="2">
        <v>44880.191643518519</v>
      </c>
      <c r="D172" t="s">
        <v>59</v>
      </c>
      <c r="E172" t="s">
        <v>1114</v>
      </c>
      <c r="F172" t="s">
        <v>1115</v>
      </c>
      <c r="G172" t="s">
        <v>1122</v>
      </c>
      <c r="H172" t="s">
        <v>1031</v>
      </c>
      <c r="I172">
        <v>185349003</v>
      </c>
      <c r="J172" t="s">
        <v>1038</v>
      </c>
      <c r="K172">
        <v>85.55</v>
      </c>
      <c r="L172">
        <v>3105.35</v>
      </c>
      <c r="M172">
        <v>2484.2800000000002</v>
      </c>
      <c r="N172">
        <v>103697008</v>
      </c>
      <c r="O172" t="s">
        <v>1039</v>
      </c>
    </row>
    <row r="173" spans="1:15">
      <c r="A173" t="s">
        <v>1259</v>
      </c>
      <c r="B173" s="2">
        <v>45864.927442129629</v>
      </c>
      <c r="C173" s="2">
        <v>45864.937858796293</v>
      </c>
      <c r="D173" t="s">
        <v>72</v>
      </c>
      <c r="E173" t="s">
        <v>1142</v>
      </c>
      <c r="F173" t="s">
        <v>1143</v>
      </c>
      <c r="G173" t="s">
        <v>1026</v>
      </c>
      <c r="H173" t="s">
        <v>1020</v>
      </c>
      <c r="I173">
        <v>410620009</v>
      </c>
      <c r="J173" t="s">
        <v>1054</v>
      </c>
      <c r="K173">
        <v>136.80000000000001</v>
      </c>
      <c r="L173">
        <v>272.8</v>
      </c>
      <c r="M173">
        <v>0</v>
      </c>
      <c r="O173" t="s">
        <v>34</v>
      </c>
    </row>
    <row r="174" spans="1:15">
      <c r="A174" t="s">
        <v>1260</v>
      </c>
      <c r="B174" s="2">
        <v>45097.108078703706</v>
      </c>
      <c r="C174" s="2">
        <v>45101.118495370371</v>
      </c>
      <c r="D174" t="s">
        <v>59</v>
      </c>
      <c r="E174" t="s">
        <v>1261</v>
      </c>
      <c r="F174" t="s">
        <v>1262</v>
      </c>
      <c r="G174" t="s">
        <v>1122</v>
      </c>
      <c r="H174" t="s">
        <v>1263</v>
      </c>
      <c r="I174">
        <v>305336008</v>
      </c>
      <c r="J174" t="s">
        <v>1264</v>
      </c>
      <c r="K174">
        <v>137.53</v>
      </c>
      <c r="L174">
        <v>4020.13</v>
      </c>
      <c r="M174">
        <v>3029.7</v>
      </c>
      <c r="N174">
        <v>26929004</v>
      </c>
      <c r="O174" t="s">
        <v>1265</v>
      </c>
    </row>
    <row r="175" spans="1:15">
      <c r="A175" t="s">
        <v>1266</v>
      </c>
      <c r="B175" s="2">
        <v>45871.927442129629</v>
      </c>
      <c r="C175" s="2">
        <v>45871.969108796293</v>
      </c>
      <c r="D175" t="s">
        <v>72</v>
      </c>
      <c r="E175" t="s">
        <v>1247</v>
      </c>
      <c r="F175" t="s">
        <v>1248</v>
      </c>
      <c r="G175" t="s">
        <v>1026</v>
      </c>
      <c r="H175" t="s">
        <v>1076</v>
      </c>
      <c r="I175">
        <v>183478001</v>
      </c>
      <c r="J175" t="s">
        <v>1267</v>
      </c>
      <c r="K175">
        <v>146.18</v>
      </c>
      <c r="L175">
        <v>146.18</v>
      </c>
      <c r="M175">
        <v>0</v>
      </c>
      <c r="N175">
        <v>233678006</v>
      </c>
      <c r="O175" t="s">
        <v>1148</v>
      </c>
    </row>
    <row r="176" spans="1:15">
      <c r="A176" t="s">
        <v>1268</v>
      </c>
      <c r="B176" s="2">
        <v>45873.969108796293</v>
      </c>
      <c r="C176" s="2">
        <v>45873.979525462964</v>
      </c>
      <c r="D176" t="s">
        <v>72</v>
      </c>
      <c r="E176" t="s">
        <v>1132</v>
      </c>
      <c r="F176" t="s">
        <v>1133</v>
      </c>
      <c r="G176" t="s">
        <v>1026</v>
      </c>
      <c r="H176" t="s">
        <v>1031</v>
      </c>
      <c r="I176">
        <v>394701000</v>
      </c>
      <c r="J176" t="s">
        <v>1154</v>
      </c>
      <c r="K176">
        <v>142.58000000000001</v>
      </c>
      <c r="L176">
        <v>142.58000000000001</v>
      </c>
      <c r="M176">
        <v>0</v>
      </c>
      <c r="N176">
        <v>233678006</v>
      </c>
      <c r="O176" t="s">
        <v>1148</v>
      </c>
    </row>
    <row r="177" spans="1:15">
      <c r="A177" t="s">
        <v>1269</v>
      </c>
      <c r="B177" s="2">
        <v>46235.927442129629</v>
      </c>
      <c r="C177" s="2">
        <v>46235.937858796293</v>
      </c>
      <c r="D177" t="s">
        <v>72</v>
      </c>
      <c r="E177" t="s">
        <v>1142</v>
      </c>
      <c r="F177" t="s">
        <v>1143</v>
      </c>
      <c r="G177" t="s">
        <v>1026</v>
      </c>
      <c r="H177" t="s">
        <v>1020</v>
      </c>
      <c r="I177">
        <v>410620009</v>
      </c>
      <c r="J177" t="s">
        <v>1054</v>
      </c>
      <c r="K177">
        <v>136.80000000000001</v>
      </c>
      <c r="L177">
        <v>2049.58</v>
      </c>
      <c r="M177">
        <v>0</v>
      </c>
      <c r="O177" t="s">
        <v>34</v>
      </c>
    </row>
    <row r="178" spans="1:15">
      <c r="A178" t="s">
        <v>1270</v>
      </c>
      <c r="B178" s="2">
        <v>45237.066412037035</v>
      </c>
      <c r="C178" s="2">
        <v>45237.101967592593</v>
      </c>
      <c r="D178" t="s">
        <v>59</v>
      </c>
      <c r="E178" t="s">
        <v>1111</v>
      </c>
      <c r="F178" t="s">
        <v>1112</v>
      </c>
      <c r="G178" t="s">
        <v>1122</v>
      </c>
      <c r="H178" t="s">
        <v>1020</v>
      </c>
      <c r="I178">
        <v>162673000</v>
      </c>
      <c r="J178" t="s">
        <v>1021</v>
      </c>
      <c r="K178">
        <v>136.80000000000001</v>
      </c>
      <c r="L178">
        <v>922.46</v>
      </c>
      <c r="M178">
        <v>737.97</v>
      </c>
      <c r="O178" t="s">
        <v>34</v>
      </c>
    </row>
    <row r="179" spans="1:15">
      <c r="A179" t="s">
        <v>1271</v>
      </c>
      <c r="B179" s="2">
        <v>45251.066412037035</v>
      </c>
      <c r="C179" s="2">
        <v>45251.202569444446</v>
      </c>
      <c r="D179" t="s">
        <v>59</v>
      </c>
      <c r="E179" t="s">
        <v>1114</v>
      </c>
      <c r="F179" t="s">
        <v>1115</v>
      </c>
      <c r="G179" t="s">
        <v>1122</v>
      </c>
      <c r="H179" t="s">
        <v>1031</v>
      </c>
      <c r="I179">
        <v>185349003</v>
      </c>
      <c r="J179" t="s">
        <v>1038</v>
      </c>
      <c r="K179">
        <v>85.55</v>
      </c>
      <c r="L179">
        <v>2673.95</v>
      </c>
      <c r="M179">
        <v>2139.16</v>
      </c>
      <c r="N179">
        <v>66383009</v>
      </c>
      <c r="O179" t="s">
        <v>1209</v>
      </c>
    </row>
    <row r="180" spans="1:15">
      <c r="A180" t="s">
        <v>1272</v>
      </c>
      <c r="B180" s="2">
        <v>45608.066412037035</v>
      </c>
      <c r="C180" s="2">
        <v>45608.105949074074</v>
      </c>
      <c r="D180" t="s">
        <v>59</v>
      </c>
      <c r="E180" t="s">
        <v>1111</v>
      </c>
      <c r="F180" t="s">
        <v>1112</v>
      </c>
      <c r="G180" t="s">
        <v>1122</v>
      </c>
      <c r="H180" t="s">
        <v>1020</v>
      </c>
      <c r="I180">
        <v>162673000</v>
      </c>
      <c r="J180" t="s">
        <v>1021</v>
      </c>
      <c r="K180">
        <v>136.80000000000001</v>
      </c>
      <c r="L180">
        <v>778.78</v>
      </c>
      <c r="M180">
        <v>440.96</v>
      </c>
      <c r="O180" t="s">
        <v>34</v>
      </c>
    </row>
    <row r="181" spans="1:15">
      <c r="A181" t="s">
        <v>1273</v>
      </c>
      <c r="B181" s="2">
        <v>46242.927442129629</v>
      </c>
      <c r="C181" s="2">
        <v>46243.024317129632</v>
      </c>
      <c r="D181" t="s">
        <v>72</v>
      </c>
      <c r="E181" t="s">
        <v>1132</v>
      </c>
      <c r="F181" t="s">
        <v>1133</v>
      </c>
      <c r="G181" t="s">
        <v>1026</v>
      </c>
      <c r="H181" t="s">
        <v>1031</v>
      </c>
      <c r="I181">
        <v>185349003</v>
      </c>
      <c r="J181" t="s">
        <v>1038</v>
      </c>
      <c r="K181">
        <v>85.55</v>
      </c>
      <c r="L181">
        <v>3105.35</v>
      </c>
      <c r="M181">
        <v>0</v>
      </c>
      <c r="N181">
        <v>66383009</v>
      </c>
      <c r="O181" t="s">
        <v>1209</v>
      </c>
    </row>
    <row r="182" spans="1:15">
      <c r="A182" t="s">
        <v>1274</v>
      </c>
      <c r="B182" s="2">
        <v>45979.066412037035</v>
      </c>
      <c r="C182" s="2">
        <v>45979.107210648152</v>
      </c>
      <c r="D182" t="s">
        <v>59</v>
      </c>
      <c r="E182" t="s">
        <v>1111</v>
      </c>
      <c r="F182" t="s">
        <v>1112</v>
      </c>
      <c r="G182" t="s">
        <v>1122</v>
      </c>
      <c r="H182" t="s">
        <v>1020</v>
      </c>
      <c r="I182">
        <v>162673000</v>
      </c>
      <c r="J182" t="s">
        <v>1021</v>
      </c>
      <c r="K182">
        <v>136.80000000000001</v>
      </c>
      <c r="L182">
        <v>778.78</v>
      </c>
      <c r="M182">
        <v>459.16</v>
      </c>
      <c r="O182" t="s">
        <v>34</v>
      </c>
    </row>
    <row r="183" spans="1:15">
      <c r="A183" t="s">
        <v>1275</v>
      </c>
      <c r="B183" s="2">
        <v>37095.19158564815</v>
      </c>
      <c r="C183" s="2">
        <v>37095.202002314814</v>
      </c>
      <c r="D183" t="s">
        <v>81</v>
      </c>
      <c r="E183" t="s">
        <v>1276</v>
      </c>
      <c r="F183" t="s">
        <v>1277</v>
      </c>
      <c r="G183" t="s">
        <v>1093</v>
      </c>
      <c r="H183" t="s">
        <v>1031</v>
      </c>
      <c r="I183">
        <v>185345009</v>
      </c>
      <c r="J183" t="s">
        <v>1032</v>
      </c>
      <c r="K183">
        <v>85.55</v>
      </c>
      <c r="L183">
        <v>92.93</v>
      </c>
      <c r="M183">
        <v>0</v>
      </c>
      <c r="N183">
        <v>36971009</v>
      </c>
      <c r="O183" t="s">
        <v>1278</v>
      </c>
    </row>
    <row r="184" spans="1:15">
      <c r="A184" t="s">
        <v>1279</v>
      </c>
      <c r="B184" s="2">
        <v>41351.483252314814</v>
      </c>
      <c r="C184" s="2">
        <v>41351.522141203706</v>
      </c>
      <c r="D184" t="s">
        <v>81</v>
      </c>
      <c r="E184" t="s">
        <v>1280</v>
      </c>
      <c r="F184" t="s">
        <v>1281</v>
      </c>
      <c r="G184" t="s">
        <v>1093</v>
      </c>
      <c r="H184" t="s">
        <v>1020</v>
      </c>
      <c r="I184">
        <v>162673000</v>
      </c>
      <c r="J184" t="s">
        <v>1021</v>
      </c>
      <c r="K184">
        <v>136.80000000000001</v>
      </c>
      <c r="L184">
        <v>704.2</v>
      </c>
      <c r="M184">
        <v>604.20000000000005</v>
      </c>
      <c r="O184" t="s">
        <v>34</v>
      </c>
    </row>
    <row r="185" spans="1:15">
      <c r="A185" t="s">
        <v>1282</v>
      </c>
      <c r="B185" s="2">
        <v>41596.44158564815</v>
      </c>
      <c r="C185" s="2">
        <v>41596.466956018521</v>
      </c>
      <c r="D185" t="s">
        <v>81</v>
      </c>
      <c r="E185" t="s">
        <v>1276</v>
      </c>
      <c r="F185" t="s">
        <v>1277</v>
      </c>
      <c r="G185" t="s">
        <v>1093</v>
      </c>
      <c r="H185" t="s">
        <v>1043</v>
      </c>
      <c r="I185">
        <v>185349003</v>
      </c>
      <c r="J185" t="s">
        <v>1038</v>
      </c>
      <c r="K185">
        <v>85.55</v>
      </c>
      <c r="L185">
        <v>1025.71</v>
      </c>
      <c r="M185">
        <v>975.71</v>
      </c>
      <c r="O185" t="s">
        <v>34</v>
      </c>
    </row>
    <row r="186" spans="1:15">
      <c r="A186" t="s">
        <v>1283</v>
      </c>
      <c r="B186" s="2">
        <v>41722.483252314814</v>
      </c>
      <c r="C186" s="2">
        <v>41722.508379629631</v>
      </c>
      <c r="D186" t="s">
        <v>81</v>
      </c>
      <c r="E186" t="s">
        <v>1280</v>
      </c>
      <c r="F186" t="s">
        <v>1281</v>
      </c>
      <c r="G186" t="s">
        <v>1093</v>
      </c>
      <c r="H186" t="s">
        <v>1020</v>
      </c>
      <c r="I186">
        <v>162673000</v>
      </c>
      <c r="J186" t="s">
        <v>1021</v>
      </c>
      <c r="K186">
        <v>136.80000000000001</v>
      </c>
      <c r="L186">
        <v>568.20000000000005</v>
      </c>
      <c r="M186">
        <v>468.2</v>
      </c>
      <c r="O186" t="s">
        <v>34</v>
      </c>
    </row>
    <row r="187" spans="1:15">
      <c r="A187" t="s">
        <v>1284</v>
      </c>
      <c r="B187" s="2">
        <v>42821.483252314814</v>
      </c>
      <c r="C187" s="2">
        <v>42821.504675925928</v>
      </c>
      <c r="D187" t="s">
        <v>81</v>
      </c>
      <c r="E187" t="s">
        <v>1280</v>
      </c>
      <c r="F187" t="s">
        <v>1281</v>
      </c>
      <c r="G187" t="s">
        <v>1093</v>
      </c>
      <c r="H187" t="s">
        <v>1020</v>
      </c>
      <c r="I187">
        <v>162673000</v>
      </c>
      <c r="J187" t="s">
        <v>1021</v>
      </c>
      <c r="K187">
        <v>136.80000000000001</v>
      </c>
      <c r="L187">
        <v>1186.78</v>
      </c>
      <c r="M187">
        <v>1086.78</v>
      </c>
      <c r="O187" t="s">
        <v>34</v>
      </c>
    </row>
    <row r="188" spans="1:15">
      <c r="A188" t="s">
        <v>1285</v>
      </c>
      <c r="B188" s="2">
        <v>42975.81658564815</v>
      </c>
      <c r="C188" s="2">
        <v>42975.827002314814</v>
      </c>
      <c r="D188" t="s">
        <v>81</v>
      </c>
      <c r="E188" t="s">
        <v>1276</v>
      </c>
      <c r="F188" t="s">
        <v>1277</v>
      </c>
      <c r="G188" t="s">
        <v>1093</v>
      </c>
      <c r="H188" t="s">
        <v>1031</v>
      </c>
      <c r="I188">
        <v>185345009</v>
      </c>
      <c r="J188" t="s">
        <v>1032</v>
      </c>
      <c r="K188">
        <v>85.55</v>
      </c>
      <c r="L188">
        <v>3536.75</v>
      </c>
      <c r="M188">
        <v>3486.75</v>
      </c>
      <c r="N188">
        <v>43878008</v>
      </c>
      <c r="O188" t="s">
        <v>1217</v>
      </c>
    </row>
    <row r="189" spans="1:15">
      <c r="A189" t="s">
        <v>1286</v>
      </c>
      <c r="B189" s="2">
        <v>43920.483252314814</v>
      </c>
      <c r="C189" s="2">
        <v>43920.504687499997</v>
      </c>
      <c r="D189" t="s">
        <v>81</v>
      </c>
      <c r="E189" t="s">
        <v>1280</v>
      </c>
      <c r="F189" t="s">
        <v>1281</v>
      </c>
      <c r="G189" t="s">
        <v>1093</v>
      </c>
      <c r="H189" t="s">
        <v>1020</v>
      </c>
      <c r="I189">
        <v>162673000</v>
      </c>
      <c r="J189" t="s">
        <v>1021</v>
      </c>
      <c r="K189">
        <v>136.80000000000001</v>
      </c>
      <c r="L189">
        <v>704.2</v>
      </c>
      <c r="M189">
        <v>604.20000000000005</v>
      </c>
      <c r="O189" t="s">
        <v>34</v>
      </c>
    </row>
    <row r="190" spans="1:15">
      <c r="A190" t="s">
        <v>1287</v>
      </c>
      <c r="B190" s="2">
        <v>43934.483252314814</v>
      </c>
      <c r="C190" s="2">
        <v>43934.613599537035</v>
      </c>
      <c r="D190" t="s">
        <v>81</v>
      </c>
      <c r="E190" t="s">
        <v>1276</v>
      </c>
      <c r="F190" t="s">
        <v>1277</v>
      </c>
      <c r="G190" t="s">
        <v>1093</v>
      </c>
      <c r="H190" t="s">
        <v>1031</v>
      </c>
      <c r="I190">
        <v>185349003</v>
      </c>
      <c r="J190" t="s">
        <v>1038</v>
      </c>
      <c r="K190">
        <v>85.55</v>
      </c>
      <c r="L190">
        <v>3105.35</v>
      </c>
      <c r="M190">
        <v>3055.35</v>
      </c>
      <c r="N190">
        <v>66383009</v>
      </c>
      <c r="O190" t="s">
        <v>1209</v>
      </c>
    </row>
    <row r="191" spans="1:15">
      <c r="A191" t="s">
        <v>1288</v>
      </c>
      <c r="B191" s="2">
        <v>44995.608252314814</v>
      </c>
      <c r="C191" s="2">
        <v>44995.618668981479</v>
      </c>
      <c r="D191" t="s">
        <v>81</v>
      </c>
      <c r="E191" t="s">
        <v>1276</v>
      </c>
      <c r="F191" t="s">
        <v>1277</v>
      </c>
      <c r="G191" t="s">
        <v>1093</v>
      </c>
      <c r="H191" t="s">
        <v>1031</v>
      </c>
      <c r="I191">
        <v>185345009</v>
      </c>
      <c r="J191" t="s">
        <v>1032</v>
      </c>
      <c r="K191">
        <v>85.55</v>
      </c>
      <c r="L191">
        <v>10606.55</v>
      </c>
      <c r="M191">
        <v>10556.55</v>
      </c>
      <c r="N191">
        <v>10509002</v>
      </c>
      <c r="O191" t="s">
        <v>1033</v>
      </c>
    </row>
    <row r="192" spans="1:15">
      <c r="A192" t="s">
        <v>1289</v>
      </c>
      <c r="B192" s="2">
        <v>45005.483252314814</v>
      </c>
      <c r="C192" s="2">
        <v>45005.519953703704</v>
      </c>
      <c r="D192" t="s">
        <v>81</v>
      </c>
      <c r="E192" t="s">
        <v>1276</v>
      </c>
      <c r="F192" t="s">
        <v>1277</v>
      </c>
      <c r="G192" t="s">
        <v>1093</v>
      </c>
      <c r="H192" t="s">
        <v>1043</v>
      </c>
      <c r="I192">
        <v>185349003</v>
      </c>
      <c r="J192" t="s">
        <v>1038</v>
      </c>
      <c r="K192">
        <v>85.55</v>
      </c>
      <c r="L192">
        <v>727.53</v>
      </c>
      <c r="M192">
        <v>677.53</v>
      </c>
      <c r="O192" t="s">
        <v>34</v>
      </c>
    </row>
    <row r="193" spans="1:15">
      <c r="A193" t="s">
        <v>1290</v>
      </c>
      <c r="B193" s="2">
        <v>45019.483252314814</v>
      </c>
      <c r="C193" s="2">
        <v>45019.516539351855</v>
      </c>
      <c r="D193" t="s">
        <v>81</v>
      </c>
      <c r="E193" t="s">
        <v>1280</v>
      </c>
      <c r="F193" t="s">
        <v>1281</v>
      </c>
      <c r="G193" t="s">
        <v>1093</v>
      </c>
      <c r="H193" t="s">
        <v>1020</v>
      </c>
      <c r="I193">
        <v>162673000</v>
      </c>
      <c r="J193" t="s">
        <v>1021</v>
      </c>
      <c r="K193">
        <v>136.80000000000001</v>
      </c>
      <c r="L193">
        <v>919.9</v>
      </c>
      <c r="M193">
        <v>919.9</v>
      </c>
      <c r="O193" t="s">
        <v>34</v>
      </c>
    </row>
    <row r="194" spans="1:15">
      <c r="A194" t="s">
        <v>1291</v>
      </c>
      <c r="B194" s="2">
        <v>45026.483252314814</v>
      </c>
      <c r="C194" s="2">
        <v>45026.768819444442</v>
      </c>
      <c r="D194" t="s">
        <v>81</v>
      </c>
      <c r="E194" t="s">
        <v>1276</v>
      </c>
      <c r="F194" t="s">
        <v>1277</v>
      </c>
      <c r="G194" t="s">
        <v>1093</v>
      </c>
      <c r="H194" t="s">
        <v>1031</v>
      </c>
      <c r="I194">
        <v>185349003</v>
      </c>
      <c r="J194" t="s">
        <v>1038</v>
      </c>
      <c r="K194">
        <v>85.55</v>
      </c>
      <c r="L194">
        <v>5262.35</v>
      </c>
      <c r="M194">
        <v>5212.3500000000004</v>
      </c>
      <c r="N194">
        <v>103697008</v>
      </c>
      <c r="O194" t="s">
        <v>1039</v>
      </c>
    </row>
    <row r="195" spans="1:15">
      <c r="A195" t="s">
        <v>1292</v>
      </c>
      <c r="B195" s="2">
        <v>46118.483252314814</v>
      </c>
      <c r="C195" s="2">
        <v>46118.516863425924</v>
      </c>
      <c r="D195" t="s">
        <v>81</v>
      </c>
      <c r="E195" t="s">
        <v>1280</v>
      </c>
      <c r="F195" t="s">
        <v>1281</v>
      </c>
      <c r="G195" t="s">
        <v>1093</v>
      </c>
      <c r="H195" t="s">
        <v>1020</v>
      </c>
      <c r="I195">
        <v>162673000</v>
      </c>
      <c r="J195" t="s">
        <v>1021</v>
      </c>
      <c r="K195">
        <v>136.80000000000001</v>
      </c>
      <c r="L195">
        <v>914.78</v>
      </c>
      <c r="M195">
        <v>814.78</v>
      </c>
      <c r="O195" t="s">
        <v>34</v>
      </c>
    </row>
    <row r="196" spans="1:15">
      <c r="A196" t="s">
        <v>1293</v>
      </c>
      <c r="B196" s="2">
        <v>46132.483252314814</v>
      </c>
      <c r="C196" s="2">
        <v>46132.732534722221</v>
      </c>
      <c r="D196" t="s">
        <v>81</v>
      </c>
      <c r="E196" t="s">
        <v>1276</v>
      </c>
      <c r="F196" t="s">
        <v>1277</v>
      </c>
      <c r="G196" t="s">
        <v>1093</v>
      </c>
      <c r="H196" t="s">
        <v>1031</v>
      </c>
      <c r="I196">
        <v>185349003</v>
      </c>
      <c r="J196" t="s">
        <v>1038</v>
      </c>
      <c r="K196">
        <v>85.55</v>
      </c>
      <c r="L196">
        <v>4399.55</v>
      </c>
      <c r="M196">
        <v>4349.55</v>
      </c>
      <c r="N196">
        <v>103697008</v>
      </c>
      <c r="O196" t="s">
        <v>1039</v>
      </c>
    </row>
    <row r="197" spans="1:15">
      <c r="A197" t="s">
        <v>1294</v>
      </c>
      <c r="B197" s="2">
        <v>38207.669317129628</v>
      </c>
      <c r="C197" s="2">
        <v>38207.709953703707</v>
      </c>
      <c r="D197" t="s">
        <v>92</v>
      </c>
      <c r="E197" t="s">
        <v>1295</v>
      </c>
      <c r="F197" t="s">
        <v>1296</v>
      </c>
      <c r="G197" t="s">
        <v>1019</v>
      </c>
      <c r="H197" t="s">
        <v>1020</v>
      </c>
      <c r="I197">
        <v>162673000</v>
      </c>
      <c r="J197" t="s">
        <v>1021</v>
      </c>
      <c r="K197">
        <v>136.80000000000001</v>
      </c>
      <c r="L197">
        <v>919.9</v>
      </c>
      <c r="M197">
        <v>0</v>
      </c>
      <c r="O197" t="s">
        <v>34</v>
      </c>
    </row>
    <row r="198" spans="1:15">
      <c r="A198" t="s">
        <v>1297</v>
      </c>
      <c r="B198" s="2">
        <v>41875.669317129628</v>
      </c>
      <c r="C198" s="2">
        <v>41875.694282407407</v>
      </c>
      <c r="D198" t="s">
        <v>92</v>
      </c>
      <c r="E198" t="s">
        <v>1295</v>
      </c>
      <c r="F198" t="s">
        <v>1296</v>
      </c>
      <c r="G198" t="s">
        <v>1023</v>
      </c>
      <c r="H198" t="s">
        <v>1020</v>
      </c>
      <c r="I198">
        <v>162673000</v>
      </c>
      <c r="J198" t="s">
        <v>1021</v>
      </c>
      <c r="K198">
        <v>136.80000000000001</v>
      </c>
      <c r="L198">
        <v>704.2</v>
      </c>
      <c r="M198">
        <v>0</v>
      </c>
      <c r="O198" t="s">
        <v>34</v>
      </c>
    </row>
    <row r="199" spans="1:15">
      <c r="A199" t="s">
        <v>1298</v>
      </c>
      <c r="B199" s="2">
        <v>42512.669317129628</v>
      </c>
      <c r="C199" s="2">
        <v>42512.708912037036</v>
      </c>
      <c r="D199" t="s">
        <v>92</v>
      </c>
      <c r="E199" t="s">
        <v>1299</v>
      </c>
      <c r="F199" t="s">
        <v>1300</v>
      </c>
      <c r="G199" t="s">
        <v>1023</v>
      </c>
      <c r="H199" t="s">
        <v>1159</v>
      </c>
      <c r="I199">
        <v>702927004</v>
      </c>
      <c r="J199" t="s">
        <v>1160</v>
      </c>
      <c r="K199">
        <v>142.58000000000001</v>
      </c>
      <c r="L199">
        <v>709.98</v>
      </c>
      <c r="M199">
        <v>567.98</v>
      </c>
      <c r="O199" t="s">
        <v>34</v>
      </c>
    </row>
    <row r="200" spans="1:15">
      <c r="A200" t="s">
        <v>1301</v>
      </c>
      <c r="B200" s="2">
        <v>42974.669317129628</v>
      </c>
      <c r="C200" s="2">
        <v>42974.707627314812</v>
      </c>
      <c r="D200" t="s">
        <v>92</v>
      </c>
      <c r="E200" t="s">
        <v>1295</v>
      </c>
      <c r="F200" t="s">
        <v>1296</v>
      </c>
      <c r="G200" t="s">
        <v>1026</v>
      </c>
      <c r="H200" t="s">
        <v>1020</v>
      </c>
      <c r="I200">
        <v>162673000</v>
      </c>
      <c r="J200" t="s">
        <v>1021</v>
      </c>
      <c r="K200">
        <v>136.80000000000001</v>
      </c>
      <c r="L200">
        <v>1499.42</v>
      </c>
      <c r="M200">
        <v>0</v>
      </c>
      <c r="O200" t="s">
        <v>34</v>
      </c>
    </row>
    <row r="201" spans="1:15">
      <c r="A201" t="s">
        <v>1302</v>
      </c>
      <c r="B201" s="2">
        <v>43247.669317129628</v>
      </c>
      <c r="C201" s="2">
        <v>43247.706388888888</v>
      </c>
      <c r="D201" t="s">
        <v>92</v>
      </c>
      <c r="E201" t="s">
        <v>1303</v>
      </c>
      <c r="F201" t="s">
        <v>1304</v>
      </c>
      <c r="G201" t="s">
        <v>1026</v>
      </c>
      <c r="H201" t="s">
        <v>1043</v>
      </c>
      <c r="I201">
        <v>185349003</v>
      </c>
      <c r="J201" t="s">
        <v>1038</v>
      </c>
      <c r="K201">
        <v>85.55</v>
      </c>
      <c r="L201">
        <v>868.65</v>
      </c>
      <c r="M201">
        <v>0</v>
      </c>
      <c r="O201" t="s">
        <v>34</v>
      </c>
    </row>
    <row r="202" spans="1:15">
      <c r="A202" t="s">
        <v>1305</v>
      </c>
      <c r="B202" s="2">
        <v>43248.294317129628</v>
      </c>
      <c r="C202" s="2">
        <v>43248.3047337963</v>
      </c>
      <c r="D202" t="s">
        <v>92</v>
      </c>
      <c r="E202" t="s">
        <v>1303</v>
      </c>
      <c r="F202" t="s">
        <v>1304</v>
      </c>
      <c r="G202" t="s">
        <v>1026</v>
      </c>
      <c r="H202" t="s">
        <v>1031</v>
      </c>
      <c r="I202">
        <v>185345009</v>
      </c>
      <c r="J202" t="s">
        <v>1032</v>
      </c>
      <c r="K202">
        <v>85.55</v>
      </c>
      <c r="L202">
        <v>85.55</v>
      </c>
      <c r="M202">
        <v>0</v>
      </c>
      <c r="N202">
        <v>444814009</v>
      </c>
      <c r="O202" t="s">
        <v>1035</v>
      </c>
    </row>
    <row r="203" spans="1:15">
      <c r="A203" t="s">
        <v>1306</v>
      </c>
      <c r="B203" s="2">
        <v>44073.669317129628</v>
      </c>
      <c r="C203" s="2">
        <v>44073.69390046296</v>
      </c>
      <c r="D203" t="s">
        <v>92</v>
      </c>
      <c r="E203" t="s">
        <v>1295</v>
      </c>
      <c r="F203" t="s">
        <v>1296</v>
      </c>
      <c r="G203" t="s">
        <v>1026</v>
      </c>
      <c r="H203" t="s">
        <v>1020</v>
      </c>
      <c r="I203">
        <v>162673000</v>
      </c>
      <c r="J203" t="s">
        <v>1021</v>
      </c>
      <c r="K203">
        <v>136.80000000000001</v>
      </c>
      <c r="L203">
        <v>853.36</v>
      </c>
      <c r="M203">
        <v>0</v>
      </c>
      <c r="O203" t="s">
        <v>34</v>
      </c>
    </row>
    <row r="204" spans="1:15">
      <c r="A204" t="s">
        <v>1307</v>
      </c>
      <c r="B204" s="2">
        <v>44087.669317129628</v>
      </c>
      <c r="C204" s="2">
        <v>44087.80363425926</v>
      </c>
      <c r="D204" t="s">
        <v>92</v>
      </c>
      <c r="E204" t="s">
        <v>1303</v>
      </c>
      <c r="F204" t="s">
        <v>1304</v>
      </c>
      <c r="G204" t="s">
        <v>1026</v>
      </c>
      <c r="H204" t="s">
        <v>1031</v>
      </c>
      <c r="I204">
        <v>185349003</v>
      </c>
      <c r="J204" t="s">
        <v>1038</v>
      </c>
      <c r="K204">
        <v>85.55</v>
      </c>
      <c r="L204">
        <v>3105.35</v>
      </c>
      <c r="M204">
        <v>0</v>
      </c>
      <c r="N204">
        <v>66383009</v>
      </c>
      <c r="O204" t="s">
        <v>1209</v>
      </c>
    </row>
    <row r="205" spans="1:15">
      <c r="A205" t="s">
        <v>1308</v>
      </c>
      <c r="B205" s="2">
        <v>44318.669317129628</v>
      </c>
      <c r="C205" s="2">
        <v>44318.6797337963</v>
      </c>
      <c r="D205" t="s">
        <v>92</v>
      </c>
      <c r="E205" t="s">
        <v>1303</v>
      </c>
      <c r="F205" t="s">
        <v>1304</v>
      </c>
      <c r="G205" t="s">
        <v>1026</v>
      </c>
      <c r="H205" t="s">
        <v>1043</v>
      </c>
      <c r="I205">
        <v>33879002</v>
      </c>
      <c r="J205" t="s">
        <v>1044</v>
      </c>
      <c r="K205">
        <v>142.58000000000001</v>
      </c>
      <c r="L205">
        <v>278.58</v>
      </c>
      <c r="M205">
        <v>0</v>
      </c>
      <c r="O205" t="s">
        <v>34</v>
      </c>
    </row>
    <row r="206" spans="1:15">
      <c r="A206" t="s">
        <v>1309</v>
      </c>
      <c r="B206" s="2">
        <v>44339.669317129628</v>
      </c>
      <c r="C206" s="2">
        <v>44339.6797337963</v>
      </c>
      <c r="D206" t="s">
        <v>92</v>
      </c>
      <c r="E206" t="s">
        <v>1303</v>
      </c>
      <c r="F206" t="s">
        <v>1304</v>
      </c>
      <c r="G206" t="s">
        <v>1026</v>
      </c>
      <c r="H206" t="s">
        <v>1043</v>
      </c>
      <c r="I206">
        <v>33879002</v>
      </c>
      <c r="J206" t="s">
        <v>1044</v>
      </c>
      <c r="K206">
        <v>142.58000000000001</v>
      </c>
      <c r="L206">
        <v>278.58</v>
      </c>
      <c r="M206">
        <v>0</v>
      </c>
      <c r="O206" t="s">
        <v>34</v>
      </c>
    </row>
    <row r="207" spans="1:15">
      <c r="A207" t="s">
        <v>1310</v>
      </c>
      <c r="B207" s="2">
        <v>44445.669317129628</v>
      </c>
      <c r="C207" s="2">
        <v>44445.6797337963</v>
      </c>
      <c r="D207" t="s">
        <v>92</v>
      </c>
      <c r="E207" t="s">
        <v>1303</v>
      </c>
      <c r="F207" t="s">
        <v>1304</v>
      </c>
      <c r="G207" t="s">
        <v>1023</v>
      </c>
      <c r="H207" t="s">
        <v>1031</v>
      </c>
      <c r="I207">
        <v>185347001</v>
      </c>
      <c r="J207" t="s">
        <v>1124</v>
      </c>
      <c r="K207">
        <v>85.55</v>
      </c>
      <c r="L207">
        <v>85.55</v>
      </c>
      <c r="M207">
        <v>0</v>
      </c>
      <c r="N207">
        <v>201834006</v>
      </c>
      <c r="O207" t="s">
        <v>1311</v>
      </c>
    </row>
    <row r="208" spans="1:15">
      <c r="A208" t="s">
        <v>1312</v>
      </c>
      <c r="B208" s="2">
        <v>44608.656053240738</v>
      </c>
      <c r="C208" s="2">
        <v>44608.747731481482</v>
      </c>
      <c r="D208" t="s">
        <v>92</v>
      </c>
      <c r="E208" t="s">
        <v>1313</v>
      </c>
      <c r="F208" t="s">
        <v>1314</v>
      </c>
      <c r="G208" t="s">
        <v>1023</v>
      </c>
      <c r="H208" t="s">
        <v>1076</v>
      </c>
      <c r="I208">
        <v>50849002</v>
      </c>
      <c r="J208" t="s">
        <v>1163</v>
      </c>
      <c r="K208">
        <v>146.18</v>
      </c>
      <c r="L208">
        <v>1871.78</v>
      </c>
      <c r="M208">
        <v>537.05999999999995</v>
      </c>
      <c r="N208">
        <v>263172003</v>
      </c>
      <c r="O208" t="s">
        <v>1315</v>
      </c>
    </row>
    <row r="209" spans="1:15">
      <c r="A209" t="s">
        <v>1316</v>
      </c>
      <c r="B209" s="2">
        <v>44619.627650462964</v>
      </c>
      <c r="C209" s="2">
        <v>44619.766793981478</v>
      </c>
      <c r="D209" t="s">
        <v>92</v>
      </c>
      <c r="E209" t="s">
        <v>1303</v>
      </c>
      <c r="F209" t="s">
        <v>1304</v>
      </c>
      <c r="G209" t="s">
        <v>1023</v>
      </c>
      <c r="H209" t="s">
        <v>1031</v>
      </c>
      <c r="I209">
        <v>185349003</v>
      </c>
      <c r="J209" t="s">
        <v>1038</v>
      </c>
      <c r="K209">
        <v>85.55</v>
      </c>
      <c r="L209">
        <v>3536.75</v>
      </c>
      <c r="M209">
        <v>2829.4</v>
      </c>
      <c r="N209">
        <v>263172003</v>
      </c>
      <c r="O209" t="s">
        <v>1315</v>
      </c>
    </row>
    <row r="210" spans="1:15">
      <c r="A210" t="s">
        <v>1317</v>
      </c>
      <c r="B210" s="2">
        <v>44653.789398148147</v>
      </c>
      <c r="C210" s="2">
        <v>44653.801006944443</v>
      </c>
      <c r="D210" t="s">
        <v>92</v>
      </c>
      <c r="E210" t="s">
        <v>1303</v>
      </c>
      <c r="F210" t="s">
        <v>1304</v>
      </c>
      <c r="G210" t="s">
        <v>1023</v>
      </c>
      <c r="H210" t="s">
        <v>1031</v>
      </c>
      <c r="I210">
        <v>185349003</v>
      </c>
      <c r="J210" t="s">
        <v>1038</v>
      </c>
      <c r="K210">
        <v>85.55</v>
      </c>
      <c r="L210">
        <v>948.35</v>
      </c>
      <c r="M210">
        <v>758.68</v>
      </c>
      <c r="N210">
        <v>263172003</v>
      </c>
      <c r="O210" t="s">
        <v>1315</v>
      </c>
    </row>
    <row r="211" spans="1:15">
      <c r="A211" t="s">
        <v>1318</v>
      </c>
      <c r="B211" s="2">
        <v>45172.669317129628</v>
      </c>
      <c r="C211" s="2">
        <v>45172.695185185185</v>
      </c>
      <c r="D211" t="s">
        <v>92</v>
      </c>
      <c r="E211" t="s">
        <v>1295</v>
      </c>
      <c r="F211" t="s">
        <v>1296</v>
      </c>
      <c r="G211" t="s">
        <v>1107</v>
      </c>
      <c r="H211" t="s">
        <v>1020</v>
      </c>
      <c r="I211">
        <v>162673000</v>
      </c>
      <c r="J211" t="s">
        <v>1021</v>
      </c>
      <c r="K211">
        <v>136.80000000000001</v>
      </c>
      <c r="L211">
        <v>778.78</v>
      </c>
      <c r="M211">
        <v>0</v>
      </c>
      <c r="O211" t="s">
        <v>34</v>
      </c>
    </row>
    <row r="212" spans="1:15">
      <c r="A212" t="s">
        <v>1319</v>
      </c>
      <c r="B212" s="2">
        <v>45186.669317129628</v>
      </c>
      <c r="C212" s="2">
        <v>45186.809212962966</v>
      </c>
      <c r="D212" t="s">
        <v>92</v>
      </c>
      <c r="E212" t="s">
        <v>1303</v>
      </c>
      <c r="F212" t="s">
        <v>1304</v>
      </c>
      <c r="G212" t="s">
        <v>1107</v>
      </c>
      <c r="H212" t="s">
        <v>1031</v>
      </c>
      <c r="I212">
        <v>185349003</v>
      </c>
      <c r="J212" t="s">
        <v>1038</v>
      </c>
      <c r="K212">
        <v>85.55</v>
      </c>
      <c r="L212">
        <v>3105.35</v>
      </c>
      <c r="M212">
        <v>0</v>
      </c>
      <c r="N212">
        <v>66383009</v>
      </c>
      <c r="O212" t="s">
        <v>1209</v>
      </c>
    </row>
    <row r="213" spans="1:15">
      <c r="A213" t="s">
        <v>1320</v>
      </c>
      <c r="B213" s="2">
        <v>46194.669317129628</v>
      </c>
      <c r="C213" s="2">
        <v>46194.703692129631</v>
      </c>
      <c r="D213" t="s">
        <v>92</v>
      </c>
      <c r="E213" t="s">
        <v>1295</v>
      </c>
      <c r="F213" t="s">
        <v>1296</v>
      </c>
      <c r="G213" t="s">
        <v>1107</v>
      </c>
      <c r="H213" t="s">
        <v>1020</v>
      </c>
      <c r="I213">
        <v>162673000</v>
      </c>
      <c r="J213" t="s">
        <v>1021</v>
      </c>
      <c r="K213">
        <v>136.80000000000001</v>
      </c>
      <c r="L213">
        <v>914.78</v>
      </c>
      <c r="M213">
        <v>0</v>
      </c>
      <c r="O213" t="s">
        <v>34</v>
      </c>
    </row>
    <row r="214" spans="1:15">
      <c r="A214" t="s">
        <v>1321</v>
      </c>
      <c r="B214" s="2">
        <v>46208.669317129628</v>
      </c>
      <c r="C214" s="2">
        <v>46208.832662037035</v>
      </c>
      <c r="D214" t="s">
        <v>92</v>
      </c>
      <c r="E214" t="s">
        <v>1303</v>
      </c>
      <c r="F214" t="s">
        <v>1304</v>
      </c>
      <c r="G214" t="s">
        <v>1107</v>
      </c>
      <c r="H214" t="s">
        <v>1031</v>
      </c>
      <c r="I214">
        <v>185349003</v>
      </c>
      <c r="J214" t="s">
        <v>1038</v>
      </c>
      <c r="K214">
        <v>85.55</v>
      </c>
      <c r="L214">
        <v>3105.35</v>
      </c>
      <c r="M214">
        <v>0</v>
      </c>
      <c r="N214">
        <v>103697008</v>
      </c>
      <c r="O214" t="s">
        <v>1039</v>
      </c>
    </row>
    <row r="215" spans="1:15">
      <c r="A215" t="s">
        <v>1322</v>
      </c>
      <c r="B215" s="2">
        <v>43044.531192129631</v>
      </c>
      <c r="C215" s="2">
        <v>43044.541608796295</v>
      </c>
      <c r="D215" t="s">
        <v>102</v>
      </c>
      <c r="E215" t="s">
        <v>1323</v>
      </c>
      <c r="F215" t="s">
        <v>1324</v>
      </c>
      <c r="G215" t="s">
        <v>1325</v>
      </c>
      <c r="H215" t="s">
        <v>1020</v>
      </c>
      <c r="I215">
        <v>410620009</v>
      </c>
      <c r="J215" t="s">
        <v>1054</v>
      </c>
      <c r="K215">
        <v>136.80000000000001</v>
      </c>
      <c r="L215">
        <v>738.15</v>
      </c>
      <c r="M215">
        <v>0</v>
      </c>
      <c r="O215" t="s">
        <v>34</v>
      </c>
    </row>
    <row r="216" spans="1:15">
      <c r="A216" t="s">
        <v>1326</v>
      </c>
      <c r="B216" s="2">
        <v>43079.531192129631</v>
      </c>
      <c r="C216" s="2">
        <v>43079.541608796295</v>
      </c>
      <c r="D216" t="s">
        <v>102</v>
      </c>
      <c r="E216" t="s">
        <v>1323</v>
      </c>
      <c r="F216" t="s">
        <v>1324</v>
      </c>
      <c r="G216" t="s">
        <v>1325</v>
      </c>
      <c r="H216" t="s">
        <v>1020</v>
      </c>
      <c r="I216">
        <v>410620009</v>
      </c>
      <c r="J216" t="s">
        <v>1054</v>
      </c>
      <c r="K216">
        <v>136.80000000000001</v>
      </c>
      <c r="L216">
        <v>272.8</v>
      </c>
      <c r="M216">
        <v>0</v>
      </c>
      <c r="O216" t="s">
        <v>34</v>
      </c>
    </row>
    <row r="217" spans="1:15">
      <c r="A217" t="s">
        <v>1327</v>
      </c>
      <c r="B217" s="2">
        <v>43142.531192129631</v>
      </c>
      <c r="C217" s="2">
        <v>43142.541608796295</v>
      </c>
      <c r="D217" t="s">
        <v>102</v>
      </c>
      <c r="E217" t="s">
        <v>1323</v>
      </c>
      <c r="F217" t="s">
        <v>1324</v>
      </c>
      <c r="G217" t="s">
        <v>1325</v>
      </c>
      <c r="H217" t="s">
        <v>1020</v>
      </c>
      <c r="I217">
        <v>410620009</v>
      </c>
      <c r="J217" t="s">
        <v>1054</v>
      </c>
      <c r="K217">
        <v>136.80000000000001</v>
      </c>
      <c r="L217">
        <v>1679.6</v>
      </c>
      <c r="M217">
        <v>0</v>
      </c>
      <c r="O217" t="s">
        <v>34</v>
      </c>
    </row>
    <row r="218" spans="1:15">
      <c r="A218" t="s">
        <v>1328</v>
      </c>
      <c r="B218" s="2">
        <v>43205.572858796295</v>
      </c>
      <c r="C218" s="2">
        <v>43205.583275462966</v>
      </c>
      <c r="D218" t="s">
        <v>102</v>
      </c>
      <c r="E218" t="s">
        <v>1323</v>
      </c>
      <c r="F218" t="s">
        <v>1324</v>
      </c>
      <c r="G218" t="s">
        <v>1325</v>
      </c>
      <c r="H218" t="s">
        <v>1020</v>
      </c>
      <c r="I218">
        <v>410620009</v>
      </c>
      <c r="J218" t="s">
        <v>1054</v>
      </c>
      <c r="K218">
        <v>136.80000000000001</v>
      </c>
      <c r="L218">
        <v>1110.1500000000001</v>
      </c>
      <c r="M218">
        <v>0</v>
      </c>
      <c r="O218" t="s">
        <v>34</v>
      </c>
    </row>
    <row r="219" spans="1:15">
      <c r="A219" t="s">
        <v>1329</v>
      </c>
      <c r="B219" s="2">
        <v>43296.572858796295</v>
      </c>
      <c r="C219" s="2">
        <v>43296.583275462966</v>
      </c>
      <c r="D219" t="s">
        <v>102</v>
      </c>
      <c r="E219" t="s">
        <v>1323</v>
      </c>
      <c r="F219" t="s">
        <v>1324</v>
      </c>
      <c r="G219" t="s">
        <v>1325</v>
      </c>
      <c r="H219" t="s">
        <v>1020</v>
      </c>
      <c r="I219">
        <v>410620009</v>
      </c>
      <c r="J219" t="s">
        <v>1054</v>
      </c>
      <c r="K219">
        <v>136.80000000000001</v>
      </c>
      <c r="L219">
        <v>816.8</v>
      </c>
      <c r="M219">
        <v>0</v>
      </c>
      <c r="O219" t="s">
        <v>34</v>
      </c>
    </row>
    <row r="220" spans="1:15">
      <c r="A220" t="s">
        <v>1330</v>
      </c>
      <c r="B220" s="2">
        <v>43387.572858796295</v>
      </c>
      <c r="C220" s="2">
        <v>43387.583275462966</v>
      </c>
      <c r="D220" t="s">
        <v>102</v>
      </c>
      <c r="E220" t="s">
        <v>1323</v>
      </c>
      <c r="F220" t="s">
        <v>1324</v>
      </c>
      <c r="G220" t="s">
        <v>1325</v>
      </c>
      <c r="H220" t="s">
        <v>1020</v>
      </c>
      <c r="I220">
        <v>410620009</v>
      </c>
      <c r="J220" t="s">
        <v>1054</v>
      </c>
      <c r="K220">
        <v>136.80000000000001</v>
      </c>
      <c r="L220">
        <v>999.6</v>
      </c>
      <c r="M220">
        <v>0</v>
      </c>
      <c r="O220" t="s">
        <v>34</v>
      </c>
    </row>
    <row r="221" spans="1:15">
      <c r="A221" t="s">
        <v>1331</v>
      </c>
      <c r="B221" s="2">
        <v>43478.531192129631</v>
      </c>
      <c r="C221" s="2">
        <v>43478.541608796295</v>
      </c>
      <c r="D221" t="s">
        <v>102</v>
      </c>
      <c r="E221" t="s">
        <v>1323</v>
      </c>
      <c r="F221" t="s">
        <v>1324</v>
      </c>
      <c r="G221" t="s">
        <v>1325</v>
      </c>
      <c r="H221" t="s">
        <v>1020</v>
      </c>
      <c r="I221">
        <v>410620009</v>
      </c>
      <c r="J221" t="s">
        <v>1054</v>
      </c>
      <c r="K221">
        <v>136.80000000000001</v>
      </c>
      <c r="L221">
        <v>816.8</v>
      </c>
      <c r="M221">
        <v>0</v>
      </c>
      <c r="O221" t="s">
        <v>34</v>
      </c>
    </row>
    <row r="222" spans="1:15">
      <c r="A222" t="s">
        <v>1332</v>
      </c>
      <c r="B222" s="2">
        <v>43524.531192129631</v>
      </c>
      <c r="C222" s="2">
        <v>43524.541608796295</v>
      </c>
      <c r="D222" t="s">
        <v>102</v>
      </c>
      <c r="E222" t="s">
        <v>1333</v>
      </c>
      <c r="F222" t="s">
        <v>1334</v>
      </c>
      <c r="G222" t="s">
        <v>1325</v>
      </c>
      <c r="H222" t="s">
        <v>1043</v>
      </c>
      <c r="I222">
        <v>185345009</v>
      </c>
      <c r="J222" t="s">
        <v>1032</v>
      </c>
      <c r="K222">
        <v>85.55</v>
      </c>
      <c r="L222">
        <v>85.55</v>
      </c>
      <c r="M222">
        <v>0</v>
      </c>
      <c r="N222">
        <v>65363002</v>
      </c>
      <c r="O222" t="s">
        <v>1335</v>
      </c>
    </row>
    <row r="223" spans="1:15">
      <c r="A223" t="s">
        <v>1336</v>
      </c>
      <c r="B223" s="2">
        <v>43569.572858796295</v>
      </c>
      <c r="C223" s="2">
        <v>43569.583275462966</v>
      </c>
      <c r="D223" t="s">
        <v>102</v>
      </c>
      <c r="E223" t="s">
        <v>1323</v>
      </c>
      <c r="F223" t="s">
        <v>1324</v>
      </c>
      <c r="G223" t="s">
        <v>1325</v>
      </c>
      <c r="H223" t="s">
        <v>1020</v>
      </c>
      <c r="I223">
        <v>410620009</v>
      </c>
      <c r="J223" t="s">
        <v>1054</v>
      </c>
      <c r="K223">
        <v>136.80000000000001</v>
      </c>
      <c r="L223">
        <v>272.8</v>
      </c>
      <c r="M223">
        <v>0</v>
      </c>
      <c r="O223" t="s">
        <v>34</v>
      </c>
    </row>
    <row r="224" spans="1:15">
      <c r="A224" t="s">
        <v>1337</v>
      </c>
      <c r="B224" s="2">
        <v>43751.572858796295</v>
      </c>
      <c r="C224" s="2">
        <v>43751.583275462966</v>
      </c>
      <c r="D224" t="s">
        <v>102</v>
      </c>
      <c r="E224" t="s">
        <v>1323</v>
      </c>
      <c r="F224" t="s">
        <v>1324</v>
      </c>
      <c r="G224" t="s">
        <v>1325</v>
      </c>
      <c r="H224" t="s">
        <v>1020</v>
      </c>
      <c r="I224">
        <v>410620009</v>
      </c>
      <c r="J224" t="s">
        <v>1054</v>
      </c>
      <c r="K224">
        <v>136.80000000000001</v>
      </c>
      <c r="L224">
        <v>488.5</v>
      </c>
      <c r="M224">
        <v>0</v>
      </c>
      <c r="O224" t="s">
        <v>34</v>
      </c>
    </row>
    <row r="225" spans="1:15">
      <c r="A225" t="s">
        <v>1338</v>
      </c>
      <c r="B225" s="2">
        <v>43933.572858796295</v>
      </c>
      <c r="C225" s="2">
        <v>43933.583275462966</v>
      </c>
      <c r="D225" t="s">
        <v>102</v>
      </c>
      <c r="E225" t="s">
        <v>1323</v>
      </c>
      <c r="F225" t="s">
        <v>1324</v>
      </c>
      <c r="G225" t="s">
        <v>1325</v>
      </c>
      <c r="H225" t="s">
        <v>1020</v>
      </c>
      <c r="I225">
        <v>410620009</v>
      </c>
      <c r="J225" t="s">
        <v>1054</v>
      </c>
      <c r="K225">
        <v>136.80000000000001</v>
      </c>
      <c r="L225">
        <v>704.2</v>
      </c>
      <c r="M225">
        <v>0</v>
      </c>
      <c r="O225" t="s">
        <v>34</v>
      </c>
    </row>
    <row r="226" spans="1:15">
      <c r="A226" t="s">
        <v>1339</v>
      </c>
      <c r="B226" s="2">
        <v>43940.572858796295</v>
      </c>
      <c r="C226" s="2">
        <v>43940.735821759263</v>
      </c>
      <c r="D226" t="s">
        <v>102</v>
      </c>
      <c r="E226" t="s">
        <v>1333</v>
      </c>
      <c r="F226" t="s">
        <v>1334</v>
      </c>
      <c r="G226" t="s">
        <v>1325</v>
      </c>
      <c r="H226" t="s">
        <v>1031</v>
      </c>
      <c r="I226">
        <v>185349003</v>
      </c>
      <c r="J226" t="s">
        <v>1038</v>
      </c>
      <c r="K226">
        <v>85.55</v>
      </c>
      <c r="L226">
        <v>3105.35</v>
      </c>
      <c r="M226">
        <v>0</v>
      </c>
      <c r="N226">
        <v>103697008</v>
      </c>
      <c r="O226" t="s">
        <v>1039</v>
      </c>
    </row>
    <row r="227" spans="1:15">
      <c r="A227" t="s">
        <v>1340</v>
      </c>
      <c r="B227" s="2">
        <v>44115.572858796295</v>
      </c>
      <c r="C227" s="2">
        <v>44115.583275462966</v>
      </c>
      <c r="D227" t="s">
        <v>102</v>
      </c>
      <c r="E227" t="s">
        <v>1323</v>
      </c>
      <c r="F227" t="s">
        <v>1324</v>
      </c>
      <c r="G227" t="s">
        <v>1325</v>
      </c>
      <c r="H227" t="s">
        <v>1020</v>
      </c>
      <c r="I227">
        <v>410620009</v>
      </c>
      <c r="J227" t="s">
        <v>1054</v>
      </c>
      <c r="K227">
        <v>136.80000000000001</v>
      </c>
      <c r="L227">
        <v>704.2</v>
      </c>
      <c r="M227">
        <v>0</v>
      </c>
      <c r="O227" t="s">
        <v>34</v>
      </c>
    </row>
    <row r="228" spans="1:15">
      <c r="A228" t="s">
        <v>1341</v>
      </c>
      <c r="B228" s="2">
        <v>44122.572858796295</v>
      </c>
      <c r="C228" s="2">
        <v>44122.678854166668</v>
      </c>
      <c r="D228" t="s">
        <v>102</v>
      </c>
      <c r="E228" t="s">
        <v>1333</v>
      </c>
      <c r="F228" t="s">
        <v>1334</v>
      </c>
      <c r="G228" t="s">
        <v>1325</v>
      </c>
      <c r="H228" t="s">
        <v>1031</v>
      </c>
      <c r="I228">
        <v>185349003</v>
      </c>
      <c r="J228" t="s">
        <v>1038</v>
      </c>
      <c r="K228">
        <v>85.55</v>
      </c>
      <c r="L228">
        <v>2673.95</v>
      </c>
      <c r="M228">
        <v>734.18</v>
      </c>
      <c r="N228">
        <v>103697008</v>
      </c>
      <c r="O228" t="s">
        <v>1039</v>
      </c>
    </row>
    <row r="229" spans="1:15">
      <c r="A229" t="s">
        <v>1342</v>
      </c>
      <c r="B229" s="2">
        <v>44189.114525462966</v>
      </c>
      <c r="C229" s="2">
        <v>44189.124942129631</v>
      </c>
      <c r="D229" t="s">
        <v>102</v>
      </c>
      <c r="E229" t="s">
        <v>1333</v>
      </c>
      <c r="F229" t="s">
        <v>1334</v>
      </c>
      <c r="G229" t="s">
        <v>1325</v>
      </c>
      <c r="H229" t="s">
        <v>1031</v>
      </c>
      <c r="I229">
        <v>185345009</v>
      </c>
      <c r="J229" t="s">
        <v>1032</v>
      </c>
      <c r="K229">
        <v>85.55</v>
      </c>
      <c r="L229">
        <v>3536.75</v>
      </c>
      <c r="M229">
        <v>0</v>
      </c>
      <c r="N229">
        <v>195662009</v>
      </c>
      <c r="O229" t="s">
        <v>1130</v>
      </c>
    </row>
    <row r="230" spans="1:15">
      <c r="A230" t="s">
        <v>1343</v>
      </c>
      <c r="B230" s="2">
        <v>44297.572858796295</v>
      </c>
      <c r="C230" s="2">
        <v>44297.583275462966</v>
      </c>
      <c r="D230" t="s">
        <v>102</v>
      </c>
      <c r="E230" t="s">
        <v>1323</v>
      </c>
      <c r="F230" t="s">
        <v>1324</v>
      </c>
      <c r="G230" t="s">
        <v>1325</v>
      </c>
      <c r="H230" t="s">
        <v>1020</v>
      </c>
      <c r="I230">
        <v>410620009</v>
      </c>
      <c r="J230" t="s">
        <v>1054</v>
      </c>
      <c r="K230">
        <v>136.80000000000001</v>
      </c>
      <c r="L230">
        <v>999.6</v>
      </c>
      <c r="M230">
        <v>0</v>
      </c>
      <c r="O230" t="s">
        <v>34</v>
      </c>
    </row>
    <row r="231" spans="1:15">
      <c r="A231" t="s">
        <v>1344</v>
      </c>
      <c r="B231" s="2">
        <v>44479.572858796295</v>
      </c>
      <c r="C231" s="2">
        <v>44479.583275462966</v>
      </c>
      <c r="D231" t="s">
        <v>102</v>
      </c>
      <c r="E231" t="s">
        <v>1323</v>
      </c>
      <c r="F231" t="s">
        <v>1324</v>
      </c>
      <c r="G231" t="s">
        <v>1325</v>
      </c>
      <c r="H231" t="s">
        <v>1020</v>
      </c>
      <c r="I231">
        <v>410620009</v>
      </c>
      <c r="J231" t="s">
        <v>1054</v>
      </c>
      <c r="K231">
        <v>136.80000000000001</v>
      </c>
      <c r="L231">
        <v>704.2</v>
      </c>
      <c r="M231">
        <v>0</v>
      </c>
      <c r="O231" t="s">
        <v>34</v>
      </c>
    </row>
    <row r="232" spans="1:15">
      <c r="A232" t="s">
        <v>1345</v>
      </c>
      <c r="B232" s="2">
        <v>44486.572858796295</v>
      </c>
      <c r="C232" s="2">
        <v>44486.675092592595</v>
      </c>
      <c r="D232" t="s">
        <v>102</v>
      </c>
      <c r="E232" t="s">
        <v>1333</v>
      </c>
      <c r="F232" t="s">
        <v>1334</v>
      </c>
      <c r="G232" t="s">
        <v>1325</v>
      </c>
      <c r="H232" t="s">
        <v>1031</v>
      </c>
      <c r="I232">
        <v>185349003</v>
      </c>
      <c r="J232" t="s">
        <v>1038</v>
      </c>
      <c r="K232">
        <v>85.55</v>
      </c>
      <c r="L232">
        <v>2673.95</v>
      </c>
      <c r="M232">
        <v>1092.3</v>
      </c>
      <c r="N232">
        <v>103697008</v>
      </c>
      <c r="O232" t="s">
        <v>1039</v>
      </c>
    </row>
    <row r="233" spans="1:15">
      <c r="A233" t="s">
        <v>1346</v>
      </c>
      <c r="B233" s="2">
        <v>44850.572858796295</v>
      </c>
      <c r="C233" s="2">
        <v>44850.583275462966</v>
      </c>
      <c r="D233" t="s">
        <v>102</v>
      </c>
      <c r="E233" t="s">
        <v>1323</v>
      </c>
      <c r="F233" t="s">
        <v>1324</v>
      </c>
      <c r="G233" t="s">
        <v>1325</v>
      </c>
      <c r="H233" t="s">
        <v>1020</v>
      </c>
      <c r="I233">
        <v>410620009</v>
      </c>
      <c r="J233" t="s">
        <v>1054</v>
      </c>
      <c r="K233">
        <v>136.80000000000001</v>
      </c>
      <c r="L233">
        <v>1466.47</v>
      </c>
      <c r="M233">
        <v>0</v>
      </c>
      <c r="O233" t="s">
        <v>34</v>
      </c>
    </row>
    <row r="234" spans="1:15">
      <c r="A234" t="s">
        <v>1347</v>
      </c>
      <c r="B234" s="2">
        <v>44857.572858796295</v>
      </c>
      <c r="C234" s="2">
        <v>44857.699942129628</v>
      </c>
      <c r="D234" t="s">
        <v>102</v>
      </c>
      <c r="E234" t="s">
        <v>1333</v>
      </c>
      <c r="F234" t="s">
        <v>1334</v>
      </c>
      <c r="G234" t="s">
        <v>1325</v>
      </c>
      <c r="H234" t="s">
        <v>1031</v>
      </c>
      <c r="I234">
        <v>185349003</v>
      </c>
      <c r="J234" t="s">
        <v>1038</v>
      </c>
      <c r="K234">
        <v>85.55</v>
      </c>
      <c r="L234">
        <v>3105.35</v>
      </c>
      <c r="M234">
        <v>0</v>
      </c>
      <c r="N234">
        <v>103697008</v>
      </c>
      <c r="O234" t="s">
        <v>1039</v>
      </c>
    </row>
    <row r="235" spans="1:15">
      <c r="A235" t="s">
        <v>1348</v>
      </c>
      <c r="B235" s="2">
        <v>45221.572858796295</v>
      </c>
      <c r="C235" s="2">
        <v>45221.583275462966</v>
      </c>
      <c r="D235" t="s">
        <v>102</v>
      </c>
      <c r="E235" t="s">
        <v>1323</v>
      </c>
      <c r="F235" t="s">
        <v>1324</v>
      </c>
      <c r="G235" t="s">
        <v>1325</v>
      </c>
      <c r="H235" t="s">
        <v>1020</v>
      </c>
      <c r="I235">
        <v>410620009</v>
      </c>
      <c r="J235" t="s">
        <v>1054</v>
      </c>
      <c r="K235">
        <v>136.80000000000001</v>
      </c>
      <c r="L235">
        <v>347.38</v>
      </c>
      <c r="M235">
        <v>0</v>
      </c>
      <c r="O235" t="s">
        <v>34</v>
      </c>
    </row>
    <row r="236" spans="1:15">
      <c r="A236" t="s">
        <v>1349</v>
      </c>
      <c r="B236" s="2">
        <v>45592.572858796295</v>
      </c>
      <c r="C236" s="2">
        <v>45592.583275462966</v>
      </c>
      <c r="D236" t="s">
        <v>102</v>
      </c>
      <c r="E236" t="s">
        <v>1323</v>
      </c>
      <c r="F236" t="s">
        <v>1324</v>
      </c>
      <c r="G236" t="s">
        <v>1325</v>
      </c>
      <c r="H236" t="s">
        <v>1020</v>
      </c>
      <c r="I236">
        <v>410620009</v>
      </c>
      <c r="J236" t="s">
        <v>1054</v>
      </c>
      <c r="K236">
        <v>136.80000000000001</v>
      </c>
      <c r="L236">
        <v>488.5</v>
      </c>
      <c r="M236">
        <v>0</v>
      </c>
      <c r="O236" t="s">
        <v>34</v>
      </c>
    </row>
    <row r="237" spans="1:15">
      <c r="A237" t="s">
        <v>1350</v>
      </c>
      <c r="B237" s="2">
        <v>45963.531192129631</v>
      </c>
      <c r="C237" s="2">
        <v>45963.541608796295</v>
      </c>
      <c r="D237" t="s">
        <v>102</v>
      </c>
      <c r="E237" t="s">
        <v>1323</v>
      </c>
      <c r="F237" t="s">
        <v>1324</v>
      </c>
      <c r="G237" t="s">
        <v>1325</v>
      </c>
      <c r="H237" t="s">
        <v>1020</v>
      </c>
      <c r="I237">
        <v>410620009</v>
      </c>
      <c r="J237" t="s">
        <v>1054</v>
      </c>
      <c r="K237">
        <v>136.80000000000001</v>
      </c>
      <c r="L237">
        <v>488.5</v>
      </c>
      <c r="M237">
        <v>0</v>
      </c>
      <c r="O237" t="s">
        <v>34</v>
      </c>
    </row>
    <row r="238" spans="1:15">
      <c r="A238" t="s">
        <v>1351</v>
      </c>
      <c r="B238" s="2">
        <v>46152.656192129631</v>
      </c>
      <c r="C238" s="2">
        <v>46152.666608796295</v>
      </c>
      <c r="D238" t="s">
        <v>102</v>
      </c>
      <c r="E238" t="s">
        <v>1333</v>
      </c>
      <c r="F238" t="s">
        <v>1334</v>
      </c>
      <c r="G238" t="s">
        <v>1325</v>
      </c>
      <c r="H238" t="s">
        <v>1031</v>
      </c>
      <c r="I238">
        <v>185345009</v>
      </c>
      <c r="J238" t="s">
        <v>1032</v>
      </c>
      <c r="K238">
        <v>85.55</v>
      </c>
      <c r="L238">
        <v>85.55</v>
      </c>
      <c r="M238">
        <v>0</v>
      </c>
      <c r="N238">
        <v>195662009</v>
      </c>
      <c r="O238" t="s">
        <v>1130</v>
      </c>
    </row>
    <row r="239" spans="1:15">
      <c r="A239" t="s">
        <v>1352</v>
      </c>
      <c r="B239" s="2">
        <v>35063.86</v>
      </c>
      <c r="C239" s="2">
        <v>35063.870416666665</v>
      </c>
      <c r="D239" t="s">
        <v>109</v>
      </c>
      <c r="E239" t="s">
        <v>1353</v>
      </c>
      <c r="F239" t="s">
        <v>1354</v>
      </c>
      <c r="G239" t="s">
        <v>1093</v>
      </c>
      <c r="H239" t="s">
        <v>1031</v>
      </c>
      <c r="I239">
        <v>185345009</v>
      </c>
      <c r="J239" t="s">
        <v>1032</v>
      </c>
      <c r="K239">
        <v>85.55</v>
      </c>
      <c r="L239">
        <v>92.93</v>
      </c>
      <c r="M239">
        <v>42.93</v>
      </c>
      <c r="N239">
        <v>75498004</v>
      </c>
      <c r="O239" t="s">
        <v>1174</v>
      </c>
    </row>
    <row r="240" spans="1:15">
      <c r="A240" t="s">
        <v>1355</v>
      </c>
      <c r="B240" s="2">
        <v>36158.86</v>
      </c>
      <c r="C240" s="2">
        <v>36158.870416666665</v>
      </c>
      <c r="D240" t="s">
        <v>109</v>
      </c>
      <c r="E240" t="s">
        <v>1353</v>
      </c>
      <c r="F240" t="s">
        <v>1354</v>
      </c>
      <c r="G240" t="s">
        <v>1093</v>
      </c>
      <c r="H240" t="s">
        <v>1031</v>
      </c>
      <c r="I240">
        <v>185345009</v>
      </c>
      <c r="J240" t="s">
        <v>1032</v>
      </c>
      <c r="K240">
        <v>85.55</v>
      </c>
      <c r="L240">
        <v>85.55</v>
      </c>
      <c r="M240">
        <v>35.549999999999997</v>
      </c>
      <c r="N240">
        <v>232353008</v>
      </c>
      <c r="O240" t="s">
        <v>1196</v>
      </c>
    </row>
    <row r="241" spans="1:15">
      <c r="A241" t="s">
        <v>1356</v>
      </c>
      <c r="B241" s="2">
        <v>36163.235000000001</v>
      </c>
      <c r="C241" s="2">
        <v>36163.256493055553</v>
      </c>
      <c r="D241" t="s">
        <v>109</v>
      </c>
      <c r="E241" t="s">
        <v>1353</v>
      </c>
      <c r="F241" t="s">
        <v>1354</v>
      </c>
      <c r="G241" t="s">
        <v>1093</v>
      </c>
      <c r="H241" t="s">
        <v>1031</v>
      </c>
      <c r="I241">
        <v>185347001</v>
      </c>
      <c r="J241" t="s">
        <v>1124</v>
      </c>
      <c r="K241">
        <v>85.55</v>
      </c>
      <c r="L241">
        <v>516.95000000000005</v>
      </c>
      <c r="M241">
        <v>466.95</v>
      </c>
      <c r="N241">
        <v>609328004</v>
      </c>
      <c r="O241" t="s">
        <v>1137</v>
      </c>
    </row>
    <row r="242" spans="1:15">
      <c r="A242" t="s">
        <v>1357</v>
      </c>
      <c r="B242" s="2">
        <v>41460.901666666665</v>
      </c>
      <c r="C242" s="2">
        <v>41460.94327546296</v>
      </c>
      <c r="D242" t="s">
        <v>109</v>
      </c>
      <c r="E242" t="s">
        <v>1358</v>
      </c>
      <c r="F242" t="s">
        <v>1359</v>
      </c>
      <c r="G242" t="s">
        <v>1093</v>
      </c>
      <c r="H242" t="s">
        <v>1020</v>
      </c>
      <c r="I242">
        <v>162673000</v>
      </c>
      <c r="J242" t="s">
        <v>1021</v>
      </c>
      <c r="K242">
        <v>136.80000000000001</v>
      </c>
      <c r="L242">
        <v>704.2</v>
      </c>
      <c r="M242">
        <v>604.20000000000005</v>
      </c>
      <c r="O242" t="s">
        <v>34</v>
      </c>
    </row>
    <row r="243" spans="1:15">
      <c r="A243" t="s">
        <v>1360</v>
      </c>
      <c r="B243" s="2">
        <v>41831.901666666665</v>
      </c>
      <c r="C243" s="2">
        <v>41831.932604166665</v>
      </c>
      <c r="D243" t="s">
        <v>109</v>
      </c>
      <c r="E243" t="s">
        <v>1358</v>
      </c>
      <c r="F243" t="s">
        <v>1359</v>
      </c>
      <c r="G243" t="s">
        <v>1093</v>
      </c>
      <c r="H243" t="s">
        <v>1020</v>
      </c>
      <c r="I243">
        <v>162673000</v>
      </c>
      <c r="J243" t="s">
        <v>1021</v>
      </c>
      <c r="K243">
        <v>136.80000000000001</v>
      </c>
      <c r="L243">
        <v>704.2</v>
      </c>
      <c r="M243">
        <v>704.2</v>
      </c>
      <c r="O243" t="s">
        <v>34</v>
      </c>
    </row>
    <row r="244" spans="1:15">
      <c r="A244" t="s">
        <v>1361</v>
      </c>
      <c r="B244" s="2">
        <v>42394.86</v>
      </c>
      <c r="C244" s="2">
        <v>42394.870416666665</v>
      </c>
      <c r="D244" t="s">
        <v>109</v>
      </c>
      <c r="E244" t="s">
        <v>1353</v>
      </c>
      <c r="F244" t="s">
        <v>1354</v>
      </c>
      <c r="G244" t="s">
        <v>1093</v>
      </c>
      <c r="H244" t="s">
        <v>1043</v>
      </c>
      <c r="I244">
        <v>698314001</v>
      </c>
      <c r="J244" t="s">
        <v>1190</v>
      </c>
      <c r="K244">
        <v>142.58000000000001</v>
      </c>
      <c r="L244">
        <v>142.58000000000001</v>
      </c>
      <c r="M244">
        <v>92.58</v>
      </c>
      <c r="N244">
        <v>389095005</v>
      </c>
      <c r="O244" t="s">
        <v>1191</v>
      </c>
    </row>
    <row r="245" spans="1:15">
      <c r="A245" t="s">
        <v>1362</v>
      </c>
      <c r="B245" s="2">
        <v>42930.901666666665</v>
      </c>
      <c r="C245" s="2">
        <v>42930.92596064815</v>
      </c>
      <c r="D245" t="s">
        <v>109</v>
      </c>
      <c r="E245" t="s">
        <v>1358</v>
      </c>
      <c r="F245" t="s">
        <v>1359</v>
      </c>
      <c r="G245" t="s">
        <v>1093</v>
      </c>
      <c r="H245" t="s">
        <v>1020</v>
      </c>
      <c r="I245">
        <v>162673000</v>
      </c>
      <c r="J245" t="s">
        <v>1021</v>
      </c>
      <c r="K245">
        <v>136.80000000000001</v>
      </c>
      <c r="L245">
        <v>1613</v>
      </c>
      <c r="M245">
        <v>1513</v>
      </c>
      <c r="O245" t="s">
        <v>34</v>
      </c>
    </row>
    <row r="246" spans="1:15">
      <c r="A246" t="s">
        <v>1363</v>
      </c>
      <c r="B246" s="2">
        <v>43114.86</v>
      </c>
      <c r="C246" s="2">
        <v>43114.870416666665</v>
      </c>
      <c r="D246" t="s">
        <v>109</v>
      </c>
      <c r="E246" t="s">
        <v>1353</v>
      </c>
      <c r="F246" t="s">
        <v>1354</v>
      </c>
      <c r="G246" t="s">
        <v>1093</v>
      </c>
      <c r="H246" t="s">
        <v>1043</v>
      </c>
      <c r="I246">
        <v>698314001</v>
      </c>
      <c r="J246" t="s">
        <v>1190</v>
      </c>
      <c r="K246">
        <v>142.58000000000001</v>
      </c>
      <c r="L246">
        <v>142.58000000000001</v>
      </c>
      <c r="M246">
        <v>92.58</v>
      </c>
      <c r="N246">
        <v>389095005</v>
      </c>
      <c r="O246" t="s">
        <v>1191</v>
      </c>
    </row>
    <row r="247" spans="1:15">
      <c r="A247" t="s">
        <v>1364</v>
      </c>
      <c r="B247" s="2">
        <v>43342.901666666665</v>
      </c>
      <c r="C247" s="2">
        <v>43343.00440972222</v>
      </c>
      <c r="D247" t="s">
        <v>109</v>
      </c>
      <c r="E247" t="s">
        <v>1365</v>
      </c>
      <c r="F247" t="s">
        <v>1366</v>
      </c>
      <c r="G247" t="s">
        <v>1093</v>
      </c>
      <c r="H247" t="s">
        <v>1076</v>
      </c>
      <c r="I247">
        <v>185345009</v>
      </c>
      <c r="J247" t="s">
        <v>1032</v>
      </c>
      <c r="K247">
        <v>87.71</v>
      </c>
      <c r="L247">
        <v>5488.25</v>
      </c>
      <c r="M247">
        <v>5418.19</v>
      </c>
      <c r="N247">
        <v>307426000</v>
      </c>
      <c r="O247" t="s">
        <v>1097</v>
      </c>
    </row>
    <row r="248" spans="1:15">
      <c r="A248" t="s">
        <v>1367</v>
      </c>
      <c r="B248" s="2">
        <v>43607.61</v>
      </c>
      <c r="C248" s="2">
        <v>43607.620416666665</v>
      </c>
      <c r="D248" t="s">
        <v>109</v>
      </c>
      <c r="E248" t="s">
        <v>1353</v>
      </c>
      <c r="F248" t="s">
        <v>1354</v>
      </c>
      <c r="G248" t="s">
        <v>1093</v>
      </c>
      <c r="H248" t="s">
        <v>1031</v>
      </c>
      <c r="I248">
        <v>185345009</v>
      </c>
      <c r="J248" t="s">
        <v>1032</v>
      </c>
      <c r="K248">
        <v>85.55</v>
      </c>
      <c r="L248">
        <v>85.55</v>
      </c>
      <c r="M248">
        <v>0</v>
      </c>
      <c r="N248">
        <v>195662009</v>
      </c>
      <c r="O248" t="s">
        <v>1130</v>
      </c>
    </row>
    <row r="249" spans="1:15">
      <c r="A249" t="s">
        <v>1368</v>
      </c>
      <c r="B249" s="2">
        <v>43834.86</v>
      </c>
      <c r="C249" s="2">
        <v>43834.870810185188</v>
      </c>
      <c r="D249" t="s">
        <v>109</v>
      </c>
      <c r="E249" t="s">
        <v>1353</v>
      </c>
      <c r="F249" t="s">
        <v>1354</v>
      </c>
      <c r="G249" t="s">
        <v>1093</v>
      </c>
      <c r="H249" t="s">
        <v>1043</v>
      </c>
      <c r="I249">
        <v>698314001</v>
      </c>
      <c r="J249" t="s">
        <v>1190</v>
      </c>
      <c r="K249">
        <v>142.58000000000001</v>
      </c>
      <c r="L249">
        <v>2454.81</v>
      </c>
      <c r="M249">
        <v>2340.36</v>
      </c>
      <c r="N249">
        <v>389095005</v>
      </c>
      <c r="O249" t="s">
        <v>1191</v>
      </c>
    </row>
    <row r="250" spans="1:15">
      <c r="A250" t="s">
        <v>1369</v>
      </c>
      <c r="B250" s="2">
        <v>43938.901666666665</v>
      </c>
      <c r="C250" s="2">
        <v>43938.912083333336</v>
      </c>
      <c r="D250" t="s">
        <v>109</v>
      </c>
      <c r="E250" t="s">
        <v>1353</v>
      </c>
      <c r="F250" t="s">
        <v>1354</v>
      </c>
      <c r="G250" t="s">
        <v>1093</v>
      </c>
      <c r="H250" t="s">
        <v>1043</v>
      </c>
      <c r="I250">
        <v>308335008</v>
      </c>
      <c r="J250" t="s">
        <v>1194</v>
      </c>
      <c r="K250">
        <v>142.58000000000001</v>
      </c>
      <c r="L250">
        <v>1250.8499999999999</v>
      </c>
      <c r="M250">
        <v>1200.8499999999999</v>
      </c>
      <c r="N250">
        <v>389095005</v>
      </c>
      <c r="O250" t="s">
        <v>1191</v>
      </c>
    </row>
    <row r="251" spans="1:15">
      <c r="A251" t="s">
        <v>1370</v>
      </c>
      <c r="B251" s="2">
        <v>44029.901666666665</v>
      </c>
      <c r="C251" s="2">
        <v>44029.929768518516</v>
      </c>
      <c r="D251" t="s">
        <v>109</v>
      </c>
      <c r="E251" t="s">
        <v>1358</v>
      </c>
      <c r="F251" t="s">
        <v>1359</v>
      </c>
      <c r="G251" t="s">
        <v>1093</v>
      </c>
      <c r="H251" t="s">
        <v>1020</v>
      </c>
      <c r="I251">
        <v>162673000</v>
      </c>
      <c r="J251" t="s">
        <v>1021</v>
      </c>
      <c r="K251">
        <v>136.80000000000001</v>
      </c>
      <c r="L251">
        <v>993.2</v>
      </c>
      <c r="M251">
        <v>893.2</v>
      </c>
      <c r="O251" t="s">
        <v>34</v>
      </c>
    </row>
    <row r="252" spans="1:15">
      <c r="A252" t="s">
        <v>1371</v>
      </c>
      <c r="B252" s="2">
        <v>44036.901666666665</v>
      </c>
      <c r="C252" s="2">
        <v>44036.912407407406</v>
      </c>
      <c r="D252" t="s">
        <v>109</v>
      </c>
      <c r="E252" t="s">
        <v>1353</v>
      </c>
      <c r="F252" t="s">
        <v>1354</v>
      </c>
      <c r="G252" t="s">
        <v>1093</v>
      </c>
      <c r="H252" t="s">
        <v>1043</v>
      </c>
      <c r="I252">
        <v>308335008</v>
      </c>
      <c r="J252" t="s">
        <v>1194</v>
      </c>
      <c r="K252">
        <v>142.58000000000001</v>
      </c>
      <c r="L252">
        <v>4575.68</v>
      </c>
      <c r="M252">
        <v>4525.68</v>
      </c>
      <c r="N252">
        <v>389095005</v>
      </c>
      <c r="O252" t="s">
        <v>1191</v>
      </c>
    </row>
    <row r="253" spans="1:15">
      <c r="A253" t="s">
        <v>1372</v>
      </c>
      <c r="B253" s="2">
        <v>44127.901666666665</v>
      </c>
      <c r="C253" s="2">
        <v>44127.912083333336</v>
      </c>
      <c r="D253" t="s">
        <v>109</v>
      </c>
      <c r="E253" t="s">
        <v>1353</v>
      </c>
      <c r="F253" t="s">
        <v>1354</v>
      </c>
      <c r="G253" t="s">
        <v>1093</v>
      </c>
      <c r="H253" t="s">
        <v>1043</v>
      </c>
      <c r="I253">
        <v>308335008</v>
      </c>
      <c r="J253" t="s">
        <v>1194</v>
      </c>
      <c r="K253">
        <v>142.58000000000001</v>
      </c>
      <c r="L253">
        <v>4575.68</v>
      </c>
      <c r="M253">
        <v>4525.68</v>
      </c>
      <c r="N253">
        <v>389095005</v>
      </c>
      <c r="O253" t="s">
        <v>1191</v>
      </c>
    </row>
    <row r="254" spans="1:15">
      <c r="A254" t="s">
        <v>1373</v>
      </c>
      <c r="B254" s="2">
        <v>44218.86</v>
      </c>
      <c r="C254" s="2">
        <v>44218.870844907404</v>
      </c>
      <c r="D254" t="s">
        <v>109</v>
      </c>
      <c r="E254" t="s">
        <v>1353</v>
      </c>
      <c r="F254" t="s">
        <v>1354</v>
      </c>
      <c r="G254" t="s">
        <v>1093</v>
      </c>
      <c r="H254" t="s">
        <v>1043</v>
      </c>
      <c r="I254">
        <v>308335008</v>
      </c>
      <c r="J254" t="s">
        <v>1194</v>
      </c>
      <c r="K254">
        <v>142.58000000000001</v>
      </c>
      <c r="L254">
        <v>1250.8499999999999</v>
      </c>
      <c r="M254">
        <v>1200.8499999999999</v>
      </c>
      <c r="N254">
        <v>389095005</v>
      </c>
      <c r="O254" t="s">
        <v>1191</v>
      </c>
    </row>
    <row r="255" spans="1:15">
      <c r="A255" t="s">
        <v>1374</v>
      </c>
      <c r="B255" s="2">
        <v>44309.901666666665</v>
      </c>
      <c r="C255" s="2">
        <v>44309.91265046296</v>
      </c>
      <c r="D255" t="s">
        <v>109</v>
      </c>
      <c r="E255" t="s">
        <v>1353</v>
      </c>
      <c r="F255" t="s">
        <v>1354</v>
      </c>
      <c r="G255" t="s">
        <v>1093</v>
      </c>
      <c r="H255" t="s">
        <v>1043</v>
      </c>
      <c r="I255">
        <v>308335008</v>
      </c>
      <c r="J255" t="s">
        <v>1194</v>
      </c>
      <c r="K255">
        <v>142.58000000000001</v>
      </c>
      <c r="L255">
        <v>1250.8499999999999</v>
      </c>
      <c r="M255">
        <v>1200.8499999999999</v>
      </c>
      <c r="N255">
        <v>389095005</v>
      </c>
      <c r="O255" t="s">
        <v>1191</v>
      </c>
    </row>
    <row r="256" spans="1:15">
      <c r="A256" t="s">
        <v>1375</v>
      </c>
      <c r="B256" s="2">
        <v>44400.901666666665</v>
      </c>
      <c r="C256" s="2">
        <v>44407.912083333336</v>
      </c>
      <c r="D256" t="s">
        <v>109</v>
      </c>
      <c r="E256" t="s">
        <v>1353</v>
      </c>
      <c r="F256" t="s">
        <v>1354</v>
      </c>
      <c r="G256" t="s">
        <v>1093</v>
      </c>
      <c r="H256" t="s">
        <v>1043</v>
      </c>
      <c r="I256">
        <v>308335008</v>
      </c>
      <c r="J256" t="s">
        <v>1194</v>
      </c>
      <c r="K256">
        <v>142.58000000000001</v>
      </c>
      <c r="L256">
        <v>1685</v>
      </c>
      <c r="M256">
        <v>1535</v>
      </c>
      <c r="N256">
        <v>389095005</v>
      </c>
      <c r="O256" t="s">
        <v>1191</v>
      </c>
    </row>
    <row r="257" spans="1:15">
      <c r="A257" t="s">
        <v>1376</v>
      </c>
      <c r="B257" s="2">
        <v>44428.901666666665</v>
      </c>
      <c r="C257" s="2">
        <v>44428.912083333336</v>
      </c>
      <c r="D257" t="s">
        <v>109</v>
      </c>
      <c r="E257" t="s">
        <v>1353</v>
      </c>
      <c r="F257" t="s">
        <v>1354</v>
      </c>
      <c r="G257" t="s">
        <v>1093</v>
      </c>
      <c r="H257" t="s">
        <v>1043</v>
      </c>
      <c r="I257">
        <v>33879002</v>
      </c>
      <c r="J257" t="s">
        <v>1044</v>
      </c>
      <c r="K257">
        <v>142.58000000000001</v>
      </c>
      <c r="L257">
        <v>278.58</v>
      </c>
      <c r="M257">
        <v>228.58</v>
      </c>
      <c r="O257" t="s">
        <v>34</v>
      </c>
    </row>
    <row r="258" spans="1:15">
      <c r="A258" t="s">
        <v>1377</v>
      </c>
      <c r="B258" s="2">
        <v>44491.901666666665</v>
      </c>
      <c r="C258" s="2">
        <v>44491.913217592592</v>
      </c>
      <c r="D258" t="s">
        <v>109</v>
      </c>
      <c r="E258" t="s">
        <v>1353</v>
      </c>
      <c r="F258" t="s">
        <v>1354</v>
      </c>
      <c r="G258" t="s">
        <v>1093</v>
      </c>
      <c r="H258" t="s">
        <v>1043</v>
      </c>
      <c r="I258">
        <v>308335008</v>
      </c>
      <c r="J258" t="s">
        <v>1194</v>
      </c>
      <c r="K258">
        <v>142.58000000000001</v>
      </c>
      <c r="L258">
        <v>1426.52</v>
      </c>
      <c r="M258">
        <v>1376.52</v>
      </c>
      <c r="N258">
        <v>389095005</v>
      </c>
      <c r="O258" t="s">
        <v>1191</v>
      </c>
    </row>
    <row r="259" spans="1:15">
      <c r="A259" t="s">
        <v>1378</v>
      </c>
      <c r="B259" s="2">
        <v>44554.870810185188</v>
      </c>
      <c r="C259" s="2">
        <v>44554.881423611114</v>
      </c>
      <c r="D259" t="s">
        <v>109</v>
      </c>
      <c r="E259" t="s">
        <v>1353</v>
      </c>
      <c r="F259" t="s">
        <v>1354</v>
      </c>
      <c r="G259" t="s">
        <v>1093</v>
      </c>
      <c r="H259" t="s">
        <v>1043</v>
      </c>
      <c r="I259">
        <v>698314001</v>
      </c>
      <c r="J259" t="s">
        <v>1190</v>
      </c>
      <c r="K259">
        <v>142.58000000000001</v>
      </c>
      <c r="L259">
        <v>2182.37</v>
      </c>
      <c r="M259">
        <v>2132.37</v>
      </c>
      <c r="N259">
        <v>389095005</v>
      </c>
      <c r="O259" t="s">
        <v>1191</v>
      </c>
    </row>
    <row r="260" spans="1:15">
      <c r="A260" t="s">
        <v>1379</v>
      </c>
      <c r="B260" s="2">
        <v>44582.86</v>
      </c>
      <c r="C260" s="2">
        <v>44582.870416666665</v>
      </c>
      <c r="D260" t="s">
        <v>109</v>
      </c>
      <c r="E260" t="s">
        <v>1353</v>
      </c>
      <c r="F260" t="s">
        <v>1354</v>
      </c>
      <c r="G260" t="s">
        <v>1093</v>
      </c>
      <c r="H260" t="s">
        <v>1043</v>
      </c>
      <c r="I260">
        <v>308335008</v>
      </c>
      <c r="J260" t="s">
        <v>1194</v>
      </c>
      <c r="K260">
        <v>142.58000000000001</v>
      </c>
      <c r="L260">
        <v>1905.87</v>
      </c>
      <c r="M260">
        <v>1855.87</v>
      </c>
      <c r="N260">
        <v>389095005</v>
      </c>
      <c r="O260" t="s">
        <v>1191</v>
      </c>
    </row>
    <row r="261" spans="1:15">
      <c r="A261" t="s">
        <v>1380</v>
      </c>
      <c r="B261" s="2">
        <v>44673.901666666665</v>
      </c>
      <c r="C261" s="2">
        <v>44673.913680555554</v>
      </c>
      <c r="D261" t="s">
        <v>109</v>
      </c>
      <c r="E261" t="s">
        <v>1353</v>
      </c>
      <c r="F261" t="s">
        <v>1354</v>
      </c>
      <c r="G261" t="s">
        <v>1093</v>
      </c>
      <c r="H261" t="s">
        <v>1043</v>
      </c>
      <c r="I261">
        <v>308335008</v>
      </c>
      <c r="J261" t="s">
        <v>1194</v>
      </c>
      <c r="K261">
        <v>142.58000000000001</v>
      </c>
      <c r="L261">
        <v>1250.8499999999999</v>
      </c>
      <c r="M261">
        <v>1200.8499999999999</v>
      </c>
      <c r="N261">
        <v>389095005</v>
      </c>
      <c r="O261" t="s">
        <v>1191</v>
      </c>
    </row>
    <row r="262" spans="1:15">
      <c r="A262" t="s">
        <v>1381</v>
      </c>
      <c r="B262" s="2">
        <v>44764.901666666665</v>
      </c>
      <c r="C262" s="2">
        <v>44764.912083333336</v>
      </c>
      <c r="D262" t="s">
        <v>109</v>
      </c>
      <c r="E262" t="s">
        <v>1353</v>
      </c>
      <c r="F262" t="s">
        <v>1354</v>
      </c>
      <c r="G262" t="s">
        <v>1093</v>
      </c>
      <c r="H262" t="s">
        <v>1043</v>
      </c>
      <c r="I262">
        <v>308335008</v>
      </c>
      <c r="J262" t="s">
        <v>1194</v>
      </c>
      <c r="K262">
        <v>142.58000000000001</v>
      </c>
      <c r="L262">
        <v>1250.8499999999999</v>
      </c>
      <c r="M262">
        <v>1100.8499999999999</v>
      </c>
      <c r="N262">
        <v>389095005</v>
      </c>
      <c r="O262" t="s">
        <v>1191</v>
      </c>
    </row>
    <row r="263" spans="1:15">
      <c r="A263" t="s">
        <v>1382</v>
      </c>
      <c r="B263" s="2">
        <v>44848.901666666665</v>
      </c>
      <c r="C263" s="2">
        <v>44848.937361111108</v>
      </c>
      <c r="D263" t="s">
        <v>109</v>
      </c>
      <c r="E263" t="s">
        <v>1383</v>
      </c>
      <c r="F263" t="s">
        <v>1384</v>
      </c>
      <c r="G263" t="s">
        <v>1093</v>
      </c>
      <c r="H263" t="s">
        <v>1159</v>
      </c>
      <c r="I263">
        <v>702927004</v>
      </c>
      <c r="J263" t="s">
        <v>1160</v>
      </c>
      <c r="K263">
        <v>142.58000000000001</v>
      </c>
      <c r="L263">
        <v>1392.79</v>
      </c>
      <c r="M263">
        <v>1342.79</v>
      </c>
      <c r="O263" t="s">
        <v>34</v>
      </c>
    </row>
    <row r="264" spans="1:15">
      <c r="A264" t="s">
        <v>1385</v>
      </c>
      <c r="B264" s="2">
        <v>44855.901666666665</v>
      </c>
      <c r="C264" s="2">
        <v>44855.912083333336</v>
      </c>
      <c r="D264" t="s">
        <v>109</v>
      </c>
      <c r="E264" t="s">
        <v>1353</v>
      </c>
      <c r="F264" t="s">
        <v>1354</v>
      </c>
      <c r="G264" t="s">
        <v>1093</v>
      </c>
      <c r="H264" t="s">
        <v>1043</v>
      </c>
      <c r="I264">
        <v>185349003</v>
      </c>
      <c r="J264" t="s">
        <v>1038</v>
      </c>
      <c r="K264">
        <v>85.55</v>
      </c>
      <c r="L264">
        <v>221.55</v>
      </c>
      <c r="M264">
        <v>171.55</v>
      </c>
      <c r="O264" t="s">
        <v>34</v>
      </c>
    </row>
    <row r="265" spans="1:15">
      <c r="A265" t="s">
        <v>1386</v>
      </c>
      <c r="B265" s="2">
        <v>44862.901666666665</v>
      </c>
      <c r="C265" s="2">
        <v>44862.916203703702</v>
      </c>
      <c r="D265" t="s">
        <v>109</v>
      </c>
      <c r="E265" t="s">
        <v>1353</v>
      </c>
      <c r="F265" t="s">
        <v>1354</v>
      </c>
      <c r="G265" t="s">
        <v>1093</v>
      </c>
      <c r="H265" t="s">
        <v>1031</v>
      </c>
      <c r="I265">
        <v>185345009</v>
      </c>
      <c r="J265" t="s">
        <v>1032</v>
      </c>
      <c r="K265">
        <v>85.55</v>
      </c>
      <c r="L265">
        <v>265.62</v>
      </c>
      <c r="M265">
        <v>215.62</v>
      </c>
      <c r="N265">
        <v>10509002</v>
      </c>
      <c r="O265" t="s">
        <v>1033</v>
      </c>
    </row>
    <row r="266" spans="1:15">
      <c r="A266" t="s">
        <v>1387</v>
      </c>
      <c r="B266" s="2">
        <v>44869.901666666665</v>
      </c>
      <c r="C266" s="2">
        <v>44869.912164351852</v>
      </c>
      <c r="D266" t="s">
        <v>109</v>
      </c>
      <c r="E266" t="s">
        <v>1353</v>
      </c>
      <c r="F266" t="s">
        <v>1354</v>
      </c>
      <c r="G266" t="s">
        <v>1093</v>
      </c>
      <c r="H266" t="s">
        <v>1043</v>
      </c>
      <c r="I266">
        <v>308335008</v>
      </c>
      <c r="J266" t="s">
        <v>1194</v>
      </c>
      <c r="K266">
        <v>142.58000000000001</v>
      </c>
      <c r="L266">
        <v>4575.68</v>
      </c>
      <c r="M266">
        <v>4525.68</v>
      </c>
      <c r="N266">
        <v>389095005</v>
      </c>
      <c r="O266" t="s">
        <v>1191</v>
      </c>
    </row>
    <row r="267" spans="1:15">
      <c r="A267" t="s">
        <v>1388</v>
      </c>
      <c r="B267" s="2">
        <v>44876.86</v>
      </c>
      <c r="C267" s="2">
        <v>44877.121689814812</v>
      </c>
      <c r="D267" t="s">
        <v>109</v>
      </c>
      <c r="E267" t="s">
        <v>1353</v>
      </c>
      <c r="F267" t="s">
        <v>1354</v>
      </c>
      <c r="G267" t="s">
        <v>1093</v>
      </c>
      <c r="H267" t="s">
        <v>1031</v>
      </c>
      <c r="I267">
        <v>185349003</v>
      </c>
      <c r="J267" t="s">
        <v>1038</v>
      </c>
      <c r="K267">
        <v>85.55</v>
      </c>
      <c r="L267">
        <v>4830.95</v>
      </c>
      <c r="M267">
        <v>4780.95</v>
      </c>
      <c r="N267">
        <v>66383009</v>
      </c>
      <c r="O267" t="s">
        <v>1209</v>
      </c>
    </row>
    <row r="268" spans="1:15">
      <c r="A268" t="s">
        <v>1389</v>
      </c>
      <c r="B268" s="2">
        <v>44914.881423611114</v>
      </c>
      <c r="C268" s="2">
        <v>44914.891840277778</v>
      </c>
      <c r="D268" t="s">
        <v>109</v>
      </c>
      <c r="E268" t="s">
        <v>1353</v>
      </c>
      <c r="F268" t="s">
        <v>1354</v>
      </c>
      <c r="G268" t="s">
        <v>1093</v>
      </c>
      <c r="H268" t="s">
        <v>1043</v>
      </c>
      <c r="I268">
        <v>698314001</v>
      </c>
      <c r="J268" t="s">
        <v>1190</v>
      </c>
      <c r="K268">
        <v>142.58000000000001</v>
      </c>
      <c r="L268">
        <v>142.58000000000001</v>
      </c>
      <c r="M268">
        <v>92.58</v>
      </c>
      <c r="N268">
        <v>389095005</v>
      </c>
      <c r="O268" t="s">
        <v>1191</v>
      </c>
    </row>
    <row r="269" spans="1:15">
      <c r="A269" t="s">
        <v>1390</v>
      </c>
      <c r="B269" s="2">
        <v>31947.813194444443</v>
      </c>
      <c r="C269" s="2">
        <v>31947.834930555557</v>
      </c>
      <c r="D269" t="s">
        <v>120</v>
      </c>
      <c r="E269" t="s">
        <v>1391</v>
      </c>
      <c r="F269" t="s">
        <v>1392</v>
      </c>
      <c r="G269" t="s">
        <v>1093</v>
      </c>
      <c r="H269" t="s">
        <v>1020</v>
      </c>
      <c r="I269">
        <v>162673000</v>
      </c>
      <c r="J269" t="s">
        <v>1021</v>
      </c>
      <c r="K269">
        <v>136.80000000000001</v>
      </c>
      <c r="L269">
        <v>919.9</v>
      </c>
      <c r="M269">
        <v>769.9</v>
      </c>
      <c r="O269" t="s">
        <v>34</v>
      </c>
    </row>
    <row r="270" spans="1:15">
      <c r="A270" t="s">
        <v>1393</v>
      </c>
      <c r="B270" s="2">
        <v>44919.548090277778</v>
      </c>
      <c r="C270" s="2">
        <v>44919.583402777775</v>
      </c>
      <c r="D270" t="s">
        <v>109</v>
      </c>
      <c r="E270" t="s">
        <v>1353</v>
      </c>
      <c r="F270" t="s">
        <v>1354</v>
      </c>
      <c r="G270" t="s">
        <v>1093</v>
      </c>
      <c r="H270" t="s">
        <v>1043</v>
      </c>
      <c r="I270">
        <v>308335008</v>
      </c>
      <c r="J270" t="s">
        <v>1194</v>
      </c>
      <c r="K270">
        <v>142.58000000000001</v>
      </c>
      <c r="L270">
        <v>15495.09</v>
      </c>
      <c r="M270">
        <v>15445.09</v>
      </c>
      <c r="N270">
        <v>389095005</v>
      </c>
      <c r="O270" t="s">
        <v>1191</v>
      </c>
    </row>
    <row r="271" spans="1:15">
      <c r="A271" t="s">
        <v>1394</v>
      </c>
      <c r="B271" s="2">
        <v>32868.771527777775</v>
      </c>
      <c r="C271" s="2">
        <v>32868.781944444447</v>
      </c>
      <c r="D271" t="s">
        <v>120</v>
      </c>
      <c r="E271" t="s">
        <v>1395</v>
      </c>
      <c r="F271" t="s">
        <v>1396</v>
      </c>
      <c r="G271" t="s">
        <v>1093</v>
      </c>
      <c r="H271" t="s">
        <v>1031</v>
      </c>
      <c r="I271">
        <v>424619006</v>
      </c>
      <c r="J271" t="s">
        <v>1062</v>
      </c>
      <c r="K271">
        <v>142.58000000000001</v>
      </c>
      <c r="L271">
        <v>1005.38</v>
      </c>
      <c r="M271">
        <v>955.38</v>
      </c>
      <c r="N271">
        <v>156073000</v>
      </c>
      <c r="O271" t="s">
        <v>1397</v>
      </c>
    </row>
    <row r="272" spans="1:15">
      <c r="A272" t="s">
        <v>1398</v>
      </c>
      <c r="B272" s="2">
        <v>40669.813194444447</v>
      </c>
      <c r="C272" s="2">
        <v>40669.846886574072</v>
      </c>
      <c r="D272" t="s">
        <v>120</v>
      </c>
      <c r="E272" t="s">
        <v>1391</v>
      </c>
      <c r="F272" t="s">
        <v>1392</v>
      </c>
      <c r="G272" t="s">
        <v>1093</v>
      </c>
      <c r="H272" t="s">
        <v>1020</v>
      </c>
      <c r="I272">
        <v>162673000</v>
      </c>
      <c r="J272" t="s">
        <v>1021</v>
      </c>
      <c r="K272">
        <v>136.80000000000001</v>
      </c>
      <c r="L272">
        <v>1050.78</v>
      </c>
      <c r="M272">
        <v>950.78</v>
      </c>
      <c r="O272" t="s">
        <v>34</v>
      </c>
    </row>
    <row r="273" spans="1:15">
      <c r="A273" t="s">
        <v>1399</v>
      </c>
      <c r="B273" s="2">
        <v>44960.86</v>
      </c>
      <c r="C273" s="2">
        <v>44960.870416666665</v>
      </c>
      <c r="D273" t="s">
        <v>109</v>
      </c>
      <c r="E273" t="s">
        <v>1353</v>
      </c>
      <c r="F273" t="s">
        <v>1354</v>
      </c>
      <c r="G273" t="s">
        <v>1093</v>
      </c>
      <c r="H273" t="s">
        <v>1043</v>
      </c>
      <c r="I273">
        <v>308335008</v>
      </c>
      <c r="J273" t="s">
        <v>1194</v>
      </c>
      <c r="K273">
        <v>142.58000000000001</v>
      </c>
      <c r="L273">
        <v>2670.39</v>
      </c>
      <c r="M273">
        <v>2620.39</v>
      </c>
      <c r="N273">
        <v>389095005</v>
      </c>
      <c r="O273" t="s">
        <v>1191</v>
      </c>
    </row>
    <row r="274" spans="1:15">
      <c r="A274" t="s">
        <v>1400</v>
      </c>
      <c r="B274" s="2">
        <v>44967.86</v>
      </c>
      <c r="C274" s="2">
        <v>44967.901666666665</v>
      </c>
      <c r="D274" t="s">
        <v>109</v>
      </c>
      <c r="E274" t="s">
        <v>1365</v>
      </c>
      <c r="F274" t="s">
        <v>1366</v>
      </c>
      <c r="G274" t="s">
        <v>1093</v>
      </c>
      <c r="H274" t="s">
        <v>1076</v>
      </c>
      <c r="I274">
        <v>50849002</v>
      </c>
      <c r="J274" t="s">
        <v>1163</v>
      </c>
      <c r="K274">
        <v>146.18</v>
      </c>
      <c r="L274">
        <v>4140.8900000000003</v>
      </c>
      <c r="M274">
        <v>4090.89</v>
      </c>
      <c r="N274">
        <v>312608009</v>
      </c>
      <c r="O274" t="s">
        <v>1249</v>
      </c>
    </row>
    <row r="275" spans="1:15">
      <c r="A275" t="s">
        <v>1401</v>
      </c>
      <c r="B275" s="2">
        <v>45051.901666666665</v>
      </c>
      <c r="C275" s="2">
        <v>45051.915173611109</v>
      </c>
      <c r="D275" t="s">
        <v>109</v>
      </c>
      <c r="E275" t="s">
        <v>1353</v>
      </c>
      <c r="F275" t="s">
        <v>1354</v>
      </c>
      <c r="G275" t="s">
        <v>1093</v>
      </c>
      <c r="H275" t="s">
        <v>1043</v>
      </c>
      <c r="I275">
        <v>308335008</v>
      </c>
      <c r="J275" t="s">
        <v>1194</v>
      </c>
      <c r="K275">
        <v>142.58000000000001</v>
      </c>
      <c r="L275">
        <v>1994.38</v>
      </c>
      <c r="M275">
        <v>1944.38</v>
      </c>
      <c r="N275">
        <v>389095005</v>
      </c>
      <c r="O275" t="s">
        <v>1191</v>
      </c>
    </row>
    <row r="276" spans="1:15">
      <c r="A276" t="s">
        <v>1402</v>
      </c>
      <c r="B276" s="2">
        <v>45128.901666666665</v>
      </c>
      <c r="C276" s="2">
        <v>45128.932175925926</v>
      </c>
      <c r="D276" t="s">
        <v>109</v>
      </c>
      <c r="E276" t="s">
        <v>1358</v>
      </c>
      <c r="F276" t="s">
        <v>1359</v>
      </c>
      <c r="G276" t="s">
        <v>1093</v>
      </c>
      <c r="H276" t="s">
        <v>1020</v>
      </c>
      <c r="I276">
        <v>162673000</v>
      </c>
      <c r="J276" t="s">
        <v>1021</v>
      </c>
      <c r="K276">
        <v>136.80000000000001</v>
      </c>
      <c r="L276">
        <v>704.2</v>
      </c>
      <c r="M276">
        <v>604.20000000000005</v>
      </c>
      <c r="O276" t="s">
        <v>34</v>
      </c>
    </row>
    <row r="277" spans="1:15">
      <c r="A277" t="s">
        <v>1403</v>
      </c>
      <c r="B277" s="2">
        <v>45142.901666666665</v>
      </c>
      <c r="C277" s="2">
        <v>45142.913587962961</v>
      </c>
      <c r="D277" t="s">
        <v>109</v>
      </c>
      <c r="E277" t="s">
        <v>1353</v>
      </c>
      <c r="F277" t="s">
        <v>1354</v>
      </c>
      <c r="G277" t="s">
        <v>1093</v>
      </c>
      <c r="H277" t="s">
        <v>1043</v>
      </c>
      <c r="I277">
        <v>308335008</v>
      </c>
      <c r="J277" t="s">
        <v>1194</v>
      </c>
      <c r="K277">
        <v>142.58000000000001</v>
      </c>
      <c r="L277">
        <v>1820.33</v>
      </c>
      <c r="M277">
        <v>1770.33</v>
      </c>
      <c r="N277">
        <v>389095005</v>
      </c>
      <c r="O277" t="s">
        <v>1191</v>
      </c>
    </row>
    <row r="278" spans="1:15">
      <c r="A278" t="s">
        <v>1404</v>
      </c>
      <c r="B278" s="2">
        <v>45233.901666666665</v>
      </c>
      <c r="C278" s="2">
        <v>45233.912581018521</v>
      </c>
      <c r="D278" t="s">
        <v>109</v>
      </c>
      <c r="E278" t="s">
        <v>1353</v>
      </c>
      <c r="F278" t="s">
        <v>1354</v>
      </c>
      <c r="G278" t="s">
        <v>1093</v>
      </c>
      <c r="H278" t="s">
        <v>1043</v>
      </c>
      <c r="I278">
        <v>308335008</v>
      </c>
      <c r="J278" t="s">
        <v>1194</v>
      </c>
      <c r="K278">
        <v>142.58000000000001</v>
      </c>
      <c r="L278">
        <v>1250.8499999999999</v>
      </c>
      <c r="M278">
        <v>1200.8499999999999</v>
      </c>
      <c r="N278">
        <v>389095005</v>
      </c>
      <c r="O278" t="s">
        <v>1191</v>
      </c>
    </row>
    <row r="279" spans="1:15">
      <c r="A279" t="s">
        <v>1405</v>
      </c>
      <c r="B279" s="2">
        <v>45279.583402777775</v>
      </c>
      <c r="C279" s="2">
        <v>45279.593819444446</v>
      </c>
      <c r="D279" t="s">
        <v>109</v>
      </c>
      <c r="E279" t="s">
        <v>1353</v>
      </c>
      <c r="F279" t="s">
        <v>1354</v>
      </c>
      <c r="G279" t="s">
        <v>1093</v>
      </c>
      <c r="H279" t="s">
        <v>1043</v>
      </c>
      <c r="I279">
        <v>698314001</v>
      </c>
      <c r="J279" t="s">
        <v>1190</v>
      </c>
      <c r="K279">
        <v>142.58000000000001</v>
      </c>
      <c r="L279">
        <v>142.58000000000001</v>
      </c>
      <c r="M279">
        <v>92.58</v>
      </c>
      <c r="N279">
        <v>389095005</v>
      </c>
      <c r="O279" t="s">
        <v>1191</v>
      </c>
    </row>
    <row r="280" spans="1:15">
      <c r="A280" t="s">
        <v>1406</v>
      </c>
      <c r="B280" s="2">
        <v>45324.86</v>
      </c>
      <c r="C280" s="2">
        <v>45324.873449074075</v>
      </c>
      <c r="D280" t="s">
        <v>109</v>
      </c>
      <c r="E280" t="s">
        <v>1353</v>
      </c>
      <c r="F280" t="s">
        <v>1354</v>
      </c>
      <c r="G280" t="s">
        <v>1093</v>
      </c>
      <c r="H280" t="s">
        <v>1043</v>
      </c>
      <c r="I280">
        <v>308335008</v>
      </c>
      <c r="J280" t="s">
        <v>1194</v>
      </c>
      <c r="K280">
        <v>142.58000000000001</v>
      </c>
      <c r="L280">
        <v>1250.8499999999999</v>
      </c>
      <c r="M280">
        <v>1200.8499999999999</v>
      </c>
      <c r="N280">
        <v>389095005</v>
      </c>
      <c r="O280" t="s">
        <v>1191</v>
      </c>
    </row>
    <row r="281" spans="1:15">
      <c r="A281" t="s">
        <v>1407</v>
      </c>
      <c r="B281" s="2">
        <v>45415.901666666665</v>
      </c>
      <c r="C281" s="2">
        <v>45415.914814814816</v>
      </c>
      <c r="D281" t="s">
        <v>109</v>
      </c>
      <c r="E281" t="s">
        <v>1353</v>
      </c>
      <c r="F281" t="s">
        <v>1354</v>
      </c>
      <c r="G281" t="s">
        <v>1093</v>
      </c>
      <c r="H281" t="s">
        <v>1043</v>
      </c>
      <c r="I281">
        <v>308335008</v>
      </c>
      <c r="J281" t="s">
        <v>1194</v>
      </c>
      <c r="K281">
        <v>142.58000000000001</v>
      </c>
      <c r="L281">
        <v>1250.8499999999999</v>
      </c>
      <c r="M281">
        <v>1200.8499999999999</v>
      </c>
      <c r="N281">
        <v>389095005</v>
      </c>
      <c r="O281" t="s">
        <v>1191</v>
      </c>
    </row>
    <row r="282" spans="1:15">
      <c r="A282" t="s">
        <v>1408</v>
      </c>
      <c r="B282" s="2">
        <v>45506.901666666665</v>
      </c>
      <c r="C282" s="2">
        <v>45506.912974537037</v>
      </c>
      <c r="D282" t="s">
        <v>109</v>
      </c>
      <c r="E282" t="s">
        <v>1353</v>
      </c>
      <c r="F282" t="s">
        <v>1354</v>
      </c>
      <c r="G282" t="s">
        <v>1093</v>
      </c>
      <c r="H282" t="s">
        <v>1043</v>
      </c>
      <c r="I282">
        <v>308335008</v>
      </c>
      <c r="J282" t="s">
        <v>1194</v>
      </c>
      <c r="K282">
        <v>142.58000000000001</v>
      </c>
      <c r="L282">
        <v>1250.8499999999999</v>
      </c>
      <c r="M282">
        <v>1100.8499999999999</v>
      </c>
      <c r="N282">
        <v>389095005</v>
      </c>
      <c r="O282" t="s">
        <v>1191</v>
      </c>
    </row>
    <row r="283" spans="1:15">
      <c r="A283" t="s">
        <v>1409</v>
      </c>
      <c r="B283" s="2">
        <v>45597.901666666665</v>
      </c>
      <c r="C283" s="2">
        <v>45597.912083333336</v>
      </c>
      <c r="D283" t="s">
        <v>109</v>
      </c>
      <c r="E283" t="s">
        <v>1353</v>
      </c>
      <c r="F283" t="s">
        <v>1354</v>
      </c>
      <c r="G283" t="s">
        <v>1093</v>
      </c>
      <c r="H283" t="s">
        <v>1043</v>
      </c>
      <c r="I283">
        <v>308335008</v>
      </c>
      <c r="J283" t="s">
        <v>1194</v>
      </c>
      <c r="K283">
        <v>142.58000000000001</v>
      </c>
      <c r="L283">
        <v>3192.93</v>
      </c>
      <c r="M283">
        <v>3142.93</v>
      </c>
      <c r="N283">
        <v>389095005</v>
      </c>
      <c r="O283" t="s">
        <v>1191</v>
      </c>
    </row>
    <row r="284" spans="1:15">
      <c r="A284" t="s">
        <v>1410</v>
      </c>
      <c r="B284" s="2">
        <v>45604.86</v>
      </c>
      <c r="C284" s="2">
        <v>45604.870416666665</v>
      </c>
      <c r="D284" t="s">
        <v>109</v>
      </c>
      <c r="E284" t="s">
        <v>1353</v>
      </c>
      <c r="F284" t="s">
        <v>1354</v>
      </c>
      <c r="G284" t="s">
        <v>1093</v>
      </c>
      <c r="H284" t="s">
        <v>1031</v>
      </c>
      <c r="I284">
        <v>185345009</v>
      </c>
      <c r="J284" t="s">
        <v>1032</v>
      </c>
      <c r="K284">
        <v>85.55</v>
      </c>
      <c r="L284">
        <v>85.55</v>
      </c>
      <c r="M284">
        <v>35.549999999999997</v>
      </c>
      <c r="N284">
        <v>444814009</v>
      </c>
      <c r="O284" t="s">
        <v>1035</v>
      </c>
    </row>
    <row r="285" spans="1:15">
      <c r="A285" t="s">
        <v>1411</v>
      </c>
      <c r="B285" s="2">
        <v>40708.813194444447</v>
      </c>
      <c r="C285" s="2">
        <v>40708.854861111111</v>
      </c>
      <c r="D285" t="s">
        <v>120</v>
      </c>
      <c r="E285" t="s">
        <v>1412</v>
      </c>
      <c r="F285" t="s">
        <v>1413</v>
      </c>
      <c r="G285" t="s">
        <v>1093</v>
      </c>
      <c r="H285" t="s">
        <v>1076</v>
      </c>
      <c r="I285">
        <v>50849002</v>
      </c>
      <c r="J285" t="s">
        <v>1163</v>
      </c>
      <c r="K285">
        <v>146.18</v>
      </c>
      <c r="L285">
        <v>14106.26</v>
      </c>
      <c r="M285">
        <v>14056.26</v>
      </c>
      <c r="N285">
        <v>196416002</v>
      </c>
      <c r="O285" t="s">
        <v>1414</v>
      </c>
    </row>
    <row r="286" spans="1:15">
      <c r="A286" t="s">
        <v>1415</v>
      </c>
      <c r="B286" s="2">
        <v>41404.813194444447</v>
      </c>
      <c r="C286" s="2">
        <v>41404.839212962965</v>
      </c>
      <c r="D286" t="s">
        <v>120</v>
      </c>
      <c r="E286" t="s">
        <v>1391</v>
      </c>
      <c r="F286" t="s">
        <v>1392</v>
      </c>
      <c r="G286" t="s">
        <v>1093</v>
      </c>
      <c r="H286" t="s">
        <v>1020</v>
      </c>
      <c r="I286">
        <v>162673000</v>
      </c>
      <c r="J286" t="s">
        <v>1021</v>
      </c>
      <c r="K286">
        <v>136.80000000000001</v>
      </c>
      <c r="L286">
        <v>1476.17</v>
      </c>
      <c r="M286">
        <v>1476.17</v>
      </c>
      <c r="O286" t="s">
        <v>34</v>
      </c>
    </row>
    <row r="287" spans="1:15">
      <c r="A287" t="s">
        <v>1416</v>
      </c>
      <c r="B287" s="2">
        <v>42139.813194444447</v>
      </c>
      <c r="C287" s="2">
        <v>42139.853506944448</v>
      </c>
      <c r="D287" t="s">
        <v>120</v>
      </c>
      <c r="E287" t="s">
        <v>1391</v>
      </c>
      <c r="F287" t="s">
        <v>1392</v>
      </c>
      <c r="G287" t="s">
        <v>1093</v>
      </c>
      <c r="H287" t="s">
        <v>1020</v>
      </c>
      <c r="I287">
        <v>162673000</v>
      </c>
      <c r="J287" t="s">
        <v>1021</v>
      </c>
      <c r="K287">
        <v>136.80000000000001</v>
      </c>
      <c r="L287">
        <v>853.36</v>
      </c>
      <c r="M287">
        <v>753.36</v>
      </c>
      <c r="O287" t="s">
        <v>34</v>
      </c>
    </row>
    <row r="288" spans="1:15">
      <c r="A288" t="s">
        <v>1417</v>
      </c>
      <c r="B288" s="2">
        <v>42352.685960648145</v>
      </c>
      <c r="C288" s="2">
        <v>42352.696377314816</v>
      </c>
      <c r="D288" t="s">
        <v>120</v>
      </c>
      <c r="E288" t="s">
        <v>1418</v>
      </c>
      <c r="F288" t="s">
        <v>1419</v>
      </c>
      <c r="G288" t="s">
        <v>1093</v>
      </c>
      <c r="H288" t="s">
        <v>1043</v>
      </c>
      <c r="I288">
        <v>698314001</v>
      </c>
      <c r="J288" t="s">
        <v>1190</v>
      </c>
      <c r="K288">
        <v>142.58000000000001</v>
      </c>
      <c r="L288">
        <v>142.58000000000001</v>
      </c>
      <c r="M288">
        <v>92.58</v>
      </c>
      <c r="N288">
        <v>389095005</v>
      </c>
      <c r="O288" t="s">
        <v>1191</v>
      </c>
    </row>
    <row r="289" spans="1:15">
      <c r="A289" t="s">
        <v>1420</v>
      </c>
      <c r="B289" s="2">
        <v>42715.607094907406</v>
      </c>
      <c r="C289" s="2">
        <v>42715.625439814816</v>
      </c>
      <c r="D289" t="s">
        <v>120</v>
      </c>
      <c r="E289" t="s">
        <v>1418</v>
      </c>
      <c r="F289" t="s">
        <v>1419</v>
      </c>
      <c r="G289" t="s">
        <v>1093</v>
      </c>
      <c r="H289" t="s">
        <v>1043</v>
      </c>
      <c r="I289">
        <v>698314001</v>
      </c>
      <c r="J289" t="s">
        <v>1190</v>
      </c>
      <c r="K289">
        <v>142.58000000000001</v>
      </c>
      <c r="L289">
        <v>13234.83</v>
      </c>
      <c r="M289">
        <v>13084.83</v>
      </c>
      <c r="N289">
        <v>389095005</v>
      </c>
      <c r="O289" t="s">
        <v>1191</v>
      </c>
    </row>
    <row r="290" spans="1:15">
      <c r="A290" t="s">
        <v>1421</v>
      </c>
      <c r="B290" s="2">
        <v>42790.771527777775</v>
      </c>
      <c r="C290" s="2">
        <v>42790.803877314815</v>
      </c>
      <c r="D290" t="s">
        <v>120</v>
      </c>
      <c r="E290" t="s">
        <v>1418</v>
      </c>
      <c r="F290" t="s">
        <v>1419</v>
      </c>
      <c r="G290" t="s">
        <v>1093</v>
      </c>
      <c r="H290" t="s">
        <v>1043</v>
      </c>
      <c r="I290">
        <v>185349003</v>
      </c>
      <c r="J290" t="s">
        <v>1038</v>
      </c>
      <c r="K290">
        <v>85.55</v>
      </c>
      <c r="L290">
        <v>1372.08</v>
      </c>
      <c r="M290">
        <v>1322.08</v>
      </c>
      <c r="O290" t="s">
        <v>34</v>
      </c>
    </row>
    <row r="291" spans="1:15">
      <c r="A291" t="s">
        <v>1422</v>
      </c>
      <c r="B291" s="2">
        <v>45688.86</v>
      </c>
      <c r="C291" s="2">
        <v>45688.870416666665</v>
      </c>
      <c r="D291" t="s">
        <v>109</v>
      </c>
      <c r="E291" t="s">
        <v>1353</v>
      </c>
      <c r="F291" t="s">
        <v>1354</v>
      </c>
      <c r="G291" t="s">
        <v>1093</v>
      </c>
      <c r="H291" t="s">
        <v>1043</v>
      </c>
      <c r="I291">
        <v>308335008</v>
      </c>
      <c r="J291" t="s">
        <v>1194</v>
      </c>
      <c r="K291">
        <v>142.58000000000001</v>
      </c>
      <c r="L291">
        <v>3788.22</v>
      </c>
      <c r="M291">
        <v>3738.22</v>
      </c>
      <c r="N291">
        <v>389095005</v>
      </c>
      <c r="O291" t="s">
        <v>1191</v>
      </c>
    </row>
    <row r="292" spans="1:15">
      <c r="A292" t="s">
        <v>1423</v>
      </c>
      <c r="B292" s="2">
        <v>45779.901666666665</v>
      </c>
      <c r="C292" s="2">
        <v>45779.912083333336</v>
      </c>
      <c r="D292" t="s">
        <v>109</v>
      </c>
      <c r="E292" t="s">
        <v>1353</v>
      </c>
      <c r="F292" t="s">
        <v>1354</v>
      </c>
      <c r="G292" t="s">
        <v>1093</v>
      </c>
      <c r="H292" t="s">
        <v>1043</v>
      </c>
      <c r="I292">
        <v>308335008</v>
      </c>
      <c r="J292" t="s">
        <v>1194</v>
      </c>
      <c r="K292">
        <v>142.58000000000001</v>
      </c>
      <c r="L292">
        <v>4575.68</v>
      </c>
      <c r="M292">
        <v>4525.68</v>
      </c>
      <c r="N292">
        <v>389095005</v>
      </c>
      <c r="O292" t="s">
        <v>1191</v>
      </c>
    </row>
    <row r="293" spans="1:15">
      <c r="A293" t="s">
        <v>1424</v>
      </c>
      <c r="B293" s="2">
        <v>45870.901666666665</v>
      </c>
      <c r="C293" s="2">
        <v>45870.912870370368</v>
      </c>
      <c r="D293" t="s">
        <v>109</v>
      </c>
      <c r="E293" t="s">
        <v>1353</v>
      </c>
      <c r="F293" t="s">
        <v>1354</v>
      </c>
      <c r="G293" t="s">
        <v>1093</v>
      </c>
      <c r="H293" t="s">
        <v>1043</v>
      </c>
      <c r="I293">
        <v>308335008</v>
      </c>
      <c r="J293" t="s">
        <v>1194</v>
      </c>
      <c r="K293">
        <v>142.58000000000001</v>
      </c>
      <c r="L293">
        <v>1250.8499999999999</v>
      </c>
      <c r="M293">
        <v>1100.8499999999999</v>
      </c>
      <c r="N293">
        <v>389095005</v>
      </c>
      <c r="O293" t="s">
        <v>1191</v>
      </c>
    </row>
    <row r="294" spans="1:15">
      <c r="A294" t="s">
        <v>1425</v>
      </c>
      <c r="B294" s="2">
        <v>45926.901666666665</v>
      </c>
      <c r="C294" s="2">
        <v>45926.912083333336</v>
      </c>
      <c r="D294" t="s">
        <v>109</v>
      </c>
      <c r="E294" t="s">
        <v>1353</v>
      </c>
      <c r="F294" t="s">
        <v>1354</v>
      </c>
      <c r="G294" t="s">
        <v>1093</v>
      </c>
      <c r="H294" t="s">
        <v>1031</v>
      </c>
      <c r="I294">
        <v>424441002</v>
      </c>
      <c r="J294" t="s">
        <v>1059</v>
      </c>
      <c r="K294">
        <v>142.58000000000001</v>
      </c>
      <c r="L294">
        <v>40020.769999999997</v>
      </c>
      <c r="M294">
        <v>39970.769999999997</v>
      </c>
      <c r="N294">
        <v>72892002</v>
      </c>
      <c r="O294" t="s">
        <v>1060</v>
      </c>
    </row>
    <row r="295" spans="1:15">
      <c r="A295" t="s">
        <v>1426</v>
      </c>
      <c r="B295" s="2">
        <v>42797.771527777775</v>
      </c>
      <c r="C295" s="2">
        <v>42797.813194444447</v>
      </c>
      <c r="D295" t="s">
        <v>120</v>
      </c>
      <c r="E295" t="s">
        <v>1412</v>
      </c>
      <c r="F295" t="s">
        <v>1413</v>
      </c>
      <c r="G295" t="s">
        <v>1093</v>
      </c>
      <c r="H295" t="s">
        <v>1076</v>
      </c>
      <c r="I295">
        <v>50849002</v>
      </c>
      <c r="J295" t="s">
        <v>1163</v>
      </c>
      <c r="K295">
        <v>146.18</v>
      </c>
      <c r="L295">
        <v>146.18</v>
      </c>
      <c r="M295">
        <v>96.18</v>
      </c>
      <c r="N295">
        <v>74400008</v>
      </c>
      <c r="O295" t="s">
        <v>1427</v>
      </c>
    </row>
    <row r="296" spans="1:15">
      <c r="A296" t="s">
        <v>1428</v>
      </c>
      <c r="B296" s="2">
        <v>42797.771527777775</v>
      </c>
      <c r="C296" s="2">
        <v>42799.429143518515</v>
      </c>
      <c r="D296" t="s">
        <v>120</v>
      </c>
      <c r="E296" t="s">
        <v>1429</v>
      </c>
      <c r="F296" t="s">
        <v>1430</v>
      </c>
      <c r="G296" t="s">
        <v>1093</v>
      </c>
      <c r="H296" t="s">
        <v>1431</v>
      </c>
      <c r="I296">
        <v>185347001</v>
      </c>
      <c r="J296" t="s">
        <v>1124</v>
      </c>
      <c r="K296">
        <v>87.71</v>
      </c>
      <c r="L296">
        <v>21432.77</v>
      </c>
      <c r="M296">
        <v>21382.77</v>
      </c>
      <c r="N296">
        <v>74400008</v>
      </c>
      <c r="O296" t="s">
        <v>1427</v>
      </c>
    </row>
    <row r="297" spans="1:15">
      <c r="A297" t="s">
        <v>1432</v>
      </c>
      <c r="B297" s="2">
        <v>42874.813194444447</v>
      </c>
      <c r="C297" s="2">
        <v>42874.841122685182</v>
      </c>
      <c r="D297" t="s">
        <v>120</v>
      </c>
      <c r="E297" t="s">
        <v>1391</v>
      </c>
      <c r="F297" t="s">
        <v>1392</v>
      </c>
      <c r="G297" t="s">
        <v>1093</v>
      </c>
      <c r="H297" t="s">
        <v>1020</v>
      </c>
      <c r="I297">
        <v>162673000</v>
      </c>
      <c r="J297" t="s">
        <v>1021</v>
      </c>
      <c r="K297">
        <v>136.80000000000001</v>
      </c>
      <c r="L297">
        <v>919.9</v>
      </c>
      <c r="M297">
        <v>819.9</v>
      </c>
      <c r="O297" t="s">
        <v>34</v>
      </c>
    </row>
    <row r="298" spans="1:15">
      <c r="A298" t="s">
        <v>1433</v>
      </c>
      <c r="B298" s="2">
        <v>45954.901666666665</v>
      </c>
      <c r="C298" s="2">
        <v>45954.912083333336</v>
      </c>
      <c r="D298" t="s">
        <v>109</v>
      </c>
      <c r="E298" t="s">
        <v>1353</v>
      </c>
      <c r="F298" t="s">
        <v>1354</v>
      </c>
      <c r="G298" t="s">
        <v>1093</v>
      </c>
      <c r="H298" t="s">
        <v>1031</v>
      </c>
      <c r="I298">
        <v>424619006</v>
      </c>
      <c r="J298" t="s">
        <v>1062</v>
      </c>
      <c r="K298">
        <v>142.58000000000001</v>
      </c>
      <c r="L298">
        <v>14559.51</v>
      </c>
      <c r="M298">
        <v>14509.51</v>
      </c>
      <c r="N298">
        <v>72892002</v>
      </c>
      <c r="O298" t="s">
        <v>1060</v>
      </c>
    </row>
    <row r="299" spans="1:15">
      <c r="A299" t="s">
        <v>1434</v>
      </c>
      <c r="B299" s="2">
        <v>43075.625439814816</v>
      </c>
      <c r="C299" s="2">
        <v>43075.63585648148</v>
      </c>
      <c r="D299" t="s">
        <v>120</v>
      </c>
      <c r="E299" t="s">
        <v>1418</v>
      </c>
      <c r="F299" t="s">
        <v>1419</v>
      </c>
      <c r="G299" t="s">
        <v>1093</v>
      </c>
      <c r="H299" t="s">
        <v>1043</v>
      </c>
      <c r="I299">
        <v>698314001</v>
      </c>
      <c r="J299" t="s">
        <v>1190</v>
      </c>
      <c r="K299">
        <v>142.58000000000001</v>
      </c>
      <c r="L299">
        <v>142.58000000000001</v>
      </c>
      <c r="M299">
        <v>92.58</v>
      </c>
      <c r="N299">
        <v>389095005</v>
      </c>
      <c r="O299" t="s">
        <v>1191</v>
      </c>
    </row>
    <row r="300" spans="1:15">
      <c r="A300" t="s">
        <v>1435</v>
      </c>
      <c r="B300" s="2">
        <v>45982.86</v>
      </c>
      <c r="C300" s="2">
        <v>45982.870416666665</v>
      </c>
      <c r="D300" t="s">
        <v>109</v>
      </c>
      <c r="E300" t="s">
        <v>1353</v>
      </c>
      <c r="F300" t="s">
        <v>1354</v>
      </c>
      <c r="G300" t="s">
        <v>1093</v>
      </c>
      <c r="H300" t="s">
        <v>1031</v>
      </c>
      <c r="I300">
        <v>424619006</v>
      </c>
      <c r="J300" t="s">
        <v>1062</v>
      </c>
      <c r="K300">
        <v>142.58000000000001</v>
      </c>
      <c r="L300">
        <v>7852.23</v>
      </c>
      <c r="M300">
        <v>7802.23</v>
      </c>
      <c r="N300">
        <v>72892002</v>
      </c>
      <c r="O300" t="s">
        <v>1060</v>
      </c>
    </row>
    <row r="301" spans="1:15">
      <c r="A301" t="s">
        <v>1436</v>
      </c>
      <c r="B301" s="2">
        <v>46010.86</v>
      </c>
      <c r="C301" s="2">
        <v>46010.870416666665</v>
      </c>
      <c r="D301" t="s">
        <v>109</v>
      </c>
      <c r="E301" t="s">
        <v>1353</v>
      </c>
      <c r="F301" t="s">
        <v>1354</v>
      </c>
      <c r="G301" t="s">
        <v>1093</v>
      </c>
      <c r="H301" t="s">
        <v>1031</v>
      </c>
      <c r="I301">
        <v>424619006</v>
      </c>
      <c r="J301" t="s">
        <v>1062</v>
      </c>
      <c r="K301">
        <v>142.58000000000001</v>
      </c>
      <c r="L301">
        <v>4665.96</v>
      </c>
      <c r="M301">
        <v>4615.96</v>
      </c>
      <c r="N301">
        <v>72892002</v>
      </c>
      <c r="O301" t="s">
        <v>1060</v>
      </c>
    </row>
    <row r="302" spans="1:15">
      <c r="A302" t="s">
        <v>1437</v>
      </c>
      <c r="B302" s="2">
        <v>46038.86</v>
      </c>
      <c r="C302" s="2">
        <v>46038.870416666665</v>
      </c>
      <c r="D302" t="s">
        <v>109</v>
      </c>
      <c r="E302" t="s">
        <v>1353</v>
      </c>
      <c r="F302" t="s">
        <v>1354</v>
      </c>
      <c r="G302" t="s">
        <v>1093</v>
      </c>
      <c r="H302" t="s">
        <v>1031</v>
      </c>
      <c r="I302">
        <v>424619006</v>
      </c>
      <c r="J302" t="s">
        <v>1062</v>
      </c>
      <c r="K302">
        <v>142.58000000000001</v>
      </c>
      <c r="L302">
        <v>11451.02</v>
      </c>
      <c r="M302">
        <v>11401.02</v>
      </c>
      <c r="N302">
        <v>72892002</v>
      </c>
      <c r="O302" t="s">
        <v>1060</v>
      </c>
    </row>
    <row r="303" spans="1:15">
      <c r="A303" t="s">
        <v>1438</v>
      </c>
      <c r="B303" s="2">
        <v>46066.86</v>
      </c>
      <c r="C303" s="2">
        <v>46066.870416666665</v>
      </c>
      <c r="D303" t="s">
        <v>109</v>
      </c>
      <c r="E303" t="s">
        <v>1353</v>
      </c>
      <c r="F303" t="s">
        <v>1354</v>
      </c>
      <c r="G303" t="s">
        <v>1093</v>
      </c>
      <c r="H303" t="s">
        <v>1031</v>
      </c>
      <c r="I303">
        <v>424619006</v>
      </c>
      <c r="J303" t="s">
        <v>1062</v>
      </c>
      <c r="K303">
        <v>142.58000000000001</v>
      </c>
      <c r="L303">
        <v>20660.32</v>
      </c>
      <c r="M303">
        <v>20610.32</v>
      </c>
      <c r="N303">
        <v>72892002</v>
      </c>
      <c r="O303" t="s">
        <v>1060</v>
      </c>
    </row>
    <row r="304" spans="1:15">
      <c r="A304" t="s">
        <v>1439</v>
      </c>
      <c r="B304" s="2">
        <v>46094.901666666665</v>
      </c>
      <c r="C304" s="2">
        <v>46094.912083333336</v>
      </c>
      <c r="D304" t="s">
        <v>109</v>
      </c>
      <c r="E304" t="s">
        <v>1353</v>
      </c>
      <c r="F304" t="s">
        <v>1354</v>
      </c>
      <c r="G304" t="s">
        <v>1093</v>
      </c>
      <c r="H304" t="s">
        <v>1031</v>
      </c>
      <c r="I304">
        <v>424619006</v>
      </c>
      <c r="J304" t="s">
        <v>1062</v>
      </c>
      <c r="K304">
        <v>142.58000000000001</v>
      </c>
      <c r="L304">
        <v>5179.21</v>
      </c>
      <c r="M304">
        <v>5129.21</v>
      </c>
      <c r="N304">
        <v>72892002</v>
      </c>
      <c r="O304" t="s">
        <v>1060</v>
      </c>
    </row>
    <row r="305" spans="1:15">
      <c r="A305" t="s">
        <v>1440</v>
      </c>
      <c r="B305" s="2">
        <v>43435.625439814816</v>
      </c>
      <c r="C305" s="2">
        <v>43435.63585648148</v>
      </c>
      <c r="D305" t="s">
        <v>120</v>
      </c>
      <c r="E305" t="s">
        <v>1418</v>
      </c>
      <c r="F305" t="s">
        <v>1419</v>
      </c>
      <c r="G305" t="s">
        <v>1093</v>
      </c>
      <c r="H305" t="s">
        <v>1043</v>
      </c>
      <c r="I305">
        <v>698314001</v>
      </c>
      <c r="J305" t="s">
        <v>1190</v>
      </c>
      <c r="K305">
        <v>142.58000000000001</v>
      </c>
      <c r="L305">
        <v>142.58000000000001</v>
      </c>
      <c r="M305">
        <v>92.58</v>
      </c>
      <c r="N305">
        <v>389095005</v>
      </c>
      <c r="O305" t="s">
        <v>1191</v>
      </c>
    </row>
    <row r="306" spans="1:15">
      <c r="A306" t="s">
        <v>1441</v>
      </c>
      <c r="B306" s="2">
        <v>43581.813194444447</v>
      </c>
      <c r="C306" s="2">
        <v>43581.837118055555</v>
      </c>
      <c r="D306" t="s">
        <v>120</v>
      </c>
      <c r="E306" t="s">
        <v>1391</v>
      </c>
      <c r="F306" t="s">
        <v>1392</v>
      </c>
      <c r="G306" t="s">
        <v>1093</v>
      </c>
      <c r="H306" t="s">
        <v>1020</v>
      </c>
      <c r="I306">
        <v>162673000</v>
      </c>
      <c r="J306" t="s">
        <v>1021</v>
      </c>
      <c r="K306">
        <v>136.80000000000001</v>
      </c>
      <c r="L306">
        <v>914.78</v>
      </c>
      <c r="M306">
        <v>814.78</v>
      </c>
      <c r="O306" t="s">
        <v>34</v>
      </c>
    </row>
    <row r="307" spans="1:15">
      <c r="A307" t="s">
        <v>1442</v>
      </c>
      <c r="B307" s="2">
        <v>46122.901666666665</v>
      </c>
      <c r="C307" s="2">
        <v>46122.912083333336</v>
      </c>
      <c r="D307" t="s">
        <v>109</v>
      </c>
      <c r="E307" t="s">
        <v>1353</v>
      </c>
      <c r="F307" t="s">
        <v>1354</v>
      </c>
      <c r="G307" t="s">
        <v>1093</v>
      </c>
      <c r="H307" t="s">
        <v>1031</v>
      </c>
      <c r="I307">
        <v>424619006</v>
      </c>
      <c r="J307" t="s">
        <v>1062</v>
      </c>
      <c r="K307">
        <v>142.58000000000001</v>
      </c>
      <c r="L307">
        <v>7238.72</v>
      </c>
      <c r="M307">
        <v>7188.72</v>
      </c>
      <c r="N307">
        <v>72892002</v>
      </c>
      <c r="O307" t="s">
        <v>1060</v>
      </c>
    </row>
    <row r="308" spans="1:15">
      <c r="A308" t="s">
        <v>1443</v>
      </c>
      <c r="B308" s="2">
        <v>46136.901666666665</v>
      </c>
      <c r="C308" s="2">
        <v>46136.912083333336</v>
      </c>
      <c r="D308" t="s">
        <v>109</v>
      </c>
      <c r="E308" t="s">
        <v>1353</v>
      </c>
      <c r="F308" t="s">
        <v>1354</v>
      </c>
      <c r="G308" t="s">
        <v>1093</v>
      </c>
      <c r="H308" t="s">
        <v>1031</v>
      </c>
      <c r="I308">
        <v>424619006</v>
      </c>
      <c r="J308" t="s">
        <v>1062</v>
      </c>
      <c r="K308">
        <v>142.58000000000001</v>
      </c>
      <c r="L308">
        <v>4665.96</v>
      </c>
      <c r="M308">
        <v>4615.96</v>
      </c>
      <c r="N308">
        <v>72892002</v>
      </c>
      <c r="O308" t="s">
        <v>1060</v>
      </c>
    </row>
    <row r="309" spans="1:15">
      <c r="A309" t="s">
        <v>1444</v>
      </c>
      <c r="B309" s="2">
        <v>46143.901666666665</v>
      </c>
      <c r="C309" s="2">
        <v>46143.943333333336</v>
      </c>
      <c r="D309" t="s">
        <v>109</v>
      </c>
      <c r="E309" t="s">
        <v>1365</v>
      </c>
      <c r="F309" t="s">
        <v>1366</v>
      </c>
      <c r="G309" t="s">
        <v>1093</v>
      </c>
      <c r="H309" t="s">
        <v>1076</v>
      </c>
      <c r="I309">
        <v>183460006</v>
      </c>
      <c r="J309" t="s">
        <v>1077</v>
      </c>
      <c r="K309">
        <v>146.18</v>
      </c>
      <c r="L309">
        <v>6874.57</v>
      </c>
      <c r="M309">
        <v>6824.57</v>
      </c>
      <c r="N309">
        <v>72892002</v>
      </c>
      <c r="O309" t="s">
        <v>1060</v>
      </c>
    </row>
    <row r="310" spans="1:15">
      <c r="A310" t="s">
        <v>1445</v>
      </c>
      <c r="B310" s="2">
        <v>46185.901666666665</v>
      </c>
      <c r="C310" s="2">
        <v>46185.912083333336</v>
      </c>
      <c r="D310" t="s">
        <v>109</v>
      </c>
      <c r="E310" t="s">
        <v>1353</v>
      </c>
      <c r="F310" t="s">
        <v>1354</v>
      </c>
      <c r="G310" t="s">
        <v>1093</v>
      </c>
      <c r="H310" t="s">
        <v>1031</v>
      </c>
      <c r="I310">
        <v>169762003</v>
      </c>
      <c r="J310" t="s">
        <v>1079</v>
      </c>
      <c r="K310">
        <v>142.58000000000001</v>
      </c>
      <c r="L310">
        <v>1005.38</v>
      </c>
      <c r="M310">
        <v>855.38</v>
      </c>
      <c r="O310" t="s">
        <v>34</v>
      </c>
    </row>
    <row r="311" spans="1:15">
      <c r="A311" t="s">
        <v>1446</v>
      </c>
      <c r="B311" s="2">
        <v>46227.901666666665</v>
      </c>
      <c r="C311" s="2">
        <v>46227.927569444444</v>
      </c>
      <c r="D311" t="s">
        <v>109</v>
      </c>
      <c r="E311" t="s">
        <v>1358</v>
      </c>
      <c r="F311" t="s">
        <v>1359</v>
      </c>
      <c r="G311" t="s">
        <v>1093</v>
      </c>
      <c r="H311" t="s">
        <v>1020</v>
      </c>
      <c r="I311">
        <v>162673000</v>
      </c>
      <c r="J311" t="s">
        <v>1021</v>
      </c>
      <c r="K311">
        <v>136.80000000000001</v>
      </c>
      <c r="L311">
        <v>1130.48</v>
      </c>
      <c r="M311">
        <v>1130.48</v>
      </c>
      <c r="O311" t="s">
        <v>34</v>
      </c>
    </row>
    <row r="312" spans="1:15">
      <c r="A312" t="s">
        <v>1447</v>
      </c>
      <c r="B312" s="2">
        <v>46241.901666666665</v>
      </c>
      <c r="C312" s="2">
        <v>46242.03943287037</v>
      </c>
      <c r="D312" t="s">
        <v>109</v>
      </c>
      <c r="E312" t="s">
        <v>1353</v>
      </c>
      <c r="F312" t="s">
        <v>1354</v>
      </c>
      <c r="G312" t="s">
        <v>1093</v>
      </c>
      <c r="H312" t="s">
        <v>1031</v>
      </c>
      <c r="I312">
        <v>185349003</v>
      </c>
      <c r="J312" t="s">
        <v>1038</v>
      </c>
      <c r="K312">
        <v>85.55</v>
      </c>
      <c r="L312">
        <v>2673.95</v>
      </c>
      <c r="M312">
        <v>2623.95</v>
      </c>
      <c r="N312">
        <v>66383009</v>
      </c>
      <c r="O312" t="s">
        <v>1209</v>
      </c>
    </row>
    <row r="313" spans="1:15">
      <c r="A313" t="s">
        <v>1448</v>
      </c>
      <c r="B313" s="2">
        <v>43588.813194444447</v>
      </c>
      <c r="C313" s="2">
        <v>43588.837210648147</v>
      </c>
      <c r="D313" t="s">
        <v>120</v>
      </c>
      <c r="E313" t="s">
        <v>1395</v>
      </c>
      <c r="F313" t="s">
        <v>1396</v>
      </c>
      <c r="G313" t="s">
        <v>1093</v>
      </c>
      <c r="H313" t="s">
        <v>1031</v>
      </c>
      <c r="I313">
        <v>185349003</v>
      </c>
      <c r="J313" t="s">
        <v>1038</v>
      </c>
      <c r="K313">
        <v>85.55</v>
      </c>
      <c r="L313">
        <v>10001.48</v>
      </c>
      <c r="M313">
        <v>9951.48</v>
      </c>
      <c r="N313">
        <v>275978004</v>
      </c>
      <c r="O313" t="s">
        <v>1449</v>
      </c>
    </row>
    <row r="314" spans="1:15">
      <c r="A314" t="s">
        <v>1450</v>
      </c>
      <c r="B314" s="2">
        <v>43805.771527777775</v>
      </c>
      <c r="C314" s="2">
        <v>43805.804710648146</v>
      </c>
      <c r="D314" t="s">
        <v>120</v>
      </c>
      <c r="E314" t="s">
        <v>1418</v>
      </c>
      <c r="F314" t="s">
        <v>1419</v>
      </c>
      <c r="G314" t="s">
        <v>1093</v>
      </c>
      <c r="H314" t="s">
        <v>1043</v>
      </c>
      <c r="I314">
        <v>308335008</v>
      </c>
      <c r="J314" t="s">
        <v>1194</v>
      </c>
      <c r="K314">
        <v>142.58000000000001</v>
      </c>
      <c r="L314">
        <v>573.98</v>
      </c>
      <c r="M314">
        <v>523.98</v>
      </c>
      <c r="N314">
        <v>389095005</v>
      </c>
      <c r="O314" t="s">
        <v>1191</v>
      </c>
    </row>
    <row r="315" spans="1:15">
      <c r="A315" t="s">
        <v>1451</v>
      </c>
      <c r="B315" s="2">
        <v>43952.813194444447</v>
      </c>
      <c r="C315" s="2">
        <v>43952.851053240738</v>
      </c>
      <c r="D315" t="s">
        <v>120</v>
      </c>
      <c r="E315" t="s">
        <v>1391</v>
      </c>
      <c r="F315" t="s">
        <v>1392</v>
      </c>
      <c r="G315" t="s">
        <v>1093</v>
      </c>
      <c r="H315" t="s">
        <v>1020</v>
      </c>
      <c r="I315">
        <v>162673000</v>
      </c>
      <c r="J315" t="s">
        <v>1021</v>
      </c>
      <c r="K315">
        <v>136.80000000000001</v>
      </c>
      <c r="L315">
        <v>976.2</v>
      </c>
      <c r="M315">
        <v>876.2</v>
      </c>
      <c r="O315" t="s">
        <v>34</v>
      </c>
    </row>
    <row r="316" spans="1:15">
      <c r="A316" t="s">
        <v>1452</v>
      </c>
      <c r="B316" s="2">
        <v>43966.813194444447</v>
      </c>
      <c r="C316" s="2">
        <v>43967.069374999999</v>
      </c>
      <c r="D316" t="s">
        <v>120</v>
      </c>
      <c r="E316" t="s">
        <v>1395</v>
      </c>
      <c r="F316" t="s">
        <v>1396</v>
      </c>
      <c r="G316" t="s">
        <v>1093</v>
      </c>
      <c r="H316" t="s">
        <v>1031</v>
      </c>
      <c r="I316">
        <v>185349003</v>
      </c>
      <c r="J316" t="s">
        <v>1038</v>
      </c>
      <c r="K316">
        <v>85.55</v>
      </c>
      <c r="L316">
        <v>4399.55</v>
      </c>
      <c r="M316">
        <v>4349.55</v>
      </c>
      <c r="N316">
        <v>66383009</v>
      </c>
      <c r="O316" t="s">
        <v>1209</v>
      </c>
    </row>
    <row r="317" spans="1:15">
      <c r="A317" t="s">
        <v>1453</v>
      </c>
      <c r="B317" s="2">
        <v>44323.813194444447</v>
      </c>
      <c r="C317" s="2">
        <v>44323.838252314818</v>
      </c>
      <c r="D317" t="s">
        <v>120</v>
      </c>
      <c r="E317" t="s">
        <v>1391</v>
      </c>
      <c r="F317" t="s">
        <v>1392</v>
      </c>
      <c r="G317" t="s">
        <v>1093</v>
      </c>
      <c r="H317" t="s">
        <v>1020</v>
      </c>
      <c r="I317">
        <v>162673000</v>
      </c>
      <c r="J317" t="s">
        <v>1021</v>
      </c>
      <c r="K317">
        <v>136.80000000000001</v>
      </c>
      <c r="L317">
        <v>1368.12</v>
      </c>
      <c r="M317">
        <v>1268.1199999999999</v>
      </c>
      <c r="O317" t="s">
        <v>34</v>
      </c>
    </row>
    <row r="318" spans="1:15">
      <c r="A318" t="s">
        <v>1454</v>
      </c>
      <c r="B318" s="2">
        <v>44326.813194444447</v>
      </c>
      <c r="C318" s="2">
        <v>44326.868032407408</v>
      </c>
      <c r="D318" t="s">
        <v>120</v>
      </c>
      <c r="E318" t="s">
        <v>1395</v>
      </c>
      <c r="F318" t="s">
        <v>1396</v>
      </c>
      <c r="G318" t="s">
        <v>1093</v>
      </c>
      <c r="H318" t="s">
        <v>1031</v>
      </c>
      <c r="I318">
        <v>185345009</v>
      </c>
      <c r="J318" t="s">
        <v>1032</v>
      </c>
      <c r="K318">
        <v>85.55</v>
      </c>
      <c r="L318">
        <v>239.67</v>
      </c>
      <c r="M318">
        <v>189.67</v>
      </c>
      <c r="N318">
        <v>840544004</v>
      </c>
      <c r="O318" t="s">
        <v>1455</v>
      </c>
    </row>
    <row r="319" spans="1:15">
      <c r="A319" t="s">
        <v>1456</v>
      </c>
      <c r="B319" s="2">
        <v>44694.813194444447</v>
      </c>
      <c r="C319" s="2">
        <v>44694.845462962963</v>
      </c>
      <c r="D319" t="s">
        <v>120</v>
      </c>
      <c r="E319" t="s">
        <v>1391</v>
      </c>
      <c r="F319" t="s">
        <v>1392</v>
      </c>
      <c r="G319" t="s">
        <v>1093</v>
      </c>
      <c r="H319" t="s">
        <v>1020</v>
      </c>
      <c r="I319">
        <v>162673000</v>
      </c>
      <c r="J319" t="s">
        <v>1021</v>
      </c>
      <c r="K319">
        <v>136.80000000000001</v>
      </c>
      <c r="L319">
        <v>1002.62</v>
      </c>
      <c r="M319">
        <v>902.62</v>
      </c>
      <c r="O319" t="s">
        <v>34</v>
      </c>
    </row>
    <row r="320" spans="1:15">
      <c r="A320" t="s">
        <v>1457</v>
      </c>
      <c r="B320" s="2">
        <v>44708.813194444447</v>
      </c>
      <c r="C320" s="2">
        <v>44708.950023148151</v>
      </c>
      <c r="D320" t="s">
        <v>120</v>
      </c>
      <c r="E320" t="s">
        <v>1395</v>
      </c>
      <c r="F320" t="s">
        <v>1396</v>
      </c>
      <c r="G320" t="s">
        <v>1093</v>
      </c>
      <c r="H320" t="s">
        <v>1031</v>
      </c>
      <c r="I320">
        <v>185349003</v>
      </c>
      <c r="J320" t="s">
        <v>1038</v>
      </c>
      <c r="K320">
        <v>85.55</v>
      </c>
      <c r="L320">
        <v>3105.35</v>
      </c>
      <c r="M320">
        <v>3055.35</v>
      </c>
      <c r="N320">
        <v>103697008</v>
      </c>
      <c r="O320" t="s">
        <v>1039</v>
      </c>
    </row>
    <row r="321" spans="1:15">
      <c r="A321" t="s">
        <v>1458</v>
      </c>
      <c r="B321" s="2">
        <v>45065.813194444447</v>
      </c>
      <c r="C321" s="2">
        <v>45065.845995370371</v>
      </c>
      <c r="D321" t="s">
        <v>120</v>
      </c>
      <c r="E321" t="s">
        <v>1391</v>
      </c>
      <c r="F321" t="s">
        <v>1392</v>
      </c>
      <c r="G321" t="s">
        <v>1093</v>
      </c>
      <c r="H321" t="s">
        <v>1020</v>
      </c>
      <c r="I321">
        <v>162673000</v>
      </c>
      <c r="J321" t="s">
        <v>1021</v>
      </c>
      <c r="K321">
        <v>136.80000000000001</v>
      </c>
      <c r="L321">
        <v>919.9</v>
      </c>
      <c r="M321">
        <v>819.9</v>
      </c>
      <c r="O321" t="s">
        <v>34</v>
      </c>
    </row>
    <row r="322" spans="1:15">
      <c r="A322" t="s">
        <v>1459</v>
      </c>
      <c r="B322" s="2">
        <v>45079.813194444447</v>
      </c>
      <c r="C322" s="2">
        <v>45079.928923611114</v>
      </c>
      <c r="D322" t="s">
        <v>120</v>
      </c>
      <c r="E322" t="s">
        <v>1395</v>
      </c>
      <c r="F322" t="s">
        <v>1396</v>
      </c>
      <c r="G322" t="s">
        <v>1093</v>
      </c>
      <c r="H322" t="s">
        <v>1031</v>
      </c>
      <c r="I322">
        <v>185349003</v>
      </c>
      <c r="J322" t="s">
        <v>1038</v>
      </c>
      <c r="K322">
        <v>85.55</v>
      </c>
      <c r="L322">
        <v>3105.35</v>
      </c>
      <c r="M322">
        <v>3055.35</v>
      </c>
      <c r="N322">
        <v>103697008</v>
      </c>
      <c r="O322" t="s">
        <v>1039</v>
      </c>
    </row>
    <row r="323" spans="1:15">
      <c r="A323" t="s">
        <v>1460</v>
      </c>
      <c r="B323" s="2">
        <v>45095.813194444447</v>
      </c>
      <c r="C323" s="2">
        <v>45095.823611111111</v>
      </c>
      <c r="D323" t="s">
        <v>120</v>
      </c>
      <c r="E323" t="s">
        <v>1395</v>
      </c>
      <c r="F323" t="s">
        <v>1396</v>
      </c>
      <c r="G323" t="s">
        <v>1093</v>
      </c>
      <c r="H323" t="s">
        <v>1031</v>
      </c>
      <c r="I323">
        <v>390906007</v>
      </c>
      <c r="J323" t="s">
        <v>1255</v>
      </c>
      <c r="K323">
        <v>85.55</v>
      </c>
      <c r="L323">
        <v>85.55</v>
      </c>
      <c r="M323">
        <v>35.549999999999997</v>
      </c>
      <c r="N323">
        <v>59621000</v>
      </c>
      <c r="O323" t="s">
        <v>1461</v>
      </c>
    </row>
    <row r="324" spans="1:15">
      <c r="A324" t="s">
        <v>1462</v>
      </c>
      <c r="B324" s="2">
        <v>45155.813194444447</v>
      </c>
      <c r="C324" s="2">
        <v>45155.823611111111</v>
      </c>
      <c r="D324" t="s">
        <v>120</v>
      </c>
      <c r="E324" t="s">
        <v>1395</v>
      </c>
      <c r="F324" t="s">
        <v>1396</v>
      </c>
      <c r="G324" t="s">
        <v>1093</v>
      </c>
      <c r="H324" t="s">
        <v>1031</v>
      </c>
      <c r="I324">
        <v>390906007</v>
      </c>
      <c r="J324" t="s">
        <v>1255</v>
      </c>
      <c r="K324">
        <v>85.55</v>
      </c>
      <c r="L324">
        <v>85.55</v>
      </c>
      <c r="M324">
        <v>35.549999999999997</v>
      </c>
      <c r="N324">
        <v>59621000</v>
      </c>
      <c r="O324" t="s">
        <v>1461</v>
      </c>
    </row>
    <row r="325" spans="1:15">
      <c r="A325" t="s">
        <v>1463</v>
      </c>
      <c r="B325" s="2">
        <v>45215.813194444447</v>
      </c>
      <c r="C325" s="2">
        <v>45215.823611111111</v>
      </c>
      <c r="D325" t="s">
        <v>120</v>
      </c>
      <c r="E325" t="s">
        <v>1395</v>
      </c>
      <c r="F325" t="s">
        <v>1396</v>
      </c>
      <c r="G325" t="s">
        <v>1093</v>
      </c>
      <c r="H325" t="s">
        <v>1031</v>
      </c>
      <c r="I325">
        <v>390906007</v>
      </c>
      <c r="J325" t="s">
        <v>1255</v>
      </c>
      <c r="K325">
        <v>85.55</v>
      </c>
      <c r="L325">
        <v>85.55</v>
      </c>
      <c r="M325">
        <v>35.549999999999997</v>
      </c>
      <c r="N325">
        <v>59621000</v>
      </c>
      <c r="O325" t="s">
        <v>1461</v>
      </c>
    </row>
    <row r="326" spans="1:15">
      <c r="A326" t="s">
        <v>1464</v>
      </c>
      <c r="B326" s="2">
        <v>45414.837210648147</v>
      </c>
      <c r="C326" s="2">
        <v>45414.855810185189</v>
      </c>
      <c r="D326" t="s">
        <v>120</v>
      </c>
      <c r="E326" t="s">
        <v>1395</v>
      </c>
      <c r="F326" t="s">
        <v>1396</v>
      </c>
      <c r="G326" t="s">
        <v>1093</v>
      </c>
      <c r="H326" t="s">
        <v>1031</v>
      </c>
      <c r="I326">
        <v>185349003</v>
      </c>
      <c r="J326" t="s">
        <v>1038</v>
      </c>
      <c r="K326">
        <v>85.55</v>
      </c>
      <c r="L326">
        <v>5138.45</v>
      </c>
      <c r="M326">
        <v>4988.45</v>
      </c>
      <c r="N326">
        <v>275978004</v>
      </c>
      <c r="O326" t="s">
        <v>1449</v>
      </c>
    </row>
    <row r="327" spans="1:15">
      <c r="A327" t="s">
        <v>1465</v>
      </c>
      <c r="B327" s="2">
        <v>45436.813194444447</v>
      </c>
      <c r="C327" s="2">
        <v>45436.843935185185</v>
      </c>
      <c r="D327" t="s">
        <v>120</v>
      </c>
      <c r="E327" t="s">
        <v>1391</v>
      </c>
      <c r="F327" t="s">
        <v>1392</v>
      </c>
      <c r="G327" t="s">
        <v>1093</v>
      </c>
      <c r="H327" t="s">
        <v>1020</v>
      </c>
      <c r="I327">
        <v>162673000</v>
      </c>
      <c r="J327" t="s">
        <v>1021</v>
      </c>
      <c r="K327">
        <v>136.80000000000001</v>
      </c>
      <c r="L327">
        <v>919.9</v>
      </c>
      <c r="M327">
        <v>919.9</v>
      </c>
      <c r="O327" t="s">
        <v>34</v>
      </c>
    </row>
    <row r="328" spans="1:15">
      <c r="A328" t="s">
        <v>1466</v>
      </c>
      <c r="B328" s="2">
        <v>45450.813194444447</v>
      </c>
      <c r="C328" s="2">
        <v>45450.955243055556</v>
      </c>
      <c r="D328" t="s">
        <v>120</v>
      </c>
      <c r="E328" t="s">
        <v>1395</v>
      </c>
      <c r="F328" t="s">
        <v>1396</v>
      </c>
      <c r="G328" t="s">
        <v>1093</v>
      </c>
      <c r="H328" t="s">
        <v>1031</v>
      </c>
      <c r="I328">
        <v>185349003</v>
      </c>
      <c r="J328" t="s">
        <v>1038</v>
      </c>
      <c r="K328">
        <v>85.55</v>
      </c>
      <c r="L328">
        <v>3105.35</v>
      </c>
      <c r="M328">
        <v>3055.35</v>
      </c>
      <c r="N328">
        <v>66383009</v>
      </c>
      <c r="O328" t="s">
        <v>1209</v>
      </c>
    </row>
    <row r="329" spans="1:15">
      <c r="A329" t="s">
        <v>1467</v>
      </c>
      <c r="B329" s="2">
        <v>45807.813194444447</v>
      </c>
      <c r="C329" s="2">
        <v>45807.845069444447</v>
      </c>
      <c r="D329" t="s">
        <v>120</v>
      </c>
      <c r="E329" t="s">
        <v>1391</v>
      </c>
      <c r="F329" t="s">
        <v>1392</v>
      </c>
      <c r="G329" t="s">
        <v>1093</v>
      </c>
      <c r="H329" t="s">
        <v>1020</v>
      </c>
      <c r="I329">
        <v>162673000</v>
      </c>
      <c r="J329" t="s">
        <v>1021</v>
      </c>
      <c r="K329">
        <v>136.80000000000001</v>
      </c>
      <c r="L329">
        <v>778.78</v>
      </c>
      <c r="M329">
        <v>678.78</v>
      </c>
      <c r="O329" t="s">
        <v>34</v>
      </c>
    </row>
    <row r="330" spans="1:15">
      <c r="A330" t="s">
        <v>1468</v>
      </c>
      <c r="B330" s="2">
        <v>45821.813194444447</v>
      </c>
      <c r="C330" s="2">
        <v>45821.947256944448</v>
      </c>
      <c r="D330" t="s">
        <v>120</v>
      </c>
      <c r="E330" t="s">
        <v>1395</v>
      </c>
      <c r="F330" t="s">
        <v>1396</v>
      </c>
      <c r="G330" t="s">
        <v>1093</v>
      </c>
      <c r="H330" t="s">
        <v>1031</v>
      </c>
      <c r="I330">
        <v>185349003</v>
      </c>
      <c r="J330" t="s">
        <v>1038</v>
      </c>
      <c r="K330">
        <v>85.55</v>
      </c>
      <c r="L330">
        <v>3105.35</v>
      </c>
      <c r="M330">
        <v>3055.35</v>
      </c>
      <c r="N330">
        <v>66383009</v>
      </c>
      <c r="O330" t="s">
        <v>1209</v>
      </c>
    </row>
    <row r="331" spans="1:15">
      <c r="A331" t="s">
        <v>1469</v>
      </c>
      <c r="B331" s="2">
        <v>46178.813194444447</v>
      </c>
      <c r="C331" s="2">
        <v>46178.843692129631</v>
      </c>
      <c r="D331" t="s">
        <v>120</v>
      </c>
      <c r="E331" t="s">
        <v>1391</v>
      </c>
      <c r="F331" t="s">
        <v>1392</v>
      </c>
      <c r="G331" t="s">
        <v>1093</v>
      </c>
      <c r="H331" t="s">
        <v>1020</v>
      </c>
      <c r="I331">
        <v>162673000</v>
      </c>
      <c r="J331" t="s">
        <v>1021</v>
      </c>
      <c r="K331">
        <v>136.80000000000001</v>
      </c>
      <c r="L331">
        <v>778.78</v>
      </c>
      <c r="M331">
        <v>678.78</v>
      </c>
      <c r="O331" t="s">
        <v>34</v>
      </c>
    </row>
    <row r="332" spans="1:15">
      <c r="A332" t="s">
        <v>1470</v>
      </c>
      <c r="B332" s="2">
        <v>46192.813194444447</v>
      </c>
      <c r="C332" s="2">
        <v>46192.955891203703</v>
      </c>
      <c r="D332" t="s">
        <v>120</v>
      </c>
      <c r="E332" t="s">
        <v>1395</v>
      </c>
      <c r="F332" t="s">
        <v>1396</v>
      </c>
      <c r="G332" t="s">
        <v>1093</v>
      </c>
      <c r="H332" t="s">
        <v>1031</v>
      </c>
      <c r="I332">
        <v>185349003</v>
      </c>
      <c r="J332" t="s">
        <v>1038</v>
      </c>
      <c r="K332">
        <v>85.55</v>
      </c>
      <c r="L332">
        <v>3536.75</v>
      </c>
      <c r="M332">
        <v>3486.75</v>
      </c>
      <c r="N332">
        <v>103697008</v>
      </c>
      <c r="O332" t="s">
        <v>1039</v>
      </c>
    </row>
    <row r="333" spans="1:15">
      <c r="A333" t="s">
        <v>1471</v>
      </c>
      <c r="B333" s="2">
        <v>33182.097500000003</v>
      </c>
      <c r="C333" s="2">
        <v>33182.131365740737</v>
      </c>
      <c r="D333" t="s">
        <v>130</v>
      </c>
      <c r="E333" t="s">
        <v>1472</v>
      </c>
      <c r="F333" t="s">
        <v>1473</v>
      </c>
      <c r="G333" t="s">
        <v>1474</v>
      </c>
      <c r="H333" t="s">
        <v>1020</v>
      </c>
      <c r="I333">
        <v>162673000</v>
      </c>
      <c r="J333" t="s">
        <v>1021</v>
      </c>
      <c r="K333">
        <v>136.80000000000001</v>
      </c>
      <c r="L333">
        <v>919.9</v>
      </c>
      <c r="M333">
        <v>0</v>
      </c>
      <c r="O333" t="s">
        <v>34</v>
      </c>
    </row>
    <row r="334" spans="1:15">
      <c r="A334" t="s">
        <v>1475</v>
      </c>
      <c r="B334" s="2">
        <v>36850.097500000003</v>
      </c>
      <c r="C334" s="2">
        <v>36850.127696759257</v>
      </c>
      <c r="D334" t="s">
        <v>130</v>
      </c>
      <c r="E334" t="s">
        <v>1472</v>
      </c>
      <c r="F334" t="s">
        <v>1473</v>
      </c>
      <c r="G334" t="s">
        <v>1474</v>
      </c>
      <c r="H334" t="s">
        <v>1020</v>
      </c>
      <c r="I334">
        <v>162673000</v>
      </c>
      <c r="J334" t="s">
        <v>1021</v>
      </c>
      <c r="K334">
        <v>136.80000000000001</v>
      </c>
      <c r="L334">
        <v>917</v>
      </c>
      <c r="M334">
        <v>733.59</v>
      </c>
      <c r="O334" t="s">
        <v>34</v>
      </c>
    </row>
    <row r="335" spans="1:15">
      <c r="A335" t="s">
        <v>1476</v>
      </c>
      <c r="B335" s="2">
        <v>36857.097500000003</v>
      </c>
      <c r="C335" s="2">
        <v>36857.141597222224</v>
      </c>
      <c r="D335" t="s">
        <v>130</v>
      </c>
      <c r="E335" t="s">
        <v>1477</v>
      </c>
      <c r="F335" t="s">
        <v>1478</v>
      </c>
      <c r="G335" t="s">
        <v>1474</v>
      </c>
      <c r="H335" t="s">
        <v>1031</v>
      </c>
      <c r="I335">
        <v>185347001</v>
      </c>
      <c r="J335" t="s">
        <v>1124</v>
      </c>
      <c r="K335">
        <v>85.55</v>
      </c>
      <c r="L335">
        <v>1706.26</v>
      </c>
      <c r="M335">
        <v>1365</v>
      </c>
      <c r="N335">
        <v>271737000</v>
      </c>
      <c r="O335" t="s">
        <v>1479</v>
      </c>
    </row>
    <row r="336" spans="1:15">
      <c r="A336" t="s">
        <v>1480</v>
      </c>
      <c r="B336" s="2">
        <v>37949.097500000003</v>
      </c>
      <c r="C336" s="2">
        <v>37949.127627314818</v>
      </c>
      <c r="D336" t="s">
        <v>130</v>
      </c>
      <c r="E336" t="s">
        <v>1472</v>
      </c>
      <c r="F336" t="s">
        <v>1473</v>
      </c>
      <c r="G336" t="s">
        <v>1474</v>
      </c>
      <c r="H336" t="s">
        <v>1020</v>
      </c>
      <c r="I336">
        <v>162673000</v>
      </c>
      <c r="J336" t="s">
        <v>1021</v>
      </c>
      <c r="K336">
        <v>136.80000000000001</v>
      </c>
      <c r="L336">
        <v>996.16</v>
      </c>
      <c r="M336">
        <v>0</v>
      </c>
      <c r="O336" t="s">
        <v>34</v>
      </c>
    </row>
    <row r="337" spans="1:15">
      <c r="A337" t="s">
        <v>1481</v>
      </c>
      <c r="B337" s="2">
        <v>41169.139166666668</v>
      </c>
      <c r="C337" s="2">
        <v>41169.177164351851</v>
      </c>
      <c r="D337" t="s">
        <v>130</v>
      </c>
      <c r="E337" t="s">
        <v>1472</v>
      </c>
      <c r="F337" t="s">
        <v>1473</v>
      </c>
      <c r="G337" t="s">
        <v>1474</v>
      </c>
      <c r="H337" t="s">
        <v>1020</v>
      </c>
      <c r="I337">
        <v>162673000</v>
      </c>
      <c r="J337" t="s">
        <v>1021</v>
      </c>
      <c r="K337">
        <v>136.80000000000001</v>
      </c>
      <c r="L337">
        <v>1343.99</v>
      </c>
      <c r="M337">
        <v>0</v>
      </c>
      <c r="O337" t="s">
        <v>34</v>
      </c>
    </row>
    <row r="338" spans="1:15">
      <c r="A338" t="s">
        <v>1482</v>
      </c>
      <c r="B338" s="2">
        <v>41190.139166666668</v>
      </c>
      <c r="C338" s="2">
        <v>41190.184467592589</v>
      </c>
      <c r="D338" t="s">
        <v>130</v>
      </c>
      <c r="E338" t="s">
        <v>1477</v>
      </c>
      <c r="F338" t="s">
        <v>1478</v>
      </c>
      <c r="G338" t="s">
        <v>1474</v>
      </c>
      <c r="H338" t="s">
        <v>1031</v>
      </c>
      <c r="I338">
        <v>185347001</v>
      </c>
      <c r="J338" t="s">
        <v>1124</v>
      </c>
      <c r="K338">
        <v>85.55</v>
      </c>
      <c r="L338">
        <v>1379.75</v>
      </c>
      <c r="M338">
        <v>1103.8</v>
      </c>
      <c r="N338">
        <v>37320007</v>
      </c>
      <c r="O338" t="s">
        <v>1125</v>
      </c>
    </row>
    <row r="339" spans="1:15">
      <c r="A339" t="s">
        <v>1483</v>
      </c>
      <c r="B339" s="2">
        <v>41904.139166666668</v>
      </c>
      <c r="C339" s="2">
        <v>41904.163541666669</v>
      </c>
      <c r="D339" t="s">
        <v>130</v>
      </c>
      <c r="E339" t="s">
        <v>1472</v>
      </c>
      <c r="F339" t="s">
        <v>1473</v>
      </c>
      <c r="G339" t="s">
        <v>1474</v>
      </c>
      <c r="H339" t="s">
        <v>1020</v>
      </c>
      <c r="I339">
        <v>162673000</v>
      </c>
      <c r="J339" t="s">
        <v>1021</v>
      </c>
      <c r="K339">
        <v>136.80000000000001</v>
      </c>
      <c r="L339">
        <v>1132.1600000000001</v>
      </c>
      <c r="M339">
        <v>0</v>
      </c>
      <c r="O339" t="s">
        <v>34</v>
      </c>
    </row>
    <row r="340" spans="1:15">
      <c r="A340" t="s">
        <v>1484</v>
      </c>
      <c r="B340" s="2">
        <v>42256.187164351853</v>
      </c>
      <c r="C340" s="2">
        <v>42256.197581018518</v>
      </c>
      <c r="D340" t="s">
        <v>130</v>
      </c>
      <c r="E340" t="s">
        <v>1477</v>
      </c>
      <c r="F340" t="s">
        <v>1478</v>
      </c>
      <c r="G340" t="s">
        <v>1474</v>
      </c>
      <c r="H340" t="s">
        <v>1043</v>
      </c>
      <c r="I340">
        <v>698314001</v>
      </c>
      <c r="J340" t="s">
        <v>1190</v>
      </c>
      <c r="K340">
        <v>142.58000000000001</v>
      </c>
      <c r="L340">
        <v>142.58000000000001</v>
      </c>
      <c r="M340">
        <v>114.06</v>
      </c>
      <c r="N340">
        <v>389095005</v>
      </c>
      <c r="O340" t="s">
        <v>1191</v>
      </c>
    </row>
    <row r="341" spans="1:15">
      <c r="A341" t="s">
        <v>1485</v>
      </c>
      <c r="B341" s="2">
        <v>42616.187164351853</v>
      </c>
      <c r="C341" s="2">
        <v>42616.197581018518</v>
      </c>
      <c r="D341" t="s">
        <v>130</v>
      </c>
      <c r="E341" t="s">
        <v>1477</v>
      </c>
      <c r="F341" t="s">
        <v>1478</v>
      </c>
      <c r="G341" t="s">
        <v>1474</v>
      </c>
      <c r="H341" t="s">
        <v>1043</v>
      </c>
      <c r="I341">
        <v>698314001</v>
      </c>
      <c r="J341" t="s">
        <v>1190</v>
      </c>
      <c r="K341">
        <v>142.58000000000001</v>
      </c>
      <c r="L341">
        <v>142.58000000000001</v>
      </c>
      <c r="M341">
        <v>0</v>
      </c>
      <c r="N341">
        <v>389095005</v>
      </c>
      <c r="O341" t="s">
        <v>1191</v>
      </c>
    </row>
    <row r="342" spans="1:15">
      <c r="A342" t="s">
        <v>1486</v>
      </c>
      <c r="B342" s="2">
        <v>42639.139166666668</v>
      </c>
      <c r="C342" s="2">
        <v>42639.169236111113</v>
      </c>
      <c r="D342" t="s">
        <v>130</v>
      </c>
      <c r="E342" t="s">
        <v>1472</v>
      </c>
      <c r="F342" t="s">
        <v>1473</v>
      </c>
      <c r="G342" t="s">
        <v>1474</v>
      </c>
      <c r="H342" t="s">
        <v>1020</v>
      </c>
      <c r="I342">
        <v>162673000</v>
      </c>
      <c r="J342" t="s">
        <v>1021</v>
      </c>
      <c r="K342">
        <v>136.80000000000001</v>
      </c>
      <c r="L342">
        <v>785.58</v>
      </c>
      <c r="M342">
        <v>0</v>
      </c>
      <c r="O342" t="s">
        <v>34</v>
      </c>
    </row>
    <row r="343" spans="1:15">
      <c r="A343" t="s">
        <v>1487</v>
      </c>
      <c r="B343" s="2">
        <v>42976.187164351853</v>
      </c>
      <c r="C343" s="2">
        <v>42976.197581018518</v>
      </c>
      <c r="D343" t="s">
        <v>130</v>
      </c>
      <c r="E343" t="s">
        <v>1477</v>
      </c>
      <c r="F343" t="s">
        <v>1478</v>
      </c>
      <c r="G343" t="s">
        <v>1474</v>
      </c>
      <c r="H343" t="s">
        <v>1043</v>
      </c>
      <c r="I343">
        <v>698314001</v>
      </c>
      <c r="J343" t="s">
        <v>1190</v>
      </c>
      <c r="K343">
        <v>142.58000000000001</v>
      </c>
      <c r="L343">
        <v>142.58000000000001</v>
      </c>
      <c r="M343">
        <v>0</v>
      </c>
      <c r="N343">
        <v>389095005</v>
      </c>
      <c r="O343" t="s">
        <v>1191</v>
      </c>
    </row>
    <row r="344" spans="1:15">
      <c r="A344" t="s">
        <v>1488</v>
      </c>
      <c r="B344" s="2">
        <v>43038.139166666668</v>
      </c>
      <c r="C344" s="2">
        <v>43038.174780092595</v>
      </c>
      <c r="D344" t="s">
        <v>130</v>
      </c>
      <c r="E344" t="s">
        <v>1477</v>
      </c>
      <c r="F344" t="s">
        <v>1478</v>
      </c>
      <c r="G344" t="s">
        <v>1474</v>
      </c>
      <c r="H344" t="s">
        <v>1043</v>
      </c>
      <c r="I344">
        <v>308335008</v>
      </c>
      <c r="J344" t="s">
        <v>1194</v>
      </c>
      <c r="K344">
        <v>142.58000000000001</v>
      </c>
      <c r="L344">
        <v>24757.68</v>
      </c>
      <c r="M344">
        <v>18639.740000000002</v>
      </c>
      <c r="N344">
        <v>389095005</v>
      </c>
      <c r="O344" t="s">
        <v>1191</v>
      </c>
    </row>
    <row r="345" spans="1:15">
      <c r="A345" t="s">
        <v>1489</v>
      </c>
      <c r="B345" s="2">
        <v>43059.097500000003</v>
      </c>
      <c r="C345" s="2">
        <v>43059.122870370367</v>
      </c>
      <c r="D345" t="s">
        <v>130</v>
      </c>
      <c r="E345" t="s">
        <v>1477</v>
      </c>
      <c r="F345" t="s">
        <v>1478</v>
      </c>
      <c r="G345" t="s">
        <v>1474</v>
      </c>
      <c r="H345" t="s">
        <v>1043</v>
      </c>
      <c r="I345">
        <v>185349003</v>
      </c>
      <c r="J345" t="s">
        <v>1038</v>
      </c>
      <c r="K345">
        <v>85.55</v>
      </c>
      <c r="L345">
        <v>1493.82</v>
      </c>
      <c r="M345">
        <v>1195.04</v>
      </c>
      <c r="O345" t="s">
        <v>34</v>
      </c>
    </row>
    <row r="346" spans="1:15">
      <c r="A346" t="s">
        <v>1490</v>
      </c>
      <c r="B346" s="2">
        <v>43066.097500000003</v>
      </c>
      <c r="C346" s="2">
        <v>43066.107916666668</v>
      </c>
      <c r="D346" t="s">
        <v>130</v>
      </c>
      <c r="E346" t="s">
        <v>1477</v>
      </c>
      <c r="F346" t="s">
        <v>1478</v>
      </c>
      <c r="G346" t="s">
        <v>1474</v>
      </c>
      <c r="H346" t="s">
        <v>1031</v>
      </c>
      <c r="I346">
        <v>185345009</v>
      </c>
      <c r="J346" t="s">
        <v>1032</v>
      </c>
      <c r="K346">
        <v>85.55</v>
      </c>
      <c r="L346">
        <v>85.55</v>
      </c>
      <c r="M346">
        <v>68.44</v>
      </c>
      <c r="N346">
        <v>444814009</v>
      </c>
      <c r="O346" t="s">
        <v>1035</v>
      </c>
    </row>
    <row r="347" spans="1:15">
      <c r="A347" t="s">
        <v>1491</v>
      </c>
      <c r="B347" s="2">
        <v>43336.187164351853</v>
      </c>
      <c r="C347" s="2">
        <v>43336.197581018518</v>
      </c>
      <c r="D347" t="s">
        <v>130</v>
      </c>
      <c r="E347" t="s">
        <v>1477</v>
      </c>
      <c r="F347" t="s">
        <v>1478</v>
      </c>
      <c r="G347" t="s">
        <v>1474</v>
      </c>
      <c r="H347" t="s">
        <v>1043</v>
      </c>
      <c r="I347">
        <v>698314001</v>
      </c>
      <c r="J347" t="s">
        <v>1190</v>
      </c>
      <c r="K347">
        <v>142.58000000000001</v>
      </c>
      <c r="L347">
        <v>142.58000000000001</v>
      </c>
      <c r="M347">
        <v>114.06</v>
      </c>
      <c r="N347">
        <v>389095005</v>
      </c>
      <c r="O347" t="s">
        <v>1191</v>
      </c>
    </row>
    <row r="348" spans="1:15">
      <c r="A348" t="s">
        <v>1492</v>
      </c>
      <c r="B348" s="2">
        <v>43374.139166666668</v>
      </c>
      <c r="C348" s="2">
        <v>43374.162094907406</v>
      </c>
      <c r="D348" t="s">
        <v>130</v>
      </c>
      <c r="E348" t="s">
        <v>1472</v>
      </c>
      <c r="F348" t="s">
        <v>1473</v>
      </c>
      <c r="G348" t="s">
        <v>1474</v>
      </c>
      <c r="H348" t="s">
        <v>1020</v>
      </c>
      <c r="I348">
        <v>162673000</v>
      </c>
      <c r="J348" t="s">
        <v>1021</v>
      </c>
      <c r="K348">
        <v>136.80000000000001</v>
      </c>
      <c r="L348">
        <v>1241.48</v>
      </c>
      <c r="M348">
        <v>0</v>
      </c>
      <c r="O348" t="s">
        <v>34</v>
      </c>
    </row>
    <row r="349" spans="1:15">
      <c r="A349" t="s">
        <v>1493</v>
      </c>
      <c r="B349" s="2">
        <v>43696.187164351853</v>
      </c>
      <c r="C349" s="2">
        <v>43696.203599537039</v>
      </c>
      <c r="D349" t="s">
        <v>130</v>
      </c>
      <c r="E349" t="s">
        <v>1477</v>
      </c>
      <c r="F349" t="s">
        <v>1478</v>
      </c>
      <c r="G349" t="s">
        <v>1474</v>
      </c>
      <c r="H349" t="s">
        <v>1043</v>
      </c>
      <c r="I349">
        <v>698314001</v>
      </c>
      <c r="J349" t="s">
        <v>1190</v>
      </c>
      <c r="K349">
        <v>142.58000000000001</v>
      </c>
      <c r="L349">
        <v>4052.91</v>
      </c>
      <c r="M349">
        <v>3079.61</v>
      </c>
      <c r="N349">
        <v>389095005</v>
      </c>
      <c r="O349" t="s">
        <v>1191</v>
      </c>
    </row>
    <row r="350" spans="1:15">
      <c r="A350" t="s">
        <v>1494</v>
      </c>
      <c r="B350" s="2">
        <v>44056.203599537039</v>
      </c>
      <c r="C350" s="2">
        <v>44056.214016203703</v>
      </c>
      <c r="D350" t="s">
        <v>130</v>
      </c>
      <c r="E350" t="s">
        <v>1477</v>
      </c>
      <c r="F350" t="s">
        <v>1478</v>
      </c>
      <c r="G350" t="s">
        <v>1474</v>
      </c>
      <c r="H350" t="s">
        <v>1043</v>
      </c>
      <c r="I350">
        <v>698314001</v>
      </c>
      <c r="J350" t="s">
        <v>1190</v>
      </c>
      <c r="K350">
        <v>142.58000000000001</v>
      </c>
      <c r="L350">
        <v>142.58000000000001</v>
      </c>
      <c r="M350">
        <v>0</v>
      </c>
      <c r="N350">
        <v>389095005</v>
      </c>
      <c r="O350" t="s">
        <v>1191</v>
      </c>
    </row>
    <row r="351" spans="1:15">
      <c r="A351" t="s">
        <v>1495</v>
      </c>
      <c r="B351" s="2">
        <v>44059.036932870367</v>
      </c>
      <c r="C351" s="2">
        <v>44059.069212962961</v>
      </c>
      <c r="D351" t="s">
        <v>130</v>
      </c>
      <c r="E351" t="s">
        <v>1477</v>
      </c>
      <c r="F351" t="s">
        <v>1478</v>
      </c>
      <c r="G351" t="s">
        <v>1474</v>
      </c>
      <c r="H351" t="s">
        <v>1043</v>
      </c>
      <c r="I351">
        <v>308335008</v>
      </c>
      <c r="J351" t="s">
        <v>1194</v>
      </c>
      <c r="K351">
        <v>142.58000000000001</v>
      </c>
      <c r="L351">
        <v>15783.94</v>
      </c>
      <c r="M351">
        <v>11582.82</v>
      </c>
      <c r="N351">
        <v>389095005</v>
      </c>
      <c r="O351" t="s">
        <v>1191</v>
      </c>
    </row>
    <row r="352" spans="1:15">
      <c r="A352" t="s">
        <v>1496</v>
      </c>
      <c r="B352" s="2">
        <v>44109.139166666668</v>
      </c>
      <c r="C352" s="2">
        <v>44109.169629629629</v>
      </c>
      <c r="D352" t="s">
        <v>130</v>
      </c>
      <c r="E352" t="s">
        <v>1472</v>
      </c>
      <c r="F352" t="s">
        <v>1473</v>
      </c>
      <c r="G352" t="s">
        <v>1474</v>
      </c>
      <c r="H352" t="s">
        <v>1020</v>
      </c>
      <c r="I352">
        <v>162673000</v>
      </c>
      <c r="J352" t="s">
        <v>1021</v>
      </c>
      <c r="K352">
        <v>136.80000000000001</v>
      </c>
      <c r="L352">
        <v>778.78</v>
      </c>
      <c r="M352">
        <v>0</v>
      </c>
      <c r="O352" t="s">
        <v>34</v>
      </c>
    </row>
    <row r="353" spans="1:15">
      <c r="A353" t="s">
        <v>1497</v>
      </c>
      <c r="B353" s="2">
        <v>44123.139166666668</v>
      </c>
      <c r="C353" s="2">
        <v>44123.382847222223</v>
      </c>
      <c r="D353" t="s">
        <v>130</v>
      </c>
      <c r="E353" t="s">
        <v>1477</v>
      </c>
      <c r="F353" t="s">
        <v>1478</v>
      </c>
      <c r="G353" t="s">
        <v>1474</v>
      </c>
      <c r="H353" t="s">
        <v>1031</v>
      </c>
      <c r="I353">
        <v>185349003</v>
      </c>
      <c r="J353" t="s">
        <v>1038</v>
      </c>
      <c r="K353">
        <v>85.55</v>
      </c>
      <c r="L353">
        <v>4830.95</v>
      </c>
      <c r="M353">
        <v>3321.38</v>
      </c>
      <c r="N353">
        <v>66383009</v>
      </c>
      <c r="O353" t="s">
        <v>1209</v>
      </c>
    </row>
    <row r="354" spans="1:15">
      <c r="A354" t="s">
        <v>1498</v>
      </c>
      <c r="B354" s="2">
        <v>44424.139166666668</v>
      </c>
      <c r="C354" s="2">
        <v>44424.149583333332</v>
      </c>
      <c r="D354" t="s">
        <v>130</v>
      </c>
      <c r="E354" t="s">
        <v>1477</v>
      </c>
      <c r="F354" t="s">
        <v>1478</v>
      </c>
      <c r="G354" t="s">
        <v>1474</v>
      </c>
      <c r="H354" t="s">
        <v>1043</v>
      </c>
      <c r="I354">
        <v>33879002</v>
      </c>
      <c r="J354" t="s">
        <v>1044</v>
      </c>
      <c r="K354">
        <v>142.58000000000001</v>
      </c>
      <c r="L354">
        <v>278.58</v>
      </c>
      <c r="M354">
        <v>222.86</v>
      </c>
      <c r="O354" t="s">
        <v>34</v>
      </c>
    </row>
    <row r="355" spans="1:15">
      <c r="A355" t="s">
        <v>1499</v>
      </c>
      <c r="B355" s="2">
        <v>44445.139166666668</v>
      </c>
      <c r="C355" s="2">
        <v>44445.149583333332</v>
      </c>
      <c r="D355" t="s">
        <v>130</v>
      </c>
      <c r="E355" t="s">
        <v>1477</v>
      </c>
      <c r="F355" t="s">
        <v>1478</v>
      </c>
      <c r="G355" t="s">
        <v>1474</v>
      </c>
      <c r="H355" t="s">
        <v>1043</v>
      </c>
      <c r="I355">
        <v>33879002</v>
      </c>
      <c r="J355" t="s">
        <v>1044</v>
      </c>
      <c r="K355">
        <v>142.58000000000001</v>
      </c>
      <c r="L355">
        <v>278.58</v>
      </c>
      <c r="M355">
        <v>222.86</v>
      </c>
      <c r="O355" t="s">
        <v>34</v>
      </c>
    </row>
    <row r="356" spans="1:15">
      <c r="A356" t="s">
        <v>1500</v>
      </c>
      <c r="B356" s="2">
        <v>44464.430833333332</v>
      </c>
      <c r="C356" s="2">
        <v>44464.441250000003</v>
      </c>
      <c r="D356" t="s">
        <v>130</v>
      </c>
      <c r="E356" t="s">
        <v>1477</v>
      </c>
      <c r="F356" t="s">
        <v>1478</v>
      </c>
      <c r="G356" t="s">
        <v>1474</v>
      </c>
      <c r="H356" t="s">
        <v>1031</v>
      </c>
      <c r="I356">
        <v>185345009</v>
      </c>
      <c r="J356" t="s">
        <v>1032</v>
      </c>
      <c r="K356">
        <v>85.55</v>
      </c>
      <c r="L356">
        <v>948.35</v>
      </c>
      <c r="M356">
        <v>0</v>
      </c>
      <c r="N356">
        <v>43878008</v>
      </c>
      <c r="O356" t="s">
        <v>1217</v>
      </c>
    </row>
    <row r="357" spans="1:15">
      <c r="A357" t="s">
        <v>1501</v>
      </c>
      <c r="B357" s="2">
        <v>44501.139166666668</v>
      </c>
      <c r="C357" s="2">
        <v>44501.183182870373</v>
      </c>
      <c r="D357" t="s">
        <v>130</v>
      </c>
      <c r="E357" t="s">
        <v>1477</v>
      </c>
      <c r="F357" t="s">
        <v>1478</v>
      </c>
      <c r="G357" t="s">
        <v>1474</v>
      </c>
      <c r="H357" t="s">
        <v>1043</v>
      </c>
      <c r="I357">
        <v>308335008</v>
      </c>
      <c r="J357" t="s">
        <v>1194</v>
      </c>
      <c r="K357">
        <v>142.58000000000001</v>
      </c>
      <c r="L357">
        <v>7963.24</v>
      </c>
      <c r="M357">
        <v>5970.86</v>
      </c>
      <c r="N357">
        <v>389095005</v>
      </c>
      <c r="O357" t="s">
        <v>1191</v>
      </c>
    </row>
    <row r="358" spans="1:15">
      <c r="A358" t="s">
        <v>1502</v>
      </c>
      <c r="B358" s="2">
        <v>44508.097500000003</v>
      </c>
      <c r="C358" s="2">
        <v>44508.139074074075</v>
      </c>
      <c r="D358" t="s">
        <v>130</v>
      </c>
      <c r="E358" t="s">
        <v>1477</v>
      </c>
      <c r="F358" t="s">
        <v>1478</v>
      </c>
      <c r="G358" t="s">
        <v>1474</v>
      </c>
      <c r="H358" t="s">
        <v>1031</v>
      </c>
      <c r="I358">
        <v>185347001</v>
      </c>
      <c r="J358" t="s">
        <v>1124</v>
      </c>
      <c r="K358">
        <v>85.55</v>
      </c>
      <c r="L358">
        <v>1379.75</v>
      </c>
      <c r="M358">
        <v>1103.8</v>
      </c>
      <c r="N358">
        <v>37320007</v>
      </c>
      <c r="O358" t="s">
        <v>1125</v>
      </c>
    </row>
    <row r="359" spans="1:15">
      <c r="A359" t="s">
        <v>1503</v>
      </c>
      <c r="B359" s="2">
        <v>44522.139074074075</v>
      </c>
      <c r="C359" s="2">
        <v>44522.162488425929</v>
      </c>
      <c r="D359" t="s">
        <v>130</v>
      </c>
      <c r="E359" t="s">
        <v>1477</v>
      </c>
      <c r="F359" t="s">
        <v>1478</v>
      </c>
      <c r="G359" t="s">
        <v>1474</v>
      </c>
      <c r="H359" t="s">
        <v>1031</v>
      </c>
      <c r="I359">
        <v>390906007</v>
      </c>
      <c r="J359" t="s">
        <v>1255</v>
      </c>
      <c r="K359">
        <v>85.55</v>
      </c>
      <c r="L359">
        <v>516.95000000000005</v>
      </c>
      <c r="M359">
        <v>413.56</v>
      </c>
      <c r="N359">
        <v>37320007</v>
      </c>
      <c r="O359" t="s">
        <v>1125</v>
      </c>
    </row>
    <row r="360" spans="1:15">
      <c r="A360" t="s">
        <v>1504</v>
      </c>
      <c r="B360" s="2">
        <v>44779.069212962961</v>
      </c>
      <c r="C360" s="2">
        <v>44779.079629629632</v>
      </c>
      <c r="D360" t="s">
        <v>130</v>
      </c>
      <c r="E360" t="s">
        <v>1477</v>
      </c>
      <c r="F360" t="s">
        <v>1478</v>
      </c>
      <c r="G360" t="s">
        <v>1474</v>
      </c>
      <c r="H360" t="s">
        <v>1043</v>
      </c>
      <c r="I360">
        <v>698314001</v>
      </c>
      <c r="J360" t="s">
        <v>1190</v>
      </c>
      <c r="K360">
        <v>142.58000000000001</v>
      </c>
      <c r="L360">
        <v>142.58000000000001</v>
      </c>
      <c r="M360">
        <v>114.06</v>
      </c>
      <c r="N360">
        <v>389095005</v>
      </c>
      <c r="O360" t="s">
        <v>1191</v>
      </c>
    </row>
    <row r="361" spans="1:15">
      <c r="A361" t="s">
        <v>1505</v>
      </c>
      <c r="B361" s="2">
        <v>44816.139166666668</v>
      </c>
      <c r="C361" s="2">
        <v>44816.175659722219</v>
      </c>
      <c r="D361" t="s">
        <v>130</v>
      </c>
      <c r="E361" t="s">
        <v>1472</v>
      </c>
      <c r="F361" t="s">
        <v>1473</v>
      </c>
      <c r="G361" t="s">
        <v>1474</v>
      </c>
      <c r="H361" t="s">
        <v>1020</v>
      </c>
      <c r="I361">
        <v>162673000</v>
      </c>
      <c r="J361" t="s">
        <v>1021</v>
      </c>
      <c r="K361">
        <v>136.80000000000001</v>
      </c>
      <c r="L361">
        <v>996.16</v>
      </c>
      <c r="M361">
        <v>0</v>
      </c>
      <c r="O361" t="s">
        <v>34</v>
      </c>
    </row>
    <row r="362" spans="1:15">
      <c r="A362" t="s">
        <v>1506</v>
      </c>
      <c r="B362" s="2">
        <v>44823.139166666668</v>
      </c>
      <c r="C362" s="2">
        <v>44823.158067129632</v>
      </c>
      <c r="D362" t="s">
        <v>130</v>
      </c>
      <c r="E362" t="s">
        <v>1477</v>
      </c>
      <c r="F362" t="s">
        <v>1478</v>
      </c>
      <c r="G362" t="s">
        <v>1474</v>
      </c>
      <c r="H362" t="s">
        <v>1031</v>
      </c>
      <c r="I362">
        <v>185349003</v>
      </c>
      <c r="J362" t="s">
        <v>1038</v>
      </c>
      <c r="K362">
        <v>85.55</v>
      </c>
      <c r="L362">
        <v>8634.99</v>
      </c>
      <c r="M362">
        <v>6538.52</v>
      </c>
      <c r="N362">
        <v>275978004</v>
      </c>
      <c r="O362" t="s">
        <v>1449</v>
      </c>
    </row>
    <row r="363" spans="1:15">
      <c r="A363" t="s">
        <v>1507</v>
      </c>
      <c r="B363" s="2">
        <v>45152.139166666668</v>
      </c>
      <c r="C363" s="2">
        <v>45152.159710648149</v>
      </c>
      <c r="D363" t="s">
        <v>130</v>
      </c>
      <c r="E363" t="s">
        <v>1477</v>
      </c>
      <c r="F363" t="s">
        <v>1478</v>
      </c>
      <c r="G363" t="s">
        <v>1474</v>
      </c>
      <c r="H363" t="s">
        <v>1043</v>
      </c>
      <c r="I363">
        <v>308335008</v>
      </c>
      <c r="J363" t="s">
        <v>1194</v>
      </c>
      <c r="K363">
        <v>142.58000000000001</v>
      </c>
      <c r="L363">
        <v>4052.91</v>
      </c>
      <c r="M363">
        <v>3242.32</v>
      </c>
      <c r="N363">
        <v>389095005</v>
      </c>
      <c r="O363" t="s">
        <v>1191</v>
      </c>
    </row>
    <row r="364" spans="1:15">
      <c r="A364" t="s">
        <v>1508</v>
      </c>
      <c r="B364" s="2">
        <v>45187.139166666668</v>
      </c>
      <c r="C364" s="2">
        <v>45187.172060185185</v>
      </c>
      <c r="D364" t="s">
        <v>130</v>
      </c>
      <c r="E364" t="s">
        <v>1472</v>
      </c>
      <c r="F364" t="s">
        <v>1473</v>
      </c>
      <c r="G364" t="s">
        <v>1474</v>
      </c>
      <c r="H364" t="s">
        <v>1020</v>
      </c>
      <c r="I364">
        <v>162673000</v>
      </c>
      <c r="J364" t="s">
        <v>1021</v>
      </c>
      <c r="K364">
        <v>136.80000000000001</v>
      </c>
      <c r="L364">
        <v>1380.34</v>
      </c>
      <c r="M364">
        <v>0</v>
      </c>
      <c r="O364" t="s">
        <v>34</v>
      </c>
    </row>
    <row r="365" spans="1:15">
      <c r="A365" t="s">
        <v>1509</v>
      </c>
      <c r="B365" s="2">
        <v>45558.139166666668</v>
      </c>
      <c r="C365" s="2">
        <v>45558.168113425927</v>
      </c>
      <c r="D365" t="s">
        <v>130</v>
      </c>
      <c r="E365" t="s">
        <v>1472</v>
      </c>
      <c r="F365" t="s">
        <v>1473</v>
      </c>
      <c r="G365" t="s">
        <v>1474</v>
      </c>
      <c r="H365" t="s">
        <v>1020</v>
      </c>
      <c r="I365">
        <v>162673000</v>
      </c>
      <c r="J365" t="s">
        <v>1021</v>
      </c>
      <c r="K365">
        <v>136.80000000000001</v>
      </c>
      <c r="L365">
        <v>1655.18</v>
      </c>
      <c r="M365">
        <v>157.74</v>
      </c>
      <c r="O365" t="s">
        <v>34</v>
      </c>
    </row>
    <row r="366" spans="1:15">
      <c r="A366" t="s">
        <v>1510</v>
      </c>
      <c r="B366" s="2">
        <v>45572.139166666668</v>
      </c>
      <c r="C366" s="2">
        <v>45572.276331018518</v>
      </c>
      <c r="D366" t="s">
        <v>130</v>
      </c>
      <c r="E366" t="s">
        <v>1477</v>
      </c>
      <c r="F366" t="s">
        <v>1478</v>
      </c>
      <c r="G366" t="s">
        <v>1474</v>
      </c>
      <c r="H366" t="s">
        <v>1031</v>
      </c>
      <c r="I366">
        <v>185349003</v>
      </c>
      <c r="J366" t="s">
        <v>1038</v>
      </c>
      <c r="K366">
        <v>85.55</v>
      </c>
      <c r="L366">
        <v>3536.75</v>
      </c>
      <c r="M366">
        <v>2829.4</v>
      </c>
      <c r="N366">
        <v>66383009</v>
      </c>
      <c r="O366" t="s">
        <v>1209</v>
      </c>
    </row>
    <row r="367" spans="1:15">
      <c r="A367" t="s">
        <v>1511</v>
      </c>
      <c r="B367" s="2">
        <v>45929.139166666668</v>
      </c>
      <c r="C367" s="2">
        <v>45929.175000000003</v>
      </c>
      <c r="D367" t="s">
        <v>130</v>
      </c>
      <c r="E367" t="s">
        <v>1472</v>
      </c>
      <c r="F367" t="s">
        <v>1473</v>
      </c>
      <c r="G367" t="s">
        <v>1474</v>
      </c>
      <c r="H367" t="s">
        <v>1020</v>
      </c>
      <c r="I367">
        <v>162673000</v>
      </c>
      <c r="J367" t="s">
        <v>1021</v>
      </c>
      <c r="K367">
        <v>136.80000000000001</v>
      </c>
      <c r="L367">
        <v>1075.8599999999999</v>
      </c>
      <c r="M367">
        <v>0</v>
      </c>
      <c r="O367" t="s">
        <v>34</v>
      </c>
    </row>
    <row r="368" spans="1:15">
      <c r="A368" t="s">
        <v>1512</v>
      </c>
      <c r="B368" s="2">
        <v>45943.139166666668</v>
      </c>
      <c r="C368" s="2">
        <v>45943.272673611114</v>
      </c>
      <c r="D368" t="s">
        <v>130</v>
      </c>
      <c r="E368" t="s">
        <v>1477</v>
      </c>
      <c r="F368" t="s">
        <v>1478</v>
      </c>
      <c r="G368" t="s">
        <v>1474</v>
      </c>
      <c r="H368" t="s">
        <v>1031</v>
      </c>
      <c r="I368">
        <v>185349003</v>
      </c>
      <c r="J368" t="s">
        <v>1038</v>
      </c>
      <c r="K368">
        <v>85.55</v>
      </c>
      <c r="L368">
        <v>3105.35</v>
      </c>
      <c r="M368">
        <v>2282.52</v>
      </c>
      <c r="N368">
        <v>103697008</v>
      </c>
      <c r="O368" t="s">
        <v>1039</v>
      </c>
    </row>
    <row r="369" spans="1:15">
      <c r="A369" t="s">
        <v>1513</v>
      </c>
      <c r="B369" s="2">
        <v>42176.174953703703</v>
      </c>
      <c r="C369" s="2">
        <v>42176.188449074078</v>
      </c>
      <c r="D369" t="s">
        <v>141</v>
      </c>
      <c r="E369" t="s">
        <v>1514</v>
      </c>
      <c r="F369" t="s">
        <v>1515</v>
      </c>
      <c r="G369" t="s">
        <v>1325</v>
      </c>
      <c r="H369" t="s">
        <v>1020</v>
      </c>
      <c r="I369">
        <v>410620009</v>
      </c>
      <c r="J369" t="s">
        <v>1054</v>
      </c>
      <c r="K369">
        <v>136.80000000000001</v>
      </c>
      <c r="L369">
        <v>704.2</v>
      </c>
      <c r="M369">
        <v>0</v>
      </c>
      <c r="O369" t="s">
        <v>34</v>
      </c>
    </row>
    <row r="370" spans="1:15">
      <c r="A370" t="s">
        <v>1516</v>
      </c>
      <c r="B370" s="2">
        <v>42864.174953703703</v>
      </c>
      <c r="C370" s="2">
        <v>42864.185370370367</v>
      </c>
      <c r="D370" t="s">
        <v>141</v>
      </c>
      <c r="E370" t="s">
        <v>1517</v>
      </c>
      <c r="F370" t="s">
        <v>1518</v>
      </c>
      <c r="G370" t="s">
        <v>1325</v>
      </c>
      <c r="H370" t="s">
        <v>1043</v>
      </c>
      <c r="I370">
        <v>698314001</v>
      </c>
      <c r="J370" t="s">
        <v>1190</v>
      </c>
      <c r="K370">
        <v>142.58000000000001</v>
      </c>
      <c r="L370">
        <v>142.58000000000001</v>
      </c>
      <c r="M370">
        <v>0</v>
      </c>
      <c r="N370">
        <v>389095005</v>
      </c>
      <c r="O370" t="s">
        <v>1191</v>
      </c>
    </row>
    <row r="371" spans="1:15">
      <c r="A371" t="s">
        <v>1519</v>
      </c>
      <c r="B371" s="2">
        <v>42918.174953703703</v>
      </c>
      <c r="C371" s="2">
        <v>42918.190393518518</v>
      </c>
      <c r="D371" t="s">
        <v>141</v>
      </c>
      <c r="E371" t="s">
        <v>1514</v>
      </c>
      <c r="F371" t="s">
        <v>1515</v>
      </c>
      <c r="G371" t="s">
        <v>1325</v>
      </c>
      <c r="H371" t="s">
        <v>1020</v>
      </c>
      <c r="I371">
        <v>410620009</v>
      </c>
      <c r="J371" t="s">
        <v>1054</v>
      </c>
      <c r="K371">
        <v>136.80000000000001</v>
      </c>
      <c r="L371">
        <v>1130.48</v>
      </c>
      <c r="M371">
        <v>0</v>
      </c>
      <c r="O371" t="s">
        <v>34</v>
      </c>
    </row>
    <row r="372" spans="1:15">
      <c r="A372" t="s">
        <v>1520</v>
      </c>
      <c r="B372" s="2">
        <v>42932.174953703703</v>
      </c>
      <c r="C372" s="2">
        <v>42932.437256944446</v>
      </c>
      <c r="D372" t="s">
        <v>141</v>
      </c>
      <c r="E372" t="s">
        <v>1517</v>
      </c>
      <c r="F372" t="s">
        <v>1518</v>
      </c>
      <c r="G372" t="s">
        <v>1325</v>
      </c>
      <c r="H372" t="s">
        <v>1031</v>
      </c>
      <c r="I372">
        <v>185349003</v>
      </c>
      <c r="J372" t="s">
        <v>1038</v>
      </c>
      <c r="K372">
        <v>85.55</v>
      </c>
      <c r="L372">
        <v>5262.35</v>
      </c>
      <c r="M372">
        <v>257.26</v>
      </c>
      <c r="N372">
        <v>66383009</v>
      </c>
      <c r="O372" t="s">
        <v>1209</v>
      </c>
    </row>
    <row r="373" spans="1:15">
      <c r="A373" t="s">
        <v>1521</v>
      </c>
      <c r="B373" s="2">
        <v>43014.383287037039</v>
      </c>
      <c r="C373" s="2">
        <v>43014.393703703703</v>
      </c>
      <c r="D373" t="s">
        <v>141</v>
      </c>
      <c r="E373" t="s">
        <v>1517</v>
      </c>
      <c r="F373" t="s">
        <v>1518</v>
      </c>
      <c r="G373" t="s">
        <v>1325</v>
      </c>
      <c r="H373" t="s">
        <v>1031</v>
      </c>
      <c r="I373">
        <v>185345009</v>
      </c>
      <c r="J373" t="s">
        <v>1032</v>
      </c>
      <c r="K373">
        <v>85.55</v>
      </c>
      <c r="L373">
        <v>85.55</v>
      </c>
      <c r="M373">
        <v>51.33</v>
      </c>
      <c r="N373">
        <v>195662009</v>
      </c>
      <c r="O373" t="s">
        <v>1130</v>
      </c>
    </row>
    <row r="374" spans="1:15">
      <c r="A374" t="s">
        <v>1522</v>
      </c>
      <c r="B374" s="2">
        <v>43289.174953703703</v>
      </c>
      <c r="C374" s="2">
        <v>43289.185370370367</v>
      </c>
      <c r="D374" t="s">
        <v>141</v>
      </c>
      <c r="E374" t="s">
        <v>1514</v>
      </c>
      <c r="F374" t="s">
        <v>1515</v>
      </c>
      <c r="G374" t="s">
        <v>1325</v>
      </c>
      <c r="H374" t="s">
        <v>1020</v>
      </c>
      <c r="I374">
        <v>410620009</v>
      </c>
      <c r="J374" t="s">
        <v>1054</v>
      </c>
      <c r="K374">
        <v>136.80000000000001</v>
      </c>
      <c r="L374">
        <v>564.6</v>
      </c>
      <c r="M374">
        <v>0</v>
      </c>
      <c r="O374" t="s">
        <v>34</v>
      </c>
    </row>
    <row r="375" spans="1:15">
      <c r="A375" t="s">
        <v>1523</v>
      </c>
      <c r="B375" s="2">
        <v>43296.174953703703</v>
      </c>
      <c r="C375" s="2">
        <v>43296.185370370367</v>
      </c>
      <c r="D375" t="s">
        <v>141</v>
      </c>
      <c r="E375" t="s">
        <v>1517</v>
      </c>
      <c r="F375" t="s">
        <v>1518</v>
      </c>
      <c r="G375" t="s">
        <v>1325</v>
      </c>
      <c r="H375" t="s">
        <v>1031</v>
      </c>
      <c r="I375">
        <v>424441002</v>
      </c>
      <c r="J375" t="s">
        <v>1059</v>
      </c>
      <c r="K375">
        <v>142.58000000000001</v>
      </c>
      <c r="L375">
        <v>8323.5300000000007</v>
      </c>
      <c r="M375">
        <v>1676.48</v>
      </c>
      <c r="N375">
        <v>72892002</v>
      </c>
      <c r="O375" t="s">
        <v>1060</v>
      </c>
    </row>
    <row r="376" spans="1:15">
      <c r="A376" t="s">
        <v>1524</v>
      </c>
      <c r="B376" s="2">
        <v>43312.174953703703</v>
      </c>
      <c r="C376" s="2">
        <v>43312.185370370367</v>
      </c>
      <c r="D376" t="s">
        <v>141</v>
      </c>
      <c r="E376" t="s">
        <v>1517</v>
      </c>
      <c r="F376" t="s">
        <v>1518</v>
      </c>
      <c r="G376" t="s">
        <v>1325</v>
      </c>
      <c r="H376" t="s">
        <v>1031</v>
      </c>
      <c r="I376">
        <v>424619006</v>
      </c>
      <c r="J376" t="s">
        <v>1062</v>
      </c>
      <c r="K376">
        <v>142.58000000000001</v>
      </c>
      <c r="L376">
        <v>1005.38</v>
      </c>
      <c r="M376">
        <v>603.23</v>
      </c>
      <c r="N376">
        <v>35999006</v>
      </c>
      <c r="O376" t="s">
        <v>1116</v>
      </c>
    </row>
    <row r="377" spans="1:15">
      <c r="A377" t="s">
        <v>1525</v>
      </c>
      <c r="B377" s="2">
        <v>43408.133287037039</v>
      </c>
      <c r="C377" s="2">
        <v>43408.143703703703</v>
      </c>
      <c r="D377" t="s">
        <v>141</v>
      </c>
      <c r="E377" t="s">
        <v>1517</v>
      </c>
      <c r="F377" t="s">
        <v>1518</v>
      </c>
      <c r="G377" t="s">
        <v>1325</v>
      </c>
      <c r="H377" t="s">
        <v>1031</v>
      </c>
      <c r="I377">
        <v>424441002</v>
      </c>
      <c r="J377" t="s">
        <v>1059</v>
      </c>
      <c r="K377">
        <v>142.58000000000001</v>
      </c>
      <c r="L377">
        <v>49296.66</v>
      </c>
      <c r="M377">
        <v>29577.99</v>
      </c>
      <c r="N377">
        <v>72892002</v>
      </c>
      <c r="O377" t="s">
        <v>1060</v>
      </c>
    </row>
    <row r="378" spans="1:15">
      <c r="A378" t="s">
        <v>1526</v>
      </c>
      <c r="B378" s="2">
        <v>43436.133287037039</v>
      </c>
      <c r="C378" s="2">
        <v>43436.143703703703</v>
      </c>
      <c r="D378" t="s">
        <v>141</v>
      </c>
      <c r="E378" t="s">
        <v>1517</v>
      </c>
      <c r="F378" t="s">
        <v>1518</v>
      </c>
      <c r="G378" t="s">
        <v>1325</v>
      </c>
      <c r="H378" t="s">
        <v>1031</v>
      </c>
      <c r="I378">
        <v>424619006</v>
      </c>
      <c r="J378" t="s">
        <v>1062</v>
      </c>
      <c r="K378">
        <v>142.58000000000001</v>
      </c>
      <c r="L378">
        <v>11074.15</v>
      </c>
      <c r="M378">
        <v>11074.15</v>
      </c>
      <c r="N378">
        <v>72892002</v>
      </c>
      <c r="O378" t="s">
        <v>1060</v>
      </c>
    </row>
    <row r="379" spans="1:15">
      <c r="A379" t="s">
        <v>1527</v>
      </c>
      <c r="B379" s="2">
        <v>43442.133287037039</v>
      </c>
      <c r="C379" s="2">
        <v>43442.193194444444</v>
      </c>
      <c r="D379" t="s">
        <v>141</v>
      </c>
      <c r="E379" t="s">
        <v>1517</v>
      </c>
      <c r="F379" t="s">
        <v>1518</v>
      </c>
      <c r="G379" t="s">
        <v>1325</v>
      </c>
      <c r="H379" t="s">
        <v>1031</v>
      </c>
      <c r="I379">
        <v>185345009</v>
      </c>
      <c r="J379" t="s">
        <v>1032</v>
      </c>
      <c r="K379">
        <v>85.55</v>
      </c>
      <c r="L379">
        <v>3179.93</v>
      </c>
      <c r="M379">
        <v>3179.93</v>
      </c>
      <c r="N379">
        <v>307426000</v>
      </c>
      <c r="O379" t="s">
        <v>1097</v>
      </c>
    </row>
    <row r="380" spans="1:15">
      <c r="A380" t="s">
        <v>1528</v>
      </c>
      <c r="B380" s="2">
        <v>43442.609861111108</v>
      </c>
      <c r="C380" s="2">
        <v>43442.649965277778</v>
      </c>
      <c r="D380" t="s">
        <v>141</v>
      </c>
      <c r="E380" t="s">
        <v>1517</v>
      </c>
      <c r="F380" t="s">
        <v>1518</v>
      </c>
      <c r="G380" t="s">
        <v>1325</v>
      </c>
      <c r="H380" t="s">
        <v>1031</v>
      </c>
      <c r="I380">
        <v>185345009</v>
      </c>
      <c r="J380" t="s">
        <v>1032</v>
      </c>
      <c r="K380">
        <v>85.55</v>
      </c>
      <c r="L380">
        <v>1811.15</v>
      </c>
      <c r="M380">
        <v>1811.15</v>
      </c>
      <c r="N380">
        <v>307426000</v>
      </c>
      <c r="O380" t="s">
        <v>1097</v>
      </c>
    </row>
    <row r="381" spans="1:15">
      <c r="A381" t="s">
        <v>1529</v>
      </c>
      <c r="B381" s="2">
        <v>43443.441631944443</v>
      </c>
      <c r="C381" s="2">
        <v>43443.518831018519</v>
      </c>
      <c r="D381" t="s">
        <v>141</v>
      </c>
      <c r="E381" t="s">
        <v>1530</v>
      </c>
      <c r="F381" t="s">
        <v>1531</v>
      </c>
      <c r="G381" t="s">
        <v>1325</v>
      </c>
      <c r="H381" t="s">
        <v>1076</v>
      </c>
      <c r="I381">
        <v>185347001</v>
      </c>
      <c r="J381" t="s">
        <v>1124</v>
      </c>
      <c r="K381">
        <v>87.71</v>
      </c>
      <c r="L381">
        <v>3613.49</v>
      </c>
      <c r="M381">
        <v>3613.49</v>
      </c>
      <c r="O381" t="s">
        <v>34</v>
      </c>
    </row>
    <row r="382" spans="1:15">
      <c r="A382" t="s">
        <v>1532</v>
      </c>
      <c r="B382" s="2">
        <v>43464.133287037039</v>
      </c>
      <c r="C382" s="2">
        <v>43464.143703703703</v>
      </c>
      <c r="D382" t="s">
        <v>141</v>
      </c>
      <c r="E382" t="s">
        <v>1517</v>
      </c>
      <c r="F382" t="s">
        <v>1518</v>
      </c>
      <c r="G382" t="s">
        <v>1325</v>
      </c>
      <c r="H382" t="s">
        <v>1031</v>
      </c>
      <c r="I382">
        <v>424619006</v>
      </c>
      <c r="J382" t="s">
        <v>1062</v>
      </c>
      <c r="K382">
        <v>142.58000000000001</v>
      </c>
      <c r="L382">
        <v>7609.32</v>
      </c>
      <c r="M382">
        <v>7609.32</v>
      </c>
      <c r="N382">
        <v>72892002</v>
      </c>
      <c r="O382" t="s">
        <v>1060</v>
      </c>
    </row>
    <row r="383" spans="1:15">
      <c r="A383" t="s">
        <v>1533</v>
      </c>
      <c r="B383" s="2">
        <v>43492.133287037039</v>
      </c>
      <c r="C383" s="2">
        <v>43492.143703703703</v>
      </c>
      <c r="D383" t="s">
        <v>141</v>
      </c>
      <c r="E383" t="s">
        <v>1517</v>
      </c>
      <c r="F383" t="s">
        <v>1518</v>
      </c>
      <c r="G383" t="s">
        <v>1325</v>
      </c>
      <c r="H383" t="s">
        <v>1031</v>
      </c>
      <c r="I383">
        <v>424619006</v>
      </c>
      <c r="J383" t="s">
        <v>1062</v>
      </c>
      <c r="K383">
        <v>142.58000000000001</v>
      </c>
      <c r="L383">
        <v>8974.77</v>
      </c>
      <c r="M383">
        <v>8974.77</v>
      </c>
      <c r="N383">
        <v>72892002</v>
      </c>
      <c r="O383" t="s">
        <v>1060</v>
      </c>
    </row>
    <row r="384" spans="1:15">
      <c r="A384" t="s">
        <v>1534</v>
      </c>
      <c r="B384" s="2">
        <v>43520.133287037039</v>
      </c>
      <c r="C384" s="2">
        <v>43520.143703703703</v>
      </c>
      <c r="D384" t="s">
        <v>141</v>
      </c>
      <c r="E384" t="s">
        <v>1517</v>
      </c>
      <c r="F384" t="s">
        <v>1518</v>
      </c>
      <c r="G384" t="s">
        <v>1325</v>
      </c>
      <c r="H384" t="s">
        <v>1031</v>
      </c>
      <c r="I384">
        <v>424619006</v>
      </c>
      <c r="J384" t="s">
        <v>1062</v>
      </c>
      <c r="K384">
        <v>142.58000000000001</v>
      </c>
      <c r="L384">
        <v>9658.41</v>
      </c>
      <c r="M384">
        <v>9658.41</v>
      </c>
      <c r="N384">
        <v>72892002</v>
      </c>
      <c r="O384" t="s">
        <v>1060</v>
      </c>
    </row>
    <row r="385" spans="1:15">
      <c r="A385" t="s">
        <v>1535</v>
      </c>
      <c r="B385" s="2">
        <v>43548.174953703703</v>
      </c>
      <c r="C385" s="2">
        <v>43548.185370370367</v>
      </c>
      <c r="D385" t="s">
        <v>141</v>
      </c>
      <c r="E385" t="s">
        <v>1517</v>
      </c>
      <c r="F385" t="s">
        <v>1518</v>
      </c>
      <c r="G385" t="s">
        <v>1325</v>
      </c>
      <c r="H385" t="s">
        <v>1031</v>
      </c>
      <c r="I385">
        <v>424619006</v>
      </c>
      <c r="J385" t="s">
        <v>1062</v>
      </c>
      <c r="K385">
        <v>142.58000000000001</v>
      </c>
      <c r="L385">
        <v>10223.049999999999</v>
      </c>
      <c r="M385">
        <v>10223.049999999999</v>
      </c>
      <c r="N385">
        <v>72892002</v>
      </c>
      <c r="O385" t="s">
        <v>1060</v>
      </c>
    </row>
    <row r="386" spans="1:15">
      <c r="A386" t="s">
        <v>1536</v>
      </c>
      <c r="B386" s="2">
        <v>43576.174953703703</v>
      </c>
      <c r="C386" s="2">
        <v>43576.185370370367</v>
      </c>
      <c r="D386" t="s">
        <v>141</v>
      </c>
      <c r="E386" t="s">
        <v>1517</v>
      </c>
      <c r="F386" t="s">
        <v>1518</v>
      </c>
      <c r="G386" t="s">
        <v>1325</v>
      </c>
      <c r="H386" t="s">
        <v>1031</v>
      </c>
      <c r="I386">
        <v>424619006</v>
      </c>
      <c r="J386" t="s">
        <v>1062</v>
      </c>
      <c r="K386">
        <v>142.58000000000001</v>
      </c>
      <c r="L386">
        <v>4665.96</v>
      </c>
      <c r="M386">
        <v>4665.96</v>
      </c>
      <c r="N386">
        <v>72892002</v>
      </c>
      <c r="O386" t="s">
        <v>1060</v>
      </c>
    </row>
    <row r="387" spans="1:15">
      <c r="A387" t="s">
        <v>1537</v>
      </c>
      <c r="B387" s="2">
        <v>43604.174953703703</v>
      </c>
      <c r="C387" s="2">
        <v>43604.185370370367</v>
      </c>
      <c r="D387" t="s">
        <v>141</v>
      </c>
      <c r="E387" t="s">
        <v>1517</v>
      </c>
      <c r="F387" t="s">
        <v>1518</v>
      </c>
      <c r="G387" t="s">
        <v>1325</v>
      </c>
      <c r="H387" t="s">
        <v>1031</v>
      </c>
      <c r="I387">
        <v>424619006</v>
      </c>
      <c r="J387" t="s">
        <v>1062</v>
      </c>
      <c r="K387">
        <v>142.58000000000001</v>
      </c>
      <c r="L387">
        <v>8540.0499999999993</v>
      </c>
      <c r="M387">
        <v>8540.0499999999993</v>
      </c>
      <c r="N387">
        <v>72892002</v>
      </c>
      <c r="O387" t="s">
        <v>1060</v>
      </c>
    </row>
    <row r="388" spans="1:15">
      <c r="A388" t="s">
        <v>1538</v>
      </c>
      <c r="B388" s="2">
        <v>43618.174953703703</v>
      </c>
      <c r="C388" s="2">
        <v>43618.185370370367</v>
      </c>
      <c r="D388" t="s">
        <v>141</v>
      </c>
      <c r="E388" t="s">
        <v>1517</v>
      </c>
      <c r="F388" t="s">
        <v>1518</v>
      </c>
      <c r="G388" t="s">
        <v>1325</v>
      </c>
      <c r="H388" t="s">
        <v>1031</v>
      </c>
      <c r="I388">
        <v>424619006</v>
      </c>
      <c r="J388" t="s">
        <v>1062</v>
      </c>
      <c r="K388">
        <v>142.58000000000001</v>
      </c>
      <c r="L388">
        <v>6269.27</v>
      </c>
      <c r="M388">
        <v>105.16</v>
      </c>
      <c r="N388">
        <v>72892002</v>
      </c>
      <c r="O388" t="s">
        <v>1060</v>
      </c>
    </row>
    <row r="389" spans="1:15">
      <c r="A389" t="s">
        <v>1539</v>
      </c>
      <c r="B389" s="2">
        <v>43625.174953703703</v>
      </c>
      <c r="C389" s="2">
        <v>43625.185370370367</v>
      </c>
      <c r="D389" t="s">
        <v>141</v>
      </c>
      <c r="E389" t="s">
        <v>1517</v>
      </c>
      <c r="F389" t="s">
        <v>1518</v>
      </c>
      <c r="G389" t="s">
        <v>1325</v>
      </c>
      <c r="H389" t="s">
        <v>1031</v>
      </c>
      <c r="I389">
        <v>424619006</v>
      </c>
      <c r="J389" t="s">
        <v>1062</v>
      </c>
      <c r="K389">
        <v>142.58000000000001</v>
      </c>
      <c r="L389">
        <v>7549.49</v>
      </c>
      <c r="M389">
        <v>4529.6899999999996</v>
      </c>
      <c r="N389">
        <v>72892002</v>
      </c>
      <c r="O389" t="s">
        <v>1060</v>
      </c>
    </row>
    <row r="390" spans="1:15">
      <c r="A390" t="s">
        <v>1540</v>
      </c>
      <c r="B390" s="2">
        <v>43632.174953703703</v>
      </c>
      <c r="C390" s="2">
        <v>43632.216620370367</v>
      </c>
      <c r="D390" t="s">
        <v>141</v>
      </c>
      <c r="E390" t="s">
        <v>1530</v>
      </c>
      <c r="F390" t="s">
        <v>1531</v>
      </c>
      <c r="G390" t="s">
        <v>1325</v>
      </c>
      <c r="H390" t="s">
        <v>1076</v>
      </c>
      <c r="I390">
        <v>183460006</v>
      </c>
      <c r="J390" t="s">
        <v>1077</v>
      </c>
      <c r="K390">
        <v>146.18</v>
      </c>
      <c r="L390">
        <v>5687.19</v>
      </c>
      <c r="M390">
        <v>5687.19</v>
      </c>
      <c r="N390">
        <v>72892002</v>
      </c>
      <c r="O390" t="s">
        <v>1060</v>
      </c>
    </row>
    <row r="391" spans="1:15">
      <c r="A391" t="s">
        <v>1541</v>
      </c>
      <c r="B391" s="2">
        <v>43641.174953703703</v>
      </c>
      <c r="C391" s="2">
        <v>43641.185370370367</v>
      </c>
      <c r="D391" t="s">
        <v>141</v>
      </c>
      <c r="E391" t="s">
        <v>1517</v>
      </c>
      <c r="F391" t="s">
        <v>1518</v>
      </c>
      <c r="G391" t="s">
        <v>1325</v>
      </c>
      <c r="H391" t="s">
        <v>1043</v>
      </c>
      <c r="I391">
        <v>185347001</v>
      </c>
      <c r="J391" t="s">
        <v>1124</v>
      </c>
      <c r="K391">
        <v>85.55</v>
      </c>
      <c r="L391">
        <v>85.55</v>
      </c>
      <c r="M391">
        <v>85.55</v>
      </c>
      <c r="N391">
        <v>82423001</v>
      </c>
      <c r="O391" t="s">
        <v>1542</v>
      </c>
    </row>
    <row r="392" spans="1:15">
      <c r="A392" t="s">
        <v>1543</v>
      </c>
      <c r="B392" s="2">
        <v>43660.174953703703</v>
      </c>
      <c r="C392" s="2">
        <v>43660.213472222225</v>
      </c>
      <c r="D392" t="s">
        <v>141</v>
      </c>
      <c r="E392" t="s">
        <v>1514</v>
      </c>
      <c r="F392" t="s">
        <v>1515</v>
      </c>
      <c r="G392" t="s">
        <v>1325</v>
      </c>
      <c r="H392" t="s">
        <v>1020</v>
      </c>
      <c r="I392">
        <v>162673000</v>
      </c>
      <c r="J392" t="s">
        <v>1021</v>
      </c>
      <c r="K392">
        <v>136.80000000000001</v>
      </c>
      <c r="L392">
        <v>1567</v>
      </c>
      <c r="M392">
        <v>1567</v>
      </c>
      <c r="O392" t="s">
        <v>34</v>
      </c>
    </row>
    <row r="393" spans="1:15">
      <c r="A393" t="s">
        <v>1544</v>
      </c>
      <c r="B393" s="2">
        <v>43674.174953703703</v>
      </c>
      <c r="C393" s="2">
        <v>43674.329074074078</v>
      </c>
      <c r="D393" t="s">
        <v>141</v>
      </c>
      <c r="E393" t="s">
        <v>1517</v>
      </c>
      <c r="F393" t="s">
        <v>1518</v>
      </c>
      <c r="G393" t="s">
        <v>1325</v>
      </c>
      <c r="H393" t="s">
        <v>1031</v>
      </c>
      <c r="I393">
        <v>185349003</v>
      </c>
      <c r="J393" t="s">
        <v>1038</v>
      </c>
      <c r="K393">
        <v>85.55</v>
      </c>
      <c r="L393">
        <v>3968.15</v>
      </c>
      <c r="M393">
        <v>3968.15</v>
      </c>
      <c r="N393">
        <v>103697008</v>
      </c>
      <c r="O393" t="s">
        <v>1039</v>
      </c>
    </row>
    <row r="394" spans="1:15">
      <c r="A394" t="s">
        <v>1545</v>
      </c>
      <c r="B394" s="2">
        <v>43681.174953703703</v>
      </c>
      <c r="C394" s="2">
        <v>43681.185370370367</v>
      </c>
      <c r="D394" t="s">
        <v>141</v>
      </c>
      <c r="E394" t="s">
        <v>1517</v>
      </c>
      <c r="F394" t="s">
        <v>1518</v>
      </c>
      <c r="G394" t="s">
        <v>1325</v>
      </c>
      <c r="H394" t="s">
        <v>1031</v>
      </c>
      <c r="I394">
        <v>169762003</v>
      </c>
      <c r="J394" t="s">
        <v>1079</v>
      </c>
      <c r="K394">
        <v>142.58000000000001</v>
      </c>
      <c r="L394">
        <v>1005.38</v>
      </c>
      <c r="M394">
        <v>1005.38</v>
      </c>
      <c r="O394" t="s">
        <v>34</v>
      </c>
    </row>
    <row r="395" spans="1:15">
      <c r="A395" t="s">
        <v>1546</v>
      </c>
      <c r="B395" s="2">
        <v>43683.966620370367</v>
      </c>
      <c r="C395" s="2">
        <v>43683.977037037039</v>
      </c>
      <c r="D395" t="s">
        <v>141</v>
      </c>
      <c r="E395" t="s">
        <v>1517</v>
      </c>
      <c r="F395" t="s">
        <v>1518</v>
      </c>
      <c r="G395" t="s">
        <v>1325</v>
      </c>
      <c r="H395" t="s">
        <v>1031</v>
      </c>
      <c r="I395">
        <v>390906007</v>
      </c>
      <c r="J395" t="s">
        <v>1255</v>
      </c>
      <c r="K395">
        <v>85.55</v>
      </c>
      <c r="L395">
        <v>85.55</v>
      </c>
      <c r="M395">
        <v>85.55</v>
      </c>
      <c r="N395">
        <v>82423001</v>
      </c>
      <c r="O395" t="s">
        <v>1542</v>
      </c>
    </row>
    <row r="396" spans="1:15">
      <c r="A396" t="s">
        <v>1547</v>
      </c>
      <c r="B396" s="2">
        <v>44031.174953703703</v>
      </c>
      <c r="C396" s="2">
        <v>44031.201504629629</v>
      </c>
      <c r="D396" t="s">
        <v>141</v>
      </c>
      <c r="E396" t="s">
        <v>1514</v>
      </c>
      <c r="F396" t="s">
        <v>1515</v>
      </c>
      <c r="G396" t="s">
        <v>1325</v>
      </c>
      <c r="H396" t="s">
        <v>1020</v>
      </c>
      <c r="I396">
        <v>162673000</v>
      </c>
      <c r="J396" t="s">
        <v>1021</v>
      </c>
      <c r="K396">
        <v>136.80000000000001</v>
      </c>
      <c r="L396">
        <v>704.2</v>
      </c>
      <c r="M396">
        <v>0</v>
      </c>
      <c r="O396" t="s">
        <v>34</v>
      </c>
    </row>
    <row r="397" spans="1:15">
      <c r="A397" t="s">
        <v>1548</v>
      </c>
      <c r="B397" s="2">
        <v>44045.174953703703</v>
      </c>
      <c r="C397" s="2">
        <v>44045.298715277779</v>
      </c>
      <c r="D397" t="s">
        <v>141</v>
      </c>
      <c r="E397" t="s">
        <v>1517</v>
      </c>
      <c r="F397" t="s">
        <v>1518</v>
      </c>
      <c r="G397" t="s">
        <v>1325</v>
      </c>
      <c r="H397" t="s">
        <v>1031</v>
      </c>
      <c r="I397">
        <v>185349003</v>
      </c>
      <c r="J397" t="s">
        <v>1038</v>
      </c>
      <c r="K397">
        <v>85.55</v>
      </c>
      <c r="L397">
        <v>3105.35</v>
      </c>
      <c r="M397">
        <v>0</v>
      </c>
      <c r="N397">
        <v>103697008</v>
      </c>
      <c r="O397" t="s">
        <v>1039</v>
      </c>
    </row>
    <row r="398" spans="1:15">
      <c r="A398" t="s">
        <v>1549</v>
      </c>
      <c r="B398" s="2">
        <v>44318.174953703703</v>
      </c>
      <c r="C398" s="2">
        <v>44318.185370370367</v>
      </c>
      <c r="D398" t="s">
        <v>141</v>
      </c>
      <c r="E398" t="s">
        <v>1517</v>
      </c>
      <c r="F398" t="s">
        <v>1518</v>
      </c>
      <c r="G398" t="s">
        <v>1325</v>
      </c>
      <c r="H398" t="s">
        <v>1043</v>
      </c>
      <c r="I398">
        <v>33879002</v>
      </c>
      <c r="J398" t="s">
        <v>1044</v>
      </c>
      <c r="K398">
        <v>142.58000000000001</v>
      </c>
      <c r="L398">
        <v>278.58</v>
      </c>
      <c r="M398">
        <v>0</v>
      </c>
      <c r="O398" t="s">
        <v>34</v>
      </c>
    </row>
    <row r="399" spans="1:15">
      <c r="A399" t="s">
        <v>1550</v>
      </c>
      <c r="B399" s="2">
        <v>44339.174953703703</v>
      </c>
      <c r="C399" s="2">
        <v>44339.185370370367</v>
      </c>
      <c r="D399" t="s">
        <v>141</v>
      </c>
      <c r="E399" t="s">
        <v>1517</v>
      </c>
      <c r="F399" t="s">
        <v>1518</v>
      </c>
      <c r="G399" t="s">
        <v>1325</v>
      </c>
      <c r="H399" t="s">
        <v>1043</v>
      </c>
      <c r="I399">
        <v>33879002</v>
      </c>
      <c r="J399" t="s">
        <v>1044</v>
      </c>
      <c r="K399">
        <v>142.58000000000001</v>
      </c>
      <c r="L399">
        <v>278.58</v>
      </c>
      <c r="M399">
        <v>0</v>
      </c>
      <c r="O399" t="s">
        <v>34</v>
      </c>
    </row>
    <row r="400" spans="1:15">
      <c r="A400" t="s">
        <v>1551</v>
      </c>
      <c r="B400" s="2">
        <v>44374.174953703703</v>
      </c>
      <c r="C400" s="2">
        <v>44374.185370370367</v>
      </c>
      <c r="D400" t="s">
        <v>141</v>
      </c>
      <c r="E400" t="s">
        <v>1517</v>
      </c>
      <c r="F400" t="s">
        <v>1518</v>
      </c>
      <c r="G400" t="s">
        <v>1325</v>
      </c>
      <c r="H400" t="s">
        <v>1031</v>
      </c>
      <c r="I400">
        <v>424441002</v>
      </c>
      <c r="J400" t="s">
        <v>1059</v>
      </c>
      <c r="K400">
        <v>142.58000000000001</v>
      </c>
      <c r="L400">
        <v>7797.89</v>
      </c>
      <c r="M400">
        <v>1189.48</v>
      </c>
      <c r="N400">
        <v>72892002</v>
      </c>
      <c r="O400" t="s">
        <v>1060</v>
      </c>
    </row>
    <row r="401" spans="1:15">
      <c r="A401" t="s">
        <v>1552</v>
      </c>
      <c r="B401" s="2">
        <v>44389.174953703703</v>
      </c>
      <c r="C401" s="2">
        <v>44389.185370370367</v>
      </c>
      <c r="D401" t="s">
        <v>141</v>
      </c>
      <c r="E401" t="s">
        <v>1517</v>
      </c>
      <c r="F401" t="s">
        <v>1518</v>
      </c>
      <c r="G401" t="s">
        <v>1325</v>
      </c>
      <c r="H401" t="s">
        <v>1031</v>
      </c>
      <c r="I401">
        <v>270427003</v>
      </c>
      <c r="J401" t="s">
        <v>1179</v>
      </c>
      <c r="K401">
        <v>85.55</v>
      </c>
      <c r="L401">
        <v>4444.9799999999996</v>
      </c>
      <c r="M401">
        <v>2666.99</v>
      </c>
      <c r="N401">
        <v>72892002</v>
      </c>
      <c r="O401" t="s">
        <v>1060</v>
      </c>
    </row>
    <row r="402" spans="1:15">
      <c r="A402" t="s">
        <v>1553</v>
      </c>
      <c r="B402" s="2">
        <v>44402.174953703703</v>
      </c>
      <c r="C402" s="2">
        <v>44402.210879629631</v>
      </c>
      <c r="D402" t="s">
        <v>141</v>
      </c>
      <c r="E402" t="s">
        <v>1514</v>
      </c>
      <c r="F402" t="s">
        <v>1515</v>
      </c>
      <c r="G402" t="s">
        <v>1325</v>
      </c>
      <c r="H402" t="s">
        <v>1020</v>
      </c>
      <c r="I402">
        <v>162673000</v>
      </c>
      <c r="J402" t="s">
        <v>1021</v>
      </c>
      <c r="K402">
        <v>136.80000000000001</v>
      </c>
      <c r="L402">
        <v>840.2</v>
      </c>
      <c r="M402">
        <v>840.2</v>
      </c>
      <c r="O402" t="s">
        <v>34</v>
      </c>
    </row>
    <row r="403" spans="1:15">
      <c r="A403" t="s">
        <v>1554</v>
      </c>
      <c r="B403" s="2">
        <v>44409.174953703703</v>
      </c>
      <c r="C403" s="2">
        <v>44409.185370370367</v>
      </c>
      <c r="D403" t="s">
        <v>141</v>
      </c>
      <c r="E403" t="s">
        <v>1517</v>
      </c>
      <c r="F403" t="s">
        <v>1518</v>
      </c>
      <c r="G403" t="s">
        <v>1325</v>
      </c>
      <c r="H403" t="s">
        <v>1031</v>
      </c>
      <c r="I403">
        <v>424619006</v>
      </c>
      <c r="J403" t="s">
        <v>1062</v>
      </c>
      <c r="K403">
        <v>142.58000000000001</v>
      </c>
      <c r="L403">
        <v>1799.76</v>
      </c>
      <c r="M403">
        <v>1799.76</v>
      </c>
      <c r="N403">
        <v>72892002</v>
      </c>
      <c r="O403" t="s">
        <v>1060</v>
      </c>
    </row>
    <row r="404" spans="1:15">
      <c r="A404" t="s">
        <v>1555</v>
      </c>
      <c r="B404" s="2">
        <v>44654.174953703703</v>
      </c>
      <c r="C404" s="2">
        <v>44654.185370370367</v>
      </c>
      <c r="D404" t="s">
        <v>141</v>
      </c>
      <c r="E404" t="s">
        <v>1517</v>
      </c>
      <c r="F404" t="s">
        <v>1518</v>
      </c>
      <c r="G404" t="s">
        <v>1325</v>
      </c>
      <c r="H404" t="s">
        <v>1031</v>
      </c>
      <c r="I404">
        <v>424441002</v>
      </c>
      <c r="J404" t="s">
        <v>1059</v>
      </c>
      <c r="K404">
        <v>142.58000000000001</v>
      </c>
      <c r="L404">
        <v>41010.81</v>
      </c>
      <c r="M404">
        <v>41010.81</v>
      </c>
      <c r="N404">
        <v>72892002</v>
      </c>
      <c r="O404" t="s">
        <v>1060</v>
      </c>
    </row>
    <row r="405" spans="1:15">
      <c r="A405" t="s">
        <v>1556</v>
      </c>
      <c r="B405" s="2">
        <v>44682.174953703703</v>
      </c>
      <c r="C405" s="2">
        <v>44682.185370370367</v>
      </c>
      <c r="D405" t="s">
        <v>141</v>
      </c>
      <c r="E405" t="s">
        <v>1517</v>
      </c>
      <c r="F405" t="s">
        <v>1518</v>
      </c>
      <c r="G405" t="s">
        <v>1325</v>
      </c>
      <c r="H405" t="s">
        <v>1031</v>
      </c>
      <c r="I405">
        <v>424619006</v>
      </c>
      <c r="J405" t="s">
        <v>1062</v>
      </c>
      <c r="K405">
        <v>142.58000000000001</v>
      </c>
      <c r="L405">
        <v>12196.85</v>
      </c>
      <c r="M405">
        <v>12196.85</v>
      </c>
      <c r="N405">
        <v>72892002</v>
      </c>
      <c r="O405" t="s">
        <v>1060</v>
      </c>
    </row>
    <row r="406" spans="1:15">
      <c r="A406" t="s">
        <v>1557</v>
      </c>
      <c r="B406" s="2">
        <v>44710.174953703703</v>
      </c>
      <c r="C406" s="2">
        <v>44710.185370370367</v>
      </c>
      <c r="D406" t="s">
        <v>141</v>
      </c>
      <c r="E406" t="s">
        <v>1517</v>
      </c>
      <c r="F406" t="s">
        <v>1518</v>
      </c>
      <c r="G406" t="s">
        <v>1325</v>
      </c>
      <c r="H406" t="s">
        <v>1031</v>
      </c>
      <c r="I406">
        <v>424619006</v>
      </c>
      <c r="J406" t="s">
        <v>1062</v>
      </c>
      <c r="K406">
        <v>142.58000000000001</v>
      </c>
      <c r="L406">
        <v>12971.3</v>
      </c>
      <c r="M406">
        <v>4126.38</v>
      </c>
      <c r="N406">
        <v>72892002</v>
      </c>
      <c r="O406" t="s">
        <v>1060</v>
      </c>
    </row>
    <row r="407" spans="1:15">
      <c r="A407" t="s">
        <v>1558</v>
      </c>
      <c r="B407" s="2">
        <v>39131.413113425922</v>
      </c>
      <c r="C407" s="2">
        <v>39131.438900462963</v>
      </c>
      <c r="D407" t="s">
        <v>151</v>
      </c>
      <c r="E407" t="s">
        <v>1559</v>
      </c>
      <c r="F407" t="s">
        <v>1560</v>
      </c>
      <c r="G407" t="s">
        <v>1561</v>
      </c>
      <c r="H407" t="s">
        <v>1020</v>
      </c>
      <c r="I407">
        <v>162673000</v>
      </c>
      <c r="J407" t="s">
        <v>1021</v>
      </c>
      <c r="K407">
        <v>136.80000000000001</v>
      </c>
      <c r="L407">
        <v>704.2</v>
      </c>
      <c r="M407">
        <v>0</v>
      </c>
      <c r="O407" t="s">
        <v>34</v>
      </c>
    </row>
    <row r="408" spans="1:15">
      <c r="A408" t="s">
        <v>1562</v>
      </c>
      <c r="B408" s="2">
        <v>40601.413113425922</v>
      </c>
      <c r="C408" s="2">
        <v>40601.43954861111</v>
      </c>
      <c r="D408" t="s">
        <v>151</v>
      </c>
      <c r="E408" t="s">
        <v>1559</v>
      </c>
      <c r="F408" t="s">
        <v>1560</v>
      </c>
      <c r="G408" t="s">
        <v>1561</v>
      </c>
      <c r="H408" t="s">
        <v>1020</v>
      </c>
      <c r="I408">
        <v>162673000</v>
      </c>
      <c r="J408" t="s">
        <v>1021</v>
      </c>
      <c r="K408">
        <v>136.80000000000001</v>
      </c>
      <c r="L408">
        <v>1186.78</v>
      </c>
      <c r="M408">
        <v>0</v>
      </c>
      <c r="O408" t="s">
        <v>34</v>
      </c>
    </row>
    <row r="409" spans="1:15">
      <c r="A409" t="s">
        <v>1563</v>
      </c>
      <c r="B409" s="2">
        <v>44738.174953703703</v>
      </c>
      <c r="C409" s="2">
        <v>44738.185370370367</v>
      </c>
      <c r="D409" t="s">
        <v>141</v>
      </c>
      <c r="E409" t="s">
        <v>1517</v>
      </c>
      <c r="F409" t="s">
        <v>1518</v>
      </c>
      <c r="G409" t="s">
        <v>1325</v>
      </c>
      <c r="H409" t="s">
        <v>1031</v>
      </c>
      <c r="I409">
        <v>424619006</v>
      </c>
      <c r="J409" t="s">
        <v>1062</v>
      </c>
      <c r="K409">
        <v>142.58000000000001</v>
      </c>
      <c r="L409">
        <v>5562.58</v>
      </c>
      <c r="M409">
        <v>5562.58</v>
      </c>
      <c r="N409">
        <v>72892002</v>
      </c>
      <c r="O409" t="s">
        <v>1060</v>
      </c>
    </row>
    <row r="410" spans="1:15">
      <c r="A410" t="s">
        <v>1564</v>
      </c>
      <c r="B410" s="2">
        <v>44766.174953703703</v>
      </c>
      <c r="C410" s="2">
        <v>44766.185370370367</v>
      </c>
      <c r="D410" t="s">
        <v>141</v>
      </c>
      <c r="E410" t="s">
        <v>1517</v>
      </c>
      <c r="F410" t="s">
        <v>1518</v>
      </c>
      <c r="G410" t="s">
        <v>1325</v>
      </c>
      <c r="H410" t="s">
        <v>1031</v>
      </c>
      <c r="I410">
        <v>424619006</v>
      </c>
      <c r="J410" t="s">
        <v>1062</v>
      </c>
      <c r="K410">
        <v>142.58000000000001</v>
      </c>
      <c r="L410">
        <v>11451.02</v>
      </c>
      <c r="M410">
        <v>11451.02</v>
      </c>
      <c r="N410">
        <v>72892002</v>
      </c>
      <c r="O410" t="s">
        <v>1060</v>
      </c>
    </row>
    <row r="411" spans="1:15">
      <c r="A411" t="s">
        <v>1565</v>
      </c>
      <c r="B411" s="2">
        <v>44773.174953703703</v>
      </c>
      <c r="C411" s="2">
        <v>44773.209143518521</v>
      </c>
      <c r="D411" t="s">
        <v>141</v>
      </c>
      <c r="E411" t="s">
        <v>1514</v>
      </c>
      <c r="F411" t="s">
        <v>1515</v>
      </c>
      <c r="G411" t="s">
        <v>1325</v>
      </c>
      <c r="H411" t="s">
        <v>1020</v>
      </c>
      <c r="I411">
        <v>162673000</v>
      </c>
      <c r="J411" t="s">
        <v>1021</v>
      </c>
      <c r="K411">
        <v>136.80000000000001</v>
      </c>
      <c r="L411">
        <v>1186.78</v>
      </c>
      <c r="M411">
        <v>1186.78</v>
      </c>
      <c r="O411" t="s">
        <v>34</v>
      </c>
    </row>
    <row r="412" spans="1:15">
      <c r="A412" t="s">
        <v>1566</v>
      </c>
      <c r="B412" s="2">
        <v>44794.174953703703</v>
      </c>
      <c r="C412" s="2">
        <v>44794.185370370367</v>
      </c>
      <c r="D412" t="s">
        <v>141</v>
      </c>
      <c r="E412" t="s">
        <v>1517</v>
      </c>
      <c r="F412" t="s">
        <v>1518</v>
      </c>
      <c r="G412" t="s">
        <v>1325</v>
      </c>
      <c r="H412" t="s">
        <v>1031</v>
      </c>
      <c r="I412">
        <v>424619006</v>
      </c>
      <c r="J412" t="s">
        <v>1062</v>
      </c>
      <c r="K412">
        <v>142.58000000000001</v>
      </c>
      <c r="L412">
        <v>12324.92</v>
      </c>
      <c r="M412">
        <v>12324.92</v>
      </c>
      <c r="N412">
        <v>72892002</v>
      </c>
      <c r="O412" t="s">
        <v>1060</v>
      </c>
    </row>
    <row r="413" spans="1:15">
      <c r="A413" t="s">
        <v>1567</v>
      </c>
      <c r="B413" s="2">
        <v>44822.174953703703</v>
      </c>
      <c r="C413" s="2">
        <v>44822.185370370367</v>
      </c>
      <c r="D413" t="s">
        <v>141</v>
      </c>
      <c r="E413" t="s">
        <v>1517</v>
      </c>
      <c r="F413" t="s">
        <v>1518</v>
      </c>
      <c r="G413" t="s">
        <v>1325</v>
      </c>
      <c r="H413" t="s">
        <v>1031</v>
      </c>
      <c r="I413">
        <v>424619006</v>
      </c>
      <c r="J413" t="s">
        <v>1062</v>
      </c>
      <c r="K413">
        <v>142.58000000000001</v>
      </c>
      <c r="L413">
        <v>4665.96</v>
      </c>
      <c r="M413">
        <v>4665.96</v>
      </c>
      <c r="N413">
        <v>72892002</v>
      </c>
      <c r="O413" t="s">
        <v>1060</v>
      </c>
    </row>
    <row r="414" spans="1:15">
      <c r="A414" t="s">
        <v>1568</v>
      </c>
      <c r="B414" s="2">
        <v>44850.174953703703</v>
      </c>
      <c r="C414" s="2">
        <v>44850.185370370367</v>
      </c>
      <c r="D414" t="s">
        <v>141</v>
      </c>
      <c r="E414" t="s">
        <v>1517</v>
      </c>
      <c r="F414" t="s">
        <v>1518</v>
      </c>
      <c r="G414" t="s">
        <v>1325</v>
      </c>
      <c r="H414" t="s">
        <v>1031</v>
      </c>
      <c r="I414">
        <v>424619006</v>
      </c>
      <c r="J414" t="s">
        <v>1062</v>
      </c>
      <c r="K414">
        <v>142.58000000000001</v>
      </c>
      <c r="L414">
        <v>6091.25</v>
      </c>
      <c r="M414">
        <v>6091.25</v>
      </c>
      <c r="N414">
        <v>72892002</v>
      </c>
      <c r="O414" t="s">
        <v>1060</v>
      </c>
    </row>
    <row r="415" spans="1:15">
      <c r="A415" t="s">
        <v>1569</v>
      </c>
      <c r="B415" s="2">
        <v>44864.174953703703</v>
      </c>
      <c r="C415" s="2">
        <v>44864.216620370367</v>
      </c>
      <c r="D415" t="s">
        <v>141</v>
      </c>
      <c r="E415" t="s">
        <v>1530</v>
      </c>
      <c r="F415" t="s">
        <v>1531</v>
      </c>
      <c r="G415" t="s">
        <v>1325</v>
      </c>
      <c r="H415" t="s">
        <v>1076</v>
      </c>
      <c r="I415">
        <v>183460006</v>
      </c>
      <c r="J415" t="s">
        <v>1077</v>
      </c>
      <c r="K415">
        <v>146.18</v>
      </c>
      <c r="L415">
        <v>8710</v>
      </c>
      <c r="M415">
        <v>8710</v>
      </c>
      <c r="N415">
        <v>72892002</v>
      </c>
      <c r="O415" t="s">
        <v>1060</v>
      </c>
    </row>
    <row r="416" spans="1:15">
      <c r="A416" t="s">
        <v>1570</v>
      </c>
      <c r="B416" s="2">
        <v>44868.508287037039</v>
      </c>
      <c r="C416" s="2">
        <v>44868.518703703703</v>
      </c>
      <c r="D416" t="s">
        <v>141</v>
      </c>
      <c r="E416" t="s">
        <v>1517</v>
      </c>
      <c r="F416" t="s">
        <v>1518</v>
      </c>
      <c r="G416" t="s">
        <v>1325</v>
      </c>
      <c r="H416" t="s">
        <v>1031</v>
      </c>
      <c r="I416">
        <v>185345009</v>
      </c>
      <c r="J416" t="s">
        <v>1032</v>
      </c>
      <c r="K416">
        <v>85.55</v>
      </c>
      <c r="L416">
        <v>85.55</v>
      </c>
      <c r="M416">
        <v>85.55</v>
      </c>
      <c r="N416">
        <v>36971009</v>
      </c>
      <c r="O416" t="s">
        <v>1278</v>
      </c>
    </row>
    <row r="417" spans="1:15">
      <c r="A417" t="s">
        <v>1571</v>
      </c>
      <c r="B417" s="2">
        <v>44906.133287037039</v>
      </c>
      <c r="C417" s="2">
        <v>44906.143703703703</v>
      </c>
      <c r="D417" t="s">
        <v>141</v>
      </c>
      <c r="E417" t="s">
        <v>1517</v>
      </c>
      <c r="F417" t="s">
        <v>1518</v>
      </c>
      <c r="G417" t="s">
        <v>1325</v>
      </c>
      <c r="H417" t="s">
        <v>1031</v>
      </c>
      <c r="I417">
        <v>169762003</v>
      </c>
      <c r="J417" t="s">
        <v>1079</v>
      </c>
      <c r="K417">
        <v>142.58000000000001</v>
      </c>
      <c r="L417">
        <v>1005.38</v>
      </c>
      <c r="M417">
        <v>1005.38</v>
      </c>
      <c r="O417" t="s">
        <v>34</v>
      </c>
    </row>
    <row r="418" spans="1:15">
      <c r="A418" t="s">
        <v>1572</v>
      </c>
      <c r="B418" s="2">
        <v>44913.133287037039</v>
      </c>
      <c r="C418" s="2">
        <v>44913.143703703703</v>
      </c>
      <c r="D418" t="s">
        <v>141</v>
      </c>
      <c r="E418" t="s">
        <v>1517</v>
      </c>
      <c r="F418" t="s">
        <v>1518</v>
      </c>
      <c r="G418" t="s">
        <v>1325</v>
      </c>
      <c r="H418" t="s">
        <v>1043</v>
      </c>
      <c r="I418">
        <v>698314001</v>
      </c>
      <c r="J418" t="s">
        <v>1190</v>
      </c>
      <c r="K418">
        <v>142.58000000000001</v>
      </c>
      <c r="L418">
        <v>142.58000000000001</v>
      </c>
      <c r="M418">
        <v>142.58000000000001</v>
      </c>
      <c r="N418">
        <v>389095005</v>
      </c>
      <c r="O418" t="s">
        <v>1191</v>
      </c>
    </row>
    <row r="419" spans="1:15">
      <c r="A419" t="s">
        <v>1573</v>
      </c>
      <c r="B419" s="2">
        <v>44909.466620370367</v>
      </c>
      <c r="C419" s="2">
        <v>44909.477037037039</v>
      </c>
      <c r="D419" t="s">
        <v>141</v>
      </c>
      <c r="E419" t="s">
        <v>1517</v>
      </c>
      <c r="F419" t="s">
        <v>1518</v>
      </c>
      <c r="G419" t="s">
        <v>1325</v>
      </c>
      <c r="H419" t="s">
        <v>1031</v>
      </c>
      <c r="I419">
        <v>185345009</v>
      </c>
      <c r="J419" t="s">
        <v>1032</v>
      </c>
      <c r="K419">
        <v>85.55</v>
      </c>
      <c r="L419">
        <v>92.93</v>
      </c>
      <c r="M419">
        <v>92.93</v>
      </c>
      <c r="N419">
        <v>36971009</v>
      </c>
      <c r="O419" t="s">
        <v>1278</v>
      </c>
    </row>
    <row r="420" spans="1:15">
      <c r="A420" t="s">
        <v>1574</v>
      </c>
      <c r="B420" s="2">
        <v>44920.133287037039</v>
      </c>
      <c r="C420" s="2">
        <v>44920.168923611112</v>
      </c>
      <c r="D420" t="s">
        <v>141</v>
      </c>
      <c r="E420" t="s">
        <v>1517</v>
      </c>
      <c r="F420" t="s">
        <v>1518</v>
      </c>
      <c r="G420" t="s">
        <v>1325</v>
      </c>
      <c r="H420" t="s">
        <v>1043</v>
      </c>
      <c r="I420">
        <v>185349003</v>
      </c>
      <c r="J420" t="s">
        <v>1038</v>
      </c>
      <c r="K420">
        <v>85.55</v>
      </c>
      <c r="L420">
        <v>788.95</v>
      </c>
      <c r="M420">
        <v>788.95</v>
      </c>
      <c r="O420" t="s">
        <v>34</v>
      </c>
    </row>
    <row r="421" spans="1:15">
      <c r="A421" t="s">
        <v>1575</v>
      </c>
      <c r="B421" s="2">
        <v>45144.174953703703</v>
      </c>
      <c r="C421" s="2">
        <v>45144.211053240739</v>
      </c>
      <c r="D421" t="s">
        <v>141</v>
      </c>
      <c r="E421" t="s">
        <v>1514</v>
      </c>
      <c r="F421" t="s">
        <v>1515</v>
      </c>
      <c r="G421" t="s">
        <v>1325</v>
      </c>
      <c r="H421" t="s">
        <v>1020</v>
      </c>
      <c r="I421">
        <v>162673000</v>
      </c>
      <c r="J421" t="s">
        <v>1021</v>
      </c>
      <c r="K421">
        <v>136.80000000000001</v>
      </c>
      <c r="L421">
        <v>568.20000000000005</v>
      </c>
      <c r="M421">
        <v>0</v>
      </c>
      <c r="O421" t="s">
        <v>34</v>
      </c>
    </row>
    <row r="422" spans="1:15">
      <c r="A422" t="s">
        <v>1576</v>
      </c>
      <c r="B422" s="2">
        <v>41700.413113425922</v>
      </c>
      <c r="C422" s="2">
        <v>41700.437337962961</v>
      </c>
      <c r="D422" t="s">
        <v>151</v>
      </c>
      <c r="E422" t="s">
        <v>1559</v>
      </c>
      <c r="F422" t="s">
        <v>1560</v>
      </c>
      <c r="G422" t="s">
        <v>1561</v>
      </c>
      <c r="H422" t="s">
        <v>1020</v>
      </c>
      <c r="I422">
        <v>162673000</v>
      </c>
      <c r="J422" t="s">
        <v>1021</v>
      </c>
      <c r="K422">
        <v>136.80000000000001</v>
      </c>
      <c r="L422">
        <v>1048.22</v>
      </c>
      <c r="M422">
        <v>0</v>
      </c>
      <c r="O422" t="s">
        <v>34</v>
      </c>
    </row>
    <row r="423" spans="1:15">
      <c r="A423" t="s">
        <v>1577</v>
      </c>
      <c r="B423" s="2">
        <v>42799.413113425922</v>
      </c>
      <c r="C423" s="2">
        <v>42799.439571759256</v>
      </c>
      <c r="D423" t="s">
        <v>151</v>
      </c>
      <c r="E423" t="s">
        <v>1559</v>
      </c>
      <c r="F423" t="s">
        <v>1560</v>
      </c>
      <c r="G423" t="s">
        <v>1561</v>
      </c>
      <c r="H423" t="s">
        <v>1020</v>
      </c>
      <c r="I423">
        <v>162673000</v>
      </c>
      <c r="J423" t="s">
        <v>1021</v>
      </c>
      <c r="K423">
        <v>136.80000000000001</v>
      </c>
      <c r="L423">
        <v>1641.58</v>
      </c>
      <c r="M423">
        <v>0</v>
      </c>
      <c r="O423" t="s">
        <v>34</v>
      </c>
    </row>
    <row r="424" spans="1:15">
      <c r="A424" t="s">
        <v>1578</v>
      </c>
      <c r="B424" s="2">
        <v>45158.174953703703</v>
      </c>
      <c r="C424" s="2">
        <v>45158.413622685184</v>
      </c>
      <c r="D424" t="s">
        <v>141</v>
      </c>
      <c r="E424" t="s">
        <v>1517</v>
      </c>
      <c r="F424" t="s">
        <v>1518</v>
      </c>
      <c r="G424" t="s">
        <v>1325</v>
      </c>
      <c r="H424" t="s">
        <v>1031</v>
      </c>
      <c r="I424">
        <v>185349003</v>
      </c>
      <c r="J424" t="s">
        <v>1038</v>
      </c>
      <c r="K424">
        <v>85.55</v>
      </c>
      <c r="L424">
        <v>4399.55</v>
      </c>
      <c r="M424">
        <v>0</v>
      </c>
      <c r="N424">
        <v>103697008</v>
      </c>
      <c r="O424" t="s">
        <v>1039</v>
      </c>
    </row>
    <row r="425" spans="1:15">
      <c r="A425" t="s">
        <v>1579</v>
      </c>
      <c r="B425" s="2">
        <v>43079.413113425922</v>
      </c>
      <c r="C425" s="2">
        <v>43079.423530092594</v>
      </c>
      <c r="D425" t="s">
        <v>151</v>
      </c>
      <c r="E425" t="s">
        <v>1580</v>
      </c>
      <c r="F425" t="s">
        <v>1581</v>
      </c>
      <c r="G425" t="s">
        <v>1561</v>
      </c>
      <c r="H425" t="s">
        <v>1031</v>
      </c>
      <c r="I425">
        <v>424441002</v>
      </c>
      <c r="J425" t="s">
        <v>1059</v>
      </c>
      <c r="K425">
        <v>142.58000000000001</v>
      </c>
      <c r="L425">
        <v>18603.09</v>
      </c>
      <c r="M425">
        <v>11021.27</v>
      </c>
      <c r="N425">
        <v>72892002</v>
      </c>
      <c r="O425" t="s">
        <v>1060</v>
      </c>
    </row>
    <row r="426" spans="1:15">
      <c r="A426" t="s">
        <v>1582</v>
      </c>
      <c r="B426" s="2">
        <v>45273.133287037039</v>
      </c>
      <c r="C426" s="2">
        <v>45273.143703703703</v>
      </c>
      <c r="D426" t="s">
        <v>141</v>
      </c>
      <c r="E426" t="s">
        <v>1517</v>
      </c>
      <c r="F426" t="s">
        <v>1518</v>
      </c>
      <c r="G426" t="s">
        <v>1325</v>
      </c>
      <c r="H426" t="s">
        <v>1043</v>
      </c>
      <c r="I426">
        <v>698314001</v>
      </c>
      <c r="J426" t="s">
        <v>1190</v>
      </c>
      <c r="K426">
        <v>142.58000000000001</v>
      </c>
      <c r="L426">
        <v>142.58000000000001</v>
      </c>
      <c r="M426">
        <v>0</v>
      </c>
      <c r="N426">
        <v>389095005</v>
      </c>
      <c r="O426" t="s">
        <v>1191</v>
      </c>
    </row>
    <row r="427" spans="1:15">
      <c r="A427" t="s">
        <v>1583</v>
      </c>
      <c r="B427" s="2">
        <v>45515.174953703703</v>
      </c>
      <c r="C427" s="2">
        <v>45515.199374999997</v>
      </c>
      <c r="D427" t="s">
        <v>141</v>
      </c>
      <c r="E427" t="s">
        <v>1514</v>
      </c>
      <c r="F427" t="s">
        <v>1515</v>
      </c>
      <c r="G427" t="s">
        <v>1325</v>
      </c>
      <c r="H427" t="s">
        <v>1020</v>
      </c>
      <c r="I427">
        <v>162673000</v>
      </c>
      <c r="J427" t="s">
        <v>1021</v>
      </c>
      <c r="K427">
        <v>136.80000000000001</v>
      </c>
      <c r="L427">
        <v>1034.54</v>
      </c>
      <c r="M427">
        <v>0</v>
      </c>
      <c r="O427" t="s">
        <v>34</v>
      </c>
    </row>
    <row r="428" spans="1:15">
      <c r="A428" t="s">
        <v>1584</v>
      </c>
      <c r="B428" s="2">
        <v>43098.413113425922</v>
      </c>
      <c r="C428" s="2">
        <v>43098.423530092594</v>
      </c>
      <c r="D428" t="s">
        <v>151</v>
      </c>
      <c r="E428" t="s">
        <v>1580</v>
      </c>
      <c r="F428" t="s">
        <v>1581</v>
      </c>
      <c r="G428" t="s">
        <v>1561</v>
      </c>
      <c r="H428" t="s">
        <v>1031</v>
      </c>
      <c r="I428">
        <v>270427003</v>
      </c>
      <c r="J428" t="s">
        <v>1179</v>
      </c>
      <c r="K428">
        <v>85.55</v>
      </c>
      <c r="L428">
        <v>4444.9799999999996</v>
      </c>
      <c r="M428">
        <v>4444.9799999999996</v>
      </c>
      <c r="N428">
        <v>72892002</v>
      </c>
      <c r="O428" t="s">
        <v>1060</v>
      </c>
    </row>
    <row r="429" spans="1:15">
      <c r="A429" t="s">
        <v>1585</v>
      </c>
      <c r="B429" s="2">
        <v>43116.413113425922</v>
      </c>
      <c r="C429" s="2">
        <v>43116.423530092594</v>
      </c>
      <c r="D429" t="s">
        <v>151</v>
      </c>
      <c r="E429" t="s">
        <v>1580</v>
      </c>
      <c r="F429" t="s">
        <v>1581</v>
      </c>
      <c r="G429" t="s">
        <v>1561</v>
      </c>
      <c r="H429" t="s">
        <v>1031</v>
      </c>
      <c r="I429">
        <v>424619006</v>
      </c>
      <c r="J429" t="s">
        <v>1062</v>
      </c>
      <c r="K429">
        <v>142.58000000000001</v>
      </c>
      <c r="L429">
        <v>1868.18</v>
      </c>
      <c r="M429">
        <v>0</v>
      </c>
      <c r="N429">
        <v>72892002</v>
      </c>
      <c r="O429" t="s">
        <v>1060</v>
      </c>
    </row>
    <row r="430" spans="1:15">
      <c r="A430" t="s">
        <v>1586</v>
      </c>
      <c r="B430" s="2">
        <v>43436.413113425922</v>
      </c>
      <c r="C430" s="2">
        <v>43436.423530092594</v>
      </c>
      <c r="D430" t="s">
        <v>151</v>
      </c>
      <c r="E430" t="s">
        <v>1580</v>
      </c>
      <c r="F430" t="s">
        <v>1581</v>
      </c>
      <c r="G430" t="s">
        <v>1561</v>
      </c>
      <c r="H430" t="s">
        <v>1031</v>
      </c>
      <c r="I430">
        <v>424441002</v>
      </c>
      <c r="J430" t="s">
        <v>1059</v>
      </c>
      <c r="K430">
        <v>142.58000000000001</v>
      </c>
      <c r="L430">
        <v>42098.38</v>
      </c>
      <c r="M430">
        <v>27626.6</v>
      </c>
      <c r="N430">
        <v>72892002</v>
      </c>
      <c r="O430" t="s">
        <v>1060</v>
      </c>
    </row>
    <row r="431" spans="1:15">
      <c r="A431" t="s">
        <v>1587</v>
      </c>
      <c r="B431" s="2">
        <v>45886.174953703703</v>
      </c>
      <c r="C431" s="2">
        <v>45886.214884259258</v>
      </c>
      <c r="D431" t="s">
        <v>141</v>
      </c>
      <c r="E431" t="s">
        <v>1514</v>
      </c>
      <c r="F431" t="s">
        <v>1515</v>
      </c>
      <c r="G431" t="s">
        <v>1325</v>
      </c>
      <c r="H431" t="s">
        <v>1020</v>
      </c>
      <c r="I431">
        <v>162673000</v>
      </c>
      <c r="J431" t="s">
        <v>1021</v>
      </c>
      <c r="K431">
        <v>136.80000000000001</v>
      </c>
      <c r="L431">
        <v>919.9</v>
      </c>
      <c r="M431">
        <v>0</v>
      </c>
      <c r="O431" t="s">
        <v>34</v>
      </c>
    </row>
    <row r="432" spans="1:15">
      <c r="A432" t="s">
        <v>1588</v>
      </c>
      <c r="B432" s="2">
        <v>45900.174953703703</v>
      </c>
      <c r="C432" s="2">
        <v>45900.293530092589</v>
      </c>
      <c r="D432" t="s">
        <v>141</v>
      </c>
      <c r="E432" t="s">
        <v>1517</v>
      </c>
      <c r="F432" t="s">
        <v>1518</v>
      </c>
      <c r="G432" t="s">
        <v>1325</v>
      </c>
      <c r="H432" t="s">
        <v>1031</v>
      </c>
      <c r="I432">
        <v>185349003</v>
      </c>
      <c r="J432" t="s">
        <v>1038</v>
      </c>
      <c r="K432">
        <v>85.55</v>
      </c>
      <c r="L432">
        <v>2673.95</v>
      </c>
      <c r="M432">
        <v>0</v>
      </c>
      <c r="N432">
        <v>66383009</v>
      </c>
      <c r="O432" t="s">
        <v>1209</v>
      </c>
    </row>
    <row r="433" spans="1:15">
      <c r="A433" t="s">
        <v>1589</v>
      </c>
      <c r="B433" s="2">
        <v>46071.383287037039</v>
      </c>
      <c r="C433" s="2">
        <v>46071.393703703703</v>
      </c>
      <c r="D433" t="s">
        <v>141</v>
      </c>
      <c r="E433" t="s">
        <v>1517</v>
      </c>
      <c r="F433" t="s">
        <v>1518</v>
      </c>
      <c r="G433" t="s">
        <v>1325</v>
      </c>
      <c r="H433" t="s">
        <v>1031</v>
      </c>
      <c r="I433">
        <v>185345009</v>
      </c>
      <c r="J433" t="s">
        <v>1032</v>
      </c>
      <c r="K433">
        <v>85.55</v>
      </c>
      <c r="L433">
        <v>85.55</v>
      </c>
      <c r="M433">
        <v>0</v>
      </c>
      <c r="N433">
        <v>444814009</v>
      </c>
      <c r="O433" t="s">
        <v>1035</v>
      </c>
    </row>
    <row r="434" spans="1:15">
      <c r="A434" t="s">
        <v>1590</v>
      </c>
      <c r="B434" s="2">
        <v>43464.413113425922</v>
      </c>
      <c r="C434" s="2">
        <v>43464.423530092594</v>
      </c>
      <c r="D434" t="s">
        <v>151</v>
      </c>
      <c r="E434" t="s">
        <v>1580</v>
      </c>
      <c r="F434" t="s">
        <v>1581</v>
      </c>
      <c r="G434" t="s">
        <v>1561</v>
      </c>
      <c r="H434" t="s">
        <v>1031</v>
      </c>
      <c r="I434">
        <v>424619006</v>
      </c>
      <c r="J434" t="s">
        <v>1062</v>
      </c>
      <c r="K434">
        <v>142.58000000000001</v>
      </c>
      <c r="L434">
        <v>13919.9</v>
      </c>
      <c r="M434">
        <v>6593.93</v>
      </c>
      <c r="N434">
        <v>72892002</v>
      </c>
      <c r="O434" t="s">
        <v>1060</v>
      </c>
    </row>
    <row r="435" spans="1:15">
      <c r="A435" t="s">
        <v>1591</v>
      </c>
      <c r="B435" s="2">
        <v>43492.413113425922</v>
      </c>
      <c r="C435" s="2">
        <v>43492.423530092594</v>
      </c>
      <c r="D435" t="s">
        <v>151</v>
      </c>
      <c r="E435" t="s">
        <v>1580</v>
      </c>
      <c r="F435" t="s">
        <v>1581</v>
      </c>
      <c r="G435" t="s">
        <v>1561</v>
      </c>
      <c r="H435" t="s">
        <v>1031</v>
      </c>
      <c r="I435">
        <v>424619006</v>
      </c>
      <c r="J435" t="s">
        <v>1062</v>
      </c>
      <c r="K435">
        <v>142.58000000000001</v>
      </c>
      <c r="L435">
        <v>142.58000000000001</v>
      </c>
      <c r="M435">
        <v>99.81</v>
      </c>
      <c r="N435">
        <v>72892002</v>
      </c>
      <c r="O435" t="s">
        <v>1060</v>
      </c>
    </row>
    <row r="436" spans="1:15">
      <c r="A436" t="s">
        <v>1592</v>
      </c>
      <c r="B436" s="2">
        <v>43510.413113425922</v>
      </c>
      <c r="C436" s="2">
        <v>43510.423530092594</v>
      </c>
      <c r="D436" t="s">
        <v>151</v>
      </c>
      <c r="E436" t="s">
        <v>1580</v>
      </c>
      <c r="F436" t="s">
        <v>1581</v>
      </c>
      <c r="G436" t="s">
        <v>1561</v>
      </c>
      <c r="H436" t="s">
        <v>1031</v>
      </c>
      <c r="I436">
        <v>424619006</v>
      </c>
      <c r="J436" t="s">
        <v>1062</v>
      </c>
      <c r="K436">
        <v>142.58000000000001</v>
      </c>
      <c r="L436">
        <v>1005.38</v>
      </c>
      <c r="M436">
        <v>703.77</v>
      </c>
      <c r="N436">
        <v>267253006</v>
      </c>
      <c r="O436" t="s">
        <v>1593</v>
      </c>
    </row>
    <row r="437" spans="1:15">
      <c r="A437" t="s">
        <v>1594</v>
      </c>
      <c r="B437" s="2">
        <v>43898.454780092594</v>
      </c>
      <c r="C437" s="2">
        <v>43898.482881944445</v>
      </c>
      <c r="D437" t="s">
        <v>151</v>
      </c>
      <c r="E437" t="s">
        <v>1559</v>
      </c>
      <c r="F437" t="s">
        <v>1560</v>
      </c>
      <c r="G437" t="s">
        <v>1561</v>
      </c>
      <c r="H437" t="s">
        <v>1020</v>
      </c>
      <c r="I437">
        <v>162673000</v>
      </c>
      <c r="J437" t="s">
        <v>1021</v>
      </c>
      <c r="K437">
        <v>136.80000000000001</v>
      </c>
      <c r="L437">
        <v>914.78</v>
      </c>
      <c r="M437">
        <v>0</v>
      </c>
      <c r="O437" t="s">
        <v>34</v>
      </c>
    </row>
    <row r="438" spans="1:15">
      <c r="A438" t="s">
        <v>1595</v>
      </c>
      <c r="B438" s="2">
        <v>43912.454780092594</v>
      </c>
      <c r="C438" s="2">
        <v>43912.595092592594</v>
      </c>
      <c r="D438" t="s">
        <v>151</v>
      </c>
      <c r="E438" t="s">
        <v>1580</v>
      </c>
      <c r="F438" t="s">
        <v>1581</v>
      </c>
      <c r="G438" t="s">
        <v>1561</v>
      </c>
      <c r="H438" t="s">
        <v>1031</v>
      </c>
      <c r="I438">
        <v>185349003</v>
      </c>
      <c r="J438" t="s">
        <v>1038</v>
      </c>
      <c r="K438">
        <v>85.55</v>
      </c>
      <c r="L438">
        <v>3105.35</v>
      </c>
      <c r="M438">
        <v>0</v>
      </c>
      <c r="N438">
        <v>66383009</v>
      </c>
      <c r="O438" t="s">
        <v>1209</v>
      </c>
    </row>
    <row r="439" spans="1:15">
      <c r="A439" t="s">
        <v>1596</v>
      </c>
      <c r="B439" s="2">
        <v>43928.454780092594</v>
      </c>
      <c r="C439" s="2">
        <v>43928.465196759258</v>
      </c>
      <c r="D439" t="s">
        <v>151</v>
      </c>
      <c r="E439" t="s">
        <v>1580</v>
      </c>
      <c r="F439" t="s">
        <v>1581</v>
      </c>
      <c r="G439" t="s">
        <v>1561</v>
      </c>
      <c r="H439" t="s">
        <v>1031</v>
      </c>
      <c r="I439">
        <v>390906007</v>
      </c>
      <c r="J439" t="s">
        <v>1255</v>
      </c>
      <c r="K439">
        <v>85.55</v>
      </c>
      <c r="L439">
        <v>85.55</v>
      </c>
      <c r="M439">
        <v>0</v>
      </c>
      <c r="N439">
        <v>59621000</v>
      </c>
      <c r="O439" t="s">
        <v>1461</v>
      </c>
    </row>
    <row r="440" spans="1:15">
      <c r="A440" t="s">
        <v>1597</v>
      </c>
      <c r="B440" s="2">
        <v>43992.454780092594</v>
      </c>
      <c r="C440" s="2">
        <v>43992.465196759258</v>
      </c>
      <c r="D440" t="s">
        <v>151</v>
      </c>
      <c r="E440" t="s">
        <v>1580</v>
      </c>
      <c r="F440" t="s">
        <v>1581</v>
      </c>
      <c r="G440" t="s">
        <v>1561</v>
      </c>
      <c r="H440" t="s">
        <v>1043</v>
      </c>
      <c r="I440">
        <v>698314001</v>
      </c>
      <c r="J440" t="s">
        <v>1190</v>
      </c>
      <c r="K440">
        <v>142.58000000000001</v>
      </c>
      <c r="L440">
        <v>142.58000000000001</v>
      </c>
      <c r="M440">
        <v>76.849999999999994</v>
      </c>
      <c r="N440">
        <v>389095005</v>
      </c>
      <c r="O440" t="s">
        <v>1191</v>
      </c>
    </row>
    <row r="441" spans="1:15">
      <c r="A441" t="s">
        <v>1598</v>
      </c>
      <c r="B441" s="2">
        <v>44269.454780092594</v>
      </c>
      <c r="C441" s="2">
        <v>44269.49082175926</v>
      </c>
      <c r="D441" t="s">
        <v>151</v>
      </c>
      <c r="E441" t="s">
        <v>1559</v>
      </c>
      <c r="F441" t="s">
        <v>1560</v>
      </c>
      <c r="G441" t="s">
        <v>1561</v>
      </c>
      <c r="H441" t="s">
        <v>1020</v>
      </c>
      <c r="I441">
        <v>162673000</v>
      </c>
      <c r="J441" t="s">
        <v>1021</v>
      </c>
      <c r="K441">
        <v>136.80000000000001</v>
      </c>
      <c r="L441">
        <v>919.9</v>
      </c>
      <c r="M441">
        <v>0</v>
      </c>
      <c r="O441" t="s">
        <v>34</v>
      </c>
    </row>
    <row r="442" spans="1:15">
      <c r="A442" t="s">
        <v>1599</v>
      </c>
      <c r="B442" s="2">
        <v>44486.454780092594</v>
      </c>
      <c r="C442" s="2">
        <v>44486.465196759258</v>
      </c>
      <c r="D442" t="s">
        <v>151</v>
      </c>
      <c r="E442" t="s">
        <v>1580</v>
      </c>
      <c r="F442" t="s">
        <v>1581</v>
      </c>
      <c r="G442" t="s">
        <v>1561</v>
      </c>
      <c r="H442" t="s">
        <v>1043</v>
      </c>
      <c r="I442">
        <v>33879002</v>
      </c>
      <c r="J442" t="s">
        <v>1044</v>
      </c>
      <c r="K442">
        <v>142.58000000000001</v>
      </c>
      <c r="L442">
        <v>278.58</v>
      </c>
      <c r="M442">
        <v>0</v>
      </c>
      <c r="O442" t="s">
        <v>34</v>
      </c>
    </row>
    <row r="443" spans="1:15">
      <c r="A443" t="s">
        <v>1600</v>
      </c>
      <c r="B443" s="2">
        <v>44640.454780092594</v>
      </c>
      <c r="C443" s="2">
        <v>44640.490706018521</v>
      </c>
      <c r="D443" t="s">
        <v>151</v>
      </c>
      <c r="E443" t="s">
        <v>1559</v>
      </c>
      <c r="F443" t="s">
        <v>1560</v>
      </c>
      <c r="G443" t="s">
        <v>1561</v>
      </c>
      <c r="H443" t="s">
        <v>1020</v>
      </c>
      <c r="I443">
        <v>162673000</v>
      </c>
      <c r="J443" t="s">
        <v>1021</v>
      </c>
      <c r="K443">
        <v>136.80000000000001</v>
      </c>
      <c r="L443">
        <v>1119.1199999999999</v>
      </c>
      <c r="M443">
        <v>0</v>
      </c>
      <c r="O443" t="s">
        <v>34</v>
      </c>
    </row>
    <row r="444" spans="1:15">
      <c r="A444" t="s">
        <v>1601</v>
      </c>
      <c r="B444" s="2">
        <v>44752.454780092594</v>
      </c>
      <c r="C444" s="2">
        <v>44752.465196759258</v>
      </c>
      <c r="D444" t="s">
        <v>151</v>
      </c>
      <c r="E444" t="s">
        <v>1580</v>
      </c>
      <c r="F444" t="s">
        <v>1581</v>
      </c>
      <c r="G444" t="s">
        <v>1561</v>
      </c>
      <c r="H444" t="s">
        <v>1031</v>
      </c>
      <c r="I444">
        <v>424441002</v>
      </c>
      <c r="J444" t="s">
        <v>1059</v>
      </c>
      <c r="K444">
        <v>142.58000000000001</v>
      </c>
      <c r="L444">
        <v>12997.87</v>
      </c>
      <c r="M444">
        <v>6733.01</v>
      </c>
      <c r="N444">
        <v>72892002</v>
      </c>
      <c r="O444" t="s">
        <v>1060</v>
      </c>
    </row>
    <row r="445" spans="1:15">
      <c r="A445" t="s">
        <v>1602</v>
      </c>
      <c r="B445" s="2">
        <v>44763.454780092594</v>
      </c>
      <c r="C445" s="2">
        <v>44763.465196759258</v>
      </c>
      <c r="D445" t="s">
        <v>151</v>
      </c>
      <c r="E445" t="s">
        <v>1580</v>
      </c>
      <c r="F445" t="s">
        <v>1581</v>
      </c>
      <c r="G445" t="s">
        <v>1561</v>
      </c>
      <c r="H445" t="s">
        <v>1031</v>
      </c>
      <c r="I445">
        <v>270427003</v>
      </c>
      <c r="J445" t="s">
        <v>1179</v>
      </c>
      <c r="K445">
        <v>85.55</v>
      </c>
      <c r="L445">
        <v>16229.09</v>
      </c>
      <c r="M445">
        <v>11360.36</v>
      </c>
      <c r="N445">
        <v>72892002</v>
      </c>
      <c r="O445" t="s">
        <v>1060</v>
      </c>
    </row>
    <row r="446" spans="1:15">
      <c r="A446" t="s">
        <v>1603</v>
      </c>
      <c r="B446" s="2">
        <v>44783.454780092594</v>
      </c>
      <c r="C446" s="2">
        <v>44783.465196759258</v>
      </c>
      <c r="D446" t="s">
        <v>151</v>
      </c>
      <c r="E446" t="s">
        <v>1580</v>
      </c>
      <c r="F446" t="s">
        <v>1581</v>
      </c>
      <c r="G446" t="s">
        <v>1561</v>
      </c>
      <c r="H446" t="s">
        <v>1031</v>
      </c>
      <c r="I446">
        <v>424619006</v>
      </c>
      <c r="J446" t="s">
        <v>1062</v>
      </c>
      <c r="K446">
        <v>142.58000000000001</v>
      </c>
      <c r="L446">
        <v>1443.68</v>
      </c>
      <c r="M446">
        <v>1443.68</v>
      </c>
      <c r="N446">
        <v>72892002</v>
      </c>
      <c r="O446" t="s">
        <v>1060</v>
      </c>
    </row>
    <row r="447" spans="1:15">
      <c r="A447" t="s">
        <v>1604</v>
      </c>
      <c r="B447" s="2">
        <v>44794.454780092594</v>
      </c>
      <c r="C447" s="2">
        <v>44794.465196759258</v>
      </c>
      <c r="D447" t="s">
        <v>151</v>
      </c>
      <c r="E447" t="s">
        <v>1580</v>
      </c>
      <c r="F447" t="s">
        <v>1581</v>
      </c>
      <c r="G447" t="s">
        <v>1561</v>
      </c>
      <c r="H447" t="s">
        <v>1043</v>
      </c>
      <c r="I447">
        <v>698314001</v>
      </c>
      <c r="J447" t="s">
        <v>1190</v>
      </c>
      <c r="K447">
        <v>142.58000000000001</v>
      </c>
      <c r="L447">
        <v>142.58000000000001</v>
      </c>
      <c r="M447">
        <v>142.58000000000001</v>
      </c>
      <c r="N447">
        <v>389095005</v>
      </c>
      <c r="O447" t="s">
        <v>1191</v>
      </c>
    </row>
    <row r="448" spans="1:15">
      <c r="A448" t="s">
        <v>1605</v>
      </c>
      <c r="B448" s="2">
        <v>44803.413113425922</v>
      </c>
      <c r="C448" s="2">
        <v>44803.423530092594</v>
      </c>
      <c r="D448" t="s">
        <v>151</v>
      </c>
      <c r="E448" t="s">
        <v>1580</v>
      </c>
      <c r="F448" t="s">
        <v>1581</v>
      </c>
      <c r="G448" t="s">
        <v>1561</v>
      </c>
      <c r="H448" t="s">
        <v>1031</v>
      </c>
      <c r="I448">
        <v>185345009</v>
      </c>
      <c r="J448" t="s">
        <v>1032</v>
      </c>
      <c r="K448">
        <v>85.55</v>
      </c>
      <c r="L448">
        <v>85.55</v>
      </c>
      <c r="M448">
        <v>85.55</v>
      </c>
      <c r="N448">
        <v>36971009</v>
      </c>
      <c r="O448" t="s">
        <v>1278</v>
      </c>
    </row>
    <row r="449" spans="1:15">
      <c r="A449" t="s">
        <v>1606</v>
      </c>
      <c r="B449" s="2">
        <v>44856.413113425922</v>
      </c>
      <c r="C449" s="2">
        <v>44856.423530092594</v>
      </c>
      <c r="D449" t="s">
        <v>151</v>
      </c>
      <c r="E449" t="s">
        <v>1580</v>
      </c>
      <c r="F449" t="s">
        <v>1581</v>
      </c>
      <c r="G449" t="s">
        <v>1561</v>
      </c>
      <c r="H449" t="s">
        <v>1031</v>
      </c>
      <c r="I449">
        <v>185345009</v>
      </c>
      <c r="J449" t="s">
        <v>1032</v>
      </c>
      <c r="K449">
        <v>85.55</v>
      </c>
      <c r="L449">
        <v>92.93</v>
      </c>
      <c r="M449">
        <v>92.93</v>
      </c>
      <c r="N449">
        <v>36971009</v>
      </c>
      <c r="O449" t="s">
        <v>1278</v>
      </c>
    </row>
    <row r="450" spans="1:15">
      <c r="A450" t="s">
        <v>1607</v>
      </c>
      <c r="B450" s="2">
        <v>44861.413113425922</v>
      </c>
      <c r="C450" s="2">
        <v>44861.426006944443</v>
      </c>
      <c r="D450" t="s">
        <v>151</v>
      </c>
      <c r="E450" t="s">
        <v>1580</v>
      </c>
      <c r="F450" t="s">
        <v>1581</v>
      </c>
      <c r="G450" t="s">
        <v>1561</v>
      </c>
      <c r="H450" t="s">
        <v>1031</v>
      </c>
      <c r="I450">
        <v>185345009</v>
      </c>
      <c r="J450" t="s">
        <v>1032</v>
      </c>
      <c r="K450">
        <v>85.55</v>
      </c>
      <c r="L450">
        <v>383.41</v>
      </c>
      <c r="M450">
        <v>383.41</v>
      </c>
      <c r="N450">
        <v>10509002</v>
      </c>
      <c r="O450" t="s">
        <v>1033</v>
      </c>
    </row>
    <row r="451" spans="1:15">
      <c r="A451" t="s">
        <v>1608</v>
      </c>
      <c r="B451" s="2">
        <v>44871.413113425922</v>
      </c>
      <c r="C451" s="2">
        <v>44871.454780092594</v>
      </c>
      <c r="D451" t="s">
        <v>151</v>
      </c>
      <c r="E451" t="s">
        <v>1609</v>
      </c>
      <c r="F451" t="s">
        <v>1610</v>
      </c>
      <c r="G451" t="s">
        <v>1561</v>
      </c>
      <c r="H451" t="s">
        <v>1076</v>
      </c>
      <c r="I451">
        <v>50849002</v>
      </c>
      <c r="J451" t="s">
        <v>1163</v>
      </c>
      <c r="K451">
        <v>146.18</v>
      </c>
      <c r="L451">
        <v>713.58</v>
      </c>
      <c r="M451">
        <v>713.58</v>
      </c>
      <c r="O451" t="s">
        <v>34</v>
      </c>
    </row>
    <row r="452" spans="1:15">
      <c r="A452" t="s">
        <v>1611</v>
      </c>
      <c r="B452" s="2">
        <v>44878.413113425922</v>
      </c>
      <c r="C452" s="2">
        <v>44878.423530092594</v>
      </c>
      <c r="D452" t="s">
        <v>151</v>
      </c>
      <c r="E452" t="s">
        <v>1612</v>
      </c>
      <c r="F452" t="s">
        <v>1613</v>
      </c>
      <c r="G452" t="s">
        <v>1561</v>
      </c>
      <c r="H452" t="s">
        <v>1159</v>
      </c>
      <c r="I452">
        <v>702927004</v>
      </c>
      <c r="J452" t="s">
        <v>1160</v>
      </c>
      <c r="K452">
        <v>142.58000000000001</v>
      </c>
      <c r="L452">
        <v>142.58000000000001</v>
      </c>
      <c r="M452">
        <v>142.58000000000001</v>
      </c>
      <c r="O452" t="s">
        <v>34</v>
      </c>
    </row>
    <row r="453" spans="1:15">
      <c r="A453" t="s">
        <v>1614</v>
      </c>
      <c r="B453" s="2">
        <v>44885.413113425922</v>
      </c>
      <c r="C453" s="2">
        <v>44885.435185185182</v>
      </c>
      <c r="D453" t="s">
        <v>151</v>
      </c>
      <c r="E453" t="s">
        <v>1580</v>
      </c>
      <c r="F453" t="s">
        <v>1581</v>
      </c>
      <c r="G453" t="s">
        <v>1561</v>
      </c>
      <c r="H453" t="s">
        <v>1043</v>
      </c>
      <c r="I453">
        <v>185349003</v>
      </c>
      <c r="J453" t="s">
        <v>1038</v>
      </c>
      <c r="K453">
        <v>85.55</v>
      </c>
      <c r="L453">
        <v>516.95000000000005</v>
      </c>
      <c r="M453">
        <v>516.95000000000005</v>
      </c>
      <c r="O453" t="s">
        <v>34</v>
      </c>
    </row>
    <row r="454" spans="1:15">
      <c r="A454" t="s">
        <v>1615</v>
      </c>
      <c r="B454" s="2">
        <v>44892.413113425922</v>
      </c>
      <c r="C454" s="2">
        <v>44892.568148148152</v>
      </c>
      <c r="D454" t="s">
        <v>151</v>
      </c>
      <c r="E454" t="s">
        <v>1580</v>
      </c>
      <c r="F454" t="s">
        <v>1581</v>
      </c>
      <c r="G454" t="s">
        <v>1561</v>
      </c>
      <c r="H454" t="s">
        <v>1031</v>
      </c>
      <c r="I454">
        <v>185349003</v>
      </c>
      <c r="J454" t="s">
        <v>1038</v>
      </c>
      <c r="K454">
        <v>85.55</v>
      </c>
      <c r="L454">
        <v>3105.35</v>
      </c>
      <c r="M454">
        <v>3105.35</v>
      </c>
      <c r="N454">
        <v>103697008</v>
      </c>
      <c r="O454" t="s">
        <v>1039</v>
      </c>
    </row>
    <row r="455" spans="1:15">
      <c r="A455" t="s">
        <v>1616</v>
      </c>
      <c r="B455" s="2">
        <v>44899.413113425922</v>
      </c>
      <c r="C455" s="2">
        <v>44899.423530092594</v>
      </c>
      <c r="D455" t="s">
        <v>151</v>
      </c>
      <c r="E455" t="s">
        <v>1580</v>
      </c>
      <c r="F455" t="s">
        <v>1581</v>
      </c>
      <c r="G455" t="s">
        <v>1561</v>
      </c>
      <c r="H455" t="s">
        <v>1031</v>
      </c>
      <c r="I455">
        <v>185345009</v>
      </c>
      <c r="J455" t="s">
        <v>1032</v>
      </c>
      <c r="K455">
        <v>85.55</v>
      </c>
      <c r="L455">
        <v>85.55</v>
      </c>
      <c r="M455">
        <v>85.55</v>
      </c>
      <c r="N455">
        <v>36971009</v>
      </c>
      <c r="O455" t="s">
        <v>1278</v>
      </c>
    </row>
    <row r="456" spans="1:15">
      <c r="A456" t="s">
        <v>1617</v>
      </c>
      <c r="B456" s="2">
        <v>45011.454780092594</v>
      </c>
      <c r="C456" s="2">
        <v>45011.477534722224</v>
      </c>
      <c r="D456" t="s">
        <v>151</v>
      </c>
      <c r="E456" t="s">
        <v>1559</v>
      </c>
      <c r="F456" t="s">
        <v>1560</v>
      </c>
      <c r="G456" t="s">
        <v>1561</v>
      </c>
      <c r="H456" t="s">
        <v>1020</v>
      </c>
      <c r="I456">
        <v>162673000</v>
      </c>
      <c r="J456" t="s">
        <v>1021</v>
      </c>
      <c r="K456">
        <v>136.80000000000001</v>
      </c>
      <c r="L456">
        <v>642.78</v>
      </c>
      <c r="M456">
        <v>0</v>
      </c>
      <c r="O456" t="s">
        <v>34</v>
      </c>
    </row>
    <row r="457" spans="1:15">
      <c r="A457" t="s">
        <v>1618</v>
      </c>
      <c r="B457" s="2">
        <v>45154.454780092594</v>
      </c>
      <c r="C457" s="2">
        <v>45154.465196759258</v>
      </c>
      <c r="D457" t="s">
        <v>151</v>
      </c>
      <c r="E457" t="s">
        <v>1580</v>
      </c>
      <c r="F457" t="s">
        <v>1581</v>
      </c>
      <c r="G457" t="s">
        <v>1561</v>
      </c>
      <c r="H457" t="s">
        <v>1043</v>
      </c>
      <c r="I457">
        <v>698314001</v>
      </c>
      <c r="J457" t="s">
        <v>1190</v>
      </c>
      <c r="K457">
        <v>142.58000000000001</v>
      </c>
      <c r="L457">
        <v>142.58000000000001</v>
      </c>
      <c r="M457">
        <v>0</v>
      </c>
      <c r="N457">
        <v>389095005</v>
      </c>
      <c r="O457" t="s">
        <v>1191</v>
      </c>
    </row>
    <row r="458" spans="1:15">
      <c r="A458" t="s">
        <v>1619</v>
      </c>
      <c r="B458" s="2">
        <v>45382.454780092594</v>
      </c>
      <c r="C458" s="2">
        <v>45382.494895833333</v>
      </c>
      <c r="D458" t="s">
        <v>151</v>
      </c>
      <c r="E458" t="s">
        <v>1559</v>
      </c>
      <c r="F458" t="s">
        <v>1560</v>
      </c>
      <c r="G458" t="s">
        <v>1561</v>
      </c>
      <c r="H458" t="s">
        <v>1020</v>
      </c>
      <c r="I458">
        <v>162673000</v>
      </c>
      <c r="J458" t="s">
        <v>1021</v>
      </c>
      <c r="K458">
        <v>136.80000000000001</v>
      </c>
      <c r="L458">
        <v>704.2</v>
      </c>
      <c r="M458">
        <v>0</v>
      </c>
      <c r="O458" t="s">
        <v>34</v>
      </c>
    </row>
    <row r="459" spans="1:15">
      <c r="A459" t="s">
        <v>1620</v>
      </c>
      <c r="B459" s="2">
        <v>45396.454780092594</v>
      </c>
      <c r="C459" s="2">
        <v>45396.602534722224</v>
      </c>
      <c r="D459" t="s">
        <v>151</v>
      </c>
      <c r="E459" t="s">
        <v>1580</v>
      </c>
      <c r="F459" t="s">
        <v>1581</v>
      </c>
      <c r="G459" t="s">
        <v>1561</v>
      </c>
      <c r="H459" t="s">
        <v>1031</v>
      </c>
      <c r="I459">
        <v>185349003</v>
      </c>
      <c r="J459" t="s">
        <v>1038</v>
      </c>
      <c r="K459">
        <v>85.55</v>
      </c>
      <c r="L459">
        <v>3105.35</v>
      </c>
      <c r="M459">
        <v>0</v>
      </c>
      <c r="N459">
        <v>103697008</v>
      </c>
      <c r="O459" t="s">
        <v>1039</v>
      </c>
    </row>
    <row r="460" spans="1:15">
      <c r="A460" t="s">
        <v>1621</v>
      </c>
      <c r="B460" s="2">
        <v>45514.454780092594</v>
      </c>
      <c r="C460" s="2">
        <v>45514.494826388887</v>
      </c>
      <c r="D460" t="s">
        <v>151</v>
      </c>
      <c r="E460" t="s">
        <v>1580</v>
      </c>
      <c r="F460" t="s">
        <v>1581</v>
      </c>
      <c r="G460" t="s">
        <v>1561</v>
      </c>
      <c r="H460" t="s">
        <v>1043</v>
      </c>
      <c r="I460">
        <v>698314001</v>
      </c>
      <c r="J460" t="s">
        <v>1190</v>
      </c>
      <c r="K460">
        <v>142.58000000000001</v>
      </c>
      <c r="L460">
        <v>573.98</v>
      </c>
      <c r="M460">
        <v>10.51</v>
      </c>
      <c r="N460">
        <v>183996000</v>
      </c>
      <c r="O460" t="s">
        <v>1622</v>
      </c>
    </row>
    <row r="461" spans="1:15">
      <c r="A461" t="s">
        <v>1623</v>
      </c>
      <c r="B461" s="2">
        <v>45523.494826388887</v>
      </c>
      <c r="C461" s="2">
        <v>45524.494826388887</v>
      </c>
      <c r="D461" t="s">
        <v>151</v>
      </c>
      <c r="E461" t="s">
        <v>1624</v>
      </c>
      <c r="F461" t="s">
        <v>1625</v>
      </c>
      <c r="G461" t="s">
        <v>1561</v>
      </c>
      <c r="H461" t="s">
        <v>1431</v>
      </c>
      <c r="I461">
        <v>305408004</v>
      </c>
      <c r="J461" t="s">
        <v>1626</v>
      </c>
      <c r="K461">
        <v>146.18</v>
      </c>
      <c r="L461">
        <v>9102.2099999999991</v>
      </c>
      <c r="M461">
        <v>6371.55</v>
      </c>
      <c r="N461">
        <v>183996000</v>
      </c>
      <c r="O461" t="s">
        <v>1622</v>
      </c>
    </row>
    <row r="462" spans="1:15">
      <c r="A462" t="s">
        <v>1627</v>
      </c>
      <c r="B462" s="2">
        <v>45753.454780092594</v>
      </c>
      <c r="C462" s="2">
        <v>45753.482372685183</v>
      </c>
      <c r="D462" t="s">
        <v>151</v>
      </c>
      <c r="E462" t="s">
        <v>1559</v>
      </c>
      <c r="F462" t="s">
        <v>1560</v>
      </c>
      <c r="G462" t="s">
        <v>1561</v>
      </c>
      <c r="H462" t="s">
        <v>1020</v>
      </c>
      <c r="I462">
        <v>162673000</v>
      </c>
      <c r="J462" t="s">
        <v>1021</v>
      </c>
      <c r="K462">
        <v>136.80000000000001</v>
      </c>
      <c r="L462">
        <v>704.2</v>
      </c>
      <c r="M462">
        <v>0</v>
      </c>
      <c r="O462" t="s">
        <v>34</v>
      </c>
    </row>
    <row r="463" spans="1:15">
      <c r="A463" t="s">
        <v>1628</v>
      </c>
      <c r="B463" s="2">
        <v>45767.454780092594</v>
      </c>
      <c r="C463" s="2">
        <v>45767.585543981484</v>
      </c>
      <c r="D463" t="s">
        <v>151</v>
      </c>
      <c r="E463" t="s">
        <v>1580</v>
      </c>
      <c r="F463" t="s">
        <v>1581</v>
      </c>
      <c r="G463" t="s">
        <v>1561</v>
      </c>
      <c r="H463" t="s">
        <v>1031</v>
      </c>
      <c r="I463">
        <v>185349003</v>
      </c>
      <c r="J463" t="s">
        <v>1038</v>
      </c>
      <c r="K463">
        <v>85.55</v>
      </c>
      <c r="L463">
        <v>3105.35</v>
      </c>
      <c r="M463">
        <v>0</v>
      </c>
      <c r="N463">
        <v>103697008</v>
      </c>
      <c r="O463" t="s">
        <v>1039</v>
      </c>
    </row>
    <row r="464" spans="1:15">
      <c r="A464" t="s">
        <v>1629</v>
      </c>
      <c r="B464" s="2">
        <v>45774.454780092594</v>
      </c>
      <c r="C464" s="2">
        <v>45774.496446759258</v>
      </c>
      <c r="D464" t="s">
        <v>151</v>
      </c>
      <c r="E464" t="s">
        <v>1609</v>
      </c>
      <c r="F464" t="s">
        <v>1610</v>
      </c>
      <c r="G464" t="s">
        <v>1561</v>
      </c>
      <c r="H464" t="s">
        <v>1076</v>
      </c>
      <c r="I464">
        <v>50849002</v>
      </c>
      <c r="J464" t="s">
        <v>1163</v>
      </c>
      <c r="K464">
        <v>146.18</v>
      </c>
      <c r="L464">
        <v>4245.82</v>
      </c>
      <c r="M464">
        <v>2709.08</v>
      </c>
      <c r="N464">
        <v>312608009</v>
      </c>
      <c r="O464" t="s">
        <v>1249</v>
      </c>
    </row>
    <row r="465" spans="1:15">
      <c r="A465" t="s">
        <v>1630</v>
      </c>
      <c r="B465" s="2">
        <v>46124.454780092594</v>
      </c>
      <c r="C465" s="2">
        <v>46124.486944444441</v>
      </c>
      <c r="D465" t="s">
        <v>151</v>
      </c>
      <c r="E465" t="s">
        <v>1559</v>
      </c>
      <c r="F465" t="s">
        <v>1560</v>
      </c>
      <c r="G465" t="s">
        <v>1561</v>
      </c>
      <c r="H465" t="s">
        <v>1020</v>
      </c>
      <c r="I465">
        <v>162673000</v>
      </c>
      <c r="J465" t="s">
        <v>1021</v>
      </c>
      <c r="K465">
        <v>136.80000000000001</v>
      </c>
      <c r="L465">
        <v>1641.58</v>
      </c>
      <c r="M465">
        <v>0</v>
      </c>
      <c r="O465" t="s">
        <v>34</v>
      </c>
    </row>
    <row r="466" spans="1:15">
      <c r="A466" t="s">
        <v>1631</v>
      </c>
      <c r="B466" s="2">
        <v>42699.307280092595</v>
      </c>
      <c r="C466" s="2">
        <v>42699.317696759259</v>
      </c>
      <c r="D466" t="s">
        <v>162</v>
      </c>
      <c r="E466" t="s">
        <v>1632</v>
      </c>
      <c r="F466" t="s">
        <v>1633</v>
      </c>
      <c r="G466" t="s">
        <v>1019</v>
      </c>
      <c r="H466" t="s">
        <v>1020</v>
      </c>
      <c r="I466">
        <v>410620009</v>
      </c>
      <c r="J466" t="s">
        <v>1054</v>
      </c>
      <c r="K466">
        <v>136.80000000000001</v>
      </c>
      <c r="L466">
        <v>909.06</v>
      </c>
      <c r="M466">
        <v>0</v>
      </c>
      <c r="O466" t="s">
        <v>34</v>
      </c>
    </row>
    <row r="467" spans="1:15">
      <c r="A467" t="s">
        <v>1634</v>
      </c>
      <c r="B467" s="2">
        <v>43070.307280092595</v>
      </c>
      <c r="C467" s="2">
        <v>43070.317696759259</v>
      </c>
      <c r="D467" t="s">
        <v>162</v>
      </c>
      <c r="E467" t="s">
        <v>1632</v>
      </c>
      <c r="F467" t="s">
        <v>1633</v>
      </c>
      <c r="G467" t="s">
        <v>1019</v>
      </c>
      <c r="H467" t="s">
        <v>1020</v>
      </c>
      <c r="I467">
        <v>410620009</v>
      </c>
      <c r="J467" t="s">
        <v>1054</v>
      </c>
      <c r="K467">
        <v>136.80000000000001</v>
      </c>
      <c r="L467">
        <v>272.8</v>
      </c>
      <c r="M467">
        <v>0</v>
      </c>
      <c r="O467" t="s">
        <v>34</v>
      </c>
    </row>
    <row r="468" spans="1:15">
      <c r="A468" t="s">
        <v>1635</v>
      </c>
      <c r="B468" s="2">
        <v>43441.307280092595</v>
      </c>
      <c r="C468" s="2">
        <v>43441.317696759259</v>
      </c>
      <c r="D468" t="s">
        <v>162</v>
      </c>
      <c r="E468" t="s">
        <v>1632</v>
      </c>
      <c r="F468" t="s">
        <v>1633</v>
      </c>
      <c r="G468" t="s">
        <v>1019</v>
      </c>
      <c r="H468" t="s">
        <v>1020</v>
      </c>
      <c r="I468">
        <v>410620009</v>
      </c>
      <c r="J468" t="s">
        <v>1054</v>
      </c>
      <c r="K468">
        <v>136.80000000000001</v>
      </c>
      <c r="L468">
        <v>272.8</v>
      </c>
      <c r="M468">
        <v>0</v>
      </c>
      <c r="O468" t="s">
        <v>34</v>
      </c>
    </row>
    <row r="469" spans="1:15">
      <c r="A469" t="s">
        <v>1636</v>
      </c>
      <c r="B469" s="2">
        <v>43793.390613425923</v>
      </c>
      <c r="C469" s="2">
        <v>43793.401030092595</v>
      </c>
      <c r="D469" t="s">
        <v>162</v>
      </c>
      <c r="E469" t="s">
        <v>1276</v>
      </c>
      <c r="F469" t="s">
        <v>1277</v>
      </c>
      <c r="G469" t="s">
        <v>1019</v>
      </c>
      <c r="H469" t="s">
        <v>1031</v>
      </c>
      <c r="I469">
        <v>185345009</v>
      </c>
      <c r="J469" t="s">
        <v>1032</v>
      </c>
      <c r="K469">
        <v>85.55</v>
      </c>
      <c r="L469">
        <v>85.55</v>
      </c>
      <c r="M469">
        <v>0</v>
      </c>
      <c r="N469">
        <v>444814009</v>
      </c>
      <c r="O469" t="s">
        <v>1035</v>
      </c>
    </row>
    <row r="470" spans="1:15">
      <c r="A470" t="s">
        <v>1637</v>
      </c>
      <c r="B470" s="2">
        <v>43812.307280092595</v>
      </c>
      <c r="C470" s="2">
        <v>43812.317824074074</v>
      </c>
      <c r="D470" t="s">
        <v>162</v>
      </c>
      <c r="E470" t="s">
        <v>1632</v>
      </c>
      <c r="F470" t="s">
        <v>1633</v>
      </c>
      <c r="G470" t="s">
        <v>1019</v>
      </c>
      <c r="H470" t="s">
        <v>1020</v>
      </c>
      <c r="I470">
        <v>410620009</v>
      </c>
      <c r="J470" t="s">
        <v>1054</v>
      </c>
      <c r="K470">
        <v>136.80000000000001</v>
      </c>
      <c r="L470">
        <v>1186.78</v>
      </c>
      <c r="M470">
        <v>0</v>
      </c>
      <c r="O470" t="s">
        <v>34</v>
      </c>
    </row>
    <row r="471" spans="1:15">
      <c r="A471" t="s">
        <v>1638</v>
      </c>
      <c r="B471" s="2">
        <v>43819.307280092595</v>
      </c>
      <c r="C471" s="2">
        <v>43819.436828703707</v>
      </c>
      <c r="D471" t="s">
        <v>162</v>
      </c>
      <c r="E471" t="s">
        <v>1276</v>
      </c>
      <c r="F471" t="s">
        <v>1277</v>
      </c>
      <c r="G471" t="s">
        <v>1019</v>
      </c>
      <c r="H471" t="s">
        <v>1031</v>
      </c>
      <c r="I471">
        <v>185349003</v>
      </c>
      <c r="J471" t="s">
        <v>1038</v>
      </c>
      <c r="K471">
        <v>85.55</v>
      </c>
      <c r="L471">
        <v>3105.35</v>
      </c>
      <c r="M471">
        <v>0</v>
      </c>
      <c r="N471">
        <v>103697008</v>
      </c>
      <c r="O471" t="s">
        <v>1039</v>
      </c>
    </row>
    <row r="472" spans="1:15">
      <c r="A472" t="s">
        <v>1639</v>
      </c>
      <c r="B472" s="2">
        <v>44031.765613425923</v>
      </c>
      <c r="C472" s="2">
        <v>44031.776030092595</v>
      </c>
      <c r="D472" t="s">
        <v>162</v>
      </c>
      <c r="E472" t="s">
        <v>1276</v>
      </c>
      <c r="F472" t="s">
        <v>1277</v>
      </c>
      <c r="G472" t="s">
        <v>1019</v>
      </c>
      <c r="H472" t="s">
        <v>1031</v>
      </c>
      <c r="I472">
        <v>185345009</v>
      </c>
      <c r="J472" t="s">
        <v>1032</v>
      </c>
      <c r="K472">
        <v>85.55</v>
      </c>
      <c r="L472">
        <v>85.55</v>
      </c>
      <c r="M472">
        <v>0</v>
      </c>
      <c r="N472">
        <v>195662009</v>
      </c>
      <c r="O472" t="s">
        <v>1130</v>
      </c>
    </row>
    <row r="473" spans="1:15">
      <c r="A473" t="s">
        <v>1640</v>
      </c>
      <c r="B473" s="2">
        <v>44183.307280092595</v>
      </c>
      <c r="C473" s="2">
        <v>44183.317696759259</v>
      </c>
      <c r="D473" t="s">
        <v>162</v>
      </c>
      <c r="E473" t="s">
        <v>1632</v>
      </c>
      <c r="F473" t="s">
        <v>1633</v>
      </c>
      <c r="G473" t="s">
        <v>1019</v>
      </c>
      <c r="H473" t="s">
        <v>1020</v>
      </c>
      <c r="I473">
        <v>410620009</v>
      </c>
      <c r="J473" t="s">
        <v>1054</v>
      </c>
      <c r="K473">
        <v>136.80000000000001</v>
      </c>
      <c r="L473">
        <v>840.2</v>
      </c>
      <c r="M473">
        <v>0</v>
      </c>
      <c r="O473" t="s">
        <v>34</v>
      </c>
    </row>
    <row r="474" spans="1:15">
      <c r="A474" t="s">
        <v>1641</v>
      </c>
      <c r="B474" s="2">
        <v>44463.348946759259</v>
      </c>
      <c r="C474" s="2">
        <v>44463.390613425923</v>
      </c>
      <c r="D474" t="s">
        <v>162</v>
      </c>
      <c r="E474" t="s">
        <v>1642</v>
      </c>
      <c r="F474" t="s">
        <v>1643</v>
      </c>
      <c r="G474" t="s">
        <v>1019</v>
      </c>
      <c r="H474" t="s">
        <v>1076</v>
      </c>
      <c r="I474">
        <v>50849002</v>
      </c>
      <c r="J474" t="s">
        <v>1163</v>
      </c>
      <c r="K474">
        <v>146.18</v>
      </c>
      <c r="L474">
        <v>1008.98</v>
      </c>
      <c r="M474">
        <v>0</v>
      </c>
      <c r="N474">
        <v>125605004</v>
      </c>
      <c r="O474" t="s">
        <v>1644</v>
      </c>
    </row>
    <row r="475" spans="1:15">
      <c r="A475" t="s">
        <v>1645</v>
      </c>
      <c r="B475" s="2">
        <v>44505.348946759259</v>
      </c>
      <c r="C475" s="2">
        <v>44505.359363425923</v>
      </c>
      <c r="D475" t="s">
        <v>162</v>
      </c>
      <c r="E475" t="s">
        <v>1276</v>
      </c>
      <c r="F475" t="s">
        <v>1277</v>
      </c>
      <c r="G475" t="s">
        <v>1019</v>
      </c>
      <c r="H475" t="s">
        <v>1043</v>
      </c>
      <c r="I475">
        <v>33879002</v>
      </c>
      <c r="J475" t="s">
        <v>1044</v>
      </c>
      <c r="K475">
        <v>142.58000000000001</v>
      </c>
      <c r="L475">
        <v>278.58</v>
      </c>
      <c r="M475">
        <v>0</v>
      </c>
      <c r="O475" t="s">
        <v>34</v>
      </c>
    </row>
    <row r="476" spans="1:15">
      <c r="A476" t="s">
        <v>1646</v>
      </c>
      <c r="B476" s="2">
        <v>44511.330752314818</v>
      </c>
      <c r="C476" s="2">
        <v>44511.341168981482</v>
      </c>
      <c r="D476" t="s">
        <v>162</v>
      </c>
      <c r="E476" t="s">
        <v>1276</v>
      </c>
      <c r="F476" t="s">
        <v>1277</v>
      </c>
      <c r="G476" t="s">
        <v>1019</v>
      </c>
      <c r="H476" t="s">
        <v>1031</v>
      </c>
      <c r="I476">
        <v>185349003</v>
      </c>
      <c r="J476" t="s">
        <v>1038</v>
      </c>
      <c r="K476">
        <v>85.55</v>
      </c>
      <c r="L476">
        <v>85.55</v>
      </c>
      <c r="M476">
        <v>0</v>
      </c>
      <c r="N476">
        <v>65966004</v>
      </c>
      <c r="O476" t="s">
        <v>1647</v>
      </c>
    </row>
    <row r="477" spans="1:15">
      <c r="A477" t="s">
        <v>1648</v>
      </c>
      <c r="B477" s="2">
        <v>44526.307280092595</v>
      </c>
      <c r="C477" s="2">
        <v>44526.317696759259</v>
      </c>
      <c r="D477" t="s">
        <v>162</v>
      </c>
      <c r="E477" t="s">
        <v>1276</v>
      </c>
      <c r="F477" t="s">
        <v>1277</v>
      </c>
      <c r="G477" t="s">
        <v>1019</v>
      </c>
      <c r="H477" t="s">
        <v>1043</v>
      </c>
      <c r="I477">
        <v>33879002</v>
      </c>
      <c r="J477" t="s">
        <v>1044</v>
      </c>
      <c r="K477">
        <v>142.58000000000001</v>
      </c>
      <c r="L477">
        <v>278.58</v>
      </c>
      <c r="M477">
        <v>0</v>
      </c>
      <c r="O477" t="s">
        <v>34</v>
      </c>
    </row>
    <row r="478" spans="1:15">
      <c r="A478" t="s">
        <v>1649</v>
      </c>
      <c r="B478" s="2">
        <v>44554.307280092595</v>
      </c>
      <c r="C478" s="2">
        <v>44554.317696759259</v>
      </c>
      <c r="D478" t="s">
        <v>162</v>
      </c>
      <c r="E478" t="s">
        <v>1632</v>
      </c>
      <c r="F478" t="s">
        <v>1633</v>
      </c>
      <c r="G478" t="s">
        <v>1019</v>
      </c>
      <c r="H478" t="s">
        <v>1020</v>
      </c>
      <c r="I478">
        <v>410620009</v>
      </c>
      <c r="J478" t="s">
        <v>1054</v>
      </c>
      <c r="K478">
        <v>136.80000000000001</v>
      </c>
      <c r="L478">
        <v>1055.9000000000001</v>
      </c>
      <c r="M478">
        <v>0</v>
      </c>
      <c r="O478" t="s">
        <v>34</v>
      </c>
    </row>
    <row r="479" spans="1:15">
      <c r="A479" t="s">
        <v>1650</v>
      </c>
      <c r="B479" s="2">
        <v>44568.307280092595</v>
      </c>
      <c r="C479" s="2">
        <v>44568.433379629627</v>
      </c>
      <c r="D479" t="s">
        <v>162</v>
      </c>
      <c r="E479" t="s">
        <v>1276</v>
      </c>
      <c r="F479" t="s">
        <v>1277</v>
      </c>
      <c r="G479" t="s">
        <v>1019</v>
      </c>
      <c r="H479" t="s">
        <v>1031</v>
      </c>
      <c r="I479">
        <v>185349003</v>
      </c>
      <c r="J479" t="s">
        <v>1038</v>
      </c>
      <c r="K479">
        <v>85.55</v>
      </c>
      <c r="L479">
        <v>2673.95</v>
      </c>
      <c r="M479">
        <v>0</v>
      </c>
      <c r="N479">
        <v>66383009</v>
      </c>
      <c r="O479" t="s">
        <v>1209</v>
      </c>
    </row>
    <row r="480" spans="1:15">
      <c r="A480" t="s">
        <v>1651</v>
      </c>
      <c r="B480" s="2">
        <v>44925.307280092595</v>
      </c>
      <c r="C480" s="2">
        <v>44925.320740740739</v>
      </c>
      <c r="D480" t="s">
        <v>162</v>
      </c>
      <c r="E480" t="s">
        <v>1632</v>
      </c>
      <c r="F480" t="s">
        <v>1633</v>
      </c>
      <c r="G480" t="s">
        <v>1019</v>
      </c>
      <c r="H480" t="s">
        <v>1020</v>
      </c>
      <c r="I480">
        <v>410620009</v>
      </c>
      <c r="J480" t="s">
        <v>1054</v>
      </c>
      <c r="K480">
        <v>136.80000000000001</v>
      </c>
      <c r="L480">
        <v>704.2</v>
      </c>
      <c r="M480">
        <v>0</v>
      </c>
      <c r="O480" t="s">
        <v>34</v>
      </c>
    </row>
    <row r="481" spans="1:15">
      <c r="A481" t="s">
        <v>1652</v>
      </c>
      <c r="B481" s="2">
        <v>44932.307280092595</v>
      </c>
      <c r="C481" s="2">
        <v>44932.43681712963</v>
      </c>
      <c r="D481" t="s">
        <v>162</v>
      </c>
      <c r="E481" t="s">
        <v>1276</v>
      </c>
      <c r="F481" t="s">
        <v>1277</v>
      </c>
      <c r="G481" t="s">
        <v>1019</v>
      </c>
      <c r="H481" t="s">
        <v>1031</v>
      </c>
      <c r="I481">
        <v>185349003</v>
      </c>
      <c r="J481" t="s">
        <v>1038</v>
      </c>
      <c r="K481">
        <v>85.55</v>
      </c>
      <c r="L481">
        <v>2673.95</v>
      </c>
      <c r="M481">
        <v>0</v>
      </c>
      <c r="N481">
        <v>103697008</v>
      </c>
      <c r="O481" t="s">
        <v>1039</v>
      </c>
    </row>
    <row r="482" spans="1:15">
      <c r="A482" t="s">
        <v>1653</v>
      </c>
      <c r="B482" s="2">
        <v>45296.307280092595</v>
      </c>
      <c r="C482" s="2">
        <v>45296.317696759259</v>
      </c>
      <c r="D482" t="s">
        <v>162</v>
      </c>
      <c r="E482" t="s">
        <v>1632</v>
      </c>
      <c r="F482" t="s">
        <v>1633</v>
      </c>
      <c r="G482" t="s">
        <v>1019</v>
      </c>
      <c r="H482" t="s">
        <v>1020</v>
      </c>
      <c r="I482">
        <v>410620009</v>
      </c>
      <c r="J482" t="s">
        <v>1054</v>
      </c>
      <c r="K482">
        <v>136.80000000000001</v>
      </c>
      <c r="L482">
        <v>704.2</v>
      </c>
      <c r="M482">
        <v>0</v>
      </c>
      <c r="O482" t="s">
        <v>34</v>
      </c>
    </row>
    <row r="483" spans="1:15">
      <c r="A483" t="s">
        <v>1654</v>
      </c>
      <c r="B483" s="2">
        <v>45310.307280092595</v>
      </c>
      <c r="C483" s="2">
        <v>45310.442395833335</v>
      </c>
      <c r="D483" t="s">
        <v>162</v>
      </c>
      <c r="E483" t="s">
        <v>1276</v>
      </c>
      <c r="F483" t="s">
        <v>1277</v>
      </c>
      <c r="G483" t="s">
        <v>1019</v>
      </c>
      <c r="H483" t="s">
        <v>1031</v>
      </c>
      <c r="I483">
        <v>185349003</v>
      </c>
      <c r="J483" t="s">
        <v>1038</v>
      </c>
      <c r="K483">
        <v>85.55</v>
      </c>
      <c r="L483">
        <v>2673.95</v>
      </c>
      <c r="M483">
        <v>0</v>
      </c>
      <c r="N483">
        <v>66383009</v>
      </c>
      <c r="O483" t="s">
        <v>1209</v>
      </c>
    </row>
    <row r="484" spans="1:15">
      <c r="A484" t="s">
        <v>1655</v>
      </c>
      <c r="B484" s="2">
        <v>45667.307280092595</v>
      </c>
      <c r="C484" s="2">
        <v>45667.317696759259</v>
      </c>
      <c r="D484" t="s">
        <v>162</v>
      </c>
      <c r="E484" t="s">
        <v>1632</v>
      </c>
      <c r="F484" t="s">
        <v>1633</v>
      </c>
      <c r="G484" t="s">
        <v>1019</v>
      </c>
      <c r="H484" t="s">
        <v>1020</v>
      </c>
      <c r="I484">
        <v>410620009</v>
      </c>
      <c r="J484" t="s">
        <v>1054</v>
      </c>
      <c r="K484">
        <v>136.80000000000001</v>
      </c>
      <c r="L484">
        <v>1130.48</v>
      </c>
      <c r="M484">
        <v>0</v>
      </c>
      <c r="O484" t="s">
        <v>34</v>
      </c>
    </row>
    <row r="485" spans="1:15">
      <c r="A485" t="s">
        <v>1656</v>
      </c>
      <c r="B485" s="2">
        <v>45674.307280092595</v>
      </c>
      <c r="C485" s="2">
        <v>45674.443379629629</v>
      </c>
      <c r="D485" t="s">
        <v>162</v>
      </c>
      <c r="E485" t="s">
        <v>1276</v>
      </c>
      <c r="F485" t="s">
        <v>1277</v>
      </c>
      <c r="G485" t="s">
        <v>1019</v>
      </c>
      <c r="H485" t="s">
        <v>1031</v>
      </c>
      <c r="I485">
        <v>185349003</v>
      </c>
      <c r="J485" t="s">
        <v>1038</v>
      </c>
      <c r="K485">
        <v>85.55</v>
      </c>
      <c r="L485">
        <v>3536.75</v>
      </c>
      <c r="M485">
        <v>0</v>
      </c>
      <c r="N485">
        <v>103697008</v>
      </c>
      <c r="O485" t="s">
        <v>1039</v>
      </c>
    </row>
    <row r="486" spans="1:15">
      <c r="A486" t="s">
        <v>1657</v>
      </c>
      <c r="B486" s="2">
        <v>46038.307280092595</v>
      </c>
      <c r="C486" s="2">
        <v>46038.323946759258</v>
      </c>
      <c r="D486" t="s">
        <v>162</v>
      </c>
      <c r="E486" t="s">
        <v>1632</v>
      </c>
      <c r="F486" t="s">
        <v>1633</v>
      </c>
      <c r="G486" t="s">
        <v>1019</v>
      </c>
      <c r="H486" t="s">
        <v>1020</v>
      </c>
      <c r="I486">
        <v>410620009</v>
      </c>
      <c r="J486" t="s">
        <v>1054</v>
      </c>
      <c r="K486">
        <v>136.80000000000001</v>
      </c>
      <c r="L486">
        <v>704.2</v>
      </c>
      <c r="M486">
        <v>0</v>
      </c>
      <c r="O486" t="s">
        <v>34</v>
      </c>
    </row>
    <row r="487" spans="1:15">
      <c r="A487" t="s">
        <v>1658</v>
      </c>
      <c r="B487" s="2">
        <v>46052.307280092595</v>
      </c>
      <c r="C487" s="2">
        <v>46052.449328703704</v>
      </c>
      <c r="D487" t="s">
        <v>162</v>
      </c>
      <c r="E487" t="s">
        <v>1276</v>
      </c>
      <c r="F487" t="s">
        <v>1277</v>
      </c>
      <c r="G487" t="s">
        <v>1019</v>
      </c>
      <c r="H487" t="s">
        <v>1031</v>
      </c>
      <c r="I487">
        <v>185349003</v>
      </c>
      <c r="J487" t="s">
        <v>1038</v>
      </c>
      <c r="K487">
        <v>85.55</v>
      </c>
      <c r="L487">
        <v>3536.75</v>
      </c>
      <c r="M487">
        <v>0</v>
      </c>
      <c r="N487">
        <v>66383009</v>
      </c>
      <c r="O487" t="s">
        <v>1209</v>
      </c>
    </row>
    <row r="488" spans="1:15">
      <c r="A488" t="s">
        <v>1659</v>
      </c>
      <c r="B488" s="2">
        <v>46191.348946759259</v>
      </c>
      <c r="C488" s="2">
        <v>46191.406701388885</v>
      </c>
      <c r="D488" t="s">
        <v>162</v>
      </c>
      <c r="E488" t="s">
        <v>1276</v>
      </c>
      <c r="F488" t="s">
        <v>1277</v>
      </c>
      <c r="G488" t="s">
        <v>1019</v>
      </c>
      <c r="H488" t="s">
        <v>1031</v>
      </c>
      <c r="I488">
        <v>185345009</v>
      </c>
      <c r="J488" t="s">
        <v>1032</v>
      </c>
      <c r="K488">
        <v>85.55</v>
      </c>
      <c r="L488">
        <v>3179.93</v>
      </c>
      <c r="M488">
        <v>0</v>
      </c>
      <c r="N488">
        <v>307426000</v>
      </c>
      <c r="O488" t="s">
        <v>1097</v>
      </c>
    </row>
    <row r="489" spans="1:15">
      <c r="A489" t="s">
        <v>1660</v>
      </c>
      <c r="B489" s="2">
        <v>30574.414918981482</v>
      </c>
      <c r="C489" s="2">
        <v>30574.425335648149</v>
      </c>
      <c r="D489" t="s">
        <v>170</v>
      </c>
      <c r="E489" t="s">
        <v>1661</v>
      </c>
      <c r="F489" t="s">
        <v>1662</v>
      </c>
      <c r="G489" t="s">
        <v>1019</v>
      </c>
      <c r="H489" t="s">
        <v>1031</v>
      </c>
      <c r="I489">
        <v>185345009</v>
      </c>
      <c r="J489" t="s">
        <v>1032</v>
      </c>
      <c r="K489">
        <v>85.55</v>
      </c>
      <c r="L489">
        <v>516.95000000000005</v>
      </c>
      <c r="M489">
        <v>0</v>
      </c>
      <c r="N489">
        <v>233678006</v>
      </c>
      <c r="O489" t="s">
        <v>1148</v>
      </c>
    </row>
    <row r="490" spans="1:15">
      <c r="A490" t="s">
        <v>1663</v>
      </c>
      <c r="B490" s="2">
        <v>35423.373252314814</v>
      </c>
      <c r="C490" s="2">
        <v>35423.383668981478</v>
      </c>
      <c r="D490" t="s">
        <v>170</v>
      </c>
      <c r="E490" t="s">
        <v>1664</v>
      </c>
      <c r="F490" t="s">
        <v>1665</v>
      </c>
      <c r="G490" t="s">
        <v>1019</v>
      </c>
      <c r="H490" t="s">
        <v>1020</v>
      </c>
      <c r="I490">
        <v>410620009</v>
      </c>
      <c r="J490" t="s">
        <v>1054</v>
      </c>
      <c r="K490">
        <v>136.80000000000001</v>
      </c>
      <c r="L490">
        <v>704.2</v>
      </c>
      <c r="M490">
        <v>0</v>
      </c>
      <c r="O490" t="s">
        <v>34</v>
      </c>
    </row>
    <row r="491" spans="1:15">
      <c r="A491" t="s">
        <v>1666</v>
      </c>
      <c r="B491" s="2">
        <v>35794.373252314814</v>
      </c>
      <c r="C491" s="2">
        <v>35794.400451388887</v>
      </c>
      <c r="D491" t="s">
        <v>170</v>
      </c>
      <c r="E491" t="s">
        <v>1664</v>
      </c>
      <c r="F491" t="s">
        <v>1665</v>
      </c>
      <c r="G491" t="s">
        <v>1019</v>
      </c>
      <c r="H491" t="s">
        <v>1020</v>
      </c>
      <c r="I491">
        <v>162673000</v>
      </c>
      <c r="J491" t="s">
        <v>1021</v>
      </c>
      <c r="K491">
        <v>136.80000000000001</v>
      </c>
      <c r="L491">
        <v>704.2</v>
      </c>
      <c r="M491">
        <v>0</v>
      </c>
      <c r="O491" t="s">
        <v>34</v>
      </c>
    </row>
    <row r="492" spans="1:15">
      <c r="A492" t="s">
        <v>1667</v>
      </c>
      <c r="B492" s="2">
        <v>36536.373252314814</v>
      </c>
      <c r="C492" s="2">
        <v>36536.406840277778</v>
      </c>
      <c r="D492" t="s">
        <v>170</v>
      </c>
      <c r="E492" t="s">
        <v>1664</v>
      </c>
      <c r="F492" t="s">
        <v>1665</v>
      </c>
      <c r="G492" t="s">
        <v>1019</v>
      </c>
      <c r="H492" t="s">
        <v>1020</v>
      </c>
      <c r="I492">
        <v>162673000</v>
      </c>
      <c r="J492" t="s">
        <v>1021</v>
      </c>
      <c r="K492">
        <v>136.80000000000001</v>
      </c>
      <c r="L492">
        <v>840.2</v>
      </c>
      <c r="M492">
        <v>0</v>
      </c>
      <c r="O492" t="s">
        <v>34</v>
      </c>
    </row>
    <row r="493" spans="1:15">
      <c r="A493" t="s">
        <v>1668</v>
      </c>
      <c r="B493" s="2">
        <v>41359.414918981478</v>
      </c>
      <c r="C493" s="2">
        <v>41359.442858796298</v>
      </c>
      <c r="D493" t="s">
        <v>170</v>
      </c>
      <c r="E493" t="s">
        <v>1664</v>
      </c>
      <c r="F493" t="s">
        <v>1665</v>
      </c>
      <c r="G493" t="s">
        <v>1019</v>
      </c>
      <c r="H493" t="s">
        <v>1020</v>
      </c>
      <c r="I493">
        <v>162673000</v>
      </c>
      <c r="J493" t="s">
        <v>1021</v>
      </c>
      <c r="K493">
        <v>136.80000000000001</v>
      </c>
      <c r="L493">
        <v>994.48</v>
      </c>
      <c r="M493">
        <v>0</v>
      </c>
      <c r="O493" t="s">
        <v>34</v>
      </c>
    </row>
    <row r="494" spans="1:15">
      <c r="A494" t="s">
        <v>1669</v>
      </c>
      <c r="B494" s="2">
        <v>41506.414918981478</v>
      </c>
      <c r="C494" s="2">
        <v>41506.445127314815</v>
      </c>
      <c r="D494" t="s">
        <v>170</v>
      </c>
      <c r="E494" t="s">
        <v>1661</v>
      </c>
      <c r="F494" t="s">
        <v>1662</v>
      </c>
      <c r="G494" t="s">
        <v>1019</v>
      </c>
      <c r="H494" t="s">
        <v>1043</v>
      </c>
      <c r="I494">
        <v>185349003</v>
      </c>
      <c r="J494" t="s">
        <v>1038</v>
      </c>
      <c r="K494">
        <v>85.55</v>
      </c>
      <c r="L494">
        <v>652.95000000000005</v>
      </c>
      <c r="M494">
        <v>0</v>
      </c>
      <c r="O494" t="s">
        <v>34</v>
      </c>
    </row>
    <row r="495" spans="1:15">
      <c r="A495" t="s">
        <v>1670</v>
      </c>
      <c r="B495" s="2">
        <v>42101.414918981478</v>
      </c>
      <c r="C495" s="2">
        <v>42101.45648148148</v>
      </c>
      <c r="D495" t="s">
        <v>170</v>
      </c>
      <c r="E495" t="s">
        <v>1664</v>
      </c>
      <c r="F495" t="s">
        <v>1665</v>
      </c>
      <c r="G495" t="s">
        <v>1019</v>
      </c>
      <c r="H495" t="s">
        <v>1020</v>
      </c>
      <c r="I495">
        <v>162673000</v>
      </c>
      <c r="J495" t="s">
        <v>1021</v>
      </c>
      <c r="K495">
        <v>136.80000000000001</v>
      </c>
      <c r="L495">
        <v>704.2</v>
      </c>
      <c r="M495">
        <v>0</v>
      </c>
      <c r="O495" t="s">
        <v>34</v>
      </c>
    </row>
    <row r="496" spans="1:15">
      <c r="A496" t="s">
        <v>1671</v>
      </c>
      <c r="B496" s="2">
        <v>42122.414918981478</v>
      </c>
      <c r="C496" s="2">
        <v>42122.467847222222</v>
      </c>
      <c r="D496" t="s">
        <v>170</v>
      </c>
      <c r="E496" t="s">
        <v>1661</v>
      </c>
      <c r="F496" t="s">
        <v>1662</v>
      </c>
      <c r="G496" t="s">
        <v>1019</v>
      </c>
      <c r="H496" t="s">
        <v>1031</v>
      </c>
      <c r="I496">
        <v>185347001</v>
      </c>
      <c r="J496" t="s">
        <v>1124</v>
      </c>
      <c r="K496">
        <v>85.55</v>
      </c>
      <c r="L496">
        <v>1379.75</v>
      </c>
      <c r="M496">
        <v>0</v>
      </c>
      <c r="N496">
        <v>37320007</v>
      </c>
      <c r="O496" t="s">
        <v>1125</v>
      </c>
    </row>
    <row r="497" spans="1:15">
      <c r="A497" t="s">
        <v>1672</v>
      </c>
      <c r="B497" s="2">
        <v>42472.414918981478</v>
      </c>
      <c r="C497" s="2">
        <v>42472.4528125</v>
      </c>
      <c r="D497" t="s">
        <v>170</v>
      </c>
      <c r="E497" t="s">
        <v>1664</v>
      </c>
      <c r="F497" t="s">
        <v>1665</v>
      </c>
      <c r="G497" t="s">
        <v>1019</v>
      </c>
      <c r="H497" t="s">
        <v>1020</v>
      </c>
      <c r="I497">
        <v>162673000</v>
      </c>
      <c r="J497" t="s">
        <v>1021</v>
      </c>
      <c r="K497">
        <v>136.80000000000001</v>
      </c>
      <c r="L497">
        <v>853.36</v>
      </c>
      <c r="M497">
        <v>0</v>
      </c>
      <c r="O497" t="s">
        <v>34</v>
      </c>
    </row>
    <row r="498" spans="1:15">
      <c r="A498" t="s">
        <v>1673</v>
      </c>
      <c r="B498" s="2">
        <v>42676.414918981478</v>
      </c>
      <c r="C498" s="2">
        <v>42676.456585648149</v>
      </c>
      <c r="D498" t="s">
        <v>170</v>
      </c>
      <c r="E498" t="s">
        <v>1674</v>
      </c>
      <c r="F498" t="s">
        <v>1675</v>
      </c>
      <c r="G498" t="s">
        <v>1019</v>
      </c>
      <c r="H498" t="s">
        <v>1076</v>
      </c>
      <c r="I498">
        <v>183478001</v>
      </c>
      <c r="J498" t="s">
        <v>1267</v>
      </c>
      <c r="K498">
        <v>146.18</v>
      </c>
      <c r="L498">
        <v>146.18</v>
      </c>
      <c r="M498">
        <v>0</v>
      </c>
      <c r="N498">
        <v>195967001</v>
      </c>
      <c r="O498" t="s">
        <v>1676</v>
      </c>
    </row>
    <row r="499" spans="1:15">
      <c r="A499" t="s">
        <v>1677</v>
      </c>
      <c r="B499" s="2">
        <v>42679.123252314814</v>
      </c>
      <c r="C499" s="2">
        <v>42679.133668981478</v>
      </c>
      <c r="D499" t="s">
        <v>170</v>
      </c>
      <c r="E499" t="s">
        <v>1661</v>
      </c>
      <c r="F499" t="s">
        <v>1662</v>
      </c>
      <c r="G499" t="s">
        <v>1019</v>
      </c>
      <c r="H499" t="s">
        <v>1031</v>
      </c>
      <c r="I499">
        <v>394701000</v>
      </c>
      <c r="J499" t="s">
        <v>1154</v>
      </c>
      <c r="K499">
        <v>142.58000000000001</v>
      </c>
      <c r="L499">
        <v>142.58000000000001</v>
      </c>
      <c r="M499">
        <v>0</v>
      </c>
      <c r="N499">
        <v>195967001</v>
      </c>
      <c r="O499" t="s">
        <v>1676</v>
      </c>
    </row>
    <row r="500" spans="1:15">
      <c r="A500" t="s">
        <v>1678</v>
      </c>
      <c r="B500" s="2">
        <v>42713.373252314814</v>
      </c>
      <c r="C500" s="2">
        <v>42713.43922453704</v>
      </c>
      <c r="D500" t="s">
        <v>170</v>
      </c>
      <c r="E500" t="s">
        <v>1674</v>
      </c>
      <c r="F500" t="s">
        <v>1675</v>
      </c>
      <c r="G500" t="s">
        <v>1019</v>
      </c>
      <c r="H500" t="s">
        <v>1076</v>
      </c>
      <c r="I500">
        <v>50849002</v>
      </c>
      <c r="J500" t="s">
        <v>1163</v>
      </c>
      <c r="K500">
        <v>146.18</v>
      </c>
      <c r="L500">
        <v>1008.98</v>
      </c>
      <c r="M500">
        <v>0</v>
      </c>
      <c r="N500">
        <v>125605004</v>
      </c>
      <c r="O500" t="s">
        <v>1644</v>
      </c>
    </row>
    <row r="501" spans="1:15">
      <c r="A501" t="s">
        <v>1679</v>
      </c>
      <c r="B501" s="2">
        <v>42745.43922453704</v>
      </c>
      <c r="C501" s="2">
        <v>42745.449641203704</v>
      </c>
      <c r="D501" t="s">
        <v>170</v>
      </c>
      <c r="E501" t="s">
        <v>1661</v>
      </c>
      <c r="F501" t="s">
        <v>1662</v>
      </c>
      <c r="G501" t="s">
        <v>1019</v>
      </c>
      <c r="H501" t="s">
        <v>1031</v>
      </c>
      <c r="I501">
        <v>185349003</v>
      </c>
      <c r="J501" t="s">
        <v>1038</v>
      </c>
      <c r="K501">
        <v>85.55</v>
      </c>
      <c r="L501">
        <v>85.55</v>
      </c>
      <c r="M501">
        <v>0</v>
      </c>
      <c r="N501">
        <v>58150001</v>
      </c>
      <c r="O501" t="s">
        <v>1680</v>
      </c>
    </row>
    <row r="502" spans="1:15">
      <c r="A502" t="s">
        <v>1681</v>
      </c>
      <c r="B502" s="2">
        <v>42843.414918981478</v>
      </c>
      <c r="C502" s="2">
        <v>42843.454687500001</v>
      </c>
      <c r="D502" t="s">
        <v>170</v>
      </c>
      <c r="E502" t="s">
        <v>1664</v>
      </c>
      <c r="F502" t="s">
        <v>1665</v>
      </c>
      <c r="G502" t="s">
        <v>1019</v>
      </c>
      <c r="H502" t="s">
        <v>1020</v>
      </c>
      <c r="I502">
        <v>162673000</v>
      </c>
      <c r="J502" t="s">
        <v>1021</v>
      </c>
      <c r="K502">
        <v>136.80000000000001</v>
      </c>
      <c r="L502">
        <v>704.2</v>
      </c>
      <c r="M502">
        <v>0</v>
      </c>
      <c r="O502" t="s">
        <v>34</v>
      </c>
    </row>
    <row r="503" spans="1:15">
      <c r="A503" t="s">
        <v>1682</v>
      </c>
      <c r="B503" s="2">
        <v>42859.123252314814</v>
      </c>
      <c r="C503" s="2">
        <v>42859.133668981478</v>
      </c>
      <c r="D503" t="s">
        <v>170</v>
      </c>
      <c r="E503" t="s">
        <v>1661</v>
      </c>
      <c r="F503" t="s">
        <v>1662</v>
      </c>
      <c r="G503" t="s">
        <v>1019</v>
      </c>
      <c r="H503" t="s">
        <v>1031</v>
      </c>
      <c r="I503">
        <v>394701000</v>
      </c>
      <c r="J503" t="s">
        <v>1154</v>
      </c>
      <c r="K503">
        <v>142.58000000000001</v>
      </c>
      <c r="L503">
        <v>142.58000000000001</v>
      </c>
      <c r="M503">
        <v>0</v>
      </c>
      <c r="N503">
        <v>195967001</v>
      </c>
      <c r="O503" t="s">
        <v>1676</v>
      </c>
    </row>
    <row r="504" spans="1:15">
      <c r="A504" t="s">
        <v>1683</v>
      </c>
      <c r="B504" s="2">
        <v>42910.498252314814</v>
      </c>
      <c r="C504" s="2">
        <v>42910.508668981478</v>
      </c>
      <c r="D504" t="s">
        <v>170</v>
      </c>
      <c r="E504" t="s">
        <v>1661</v>
      </c>
      <c r="F504" t="s">
        <v>1662</v>
      </c>
      <c r="G504" t="s">
        <v>1019</v>
      </c>
      <c r="H504" t="s">
        <v>1031</v>
      </c>
      <c r="I504">
        <v>185345009</v>
      </c>
      <c r="J504" t="s">
        <v>1032</v>
      </c>
      <c r="K504">
        <v>85.55</v>
      </c>
      <c r="L504">
        <v>85.55</v>
      </c>
      <c r="M504">
        <v>0</v>
      </c>
      <c r="N504">
        <v>444814009</v>
      </c>
      <c r="O504" t="s">
        <v>1035</v>
      </c>
    </row>
    <row r="505" spans="1:15">
      <c r="A505" t="s">
        <v>1684</v>
      </c>
      <c r="B505" s="2">
        <v>43039.123252314814</v>
      </c>
      <c r="C505" s="2">
        <v>43039.133668981478</v>
      </c>
      <c r="D505" t="s">
        <v>170</v>
      </c>
      <c r="E505" t="s">
        <v>1661</v>
      </c>
      <c r="F505" t="s">
        <v>1662</v>
      </c>
      <c r="G505" t="s">
        <v>1019</v>
      </c>
      <c r="H505" t="s">
        <v>1031</v>
      </c>
      <c r="I505">
        <v>394701000</v>
      </c>
      <c r="J505" t="s">
        <v>1154</v>
      </c>
      <c r="K505">
        <v>142.58000000000001</v>
      </c>
      <c r="L505">
        <v>142.58000000000001</v>
      </c>
      <c r="M505">
        <v>0</v>
      </c>
      <c r="N505">
        <v>195967001</v>
      </c>
      <c r="O505" t="s">
        <v>1676</v>
      </c>
    </row>
    <row r="506" spans="1:15">
      <c r="A506" t="s">
        <v>1685</v>
      </c>
      <c r="B506" s="2">
        <v>43214.414918981478</v>
      </c>
      <c r="C506" s="2">
        <v>43214.449004629627</v>
      </c>
      <c r="D506" t="s">
        <v>170</v>
      </c>
      <c r="E506" t="s">
        <v>1664</v>
      </c>
      <c r="F506" t="s">
        <v>1665</v>
      </c>
      <c r="G506" t="s">
        <v>1019</v>
      </c>
      <c r="H506" t="s">
        <v>1020</v>
      </c>
      <c r="I506">
        <v>162673000</v>
      </c>
      <c r="J506" t="s">
        <v>1021</v>
      </c>
      <c r="K506">
        <v>136.80000000000001</v>
      </c>
      <c r="L506">
        <v>919.9</v>
      </c>
      <c r="M506">
        <v>0</v>
      </c>
      <c r="O506" t="s">
        <v>34</v>
      </c>
    </row>
    <row r="507" spans="1:15">
      <c r="A507" t="s">
        <v>1686</v>
      </c>
      <c r="B507" s="2">
        <v>43228.414918981478</v>
      </c>
      <c r="C507" s="2">
        <v>43228.556030092594</v>
      </c>
      <c r="D507" t="s">
        <v>170</v>
      </c>
      <c r="E507" t="s">
        <v>1661</v>
      </c>
      <c r="F507" t="s">
        <v>1662</v>
      </c>
      <c r="G507" t="s">
        <v>1019</v>
      </c>
      <c r="H507" t="s">
        <v>1031</v>
      </c>
      <c r="I507">
        <v>185349003</v>
      </c>
      <c r="J507" t="s">
        <v>1038</v>
      </c>
      <c r="K507">
        <v>85.55</v>
      </c>
      <c r="L507">
        <v>3536.75</v>
      </c>
      <c r="M507">
        <v>0</v>
      </c>
      <c r="N507">
        <v>66383009</v>
      </c>
      <c r="O507" t="s">
        <v>1209</v>
      </c>
    </row>
    <row r="508" spans="1:15">
      <c r="A508" t="s">
        <v>1687</v>
      </c>
      <c r="B508" s="2">
        <v>43585.414918981478</v>
      </c>
      <c r="C508" s="2">
        <v>43585.444490740738</v>
      </c>
      <c r="D508" t="s">
        <v>170</v>
      </c>
      <c r="E508" t="s">
        <v>1664</v>
      </c>
      <c r="F508" t="s">
        <v>1665</v>
      </c>
      <c r="G508" t="s">
        <v>1019</v>
      </c>
      <c r="H508" t="s">
        <v>1020</v>
      </c>
      <c r="I508">
        <v>162673000</v>
      </c>
      <c r="J508" t="s">
        <v>1021</v>
      </c>
      <c r="K508">
        <v>136.80000000000001</v>
      </c>
      <c r="L508">
        <v>778.78</v>
      </c>
      <c r="M508">
        <v>0</v>
      </c>
      <c r="O508" t="s">
        <v>34</v>
      </c>
    </row>
    <row r="509" spans="1:15">
      <c r="A509" t="s">
        <v>1688</v>
      </c>
      <c r="B509" s="2">
        <v>43956.414918981478</v>
      </c>
      <c r="C509" s="2">
        <v>43956.437824074077</v>
      </c>
      <c r="D509" t="s">
        <v>170</v>
      </c>
      <c r="E509" t="s">
        <v>1664</v>
      </c>
      <c r="F509" t="s">
        <v>1665</v>
      </c>
      <c r="G509" t="s">
        <v>1019</v>
      </c>
      <c r="H509" t="s">
        <v>1020</v>
      </c>
      <c r="I509">
        <v>162673000</v>
      </c>
      <c r="J509" t="s">
        <v>1021</v>
      </c>
      <c r="K509">
        <v>136.80000000000001</v>
      </c>
      <c r="L509">
        <v>840.2</v>
      </c>
      <c r="M509">
        <v>0</v>
      </c>
      <c r="O509" t="s">
        <v>34</v>
      </c>
    </row>
    <row r="510" spans="1:15">
      <c r="A510" t="s">
        <v>1689</v>
      </c>
      <c r="B510" s="2">
        <v>43970.414918981478</v>
      </c>
      <c r="C510" s="2">
        <v>43970.670023148145</v>
      </c>
      <c r="D510" t="s">
        <v>170</v>
      </c>
      <c r="E510" t="s">
        <v>1661</v>
      </c>
      <c r="F510" t="s">
        <v>1662</v>
      </c>
      <c r="G510" t="s">
        <v>1019</v>
      </c>
      <c r="H510" t="s">
        <v>1031</v>
      </c>
      <c r="I510">
        <v>185349003</v>
      </c>
      <c r="J510" t="s">
        <v>1038</v>
      </c>
      <c r="K510">
        <v>85.55</v>
      </c>
      <c r="L510">
        <v>5262.35</v>
      </c>
      <c r="M510">
        <v>0</v>
      </c>
      <c r="N510">
        <v>66383009</v>
      </c>
      <c r="O510" t="s">
        <v>1209</v>
      </c>
    </row>
    <row r="511" spans="1:15">
      <c r="A511" t="s">
        <v>1690</v>
      </c>
      <c r="B511" s="2">
        <v>44299.414918981478</v>
      </c>
      <c r="C511" s="2">
        <v>44299.425335648149</v>
      </c>
      <c r="D511" t="s">
        <v>170</v>
      </c>
      <c r="E511" t="s">
        <v>1661</v>
      </c>
      <c r="F511" t="s">
        <v>1662</v>
      </c>
      <c r="G511" t="s">
        <v>1019</v>
      </c>
      <c r="H511" t="s">
        <v>1043</v>
      </c>
      <c r="I511">
        <v>33879002</v>
      </c>
      <c r="J511" t="s">
        <v>1044</v>
      </c>
      <c r="K511">
        <v>142.58000000000001</v>
      </c>
      <c r="L511">
        <v>278.58</v>
      </c>
      <c r="M511">
        <v>0</v>
      </c>
      <c r="O511" t="s">
        <v>34</v>
      </c>
    </row>
    <row r="512" spans="1:15">
      <c r="A512" t="s">
        <v>1691</v>
      </c>
      <c r="B512" s="2">
        <v>44320.414918981478</v>
      </c>
      <c r="C512" s="2">
        <v>44320.425335648149</v>
      </c>
      <c r="D512" t="s">
        <v>170</v>
      </c>
      <c r="E512" t="s">
        <v>1661</v>
      </c>
      <c r="F512" t="s">
        <v>1662</v>
      </c>
      <c r="G512" t="s">
        <v>1019</v>
      </c>
      <c r="H512" t="s">
        <v>1043</v>
      </c>
      <c r="I512">
        <v>33879002</v>
      </c>
      <c r="J512" t="s">
        <v>1044</v>
      </c>
      <c r="K512">
        <v>142.58000000000001</v>
      </c>
      <c r="L512">
        <v>278.58</v>
      </c>
      <c r="M512">
        <v>0</v>
      </c>
      <c r="O512" t="s">
        <v>34</v>
      </c>
    </row>
    <row r="513" spans="1:15">
      <c r="A513" t="s">
        <v>1692</v>
      </c>
      <c r="B513" s="2">
        <v>44327.414918981478</v>
      </c>
      <c r="C513" s="2">
        <v>44327.447615740741</v>
      </c>
      <c r="D513" t="s">
        <v>170</v>
      </c>
      <c r="E513" t="s">
        <v>1664</v>
      </c>
      <c r="F513" t="s">
        <v>1665</v>
      </c>
      <c r="G513" t="s">
        <v>1019</v>
      </c>
      <c r="H513" t="s">
        <v>1020</v>
      </c>
      <c r="I513">
        <v>162673000</v>
      </c>
      <c r="J513" t="s">
        <v>1021</v>
      </c>
      <c r="K513">
        <v>136.80000000000001</v>
      </c>
      <c r="L513">
        <v>2065.4</v>
      </c>
      <c r="M513">
        <v>0</v>
      </c>
      <c r="O513" t="s">
        <v>34</v>
      </c>
    </row>
    <row r="514" spans="1:15">
      <c r="A514" t="s">
        <v>1693</v>
      </c>
      <c r="B514" s="2">
        <v>44698.414918981478</v>
      </c>
      <c r="C514" s="2">
        <v>44698.441562499997</v>
      </c>
      <c r="D514" t="s">
        <v>170</v>
      </c>
      <c r="E514" t="s">
        <v>1664</v>
      </c>
      <c r="F514" t="s">
        <v>1665</v>
      </c>
      <c r="G514" t="s">
        <v>1019</v>
      </c>
      <c r="H514" t="s">
        <v>1020</v>
      </c>
      <c r="I514">
        <v>162673000</v>
      </c>
      <c r="J514" t="s">
        <v>1021</v>
      </c>
      <c r="K514">
        <v>136.80000000000001</v>
      </c>
      <c r="L514">
        <v>860.16</v>
      </c>
      <c r="M514">
        <v>0</v>
      </c>
      <c r="O514" t="s">
        <v>34</v>
      </c>
    </row>
    <row r="515" spans="1:15">
      <c r="A515" t="s">
        <v>1694</v>
      </c>
      <c r="B515" s="2">
        <v>44839.123252314814</v>
      </c>
      <c r="C515" s="2">
        <v>44839.133668981478</v>
      </c>
      <c r="D515" t="s">
        <v>170</v>
      </c>
      <c r="E515" t="s">
        <v>1661</v>
      </c>
      <c r="F515" t="s">
        <v>1662</v>
      </c>
      <c r="G515" t="s">
        <v>1019</v>
      </c>
      <c r="H515" t="s">
        <v>1031</v>
      </c>
      <c r="I515">
        <v>394701000</v>
      </c>
      <c r="J515" t="s">
        <v>1154</v>
      </c>
      <c r="K515">
        <v>142.58000000000001</v>
      </c>
      <c r="L515">
        <v>142.58000000000001</v>
      </c>
      <c r="M515">
        <v>0</v>
      </c>
      <c r="N515">
        <v>195967001</v>
      </c>
      <c r="O515" t="s">
        <v>1676</v>
      </c>
    </row>
    <row r="516" spans="1:15">
      <c r="A516" t="s">
        <v>1695</v>
      </c>
      <c r="B516" s="2">
        <v>45069.414918981478</v>
      </c>
      <c r="C516" s="2">
        <v>45069.436840277776</v>
      </c>
      <c r="D516" t="s">
        <v>170</v>
      </c>
      <c r="E516" t="s">
        <v>1664</v>
      </c>
      <c r="F516" t="s">
        <v>1665</v>
      </c>
      <c r="G516" t="s">
        <v>1019</v>
      </c>
      <c r="H516" t="s">
        <v>1020</v>
      </c>
      <c r="I516">
        <v>162673000</v>
      </c>
      <c r="J516" t="s">
        <v>1021</v>
      </c>
      <c r="K516">
        <v>136.80000000000001</v>
      </c>
      <c r="L516">
        <v>778.78</v>
      </c>
      <c r="M516">
        <v>0</v>
      </c>
      <c r="O516" t="s">
        <v>34</v>
      </c>
    </row>
    <row r="517" spans="1:15">
      <c r="A517" t="s">
        <v>1696</v>
      </c>
      <c r="B517" s="2">
        <v>45076.414918981478</v>
      </c>
      <c r="C517" s="2">
        <v>45076.485520833332</v>
      </c>
      <c r="D517" t="s">
        <v>170</v>
      </c>
      <c r="E517" t="s">
        <v>1661</v>
      </c>
      <c r="F517" t="s">
        <v>1662</v>
      </c>
      <c r="G517" t="s">
        <v>1019</v>
      </c>
      <c r="H517" t="s">
        <v>1031</v>
      </c>
      <c r="I517">
        <v>185347001</v>
      </c>
      <c r="J517" t="s">
        <v>1124</v>
      </c>
      <c r="K517">
        <v>85.55</v>
      </c>
      <c r="L517">
        <v>1379.75</v>
      </c>
      <c r="M517">
        <v>0</v>
      </c>
      <c r="N517">
        <v>37320007</v>
      </c>
      <c r="O517" t="s">
        <v>1125</v>
      </c>
    </row>
    <row r="518" spans="1:15">
      <c r="A518" t="s">
        <v>1697</v>
      </c>
      <c r="B518" s="2">
        <v>45083.414918981478</v>
      </c>
      <c r="C518" s="2">
        <v>45083.464421296296</v>
      </c>
      <c r="D518" t="s">
        <v>170</v>
      </c>
      <c r="E518" t="s">
        <v>1661</v>
      </c>
      <c r="F518" t="s">
        <v>1662</v>
      </c>
      <c r="G518" t="s">
        <v>1019</v>
      </c>
      <c r="H518" t="s">
        <v>1031</v>
      </c>
      <c r="I518">
        <v>185347001</v>
      </c>
      <c r="J518" t="s">
        <v>1124</v>
      </c>
      <c r="K518">
        <v>85.55</v>
      </c>
      <c r="L518">
        <v>1059.1600000000001</v>
      </c>
      <c r="M518">
        <v>0</v>
      </c>
      <c r="N518">
        <v>271737000</v>
      </c>
      <c r="O518" t="s">
        <v>1479</v>
      </c>
    </row>
    <row r="519" spans="1:15">
      <c r="A519" t="s">
        <v>1698</v>
      </c>
      <c r="B519" s="2">
        <v>45086.956585648149</v>
      </c>
      <c r="C519" s="2">
        <v>45086.967002314814</v>
      </c>
      <c r="D519" t="s">
        <v>170</v>
      </c>
      <c r="E519" t="s">
        <v>1661</v>
      </c>
      <c r="F519" t="s">
        <v>1662</v>
      </c>
      <c r="G519" t="s">
        <v>1019</v>
      </c>
      <c r="H519" t="s">
        <v>1031</v>
      </c>
      <c r="I519">
        <v>185345009</v>
      </c>
      <c r="J519" t="s">
        <v>1032</v>
      </c>
      <c r="K519">
        <v>85.55</v>
      </c>
      <c r="L519">
        <v>85.55</v>
      </c>
      <c r="M519">
        <v>0</v>
      </c>
      <c r="N519">
        <v>444814009</v>
      </c>
      <c r="O519" t="s">
        <v>1035</v>
      </c>
    </row>
    <row r="520" spans="1:15">
      <c r="A520" t="s">
        <v>1699</v>
      </c>
      <c r="B520" s="2">
        <v>45097.414918981478</v>
      </c>
      <c r="C520" s="2">
        <v>45097.441550925927</v>
      </c>
      <c r="D520" t="s">
        <v>170</v>
      </c>
      <c r="E520" t="s">
        <v>1661</v>
      </c>
      <c r="F520" t="s">
        <v>1662</v>
      </c>
      <c r="G520" t="s">
        <v>1019</v>
      </c>
      <c r="H520" t="s">
        <v>1043</v>
      </c>
      <c r="I520">
        <v>185349003</v>
      </c>
      <c r="J520" t="s">
        <v>1038</v>
      </c>
      <c r="K520">
        <v>85.55</v>
      </c>
      <c r="L520">
        <v>734.33</v>
      </c>
      <c r="M520">
        <v>0</v>
      </c>
      <c r="O520" t="s">
        <v>34</v>
      </c>
    </row>
    <row r="521" spans="1:15">
      <c r="A521" t="s">
        <v>1700</v>
      </c>
      <c r="B521" s="2">
        <v>45104.414918981478</v>
      </c>
      <c r="C521" s="2">
        <v>45104.693564814814</v>
      </c>
      <c r="D521" t="s">
        <v>170</v>
      </c>
      <c r="E521" t="s">
        <v>1661</v>
      </c>
      <c r="F521" t="s">
        <v>1662</v>
      </c>
      <c r="G521" t="s">
        <v>1019</v>
      </c>
      <c r="H521" t="s">
        <v>1031</v>
      </c>
      <c r="I521">
        <v>185349003</v>
      </c>
      <c r="J521" t="s">
        <v>1038</v>
      </c>
      <c r="K521">
        <v>85.55</v>
      </c>
      <c r="L521">
        <v>4830.95</v>
      </c>
      <c r="M521">
        <v>0</v>
      </c>
      <c r="N521">
        <v>103697008</v>
      </c>
      <c r="O521" t="s">
        <v>1039</v>
      </c>
    </row>
    <row r="522" spans="1:15">
      <c r="A522" t="s">
        <v>1701</v>
      </c>
      <c r="B522" s="2">
        <v>45111.414918981478</v>
      </c>
      <c r="C522" s="2">
        <v>45111.453032407408</v>
      </c>
      <c r="D522" t="s">
        <v>170</v>
      </c>
      <c r="E522" t="s">
        <v>1661</v>
      </c>
      <c r="F522" t="s">
        <v>1662</v>
      </c>
      <c r="G522" t="s">
        <v>1019</v>
      </c>
      <c r="H522" t="s">
        <v>1031</v>
      </c>
      <c r="I522">
        <v>390906007</v>
      </c>
      <c r="J522" t="s">
        <v>1255</v>
      </c>
      <c r="K522">
        <v>85.55</v>
      </c>
      <c r="L522">
        <v>516.95000000000005</v>
      </c>
      <c r="M522">
        <v>0</v>
      </c>
      <c r="N522">
        <v>37320007</v>
      </c>
      <c r="O522" t="s">
        <v>1125</v>
      </c>
    </row>
    <row r="523" spans="1:15">
      <c r="A523" t="s">
        <v>1702</v>
      </c>
      <c r="B523" s="2">
        <v>45440.414918981478</v>
      </c>
      <c r="C523" s="2">
        <v>45440.455428240741</v>
      </c>
      <c r="D523" t="s">
        <v>170</v>
      </c>
      <c r="E523" t="s">
        <v>1664</v>
      </c>
      <c r="F523" t="s">
        <v>1665</v>
      </c>
      <c r="G523" t="s">
        <v>1019</v>
      </c>
      <c r="H523" t="s">
        <v>1020</v>
      </c>
      <c r="I523">
        <v>162673000</v>
      </c>
      <c r="J523" t="s">
        <v>1021</v>
      </c>
      <c r="K523">
        <v>136.80000000000001</v>
      </c>
      <c r="L523">
        <v>1001.28</v>
      </c>
      <c r="M523">
        <v>0</v>
      </c>
      <c r="O523" t="s">
        <v>34</v>
      </c>
    </row>
    <row r="524" spans="1:15">
      <c r="A524" t="s">
        <v>1703</v>
      </c>
      <c r="B524" s="2">
        <v>45811.414918981478</v>
      </c>
      <c r="C524" s="2">
        <v>45811.448414351849</v>
      </c>
      <c r="D524" t="s">
        <v>170</v>
      </c>
      <c r="E524" t="s">
        <v>1664</v>
      </c>
      <c r="F524" t="s">
        <v>1665</v>
      </c>
      <c r="G524" t="s">
        <v>1019</v>
      </c>
      <c r="H524" t="s">
        <v>1020</v>
      </c>
      <c r="I524">
        <v>162673000</v>
      </c>
      <c r="J524" t="s">
        <v>1021</v>
      </c>
      <c r="K524">
        <v>136.80000000000001</v>
      </c>
      <c r="L524">
        <v>1075.8599999999999</v>
      </c>
      <c r="M524">
        <v>0</v>
      </c>
      <c r="O524" t="s">
        <v>34</v>
      </c>
    </row>
    <row r="525" spans="1:15">
      <c r="A525" t="s">
        <v>1704</v>
      </c>
      <c r="B525" s="2">
        <v>45832.414918981478</v>
      </c>
      <c r="C525" s="2">
        <v>45832.448946759258</v>
      </c>
      <c r="D525" t="s">
        <v>170</v>
      </c>
      <c r="E525" t="s">
        <v>1661</v>
      </c>
      <c r="F525" t="s">
        <v>1662</v>
      </c>
      <c r="G525" t="s">
        <v>1019</v>
      </c>
      <c r="H525" t="s">
        <v>1031</v>
      </c>
      <c r="I525">
        <v>36228007</v>
      </c>
      <c r="J525" t="s">
        <v>1705</v>
      </c>
      <c r="K525">
        <v>142.58000000000001</v>
      </c>
      <c r="L525">
        <v>3162.38</v>
      </c>
      <c r="M525">
        <v>0</v>
      </c>
      <c r="N525">
        <v>44054006</v>
      </c>
      <c r="O525" t="s">
        <v>1706</v>
      </c>
    </row>
    <row r="526" spans="1:15">
      <c r="A526" t="s">
        <v>1707</v>
      </c>
      <c r="B526" s="2">
        <v>46154.414918981478</v>
      </c>
      <c r="C526" s="2">
        <v>46154.425335648149</v>
      </c>
      <c r="D526" t="s">
        <v>170</v>
      </c>
      <c r="E526" t="s">
        <v>1664</v>
      </c>
      <c r="F526" t="s">
        <v>1665</v>
      </c>
      <c r="G526" t="s">
        <v>1019</v>
      </c>
      <c r="H526" t="s">
        <v>1020</v>
      </c>
      <c r="I526">
        <v>308646001</v>
      </c>
      <c r="J526" t="s">
        <v>1708</v>
      </c>
      <c r="K526">
        <v>136.80000000000001</v>
      </c>
      <c r="L526">
        <v>211.38</v>
      </c>
      <c r="M526">
        <v>0</v>
      </c>
      <c r="N526">
        <v>401303003</v>
      </c>
      <c r="O526" t="s">
        <v>1709</v>
      </c>
    </row>
    <row r="527" spans="1:15">
      <c r="A527" t="s">
        <v>1710</v>
      </c>
      <c r="B527" s="2">
        <v>43168.910046296296</v>
      </c>
      <c r="C527" s="2">
        <v>43168.92046296296</v>
      </c>
      <c r="D527" t="s">
        <v>180</v>
      </c>
      <c r="E527" t="s">
        <v>1711</v>
      </c>
      <c r="F527" t="s">
        <v>1712</v>
      </c>
      <c r="G527" t="s">
        <v>1019</v>
      </c>
      <c r="H527" t="s">
        <v>1020</v>
      </c>
      <c r="I527">
        <v>410620009</v>
      </c>
      <c r="J527" t="s">
        <v>1054</v>
      </c>
      <c r="K527">
        <v>136.80000000000001</v>
      </c>
      <c r="L527">
        <v>347.38</v>
      </c>
      <c r="M527">
        <v>0</v>
      </c>
      <c r="O527" t="s">
        <v>34</v>
      </c>
    </row>
    <row r="528" spans="1:15">
      <c r="A528" t="s">
        <v>1713</v>
      </c>
      <c r="B528" s="2">
        <v>43203.95171296296</v>
      </c>
      <c r="C528" s="2">
        <v>43203.962129629632</v>
      </c>
      <c r="D528" t="s">
        <v>180</v>
      </c>
      <c r="E528" t="s">
        <v>1711</v>
      </c>
      <c r="F528" t="s">
        <v>1712</v>
      </c>
      <c r="G528" t="s">
        <v>1019</v>
      </c>
      <c r="H528" t="s">
        <v>1020</v>
      </c>
      <c r="I528">
        <v>410620009</v>
      </c>
      <c r="J528" t="s">
        <v>1054</v>
      </c>
      <c r="K528">
        <v>136.80000000000001</v>
      </c>
      <c r="L528">
        <v>488.5</v>
      </c>
      <c r="M528">
        <v>0</v>
      </c>
      <c r="O528" t="s">
        <v>34</v>
      </c>
    </row>
    <row r="529" spans="1:15">
      <c r="A529" t="s">
        <v>1714</v>
      </c>
      <c r="B529" s="2">
        <v>43231.70171296296</v>
      </c>
      <c r="C529" s="2">
        <v>43231.712129629632</v>
      </c>
      <c r="D529" t="s">
        <v>180</v>
      </c>
      <c r="E529" t="s">
        <v>1715</v>
      </c>
      <c r="F529" t="s">
        <v>1716</v>
      </c>
      <c r="G529" t="s">
        <v>1019</v>
      </c>
      <c r="H529" t="s">
        <v>1031</v>
      </c>
      <c r="I529">
        <v>185345009</v>
      </c>
      <c r="J529" t="s">
        <v>1032</v>
      </c>
      <c r="K529">
        <v>85.55</v>
      </c>
      <c r="L529">
        <v>1723.63</v>
      </c>
      <c r="M529">
        <v>0</v>
      </c>
      <c r="N529">
        <v>195662009</v>
      </c>
      <c r="O529" t="s">
        <v>1130</v>
      </c>
    </row>
    <row r="530" spans="1:15">
      <c r="A530" t="s">
        <v>1717</v>
      </c>
      <c r="B530" s="2">
        <v>43266.95171296296</v>
      </c>
      <c r="C530" s="2">
        <v>43266.962129629632</v>
      </c>
      <c r="D530" t="s">
        <v>180</v>
      </c>
      <c r="E530" t="s">
        <v>1711</v>
      </c>
      <c r="F530" t="s">
        <v>1712</v>
      </c>
      <c r="G530" t="s">
        <v>1019</v>
      </c>
      <c r="H530" t="s">
        <v>1020</v>
      </c>
      <c r="I530">
        <v>410620009</v>
      </c>
      <c r="J530" t="s">
        <v>1054</v>
      </c>
      <c r="K530">
        <v>136.80000000000001</v>
      </c>
      <c r="L530">
        <v>1244.24</v>
      </c>
      <c r="M530">
        <v>0</v>
      </c>
      <c r="O530" t="s">
        <v>34</v>
      </c>
    </row>
    <row r="531" spans="1:15">
      <c r="A531" t="s">
        <v>1718</v>
      </c>
      <c r="B531" s="2">
        <v>43329.95171296296</v>
      </c>
      <c r="C531" s="2">
        <v>43329.962129629632</v>
      </c>
      <c r="D531" t="s">
        <v>180</v>
      </c>
      <c r="E531" t="s">
        <v>1711</v>
      </c>
      <c r="F531" t="s">
        <v>1712</v>
      </c>
      <c r="G531" t="s">
        <v>1019</v>
      </c>
      <c r="H531" t="s">
        <v>1020</v>
      </c>
      <c r="I531">
        <v>410620009</v>
      </c>
      <c r="J531" t="s">
        <v>1054</v>
      </c>
      <c r="K531">
        <v>136.80000000000001</v>
      </c>
      <c r="L531">
        <v>1206.1099999999999</v>
      </c>
      <c r="M531">
        <v>0</v>
      </c>
      <c r="O531" t="s">
        <v>34</v>
      </c>
    </row>
    <row r="532" spans="1:15">
      <c r="A532" t="s">
        <v>1719</v>
      </c>
      <c r="B532" s="2">
        <v>43420.910046296296</v>
      </c>
      <c r="C532" s="2">
        <v>43420.92046296296</v>
      </c>
      <c r="D532" t="s">
        <v>180</v>
      </c>
      <c r="E532" t="s">
        <v>1711</v>
      </c>
      <c r="F532" t="s">
        <v>1712</v>
      </c>
      <c r="G532" t="s">
        <v>1019</v>
      </c>
      <c r="H532" t="s">
        <v>1020</v>
      </c>
      <c r="I532">
        <v>410620009</v>
      </c>
      <c r="J532" t="s">
        <v>1054</v>
      </c>
      <c r="K532">
        <v>136.80000000000001</v>
      </c>
      <c r="L532">
        <v>816.8</v>
      </c>
      <c r="M532">
        <v>0</v>
      </c>
      <c r="O532" t="s">
        <v>34</v>
      </c>
    </row>
    <row r="533" spans="1:15">
      <c r="A533" t="s">
        <v>1720</v>
      </c>
      <c r="B533" s="2">
        <v>43511.910046296296</v>
      </c>
      <c r="C533" s="2">
        <v>43511.92046296296</v>
      </c>
      <c r="D533" t="s">
        <v>180</v>
      </c>
      <c r="E533" t="s">
        <v>1711</v>
      </c>
      <c r="F533" t="s">
        <v>1712</v>
      </c>
      <c r="G533" t="s">
        <v>1019</v>
      </c>
      <c r="H533" t="s">
        <v>1020</v>
      </c>
      <c r="I533">
        <v>410620009</v>
      </c>
      <c r="J533" t="s">
        <v>1054</v>
      </c>
      <c r="K533">
        <v>136.80000000000001</v>
      </c>
      <c r="L533">
        <v>619.48</v>
      </c>
      <c r="M533">
        <v>0</v>
      </c>
      <c r="O533" t="s">
        <v>34</v>
      </c>
    </row>
    <row r="534" spans="1:15">
      <c r="A534" t="s">
        <v>1721</v>
      </c>
      <c r="B534" s="2">
        <v>43602.95171296296</v>
      </c>
      <c r="C534" s="2">
        <v>43602.962129629632</v>
      </c>
      <c r="D534" t="s">
        <v>180</v>
      </c>
      <c r="E534" t="s">
        <v>1711</v>
      </c>
      <c r="F534" t="s">
        <v>1712</v>
      </c>
      <c r="G534" t="s">
        <v>1019</v>
      </c>
      <c r="H534" t="s">
        <v>1020</v>
      </c>
      <c r="I534">
        <v>410620009</v>
      </c>
      <c r="J534" t="s">
        <v>1054</v>
      </c>
      <c r="K534">
        <v>136.80000000000001</v>
      </c>
      <c r="L534">
        <v>1032.5</v>
      </c>
      <c r="M534">
        <v>0</v>
      </c>
      <c r="O534" t="s">
        <v>34</v>
      </c>
    </row>
    <row r="535" spans="1:15">
      <c r="A535" t="s">
        <v>1722</v>
      </c>
      <c r="B535" s="2">
        <v>43693.95171296296</v>
      </c>
      <c r="C535" s="2">
        <v>43693.962129629632</v>
      </c>
      <c r="D535" t="s">
        <v>180</v>
      </c>
      <c r="E535" t="s">
        <v>1711</v>
      </c>
      <c r="F535" t="s">
        <v>1712</v>
      </c>
      <c r="G535" t="s">
        <v>1019</v>
      </c>
      <c r="H535" t="s">
        <v>1020</v>
      </c>
      <c r="I535">
        <v>410620009</v>
      </c>
      <c r="J535" t="s">
        <v>1054</v>
      </c>
      <c r="K535">
        <v>136.80000000000001</v>
      </c>
      <c r="L535">
        <v>272.8</v>
      </c>
      <c r="M535">
        <v>0</v>
      </c>
      <c r="O535" t="s">
        <v>34</v>
      </c>
    </row>
    <row r="536" spans="1:15">
      <c r="A536" t="s">
        <v>1723</v>
      </c>
      <c r="B536" s="2">
        <v>43798.910046296296</v>
      </c>
      <c r="C536" s="2">
        <v>43798.92046296296</v>
      </c>
      <c r="D536" t="s">
        <v>180</v>
      </c>
      <c r="E536" t="s">
        <v>1715</v>
      </c>
      <c r="F536" t="s">
        <v>1716</v>
      </c>
      <c r="G536" t="s">
        <v>1019</v>
      </c>
      <c r="H536" t="s">
        <v>1043</v>
      </c>
      <c r="I536">
        <v>185345009</v>
      </c>
      <c r="J536" t="s">
        <v>1032</v>
      </c>
      <c r="K536">
        <v>85.55</v>
      </c>
      <c r="L536">
        <v>85.55</v>
      </c>
      <c r="M536">
        <v>0</v>
      </c>
      <c r="N536">
        <v>65363002</v>
      </c>
      <c r="O536" t="s">
        <v>1335</v>
      </c>
    </row>
    <row r="537" spans="1:15">
      <c r="A537" t="s">
        <v>1724</v>
      </c>
      <c r="B537" s="2">
        <v>43875.910046296296</v>
      </c>
      <c r="C537" s="2">
        <v>43875.92046296296</v>
      </c>
      <c r="D537" t="s">
        <v>180</v>
      </c>
      <c r="E537" t="s">
        <v>1711</v>
      </c>
      <c r="F537" t="s">
        <v>1712</v>
      </c>
      <c r="G537" t="s">
        <v>1019</v>
      </c>
      <c r="H537" t="s">
        <v>1020</v>
      </c>
      <c r="I537">
        <v>410620009</v>
      </c>
      <c r="J537" t="s">
        <v>1054</v>
      </c>
      <c r="K537">
        <v>136.80000000000001</v>
      </c>
      <c r="L537">
        <v>272.8</v>
      </c>
      <c r="M537">
        <v>0</v>
      </c>
      <c r="O537" t="s">
        <v>34</v>
      </c>
    </row>
    <row r="538" spans="1:15">
      <c r="A538" t="s">
        <v>1725</v>
      </c>
      <c r="B538" s="2">
        <v>44057.95171296296</v>
      </c>
      <c r="C538" s="2">
        <v>44057.962129629632</v>
      </c>
      <c r="D538" t="s">
        <v>180</v>
      </c>
      <c r="E538" t="s">
        <v>1711</v>
      </c>
      <c r="F538" t="s">
        <v>1712</v>
      </c>
      <c r="G538" t="s">
        <v>1019</v>
      </c>
      <c r="H538" t="s">
        <v>1020</v>
      </c>
      <c r="I538">
        <v>410620009</v>
      </c>
      <c r="J538" t="s">
        <v>1054</v>
      </c>
      <c r="K538">
        <v>136.80000000000001</v>
      </c>
      <c r="L538">
        <v>704.2</v>
      </c>
      <c r="M538">
        <v>0</v>
      </c>
      <c r="O538" t="s">
        <v>34</v>
      </c>
    </row>
    <row r="539" spans="1:15">
      <c r="A539" t="s">
        <v>1726</v>
      </c>
      <c r="B539" s="2">
        <v>44064.95171296296</v>
      </c>
      <c r="C539" s="2">
        <v>44065.100937499999</v>
      </c>
      <c r="D539" t="s">
        <v>180</v>
      </c>
      <c r="E539" t="s">
        <v>1715</v>
      </c>
      <c r="F539" t="s">
        <v>1716</v>
      </c>
      <c r="G539" t="s">
        <v>1019</v>
      </c>
      <c r="H539" t="s">
        <v>1031</v>
      </c>
      <c r="I539">
        <v>185349003</v>
      </c>
      <c r="J539" t="s">
        <v>1038</v>
      </c>
      <c r="K539">
        <v>85.55</v>
      </c>
      <c r="L539">
        <v>3968.15</v>
      </c>
      <c r="M539">
        <v>0</v>
      </c>
      <c r="N539">
        <v>103697008</v>
      </c>
      <c r="O539" t="s">
        <v>1039</v>
      </c>
    </row>
    <row r="540" spans="1:15">
      <c r="A540" t="s">
        <v>1727</v>
      </c>
      <c r="B540" s="2">
        <v>44239.910046296296</v>
      </c>
      <c r="C540" s="2">
        <v>44239.92046296296</v>
      </c>
      <c r="D540" t="s">
        <v>180</v>
      </c>
      <c r="E540" t="s">
        <v>1711</v>
      </c>
      <c r="F540" t="s">
        <v>1712</v>
      </c>
      <c r="G540" t="s">
        <v>1019</v>
      </c>
      <c r="H540" t="s">
        <v>1020</v>
      </c>
      <c r="I540">
        <v>410620009</v>
      </c>
      <c r="J540" t="s">
        <v>1054</v>
      </c>
      <c r="K540">
        <v>136.80000000000001</v>
      </c>
      <c r="L540">
        <v>272.8</v>
      </c>
      <c r="M540">
        <v>0</v>
      </c>
      <c r="O540" t="s">
        <v>34</v>
      </c>
    </row>
    <row r="541" spans="1:15">
      <c r="A541" t="s">
        <v>1728</v>
      </c>
      <c r="B541" s="2">
        <v>44377.535046296296</v>
      </c>
      <c r="C541" s="2">
        <v>44377.54546296296</v>
      </c>
      <c r="D541" t="s">
        <v>180</v>
      </c>
      <c r="E541" t="s">
        <v>1715</v>
      </c>
      <c r="F541" t="s">
        <v>1716</v>
      </c>
      <c r="G541" t="s">
        <v>1019</v>
      </c>
      <c r="H541" t="s">
        <v>1031</v>
      </c>
      <c r="I541">
        <v>185345009</v>
      </c>
      <c r="J541" t="s">
        <v>1032</v>
      </c>
      <c r="K541">
        <v>85.55</v>
      </c>
      <c r="L541">
        <v>85.55</v>
      </c>
      <c r="M541">
        <v>0</v>
      </c>
      <c r="N541">
        <v>444814009</v>
      </c>
      <c r="O541" t="s">
        <v>1035</v>
      </c>
    </row>
    <row r="542" spans="1:15">
      <c r="A542" t="s">
        <v>1729</v>
      </c>
      <c r="B542" s="2">
        <v>44421.95171296296</v>
      </c>
      <c r="C542" s="2">
        <v>44421.962129629632</v>
      </c>
      <c r="D542" t="s">
        <v>180</v>
      </c>
      <c r="E542" t="s">
        <v>1711</v>
      </c>
      <c r="F542" t="s">
        <v>1712</v>
      </c>
      <c r="G542" t="s">
        <v>1019</v>
      </c>
      <c r="H542" t="s">
        <v>1020</v>
      </c>
      <c r="I542">
        <v>410620009</v>
      </c>
      <c r="J542" t="s">
        <v>1054</v>
      </c>
      <c r="K542">
        <v>136.80000000000001</v>
      </c>
      <c r="L542">
        <v>352.5</v>
      </c>
      <c r="M542">
        <v>0</v>
      </c>
      <c r="O542" t="s">
        <v>34</v>
      </c>
    </row>
    <row r="543" spans="1:15">
      <c r="A543" t="s">
        <v>1730</v>
      </c>
      <c r="B543" s="2">
        <v>44503.95171296296</v>
      </c>
      <c r="C543" s="2">
        <v>44503.993379629632</v>
      </c>
      <c r="D543" t="s">
        <v>180</v>
      </c>
      <c r="E543" t="s">
        <v>1731</v>
      </c>
      <c r="F543" t="s">
        <v>1732</v>
      </c>
      <c r="G543" t="s">
        <v>1019</v>
      </c>
      <c r="H543" t="s">
        <v>1076</v>
      </c>
      <c r="I543">
        <v>50849002</v>
      </c>
      <c r="J543" t="s">
        <v>1163</v>
      </c>
      <c r="K543">
        <v>146.18</v>
      </c>
      <c r="L543">
        <v>5416.84</v>
      </c>
      <c r="M543">
        <v>0</v>
      </c>
      <c r="N543">
        <v>312608009</v>
      </c>
      <c r="O543" t="s">
        <v>1249</v>
      </c>
    </row>
    <row r="544" spans="1:15">
      <c r="A544" t="s">
        <v>1733</v>
      </c>
      <c r="B544" s="2">
        <v>44582.410046296296</v>
      </c>
      <c r="C544" s="2">
        <v>44582.42046296296</v>
      </c>
      <c r="D544" t="s">
        <v>180</v>
      </c>
      <c r="E544" t="s">
        <v>1715</v>
      </c>
      <c r="F544" t="s">
        <v>1716</v>
      </c>
      <c r="G544" t="s">
        <v>1019</v>
      </c>
      <c r="H544" t="s">
        <v>1031</v>
      </c>
      <c r="I544">
        <v>185345009</v>
      </c>
      <c r="J544" t="s">
        <v>1032</v>
      </c>
      <c r="K544">
        <v>85.55</v>
      </c>
      <c r="L544">
        <v>85.55</v>
      </c>
      <c r="M544">
        <v>0</v>
      </c>
      <c r="N544">
        <v>444814009</v>
      </c>
      <c r="O544" t="s">
        <v>1035</v>
      </c>
    </row>
    <row r="545" spans="1:15">
      <c r="A545" t="s">
        <v>1734</v>
      </c>
      <c r="B545" s="2">
        <v>44603.910046296296</v>
      </c>
      <c r="C545" s="2">
        <v>44603.92046296296</v>
      </c>
      <c r="D545" t="s">
        <v>180</v>
      </c>
      <c r="E545" t="s">
        <v>1711</v>
      </c>
      <c r="F545" t="s">
        <v>1712</v>
      </c>
      <c r="G545" t="s">
        <v>1019</v>
      </c>
      <c r="H545" t="s">
        <v>1020</v>
      </c>
      <c r="I545">
        <v>410620009</v>
      </c>
      <c r="J545" t="s">
        <v>1054</v>
      </c>
      <c r="K545">
        <v>136.80000000000001</v>
      </c>
      <c r="L545">
        <v>704.2</v>
      </c>
      <c r="M545">
        <v>0</v>
      </c>
      <c r="O545" t="s">
        <v>34</v>
      </c>
    </row>
    <row r="546" spans="1:15">
      <c r="A546" t="s">
        <v>1735</v>
      </c>
      <c r="B546" s="2">
        <v>44610.910046296296</v>
      </c>
      <c r="C546" s="2">
        <v>44611.070879629631</v>
      </c>
      <c r="D546" t="s">
        <v>180</v>
      </c>
      <c r="E546" t="s">
        <v>1715</v>
      </c>
      <c r="F546" t="s">
        <v>1716</v>
      </c>
      <c r="G546" t="s">
        <v>1019</v>
      </c>
      <c r="H546" t="s">
        <v>1031</v>
      </c>
      <c r="I546">
        <v>185349003</v>
      </c>
      <c r="J546" t="s">
        <v>1038</v>
      </c>
      <c r="K546">
        <v>85.55</v>
      </c>
      <c r="L546">
        <v>3536.75</v>
      </c>
      <c r="M546">
        <v>0</v>
      </c>
      <c r="N546">
        <v>103697008</v>
      </c>
      <c r="O546" t="s">
        <v>1039</v>
      </c>
    </row>
    <row r="547" spans="1:15">
      <c r="A547" t="s">
        <v>1736</v>
      </c>
      <c r="B547" s="2">
        <v>44974.910046296296</v>
      </c>
      <c r="C547" s="2">
        <v>44974.92046296296</v>
      </c>
      <c r="D547" t="s">
        <v>180</v>
      </c>
      <c r="E547" t="s">
        <v>1711</v>
      </c>
      <c r="F547" t="s">
        <v>1712</v>
      </c>
      <c r="G547" t="s">
        <v>1019</v>
      </c>
      <c r="H547" t="s">
        <v>1020</v>
      </c>
      <c r="I547">
        <v>410620009</v>
      </c>
      <c r="J547" t="s">
        <v>1054</v>
      </c>
      <c r="K547">
        <v>136.80000000000001</v>
      </c>
      <c r="L547">
        <v>1679.6</v>
      </c>
      <c r="M547">
        <v>0</v>
      </c>
      <c r="O547" t="s">
        <v>34</v>
      </c>
    </row>
    <row r="548" spans="1:15">
      <c r="A548" t="s">
        <v>1737</v>
      </c>
      <c r="B548" s="2">
        <v>44989.785046296296</v>
      </c>
      <c r="C548" s="2">
        <v>44989.79546296296</v>
      </c>
      <c r="D548" t="s">
        <v>180</v>
      </c>
      <c r="E548" t="s">
        <v>1715</v>
      </c>
      <c r="F548" t="s">
        <v>1716</v>
      </c>
      <c r="G548" t="s">
        <v>1019</v>
      </c>
      <c r="H548" t="s">
        <v>1031</v>
      </c>
      <c r="I548">
        <v>185345009</v>
      </c>
      <c r="J548" t="s">
        <v>1032</v>
      </c>
      <c r="K548">
        <v>85.55</v>
      </c>
      <c r="L548">
        <v>85.55</v>
      </c>
      <c r="M548">
        <v>0</v>
      </c>
      <c r="N548">
        <v>195662009</v>
      </c>
      <c r="O548" t="s">
        <v>1130</v>
      </c>
    </row>
    <row r="549" spans="1:15">
      <c r="A549" t="s">
        <v>1738</v>
      </c>
      <c r="B549" s="2">
        <v>45345.910046296296</v>
      </c>
      <c r="C549" s="2">
        <v>45345.92046296296</v>
      </c>
      <c r="D549" t="s">
        <v>180</v>
      </c>
      <c r="E549" t="s">
        <v>1711</v>
      </c>
      <c r="F549" t="s">
        <v>1712</v>
      </c>
      <c r="G549" t="s">
        <v>1019</v>
      </c>
      <c r="H549" t="s">
        <v>1020</v>
      </c>
      <c r="I549">
        <v>410620009</v>
      </c>
      <c r="J549" t="s">
        <v>1054</v>
      </c>
      <c r="K549">
        <v>136.80000000000001</v>
      </c>
      <c r="L549">
        <v>601.78</v>
      </c>
      <c r="M549">
        <v>0</v>
      </c>
      <c r="O549" t="s">
        <v>34</v>
      </c>
    </row>
    <row r="550" spans="1:15">
      <c r="A550" t="s">
        <v>1739</v>
      </c>
      <c r="B550" s="2">
        <v>45716.910046296296</v>
      </c>
      <c r="C550" s="2">
        <v>45716.92046296296</v>
      </c>
      <c r="D550" t="s">
        <v>180</v>
      </c>
      <c r="E550" t="s">
        <v>1711</v>
      </c>
      <c r="F550" t="s">
        <v>1712</v>
      </c>
      <c r="G550" t="s">
        <v>1019</v>
      </c>
      <c r="H550" t="s">
        <v>1020</v>
      </c>
      <c r="I550">
        <v>410620009</v>
      </c>
      <c r="J550" t="s">
        <v>1054</v>
      </c>
      <c r="K550">
        <v>136.80000000000001</v>
      </c>
      <c r="L550">
        <v>635.88</v>
      </c>
      <c r="M550">
        <v>0</v>
      </c>
      <c r="O550" t="s">
        <v>34</v>
      </c>
    </row>
    <row r="551" spans="1:15">
      <c r="A551" t="s">
        <v>1740</v>
      </c>
      <c r="B551" s="2">
        <v>46087.910046296296</v>
      </c>
      <c r="C551" s="2">
        <v>46087.92046296296</v>
      </c>
      <c r="D551" t="s">
        <v>180</v>
      </c>
      <c r="E551" t="s">
        <v>1711</v>
      </c>
      <c r="F551" t="s">
        <v>1712</v>
      </c>
      <c r="G551" t="s">
        <v>1019</v>
      </c>
      <c r="H551" t="s">
        <v>1020</v>
      </c>
      <c r="I551">
        <v>410620009</v>
      </c>
      <c r="J551" t="s">
        <v>1054</v>
      </c>
      <c r="K551">
        <v>136.80000000000001</v>
      </c>
      <c r="L551">
        <v>704.2</v>
      </c>
      <c r="M551">
        <v>0</v>
      </c>
      <c r="O551" t="s">
        <v>34</v>
      </c>
    </row>
    <row r="552" spans="1:15">
      <c r="A552" t="s">
        <v>1741</v>
      </c>
      <c r="B552" s="2">
        <v>46094.95171296296</v>
      </c>
      <c r="C552" s="2">
        <v>46095.043587962966</v>
      </c>
      <c r="D552" t="s">
        <v>180</v>
      </c>
      <c r="E552" t="s">
        <v>1715</v>
      </c>
      <c r="F552" t="s">
        <v>1716</v>
      </c>
      <c r="G552" t="s">
        <v>1019</v>
      </c>
      <c r="H552" t="s">
        <v>1031</v>
      </c>
      <c r="I552">
        <v>185349003</v>
      </c>
      <c r="J552" t="s">
        <v>1038</v>
      </c>
      <c r="K552">
        <v>85.55</v>
      </c>
      <c r="L552">
        <v>3105.35</v>
      </c>
      <c r="M552">
        <v>0</v>
      </c>
      <c r="N552">
        <v>66383009</v>
      </c>
      <c r="O552" t="s">
        <v>1209</v>
      </c>
    </row>
    <row r="553" spans="1:15">
      <c r="A553" t="s">
        <v>1742</v>
      </c>
      <c r="B553" s="2">
        <v>46237.70171296296</v>
      </c>
      <c r="C553" s="2">
        <v>46237.712129629632</v>
      </c>
      <c r="D553" t="s">
        <v>180</v>
      </c>
      <c r="E553" t="s">
        <v>1715</v>
      </c>
      <c r="F553" t="s">
        <v>1716</v>
      </c>
      <c r="G553" t="s">
        <v>1019</v>
      </c>
      <c r="H553" t="s">
        <v>1031</v>
      </c>
      <c r="I553">
        <v>185345009</v>
      </c>
      <c r="J553" t="s">
        <v>1032</v>
      </c>
      <c r="K553">
        <v>85.55</v>
      </c>
      <c r="L553">
        <v>85.55</v>
      </c>
      <c r="M553">
        <v>0</v>
      </c>
      <c r="N553">
        <v>43878008</v>
      </c>
      <c r="O553" t="s">
        <v>1217</v>
      </c>
    </row>
    <row r="554" spans="1:15">
      <c r="A554" t="s">
        <v>1743</v>
      </c>
      <c r="B554" s="2">
        <v>42301.937465277777</v>
      </c>
      <c r="C554" s="2">
        <v>42301.95416666667</v>
      </c>
      <c r="D554" t="s">
        <v>190</v>
      </c>
      <c r="E554" t="s">
        <v>1744</v>
      </c>
      <c r="F554" t="s">
        <v>1745</v>
      </c>
      <c r="G554" t="s">
        <v>1474</v>
      </c>
      <c r="H554" t="s">
        <v>1020</v>
      </c>
      <c r="I554">
        <v>410620009</v>
      </c>
      <c r="J554" t="s">
        <v>1054</v>
      </c>
      <c r="K554">
        <v>136.80000000000001</v>
      </c>
      <c r="L554">
        <v>704.2</v>
      </c>
      <c r="M554">
        <v>0</v>
      </c>
      <c r="O554" t="s">
        <v>34</v>
      </c>
    </row>
    <row r="555" spans="1:15">
      <c r="A555" t="s">
        <v>1746</v>
      </c>
      <c r="B555" s="2">
        <v>42672.937465277777</v>
      </c>
      <c r="C555" s="2">
        <v>42672.956759259258</v>
      </c>
      <c r="D555" t="s">
        <v>190</v>
      </c>
      <c r="E555" t="s">
        <v>1744</v>
      </c>
      <c r="F555" t="s">
        <v>1745</v>
      </c>
      <c r="G555" t="s">
        <v>1474</v>
      </c>
      <c r="H555" t="s">
        <v>1020</v>
      </c>
      <c r="I555">
        <v>410620009</v>
      </c>
      <c r="J555" t="s">
        <v>1054</v>
      </c>
      <c r="K555">
        <v>136.80000000000001</v>
      </c>
      <c r="L555">
        <v>914.78</v>
      </c>
      <c r="M555">
        <v>0</v>
      </c>
      <c r="O555" t="s">
        <v>34</v>
      </c>
    </row>
    <row r="556" spans="1:15">
      <c r="A556" t="s">
        <v>1747</v>
      </c>
      <c r="B556" s="2">
        <v>42696.687465277777</v>
      </c>
      <c r="C556" s="2">
        <v>42696.697881944441</v>
      </c>
      <c r="D556" t="s">
        <v>190</v>
      </c>
      <c r="E556" t="s">
        <v>1748</v>
      </c>
      <c r="F556" t="s">
        <v>1749</v>
      </c>
      <c r="G556" t="s">
        <v>1474</v>
      </c>
      <c r="H556" t="s">
        <v>1031</v>
      </c>
      <c r="I556">
        <v>185345009</v>
      </c>
      <c r="J556" t="s">
        <v>1032</v>
      </c>
      <c r="K556">
        <v>85.55</v>
      </c>
      <c r="L556">
        <v>85.55</v>
      </c>
      <c r="M556">
        <v>0</v>
      </c>
      <c r="N556">
        <v>195662009</v>
      </c>
      <c r="O556" t="s">
        <v>1130</v>
      </c>
    </row>
    <row r="557" spans="1:15">
      <c r="A557" t="s">
        <v>1750</v>
      </c>
      <c r="B557" s="2">
        <v>42707.145798611113</v>
      </c>
      <c r="C557" s="2">
        <v>42707.156215277777</v>
      </c>
      <c r="D557" t="s">
        <v>190</v>
      </c>
      <c r="E557" t="s">
        <v>1748</v>
      </c>
      <c r="F557" t="s">
        <v>1749</v>
      </c>
      <c r="G557" t="s">
        <v>1474</v>
      </c>
      <c r="H557" t="s">
        <v>1031</v>
      </c>
      <c r="I557">
        <v>185345009</v>
      </c>
      <c r="J557" t="s">
        <v>1032</v>
      </c>
      <c r="K557">
        <v>85.55</v>
      </c>
      <c r="L557">
        <v>120.06</v>
      </c>
      <c r="M557">
        <v>0</v>
      </c>
      <c r="N557">
        <v>10509002</v>
      </c>
      <c r="O557" t="s">
        <v>1033</v>
      </c>
    </row>
    <row r="558" spans="1:15">
      <c r="A558" t="s">
        <v>1751</v>
      </c>
      <c r="B558" s="2">
        <v>43043.937465277777</v>
      </c>
      <c r="C558" s="2">
        <v>43043.947881944441</v>
      </c>
      <c r="D558" t="s">
        <v>190</v>
      </c>
      <c r="E558" t="s">
        <v>1744</v>
      </c>
      <c r="F558" t="s">
        <v>1745</v>
      </c>
      <c r="G558" t="s">
        <v>1474</v>
      </c>
      <c r="H558" t="s">
        <v>1020</v>
      </c>
      <c r="I558">
        <v>410620009</v>
      </c>
      <c r="J558" t="s">
        <v>1054</v>
      </c>
      <c r="K558">
        <v>136.80000000000001</v>
      </c>
      <c r="L558">
        <v>1567</v>
      </c>
      <c r="M558">
        <v>87.2</v>
      </c>
      <c r="O558" t="s">
        <v>34</v>
      </c>
    </row>
    <row r="559" spans="1:15">
      <c r="A559" t="s">
        <v>1752</v>
      </c>
      <c r="B559" s="2">
        <v>43057.895798611113</v>
      </c>
      <c r="C559" s="2">
        <v>43058.042442129627</v>
      </c>
      <c r="D559" t="s">
        <v>190</v>
      </c>
      <c r="E559" t="s">
        <v>1748</v>
      </c>
      <c r="F559" t="s">
        <v>1749</v>
      </c>
      <c r="G559" t="s">
        <v>1474</v>
      </c>
      <c r="H559" t="s">
        <v>1031</v>
      </c>
      <c r="I559">
        <v>185349003</v>
      </c>
      <c r="J559" t="s">
        <v>1038</v>
      </c>
      <c r="K559">
        <v>85.55</v>
      </c>
      <c r="L559">
        <v>3105.35</v>
      </c>
      <c r="M559">
        <v>2484.2800000000002</v>
      </c>
      <c r="N559">
        <v>66383009</v>
      </c>
      <c r="O559" t="s">
        <v>1209</v>
      </c>
    </row>
    <row r="560" spans="1:15">
      <c r="A560" t="s">
        <v>1753</v>
      </c>
      <c r="B560" s="2">
        <v>43265.004826388889</v>
      </c>
      <c r="C560" s="2">
        <v>43265.046493055554</v>
      </c>
      <c r="D560" t="s">
        <v>190</v>
      </c>
      <c r="E560" t="s">
        <v>1754</v>
      </c>
      <c r="F560" t="s">
        <v>1755</v>
      </c>
      <c r="G560" t="s">
        <v>1474</v>
      </c>
      <c r="H560" t="s">
        <v>1076</v>
      </c>
      <c r="I560">
        <v>50849002</v>
      </c>
      <c r="J560" t="s">
        <v>1163</v>
      </c>
      <c r="K560">
        <v>146.18</v>
      </c>
      <c r="L560">
        <v>4140.8900000000003</v>
      </c>
      <c r="M560">
        <v>3312.71</v>
      </c>
      <c r="N560">
        <v>312608009</v>
      </c>
      <c r="O560" t="s">
        <v>1249</v>
      </c>
    </row>
    <row r="561" spans="1:15">
      <c r="A561" t="s">
        <v>1756</v>
      </c>
      <c r="B561" s="2">
        <v>43414.895798611113</v>
      </c>
      <c r="C561" s="2">
        <v>43414.917708333334</v>
      </c>
      <c r="D561" t="s">
        <v>190</v>
      </c>
      <c r="E561" t="s">
        <v>1744</v>
      </c>
      <c r="F561" t="s">
        <v>1745</v>
      </c>
      <c r="G561" t="s">
        <v>1474</v>
      </c>
      <c r="H561" t="s">
        <v>1020</v>
      </c>
      <c r="I561">
        <v>162673000</v>
      </c>
      <c r="J561" t="s">
        <v>1021</v>
      </c>
      <c r="K561">
        <v>136.80000000000001</v>
      </c>
      <c r="L561">
        <v>704.2</v>
      </c>
      <c r="M561">
        <v>0</v>
      </c>
      <c r="O561" t="s">
        <v>34</v>
      </c>
    </row>
    <row r="562" spans="1:15">
      <c r="A562" t="s">
        <v>1757</v>
      </c>
      <c r="B562" s="2">
        <v>43428.895798611113</v>
      </c>
      <c r="C562" s="2">
        <v>43429.050509259258</v>
      </c>
      <c r="D562" t="s">
        <v>190</v>
      </c>
      <c r="E562" t="s">
        <v>1748</v>
      </c>
      <c r="F562" t="s">
        <v>1749</v>
      </c>
      <c r="G562" t="s">
        <v>1474</v>
      </c>
      <c r="H562" t="s">
        <v>1031</v>
      </c>
      <c r="I562">
        <v>185349003</v>
      </c>
      <c r="J562" t="s">
        <v>1038</v>
      </c>
      <c r="K562">
        <v>85.55</v>
      </c>
      <c r="L562">
        <v>3105.35</v>
      </c>
      <c r="M562">
        <v>1985.19</v>
      </c>
      <c r="N562">
        <v>66383009</v>
      </c>
      <c r="O562" t="s">
        <v>1209</v>
      </c>
    </row>
    <row r="563" spans="1:15">
      <c r="A563" t="s">
        <v>1758</v>
      </c>
      <c r="B563" s="2">
        <v>43785.895798611113</v>
      </c>
      <c r="C563" s="2">
        <v>43785.932187500002</v>
      </c>
      <c r="D563" t="s">
        <v>190</v>
      </c>
      <c r="E563" t="s">
        <v>1744</v>
      </c>
      <c r="F563" t="s">
        <v>1745</v>
      </c>
      <c r="G563" t="s">
        <v>1474</v>
      </c>
      <c r="H563" t="s">
        <v>1020</v>
      </c>
      <c r="I563">
        <v>162673000</v>
      </c>
      <c r="J563" t="s">
        <v>1021</v>
      </c>
      <c r="K563">
        <v>136.80000000000001</v>
      </c>
      <c r="L563">
        <v>704.2</v>
      </c>
      <c r="M563">
        <v>0</v>
      </c>
      <c r="O563" t="s">
        <v>34</v>
      </c>
    </row>
    <row r="564" spans="1:15">
      <c r="A564" t="s">
        <v>1759</v>
      </c>
      <c r="B564" s="2">
        <v>43799.895798611113</v>
      </c>
      <c r="C564" s="2">
        <v>43800.007974537039</v>
      </c>
      <c r="D564" t="s">
        <v>190</v>
      </c>
      <c r="E564" t="s">
        <v>1748</v>
      </c>
      <c r="F564" t="s">
        <v>1749</v>
      </c>
      <c r="G564" t="s">
        <v>1474</v>
      </c>
      <c r="H564" t="s">
        <v>1031</v>
      </c>
      <c r="I564">
        <v>185349003</v>
      </c>
      <c r="J564" t="s">
        <v>1038</v>
      </c>
      <c r="K564">
        <v>85.55</v>
      </c>
      <c r="L564">
        <v>2673.95</v>
      </c>
      <c r="M564">
        <v>1536.12</v>
      </c>
      <c r="N564">
        <v>66383009</v>
      </c>
      <c r="O564" t="s">
        <v>1209</v>
      </c>
    </row>
    <row r="565" spans="1:15">
      <c r="A565" t="s">
        <v>1760</v>
      </c>
      <c r="B565" s="2">
        <v>44090.645798611113</v>
      </c>
      <c r="C565" s="2">
        <v>44090.656215277777</v>
      </c>
      <c r="D565" t="s">
        <v>190</v>
      </c>
      <c r="E565" t="s">
        <v>1748</v>
      </c>
      <c r="F565" t="s">
        <v>1749</v>
      </c>
      <c r="G565" t="s">
        <v>1474</v>
      </c>
      <c r="H565" t="s">
        <v>1031</v>
      </c>
      <c r="I565">
        <v>185345009</v>
      </c>
      <c r="J565" t="s">
        <v>1032</v>
      </c>
      <c r="K565">
        <v>85.55</v>
      </c>
      <c r="L565">
        <v>85.55</v>
      </c>
      <c r="M565">
        <v>68.44</v>
      </c>
      <c r="N565">
        <v>195662009</v>
      </c>
      <c r="O565" t="s">
        <v>1130</v>
      </c>
    </row>
    <row r="566" spans="1:15">
      <c r="A566" t="s">
        <v>1761</v>
      </c>
      <c r="B566" s="2">
        <v>44296.937465277777</v>
      </c>
      <c r="C566" s="2">
        <v>44296.947881944441</v>
      </c>
      <c r="D566" t="s">
        <v>190</v>
      </c>
      <c r="E566" t="s">
        <v>1762</v>
      </c>
      <c r="F566" t="s">
        <v>1763</v>
      </c>
      <c r="G566" t="s">
        <v>1474</v>
      </c>
      <c r="H566" t="s">
        <v>1043</v>
      </c>
      <c r="I566">
        <v>33879002</v>
      </c>
      <c r="J566" t="s">
        <v>1044</v>
      </c>
      <c r="K566">
        <v>142.58000000000001</v>
      </c>
      <c r="L566">
        <v>278.58</v>
      </c>
      <c r="M566">
        <v>0</v>
      </c>
      <c r="O566" t="s">
        <v>34</v>
      </c>
    </row>
    <row r="567" spans="1:15">
      <c r="A567" t="s">
        <v>1764</v>
      </c>
      <c r="B567" s="2">
        <v>44317.937465277777</v>
      </c>
      <c r="C567" s="2">
        <v>44317.947881944441</v>
      </c>
      <c r="D567" t="s">
        <v>190</v>
      </c>
      <c r="E567" t="s">
        <v>1762</v>
      </c>
      <c r="F567" t="s">
        <v>1763</v>
      </c>
      <c r="G567" t="s">
        <v>1474</v>
      </c>
      <c r="H567" t="s">
        <v>1043</v>
      </c>
      <c r="I567">
        <v>33879002</v>
      </c>
      <c r="J567" t="s">
        <v>1044</v>
      </c>
      <c r="K567">
        <v>142.58000000000001</v>
      </c>
      <c r="L567">
        <v>278.58</v>
      </c>
      <c r="M567">
        <v>0</v>
      </c>
      <c r="O567" t="s">
        <v>34</v>
      </c>
    </row>
    <row r="568" spans="1:15">
      <c r="A568" t="s">
        <v>1765</v>
      </c>
      <c r="B568" s="2">
        <v>44884.895798611113</v>
      </c>
      <c r="C568" s="2">
        <v>44884.937083333331</v>
      </c>
      <c r="D568" t="s">
        <v>190</v>
      </c>
      <c r="E568" t="s">
        <v>1744</v>
      </c>
      <c r="F568" t="s">
        <v>1745</v>
      </c>
      <c r="G568" t="s">
        <v>1474</v>
      </c>
      <c r="H568" t="s">
        <v>1020</v>
      </c>
      <c r="I568">
        <v>162673000</v>
      </c>
      <c r="J568" t="s">
        <v>1021</v>
      </c>
      <c r="K568">
        <v>136.80000000000001</v>
      </c>
      <c r="L568">
        <v>1186.78</v>
      </c>
      <c r="M568">
        <v>0</v>
      </c>
      <c r="O568" t="s">
        <v>34</v>
      </c>
    </row>
    <row r="569" spans="1:15">
      <c r="A569" t="s">
        <v>1766</v>
      </c>
      <c r="B569" s="2">
        <v>44898.895798611113</v>
      </c>
      <c r="C569" s="2">
        <v>44899.044282407405</v>
      </c>
      <c r="D569" t="s">
        <v>190</v>
      </c>
      <c r="E569" t="s">
        <v>1748</v>
      </c>
      <c r="F569" t="s">
        <v>1749</v>
      </c>
      <c r="G569" t="s">
        <v>1474</v>
      </c>
      <c r="H569" t="s">
        <v>1031</v>
      </c>
      <c r="I569">
        <v>185349003</v>
      </c>
      <c r="J569" t="s">
        <v>1038</v>
      </c>
      <c r="K569">
        <v>85.55</v>
      </c>
      <c r="L569">
        <v>3536.75</v>
      </c>
      <c r="M569">
        <v>2716.38</v>
      </c>
      <c r="N569">
        <v>103697008</v>
      </c>
      <c r="O569" t="s">
        <v>1039</v>
      </c>
    </row>
    <row r="570" spans="1:15">
      <c r="A570" t="s">
        <v>1767</v>
      </c>
      <c r="B570" s="2">
        <v>45122.937465277777</v>
      </c>
      <c r="C570" s="2">
        <v>45122.966574074075</v>
      </c>
      <c r="D570" t="s">
        <v>190</v>
      </c>
      <c r="E570" t="s">
        <v>1762</v>
      </c>
      <c r="F570" t="s">
        <v>1763</v>
      </c>
      <c r="G570" t="s">
        <v>1474</v>
      </c>
      <c r="H570" t="s">
        <v>1043</v>
      </c>
      <c r="I570">
        <v>185349003</v>
      </c>
      <c r="J570" t="s">
        <v>1038</v>
      </c>
      <c r="K570">
        <v>85.55</v>
      </c>
      <c r="L570">
        <v>788.95</v>
      </c>
      <c r="M570">
        <v>631.16</v>
      </c>
      <c r="O570" t="s">
        <v>34</v>
      </c>
    </row>
    <row r="571" spans="1:15">
      <c r="A571" t="s">
        <v>1768</v>
      </c>
      <c r="B571" s="2">
        <v>36360.763888888891</v>
      </c>
      <c r="C571" s="2">
        <v>36360.792268518519</v>
      </c>
      <c r="D571" t="s">
        <v>200</v>
      </c>
      <c r="E571" t="s">
        <v>1769</v>
      </c>
      <c r="F571" t="s">
        <v>1770</v>
      </c>
      <c r="G571" t="s">
        <v>1019</v>
      </c>
      <c r="H571" t="s">
        <v>1020</v>
      </c>
      <c r="I571">
        <v>162673000</v>
      </c>
      <c r="J571" t="s">
        <v>1021</v>
      </c>
      <c r="K571">
        <v>136.80000000000001</v>
      </c>
      <c r="L571">
        <v>919.9</v>
      </c>
      <c r="M571">
        <v>0</v>
      </c>
      <c r="O571" t="s">
        <v>34</v>
      </c>
    </row>
    <row r="572" spans="1:15">
      <c r="A572" t="s">
        <v>1771</v>
      </c>
      <c r="B572" s="2">
        <v>45129.937465277777</v>
      </c>
      <c r="C572" s="2">
        <v>45129.947881944441</v>
      </c>
      <c r="D572" t="s">
        <v>190</v>
      </c>
      <c r="E572" t="s">
        <v>1748</v>
      </c>
      <c r="F572" t="s">
        <v>1749</v>
      </c>
      <c r="G572" t="s">
        <v>1474</v>
      </c>
      <c r="H572" t="s">
        <v>1031</v>
      </c>
      <c r="I572">
        <v>185345009</v>
      </c>
      <c r="J572" t="s">
        <v>1032</v>
      </c>
      <c r="K572">
        <v>85.55</v>
      </c>
      <c r="L572">
        <v>183.93</v>
      </c>
      <c r="M572">
        <v>147.13999999999999</v>
      </c>
      <c r="N572">
        <v>10509002</v>
      </c>
      <c r="O572" t="s">
        <v>1033</v>
      </c>
    </row>
    <row r="573" spans="1:15">
      <c r="A573" t="s">
        <v>1772</v>
      </c>
      <c r="B573" s="2">
        <v>36731.763888888891</v>
      </c>
      <c r="C573" s="2">
        <v>36731.796087962961</v>
      </c>
      <c r="D573" t="s">
        <v>200</v>
      </c>
      <c r="E573" t="s">
        <v>1769</v>
      </c>
      <c r="F573" t="s">
        <v>1770</v>
      </c>
      <c r="G573" t="s">
        <v>1019</v>
      </c>
      <c r="H573" t="s">
        <v>1020</v>
      </c>
      <c r="I573">
        <v>162673000</v>
      </c>
      <c r="J573" t="s">
        <v>1021</v>
      </c>
      <c r="K573">
        <v>136.80000000000001</v>
      </c>
      <c r="L573">
        <v>704.2</v>
      </c>
      <c r="M573">
        <v>0</v>
      </c>
      <c r="O573" t="s">
        <v>34</v>
      </c>
    </row>
    <row r="574" spans="1:15">
      <c r="A574" t="s">
        <v>1773</v>
      </c>
      <c r="B574" s="2">
        <v>38508.763888888891</v>
      </c>
      <c r="C574" s="2">
        <v>38508.774305555555</v>
      </c>
      <c r="D574" t="s">
        <v>200</v>
      </c>
      <c r="E574" t="s">
        <v>1418</v>
      </c>
      <c r="F574" t="s">
        <v>1419</v>
      </c>
      <c r="G574" t="s">
        <v>1019</v>
      </c>
      <c r="H574" t="s">
        <v>1031</v>
      </c>
      <c r="I574">
        <v>185347001</v>
      </c>
      <c r="J574" t="s">
        <v>1124</v>
      </c>
      <c r="K574">
        <v>85.55</v>
      </c>
      <c r="L574">
        <v>85.55</v>
      </c>
      <c r="M574">
        <v>0</v>
      </c>
      <c r="N574">
        <v>40275004</v>
      </c>
      <c r="O574" t="s">
        <v>1774</v>
      </c>
    </row>
    <row r="575" spans="1:15">
      <c r="A575" t="s">
        <v>1775</v>
      </c>
      <c r="B575" s="2">
        <v>38521.388888888891</v>
      </c>
      <c r="C575" s="2">
        <v>38521.408495370371</v>
      </c>
      <c r="D575" t="s">
        <v>200</v>
      </c>
      <c r="E575" t="s">
        <v>1418</v>
      </c>
      <c r="F575" t="s">
        <v>1419</v>
      </c>
      <c r="G575" t="s">
        <v>1019</v>
      </c>
      <c r="H575" t="s">
        <v>1031</v>
      </c>
      <c r="I575">
        <v>185347001</v>
      </c>
      <c r="J575" t="s">
        <v>1124</v>
      </c>
      <c r="K575">
        <v>85.55</v>
      </c>
      <c r="L575">
        <v>516.95000000000005</v>
      </c>
      <c r="M575">
        <v>0</v>
      </c>
      <c r="N575">
        <v>609328004</v>
      </c>
      <c r="O575" t="s">
        <v>1137</v>
      </c>
    </row>
    <row r="576" spans="1:15">
      <c r="A576" t="s">
        <v>1776</v>
      </c>
      <c r="B576" s="2">
        <v>45136.937465277777</v>
      </c>
      <c r="C576" s="2">
        <v>45137.07613425926</v>
      </c>
      <c r="D576" t="s">
        <v>190</v>
      </c>
      <c r="E576" t="s">
        <v>1748</v>
      </c>
      <c r="F576" t="s">
        <v>1749</v>
      </c>
      <c r="G576" t="s">
        <v>1474</v>
      </c>
      <c r="H576" t="s">
        <v>1031</v>
      </c>
      <c r="I576">
        <v>185349003</v>
      </c>
      <c r="J576" t="s">
        <v>1038</v>
      </c>
      <c r="K576">
        <v>85.55</v>
      </c>
      <c r="L576">
        <v>2673.95</v>
      </c>
      <c r="M576">
        <v>2139.16</v>
      </c>
      <c r="N576">
        <v>66383009</v>
      </c>
      <c r="O576" t="s">
        <v>1209</v>
      </c>
    </row>
    <row r="577" spans="1:15">
      <c r="A577" t="s">
        <v>1777</v>
      </c>
      <c r="B577" s="2">
        <v>38936.763888888891</v>
      </c>
      <c r="C577" s="2">
        <v>38936.80369212963</v>
      </c>
      <c r="D577" t="s">
        <v>200</v>
      </c>
      <c r="E577" t="s">
        <v>1769</v>
      </c>
      <c r="F577" t="s">
        <v>1770</v>
      </c>
      <c r="G577" t="s">
        <v>1093</v>
      </c>
      <c r="H577" t="s">
        <v>1020</v>
      </c>
      <c r="I577">
        <v>162673000</v>
      </c>
      <c r="J577" t="s">
        <v>1021</v>
      </c>
      <c r="K577">
        <v>136.80000000000001</v>
      </c>
      <c r="L577">
        <v>568.20000000000005</v>
      </c>
      <c r="M577">
        <v>568.20000000000005</v>
      </c>
      <c r="O577" t="s">
        <v>34</v>
      </c>
    </row>
    <row r="578" spans="1:15">
      <c r="A578" t="s">
        <v>1778</v>
      </c>
      <c r="B578" s="2">
        <v>41134.763888888891</v>
      </c>
      <c r="C578" s="2">
        <v>41134.788344907407</v>
      </c>
      <c r="D578" t="s">
        <v>200</v>
      </c>
      <c r="E578" t="s">
        <v>1769</v>
      </c>
      <c r="F578" t="s">
        <v>1770</v>
      </c>
      <c r="G578" t="s">
        <v>1019</v>
      </c>
      <c r="H578" t="s">
        <v>1020</v>
      </c>
      <c r="I578">
        <v>162673000</v>
      </c>
      <c r="J578" t="s">
        <v>1021</v>
      </c>
      <c r="K578">
        <v>136.80000000000001</v>
      </c>
      <c r="L578">
        <v>914.78</v>
      </c>
      <c r="M578">
        <v>0</v>
      </c>
      <c r="O578" t="s">
        <v>34</v>
      </c>
    </row>
    <row r="579" spans="1:15">
      <c r="A579" t="s">
        <v>1779</v>
      </c>
      <c r="B579" s="2">
        <v>41331.430555555555</v>
      </c>
      <c r="C579" s="2">
        <v>41331.440972222219</v>
      </c>
      <c r="D579" t="s">
        <v>200</v>
      </c>
      <c r="E579" t="s">
        <v>1418</v>
      </c>
      <c r="F579" t="s">
        <v>1419</v>
      </c>
      <c r="G579" t="s">
        <v>1019</v>
      </c>
      <c r="H579" t="s">
        <v>1031</v>
      </c>
      <c r="I579">
        <v>424619006</v>
      </c>
      <c r="J579" t="s">
        <v>1062</v>
      </c>
      <c r="K579">
        <v>142.58000000000001</v>
      </c>
      <c r="L579">
        <v>1005.38</v>
      </c>
      <c r="M579">
        <v>0</v>
      </c>
      <c r="N579">
        <v>79586000</v>
      </c>
      <c r="O579" t="s">
        <v>1780</v>
      </c>
    </row>
    <row r="580" spans="1:15">
      <c r="A580" t="s">
        <v>1781</v>
      </c>
      <c r="B580" s="2">
        <v>42233.763888888891</v>
      </c>
      <c r="C580" s="2">
        <v>42233.788368055553</v>
      </c>
      <c r="D580" t="s">
        <v>200</v>
      </c>
      <c r="E580" t="s">
        <v>1769</v>
      </c>
      <c r="F580" t="s">
        <v>1770</v>
      </c>
      <c r="G580" t="s">
        <v>1019</v>
      </c>
      <c r="H580" t="s">
        <v>1020</v>
      </c>
      <c r="I580">
        <v>162673000</v>
      </c>
      <c r="J580" t="s">
        <v>1021</v>
      </c>
      <c r="K580">
        <v>136.80000000000001</v>
      </c>
      <c r="L580">
        <v>998.38</v>
      </c>
      <c r="M580">
        <v>0</v>
      </c>
      <c r="O580" t="s">
        <v>34</v>
      </c>
    </row>
    <row r="581" spans="1:15">
      <c r="A581" t="s">
        <v>1782</v>
      </c>
      <c r="B581" s="2">
        <v>42435.739675925928</v>
      </c>
      <c r="C581" s="2">
        <v>42435.750092592592</v>
      </c>
      <c r="D581" t="s">
        <v>200</v>
      </c>
      <c r="E581" t="s">
        <v>1429</v>
      </c>
      <c r="F581" t="s">
        <v>1430</v>
      </c>
      <c r="G581" t="s">
        <v>1019</v>
      </c>
      <c r="H581" t="s">
        <v>1043</v>
      </c>
      <c r="I581">
        <v>698314001</v>
      </c>
      <c r="J581" t="s">
        <v>1190</v>
      </c>
      <c r="K581">
        <v>142.58000000000001</v>
      </c>
      <c r="L581">
        <v>2365.17</v>
      </c>
      <c r="M581">
        <v>0</v>
      </c>
      <c r="N581">
        <v>389095005</v>
      </c>
      <c r="O581" t="s">
        <v>1191</v>
      </c>
    </row>
    <row r="582" spans="1:15">
      <c r="A582" t="s">
        <v>1783</v>
      </c>
      <c r="B582" s="2">
        <v>42709.722222222219</v>
      </c>
      <c r="C582" s="2">
        <v>42709.754629629628</v>
      </c>
      <c r="D582" t="s">
        <v>200</v>
      </c>
      <c r="E582" t="s">
        <v>1429</v>
      </c>
      <c r="F582" t="s">
        <v>1430</v>
      </c>
      <c r="G582" t="s">
        <v>1019</v>
      </c>
      <c r="H582" t="s">
        <v>1043</v>
      </c>
      <c r="I582">
        <v>185349003</v>
      </c>
      <c r="J582" t="s">
        <v>1038</v>
      </c>
      <c r="K582">
        <v>85.55</v>
      </c>
      <c r="L582">
        <v>1040.3699999999999</v>
      </c>
      <c r="M582">
        <v>0</v>
      </c>
      <c r="O582" t="s">
        <v>34</v>
      </c>
    </row>
    <row r="583" spans="1:15">
      <c r="A583" t="s">
        <v>1784</v>
      </c>
      <c r="B583" s="2">
        <v>42716.722222222219</v>
      </c>
      <c r="C583" s="2">
        <v>42716.732638888891</v>
      </c>
      <c r="D583" t="s">
        <v>200</v>
      </c>
      <c r="E583" t="s">
        <v>1418</v>
      </c>
      <c r="F583" t="s">
        <v>1419</v>
      </c>
      <c r="G583" t="s">
        <v>1019</v>
      </c>
      <c r="H583" t="s">
        <v>1031</v>
      </c>
      <c r="I583">
        <v>185345009</v>
      </c>
      <c r="J583" t="s">
        <v>1032</v>
      </c>
      <c r="K583">
        <v>85.55</v>
      </c>
      <c r="L583">
        <v>85.55</v>
      </c>
      <c r="M583">
        <v>0</v>
      </c>
      <c r="N583">
        <v>444814009</v>
      </c>
      <c r="O583" t="s">
        <v>1035</v>
      </c>
    </row>
    <row r="584" spans="1:15">
      <c r="A584" t="s">
        <v>1785</v>
      </c>
      <c r="B584" s="2">
        <v>42723.722222222219</v>
      </c>
      <c r="C584" s="2">
        <v>42723.880648148152</v>
      </c>
      <c r="D584" t="s">
        <v>200</v>
      </c>
      <c r="E584" t="s">
        <v>1418</v>
      </c>
      <c r="F584" t="s">
        <v>1419</v>
      </c>
      <c r="G584" t="s">
        <v>1019</v>
      </c>
      <c r="H584" t="s">
        <v>1031</v>
      </c>
      <c r="I584">
        <v>185349003</v>
      </c>
      <c r="J584" t="s">
        <v>1038</v>
      </c>
      <c r="K584">
        <v>85.55</v>
      </c>
      <c r="L584">
        <v>3105.35</v>
      </c>
      <c r="M584">
        <v>0</v>
      </c>
      <c r="N584">
        <v>66383009</v>
      </c>
      <c r="O584" t="s">
        <v>1209</v>
      </c>
    </row>
    <row r="585" spans="1:15">
      <c r="A585" t="s">
        <v>1786</v>
      </c>
      <c r="B585" s="2">
        <v>42795.747696759259</v>
      </c>
      <c r="C585" s="2">
        <v>42795.758113425924</v>
      </c>
      <c r="D585" t="s">
        <v>200</v>
      </c>
      <c r="E585" t="s">
        <v>1429</v>
      </c>
      <c r="F585" t="s">
        <v>1430</v>
      </c>
      <c r="G585" t="s">
        <v>1019</v>
      </c>
      <c r="H585" t="s">
        <v>1043</v>
      </c>
      <c r="I585">
        <v>698314001</v>
      </c>
      <c r="J585" t="s">
        <v>1190</v>
      </c>
      <c r="K585">
        <v>142.58000000000001</v>
      </c>
      <c r="L585">
        <v>4575.68</v>
      </c>
      <c r="M585">
        <v>0</v>
      </c>
      <c r="N585">
        <v>389095005</v>
      </c>
      <c r="O585" t="s">
        <v>1191</v>
      </c>
    </row>
    <row r="586" spans="1:15">
      <c r="A586" t="s">
        <v>1787</v>
      </c>
      <c r="B586" s="2">
        <v>43155.756076388891</v>
      </c>
      <c r="C586" s="2">
        <v>43155.766493055555</v>
      </c>
      <c r="D586" t="s">
        <v>200</v>
      </c>
      <c r="E586" t="s">
        <v>1429</v>
      </c>
      <c r="F586" t="s">
        <v>1430</v>
      </c>
      <c r="G586" t="s">
        <v>1019</v>
      </c>
      <c r="H586" t="s">
        <v>1043</v>
      </c>
      <c r="I586">
        <v>698314001</v>
      </c>
      <c r="J586" t="s">
        <v>1190</v>
      </c>
      <c r="K586">
        <v>142.58000000000001</v>
      </c>
      <c r="L586">
        <v>142.58000000000001</v>
      </c>
      <c r="M586">
        <v>0</v>
      </c>
      <c r="N586">
        <v>389095005</v>
      </c>
      <c r="O586" t="s">
        <v>1191</v>
      </c>
    </row>
    <row r="587" spans="1:15">
      <c r="A587" t="s">
        <v>1788</v>
      </c>
      <c r="B587" s="2">
        <v>43185.763888888891</v>
      </c>
      <c r="C587" s="2">
        <v>43185.798611111109</v>
      </c>
      <c r="D587" t="s">
        <v>200</v>
      </c>
      <c r="E587" t="s">
        <v>1429</v>
      </c>
      <c r="F587" t="s">
        <v>1430</v>
      </c>
      <c r="G587" t="s">
        <v>1019</v>
      </c>
      <c r="H587" t="s">
        <v>1043</v>
      </c>
      <c r="I587">
        <v>308335008</v>
      </c>
      <c r="J587" t="s">
        <v>1194</v>
      </c>
      <c r="K587">
        <v>142.58000000000001</v>
      </c>
      <c r="L587">
        <v>12178.4</v>
      </c>
      <c r="M587">
        <v>0</v>
      </c>
      <c r="N587">
        <v>389095005</v>
      </c>
      <c r="O587" t="s">
        <v>1191</v>
      </c>
    </row>
    <row r="588" spans="1:15">
      <c r="A588" t="s">
        <v>1789</v>
      </c>
      <c r="B588" s="2">
        <v>43332.763888888891</v>
      </c>
      <c r="C588" s="2">
        <v>43332.802488425928</v>
      </c>
      <c r="D588" t="s">
        <v>200</v>
      </c>
      <c r="E588" t="s">
        <v>1769</v>
      </c>
      <c r="F588" t="s">
        <v>1770</v>
      </c>
      <c r="G588" t="s">
        <v>1019</v>
      </c>
      <c r="H588" t="s">
        <v>1020</v>
      </c>
      <c r="I588">
        <v>162673000</v>
      </c>
      <c r="J588" t="s">
        <v>1021</v>
      </c>
      <c r="K588">
        <v>136.80000000000001</v>
      </c>
      <c r="L588">
        <v>853.36</v>
      </c>
      <c r="M588">
        <v>0</v>
      </c>
      <c r="O588" t="s">
        <v>34</v>
      </c>
    </row>
    <row r="589" spans="1:15">
      <c r="A589" t="s">
        <v>1790</v>
      </c>
      <c r="B589" s="2">
        <v>43515.756076388891</v>
      </c>
      <c r="C589" s="2">
        <v>43515.766493055555</v>
      </c>
      <c r="D589" t="s">
        <v>200</v>
      </c>
      <c r="E589" t="s">
        <v>1429</v>
      </c>
      <c r="F589" t="s">
        <v>1430</v>
      </c>
      <c r="G589" t="s">
        <v>1019</v>
      </c>
      <c r="H589" t="s">
        <v>1043</v>
      </c>
      <c r="I589">
        <v>698314001</v>
      </c>
      <c r="J589" t="s">
        <v>1190</v>
      </c>
      <c r="K589">
        <v>142.58000000000001</v>
      </c>
      <c r="L589">
        <v>142.58000000000001</v>
      </c>
      <c r="M589">
        <v>0</v>
      </c>
      <c r="N589">
        <v>389095005</v>
      </c>
      <c r="O589" t="s">
        <v>1191</v>
      </c>
    </row>
    <row r="590" spans="1:15">
      <c r="A590" t="s">
        <v>1791</v>
      </c>
      <c r="B590" s="2">
        <v>43577.097222222219</v>
      </c>
      <c r="C590" s="2">
        <v>43577.107638888891</v>
      </c>
      <c r="D590" t="s">
        <v>200</v>
      </c>
      <c r="E590" t="s">
        <v>1418</v>
      </c>
      <c r="F590" t="s">
        <v>1419</v>
      </c>
      <c r="G590" t="s">
        <v>1019</v>
      </c>
      <c r="H590" t="s">
        <v>1031</v>
      </c>
      <c r="I590">
        <v>185345009</v>
      </c>
      <c r="J590" t="s">
        <v>1032</v>
      </c>
      <c r="K590">
        <v>85.55</v>
      </c>
      <c r="L590">
        <v>85.55</v>
      </c>
      <c r="M590">
        <v>0</v>
      </c>
      <c r="N590">
        <v>195662009</v>
      </c>
      <c r="O590" t="s">
        <v>1130</v>
      </c>
    </row>
    <row r="591" spans="1:15">
      <c r="A591" t="s">
        <v>1792</v>
      </c>
      <c r="B591" s="2">
        <v>43875.756076388891</v>
      </c>
      <c r="C591" s="2">
        <v>43875.76866898148</v>
      </c>
      <c r="D591" t="s">
        <v>200</v>
      </c>
      <c r="E591" t="s">
        <v>1429</v>
      </c>
      <c r="F591" t="s">
        <v>1430</v>
      </c>
      <c r="G591" t="s">
        <v>1019</v>
      </c>
      <c r="H591" t="s">
        <v>1043</v>
      </c>
      <c r="I591">
        <v>698314001</v>
      </c>
      <c r="J591" t="s">
        <v>1190</v>
      </c>
      <c r="K591">
        <v>142.58000000000001</v>
      </c>
      <c r="L591">
        <v>2375.98</v>
      </c>
      <c r="M591">
        <v>0</v>
      </c>
      <c r="N591">
        <v>389095005</v>
      </c>
      <c r="O591" t="s">
        <v>1191</v>
      </c>
    </row>
    <row r="592" spans="1:15">
      <c r="A592" t="s">
        <v>1793</v>
      </c>
      <c r="B592" s="2">
        <v>44235.76866898148</v>
      </c>
      <c r="C592" s="2">
        <v>44235.779085648152</v>
      </c>
      <c r="D592" t="s">
        <v>200</v>
      </c>
      <c r="E592" t="s">
        <v>1429</v>
      </c>
      <c r="F592" t="s">
        <v>1430</v>
      </c>
      <c r="G592" t="s">
        <v>1019</v>
      </c>
      <c r="H592" t="s">
        <v>1043</v>
      </c>
      <c r="I592">
        <v>698314001</v>
      </c>
      <c r="J592" t="s">
        <v>1190</v>
      </c>
      <c r="K592">
        <v>142.58000000000001</v>
      </c>
      <c r="L592">
        <v>142.58000000000001</v>
      </c>
      <c r="M592">
        <v>0</v>
      </c>
      <c r="N592">
        <v>389095005</v>
      </c>
      <c r="O592" t="s">
        <v>1191</v>
      </c>
    </row>
    <row r="593" spans="1:15">
      <c r="A593" t="s">
        <v>1794</v>
      </c>
      <c r="B593" s="2">
        <v>44239.477002314816</v>
      </c>
      <c r="C593" s="2">
        <v>44239.525497685187</v>
      </c>
      <c r="D593" t="s">
        <v>200</v>
      </c>
      <c r="E593" t="s">
        <v>1429</v>
      </c>
      <c r="F593" t="s">
        <v>1430</v>
      </c>
      <c r="G593" t="s">
        <v>1019</v>
      </c>
      <c r="H593" t="s">
        <v>1043</v>
      </c>
      <c r="I593">
        <v>308335008</v>
      </c>
      <c r="J593" t="s">
        <v>1194</v>
      </c>
      <c r="K593">
        <v>142.58000000000001</v>
      </c>
      <c r="L593">
        <v>4052.91</v>
      </c>
      <c r="M593">
        <v>0</v>
      </c>
      <c r="N593">
        <v>389095005</v>
      </c>
      <c r="O593" t="s">
        <v>1191</v>
      </c>
    </row>
    <row r="594" spans="1:15">
      <c r="A594" t="s">
        <v>1795</v>
      </c>
      <c r="B594" s="2">
        <v>44347.763888888891</v>
      </c>
      <c r="C594" s="2">
        <v>44347.792627314811</v>
      </c>
      <c r="D594" t="s">
        <v>200</v>
      </c>
      <c r="E594" t="s">
        <v>1769</v>
      </c>
      <c r="F594" t="s">
        <v>1770</v>
      </c>
      <c r="G594" t="s">
        <v>1019</v>
      </c>
      <c r="H594" t="s">
        <v>1020</v>
      </c>
      <c r="I594">
        <v>162673000</v>
      </c>
      <c r="J594" t="s">
        <v>1021</v>
      </c>
      <c r="K594">
        <v>136.80000000000001</v>
      </c>
      <c r="L594">
        <v>1211.8599999999999</v>
      </c>
      <c r="M594">
        <v>0</v>
      </c>
      <c r="O594" t="s">
        <v>34</v>
      </c>
    </row>
    <row r="595" spans="1:15">
      <c r="A595" t="s">
        <v>1796</v>
      </c>
      <c r="B595" s="2">
        <v>45493.01761574074</v>
      </c>
      <c r="C595" s="2">
        <v>45493.059282407405</v>
      </c>
      <c r="D595" t="s">
        <v>190</v>
      </c>
      <c r="E595" t="s">
        <v>1754</v>
      </c>
      <c r="F595" t="s">
        <v>1755</v>
      </c>
      <c r="G595" t="s">
        <v>1474</v>
      </c>
      <c r="H595" t="s">
        <v>1076</v>
      </c>
      <c r="I595">
        <v>50849002</v>
      </c>
      <c r="J595" t="s">
        <v>1163</v>
      </c>
      <c r="K595">
        <v>146.18</v>
      </c>
      <c r="L595">
        <v>4140.8900000000003</v>
      </c>
      <c r="M595">
        <v>2159.88</v>
      </c>
      <c r="N595">
        <v>312608009</v>
      </c>
      <c r="O595" t="s">
        <v>1249</v>
      </c>
    </row>
    <row r="596" spans="1:15">
      <c r="A596" t="s">
        <v>1797</v>
      </c>
      <c r="B596" s="2">
        <v>45844.979131944441</v>
      </c>
      <c r="C596" s="2">
        <v>45844.989548611113</v>
      </c>
      <c r="D596" t="s">
        <v>190</v>
      </c>
      <c r="E596" t="s">
        <v>1748</v>
      </c>
      <c r="F596" t="s">
        <v>1749</v>
      </c>
      <c r="G596" t="s">
        <v>1474</v>
      </c>
      <c r="H596" t="s">
        <v>1031</v>
      </c>
      <c r="I596">
        <v>185345009</v>
      </c>
      <c r="J596" t="s">
        <v>1032</v>
      </c>
      <c r="K596">
        <v>85.55</v>
      </c>
      <c r="L596">
        <v>85.55</v>
      </c>
      <c r="M596">
        <v>0</v>
      </c>
      <c r="N596">
        <v>43878008</v>
      </c>
      <c r="O596" t="s">
        <v>1217</v>
      </c>
    </row>
    <row r="597" spans="1:15">
      <c r="A597" t="s">
        <v>1798</v>
      </c>
      <c r="B597" s="2">
        <v>44599.525497685187</v>
      </c>
      <c r="C597" s="2">
        <v>44599.535914351851</v>
      </c>
      <c r="D597" t="s">
        <v>200</v>
      </c>
      <c r="E597" t="s">
        <v>1429</v>
      </c>
      <c r="F597" t="s">
        <v>1430</v>
      </c>
      <c r="G597" t="s">
        <v>1019</v>
      </c>
      <c r="H597" t="s">
        <v>1043</v>
      </c>
      <c r="I597">
        <v>698314001</v>
      </c>
      <c r="J597" t="s">
        <v>1190</v>
      </c>
      <c r="K597">
        <v>142.58000000000001</v>
      </c>
      <c r="L597">
        <v>142.58000000000001</v>
      </c>
      <c r="M597">
        <v>0</v>
      </c>
      <c r="N597">
        <v>389095005</v>
      </c>
      <c r="O597" t="s">
        <v>1191</v>
      </c>
    </row>
    <row r="598" spans="1:15">
      <c r="A598" t="s">
        <v>1799</v>
      </c>
      <c r="B598" s="2">
        <v>45983.895798611113</v>
      </c>
      <c r="C598" s="2">
        <v>45983.919224537036</v>
      </c>
      <c r="D598" t="s">
        <v>190</v>
      </c>
      <c r="E598" t="s">
        <v>1744</v>
      </c>
      <c r="F598" t="s">
        <v>1745</v>
      </c>
      <c r="G598" t="s">
        <v>1474</v>
      </c>
      <c r="H598" t="s">
        <v>1020</v>
      </c>
      <c r="I598">
        <v>162673000</v>
      </c>
      <c r="J598" t="s">
        <v>1021</v>
      </c>
      <c r="K598">
        <v>136.80000000000001</v>
      </c>
      <c r="L598">
        <v>704.2</v>
      </c>
      <c r="M598">
        <v>0</v>
      </c>
      <c r="O598" t="s">
        <v>34</v>
      </c>
    </row>
    <row r="599" spans="1:15">
      <c r="A599" t="s">
        <v>1800</v>
      </c>
      <c r="B599" s="2">
        <v>44648.763888888891</v>
      </c>
      <c r="C599" s="2">
        <v>44648.807025462964</v>
      </c>
      <c r="D599" t="s">
        <v>200</v>
      </c>
      <c r="E599" t="s">
        <v>1429</v>
      </c>
      <c r="F599" t="s">
        <v>1430</v>
      </c>
      <c r="G599" t="s">
        <v>1019</v>
      </c>
      <c r="H599" t="s">
        <v>1043</v>
      </c>
      <c r="I599">
        <v>308335008</v>
      </c>
      <c r="J599" t="s">
        <v>1194</v>
      </c>
      <c r="K599">
        <v>142.58000000000001</v>
      </c>
      <c r="L599">
        <v>29338.82</v>
      </c>
      <c r="M599">
        <v>0</v>
      </c>
      <c r="N599">
        <v>389095005</v>
      </c>
      <c r="O599" t="s">
        <v>1191</v>
      </c>
    </row>
    <row r="600" spans="1:15">
      <c r="A600" t="s">
        <v>1801</v>
      </c>
      <c r="B600" s="2">
        <v>45082.763888888891</v>
      </c>
      <c r="C600" s="2">
        <v>45082.800162037034</v>
      </c>
      <c r="D600" t="s">
        <v>200</v>
      </c>
      <c r="E600" t="s">
        <v>1769</v>
      </c>
      <c r="F600" t="s">
        <v>1770</v>
      </c>
      <c r="G600" t="s">
        <v>1019</v>
      </c>
      <c r="H600" t="s">
        <v>1020</v>
      </c>
      <c r="I600">
        <v>162673000</v>
      </c>
      <c r="J600" t="s">
        <v>1021</v>
      </c>
      <c r="K600">
        <v>136.80000000000001</v>
      </c>
      <c r="L600">
        <v>1132.1600000000001</v>
      </c>
      <c r="M600">
        <v>0</v>
      </c>
      <c r="O600" t="s">
        <v>34</v>
      </c>
    </row>
    <row r="601" spans="1:15">
      <c r="A601" t="s">
        <v>1802</v>
      </c>
      <c r="B601" s="2">
        <v>45997.895798611113</v>
      </c>
      <c r="C601" s="2">
        <v>45998.022164351853</v>
      </c>
      <c r="D601" t="s">
        <v>190</v>
      </c>
      <c r="E601" t="s">
        <v>1748</v>
      </c>
      <c r="F601" t="s">
        <v>1749</v>
      </c>
      <c r="G601" t="s">
        <v>1474</v>
      </c>
      <c r="H601" t="s">
        <v>1031</v>
      </c>
      <c r="I601">
        <v>185349003</v>
      </c>
      <c r="J601" t="s">
        <v>1038</v>
      </c>
      <c r="K601">
        <v>85.55</v>
      </c>
      <c r="L601">
        <v>3105.35</v>
      </c>
      <c r="M601">
        <v>1985.19</v>
      </c>
      <c r="N601">
        <v>103697008</v>
      </c>
      <c r="O601" t="s">
        <v>1039</v>
      </c>
    </row>
    <row r="602" spans="1:15">
      <c r="A602" t="s">
        <v>1803</v>
      </c>
      <c r="B602" s="2">
        <v>45096.763888888891</v>
      </c>
      <c r="C602" s="2">
        <v>45096.894201388888</v>
      </c>
      <c r="D602" t="s">
        <v>200</v>
      </c>
      <c r="E602" t="s">
        <v>1418</v>
      </c>
      <c r="F602" t="s">
        <v>1419</v>
      </c>
      <c r="G602" t="s">
        <v>1019</v>
      </c>
      <c r="H602" t="s">
        <v>1031</v>
      </c>
      <c r="I602">
        <v>185349003</v>
      </c>
      <c r="J602" t="s">
        <v>1038</v>
      </c>
      <c r="K602">
        <v>85.55</v>
      </c>
      <c r="L602">
        <v>3105.35</v>
      </c>
      <c r="M602">
        <v>0</v>
      </c>
      <c r="N602">
        <v>66383009</v>
      </c>
      <c r="O602" t="s">
        <v>1209</v>
      </c>
    </row>
    <row r="603" spans="1:15">
      <c r="A603" t="s">
        <v>1804</v>
      </c>
      <c r="B603" s="2">
        <v>45319.525497685187</v>
      </c>
      <c r="C603" s="2">
        <v>45319.535914351851</v>
      </c>
      <c r="D603" t="s">
        <v>200</v>
      </c>
      <c r="E603" t="s">
        <v>1429</v>
      </c>
      <c r="F603" t="s">
        <v>1430</v>
      </c>
      <c r="G603" t="s">
        <v>1019</v>
      </c>
      <c r="H603" t="s">
        <v>1043</v>
      </c>
      <c r="I603">
        <v>698314001</v>
      </c>
      <c r="J603" t="s">
        <v>1190</v>
      </c>
      <c r="K603">
        <v>142.58000000000001</v>
      </c>
      <c r="L603">
        <v>142.58000000000001</v>
      </c>
      <c r="M603">
        <v>0</v>
      </c>
      <c r="N603">
        <v>389095005</v>
      </c>
      <c r="O603" t="s">
        <v>1191</v>
      </c>
    </row>
    <row r="604" spans="1:15">
      <c r="A604" t="s">
        <v>1805</v>
      </c>
      <c r="B604" s="2">
        <v>45817.763888888891</v>
      </c>
      <c r="C604" s="2">
        <v>45817.803703703707</v>
      </c>
      <c r="D604" t="s">
        <v>200</v>
      </c>
      <c r="E604" t="s">
        <v>1769</v>
      </c>
      <c r="F604" t="s">
        <v>1770</v>
      </c>
      <c r="G604" t="s">
        <v>1019</v>
      </c>
      <c r="H604" t="s">
        <v>1020</v>
      </c>
      <c r="I604">
        <v>162673000</v>
      </c>
      <c r="J604" t="s">
        <v>1021</v>
      </c>
      <c r="K604">
        <v>136.80000000000001</v>
      </c>
      <c r="L604">
        <v>778.78</v>
      </c>
      <c r="M604">
        <v>0</v>
      </c>
      <c r="O604" t="s">
        <v>34</v>
      </c>
    </row>
    <row r="605" spans="1:15">
      <c r="A605" t="s">
        <v>1806</v>
      </c>
      <c r="B605" s="2">
        <v>45935.388888888891</v>
      </c>
      <c r="C605" s="2">
        <v>45935.399305555555</v>
      </c>
      <c r="D605" t="s">
        <v>200</v>
      </c>
      <c r="E605" t="s">
        <v>1418</v>
      </c>
      <c r="F605" t="s">
        <v>1419</v>
      </c>
      <c r="G605" t="s">
        <v>1019</v>
      </c>
      <c r="H605" t="s">
        <v>1031</v>
      </c>
      <c r="I605">
        <v>185345009</v>
      </c>
      <c r="J605" t="s">
        <v>1032</v>
      </c>
      <c r="K605">
        <v>85.55</v>
      </c>
      <c r="L605">
        <v>3130.25</v>
      </c>
      <c r="M605">
        <v>0</v>
      </c>
      <c r="N605">
        <v>195662009</v>
      </c>
      <c r="O605" t="s">
        <v>1130</v>
      </c>
    </row>
    <row r="606" spans="1:15">
      <c r="A606" t="s">
        <v>1807</v>
      </c>
      <c r="B606" s="2">
        <v>46039.525497685187</v>
      </c>
      <c r="C606" s="2">
        <v>46039.535914351851</v>
      </c>
      <c r="D606" t="s">
        <v>200</v>
      </c>
      <c r="E606" t="s">
        <v>1429</v>
      </c>
      <c r="F606" t="s">
        <v>1430</v>
      </c>
      <c r="G606" t="s">
        <v>1019</v>
      </c>
      <c r="H606" t="s">
        <v>1043</v>
      </c>
      <c r="I606">
        <v>698314001</v>
      </c>
      <c r="J606" t="s">
        <v>1190</v>
      </c>
      <c r="K606">
        <v>142.58000000000001</v>
      </c>
      <c r="L606">
        <v>142.58000000000001</v>
      </c>
      <c r="M606">
        <v>0</v>
      </c>
      <c r="N606">
        <v>389095005</v>
      </c>
      <c r="O606" t="s">
        <v>1191</v>
      </c>
    </row>
    <row r="607" spans="1:15">
      <c r="A607" t="s">
        <v>1808</v>
      </c>
      <c r="B607" s="2">
        <v>46111.763888888891</v>
      </c>
      <c r="C607" s="2">
        <v>46111.805972222224</v>
      </c>
      <c r="D607" t="s">
        <v>200</v>
      </c>
      <c r="E607" t="s">
        <v>1429</v>
      </c>
      <c r="F607" t="s">
        <v>1430</v>
      </c>
      <c r="G607" t="s">
        <v>1019</v>
      </c>
      <c r="H607" t="s">
        <v>1043</v>
      </c>
      <c r="I607">
        <v>308335008</v>
      </c>
      <c r="J607" t="s">
        <v>1194</v>
      </c>
      <c r="K607">
        <v>142.58000000000001</v>
      </c>
      <c r="L607">
        <v>10928.57</v>
      </c>
      <c r="M607">
        <v>0</v>
      </c>
      <c r="N607">
        <v>389095005</v>
      </c>
      <c r="O607" t="s">
        <v>1191</v>
      </c>
    </row>
    <row r="608" spans="1:15">
      <c r="A608" t="s">
        <v>1809</v>
      </c>
      <c r="B608" s="2">
        <v>30439.414918981482</v>
      </c>
      <c r="C608" s="2">
        <v>30439.425335648149</v>
      </c>
      <c r="D608" t="s">
        <v>211</v>
      </c>
      <c r="E608" t="s">
        <v>1661</v>
      </c>
      <c r="F608" t="s">
        <v>1662</v>
      </c>
      <c r="G608" t="s">
        <v>1019</v>
      </c>
      <c r="H608" t="s">
        <v>1031</v>
      </c>
      <c r="I608">
        <v>185345009</v>
      </c>
      <c r="J608" t="s">
        <v>1032</v>
      </c>
      <c r="K608">
        <v>85.55</v>
      </c>
      <c r="L608">
        <v>85.55</v>
      </c>
      <c r="M608">
        <v>0</v>
      </c>
      <c r="N608">
        <v>446096008</v>
      </c>
      <c r="O608" t="s">
        <v>1810</v>
      </c>
    </row>
    <row r="609" spans="1:15">
      <c r="A609" t="s">
        <v>1811</v>
      </c>
      <c r="B609" s="2">
        <v>30443.414918981482</v>
      </c>
      <c r="C609" s="2">
        <v>30443.436319444445</v>
      </c>
      <c r="D609" t="s">
        <v>211</v>
      </c>
      <c r="E609" t="s">
        <v>1661</v>
      </c>
      <c r="F609" t="s">
        <v>1662</v>
      </c>
      <c r="G609" t="s">
        <v>1019</v>
      </c>
      <c r="H609" t="s">
        <v>1031</v>
      </c>
      <c r="I609">
        <v>185347001</v>
      </c>
      <c r="J609" t="s">
        <v>1124</v>
      </c>
      <c r="K609">
        <v>85.55</v>
      </c>
      <c r="L609">
        <v>516.95000000000005</v>
      </c>
      <c r="M609">
        <v>0</v>
      </c>
      <c r="N609">
        <v>609328004</v>
      </c>
      <c r="O609" t="s">
        <v>1137</v>
      </c>
    </row>
    <row r="610" spans="1:15">
      <c r="A610" t="s">
        <v>1812</v>
      </c>
      <c r="B610" s="2">
        <v>35794.373252314814</v>
      </c>
      <c r="C610" s="2">
        <v>35794.398611111108</v>
      </c>
      <c r="D610" t="s">
        <v>211</v>
      </c>
      <c r="E610" t="s">
        <v>1813</v>
      </c>
      <c r="F610" t="s">
        <v>1814</v>
      </c>
      <c r="G610" t="s">
        <v>1019</v>
      </c>
      <c r="H610" t="s">
        <v>1020</v>
      </c>
      <c r="I610">
        <v>162673000</v>
      </c>
      <c r="J610" t="s">
        <v>1021</v>
      </c>
      <c r="K610">
        <v>136.80000000000001</v>
      </c>
      <c r="L610">
        <v>704.2</v>
      </c>
      <c r="M610">
        <v>0</v>
      </c>
      <c r="O610" t="s">
        <v>34</v>
      </c>
    </row>
    <row r="611" spans="1:15">
      <c r="A611" t="s">
        <v>1815</v>
      </c>
      <c r="B611" s="2">
        <v>37264.373252314814</v>
      </c>
      <c r="C611" s="2">
        <v>37264.397974537038</v>
      </c>
      <c r="D611" t="s">
        <v>211</v>
      </c>
      <c r="E611" t="s">
        <v>1813</v>
      </c>
      <c r="F611" t="s">
        <v>1814</v>
      </c>
      <c r="G611" t="s">
        <v>1019</v>
      </c>
      <c r="H611" t="s">
        <v>1020</v>
      </c>
      <c r="I611">
        <v>162673000</v>
      </c>
      <c r="J611" t="s">
        <v>1021</v>
      </c>
      <c r="K611">
        <v>136.80000000000001</v>
      </c>
      <c r="L611">
        <v>1050.78</v>
      </c>
      <c r="M611">
        <v>0</v>
      </c>
      <c r="O611" t="s">
        <v>34</v>
      </c>
    </row>
    <row r="612" spans="1:15">
      <c r="A612" t="s">
        <v>1816</v>
      </c>
      <c r="B612" s="2">
        <v>39462.373252314814</v>
      </c>
      <c r="C612" s="2">
        <v>39462.399502314816</v>
      </c>
      <c r="D612" t="s">
        <v>211</v>
      </c>
      <c r="E612" t="s">
        <v>1813</v>
      </c>
      <c r="F612" t="s">
        <v>1814</v>
      </c>
      <c r="G612" t="s">
        <v>1019</v>
      </c>
      <c r="H612" t="s">
        <v>1020</v>
      </c>
      <c r="I612">
        <v>162673000</v>
      </c>
      <c r="J612" t="s">
        <v>1021</v>
      </c>
      <c r="K612">
        <v>136.80000000000001</v>
      </c>
      <c r="L612">
        <v>1011.24</v>
      </c>
      <c r="M612">
        <v>0</v>
      </c>
      <c r="O612" t="s">
        <v>34</v>
      </c>
    </row>
    <row r="613" spans="1:15">
      <c r="A613" t="s">
        <v>1817</v>
      </c>
      <c r="B613" s="2">
        <v>40561.373252314814</v>
      </c>
      <c r="C613" s="2">
        <v>40561.408310185187</v>
      </c>
      <c r="D613" t="s">
        <v>211</v>
      </c>
      <c r="E613" t="s">
        <v>1813</v>
      </c>
      <c r="F613" t="s">
        <v>1814</v>
      </c>
      <c r="G613" t="s">
        <v>1019</v>
      </c>
      <c r="H613" t="s">
        <v>1020</v>
      </c>
      <c r="I613">
        <v>162673000</v>
      </c>
      <c r="J613" t="s">
        <v>1021</v>
      </c>
      <c r="K613">
        <v>136.80000000000001</v>
      </c>
      <c r="L613">
        <v>914.78</v>
      </c>
      <c r="M613">
        <v>0</v>
      </c>
      <c r="O613" t="s">
        <v>34</v>
      </c>
    </row>
    <row r="614" spans="1:15">
      <c r="A614" t="s">
        <v>1818</v>
      </c>
      <c r="B614" s="2">
        <v>41660.373252314814</v>
      </c>
      <c r="C614" s="2">
        <v>41660.409490740742</v>
      </c>
      <c r="D614" t="s">
        <v>211</v>
      </c>
      <c r="E614" t="s">
        <v>1813</v>
      </c>
      <c r="F614" t="s">
        <v>1814</v>
      </c>
      <c r="G614" t="s">
        <v>1019</v>
      </c>
      <c r="H614" t="s">
        <v>1020</v>
      </c>
      <c r="I614">
        <v>162673000</v>
      </c>
      <c r="J614" t="s">
        <v>1021</v>
      </c>
      <c r="K614">
        <v>136.80000000000001</v>
      </c>
      <c r="L614">
        <v>853.36</v>
      </c>
      <c r="M614">
        <v>0</v>
      </c>
      <c r="O614" t="s">
        <v>34</v>
      </c>
    </row>
    <row r="615" spans="1:15">
      <c r="A615" t="s">
        <v>1819</v>
      </c>
      <c r="B615" s="2">
        <v>41676.373252314814</v>
      </c>
      <c r="C615" s="2">
        <v>41676.383668981478</v>
      </c>
      <c r="D615" t="s">
        <v>211</v>
      </c>
      <c r="E615" t="s">
        <v>1661</v>
      </c>
      <c r="F615" t="s">
        <v>1662</v>
      </c>
      <c r="G615" t="s">
        <v>1019</v>
      </c>
      <c r="H615" t="s">
        <v>1043</v>
      </c>
      <c r="I615">
        <v>185347001</v>
      </c>
      <c r="J615" t="s">
        <v>1124</v>
      </c>
      <c r="K615">
        <v>85.55</v>
      </c>
      <c r="L615">
        <v>85.55</v>
      </c>
      <c r="M615">
        <v>0</v>
      </c>
      <c r="N615">
        <v>82423001</v>
      </c>
      <c r="O615" t="s">
        <v>1542</v>
      </c>
    </row>
    <row r="616" spans="1:15">
      <c r="A616" t="s">
        <v>1820</v>
      </c>
      <c r="B616" s="2">
        <v>41735.498252314814</v>
      </c>
      <c r="C616" s="2">
        <v>41735.508668981478</v>
      </c>
      <c r="D616" t="s">
        <v>211</v>
      </c>
      <c r="E616" t="s">
        <v>1661</v>
      </c>
      <c r="F616" t="s">
        <v>1662</v>
      </c>
      <c r="G616" t="s">
        <v>1019</v>
      </c>
      <c r="H616" t="s">
        <v>1031</v>
      </c>
      <c r="I616">
        <v>390906007</v>
      </c>
      <c r="J616" t="s">
        <v>1255</v>
      </c>
      <c r="K616">
        <v>85.55</v>
      </c>
      <c r="L616">
        <v>85.55</v>
      </c>
      <c r="M616">
        <v>0</v>
      </c>
      <c r="N616">
        <v>82423001</v>
      </c>
      <c r="O616" t="s">
        <v>1542</v>
      </c>
    </row>
    <row r="617" spans="1:15">
      <c r="A617" t="s">
        <v>1821</v>
      </c>
      <c r="B617" s="2">
        <v>42402.373252314814</v>
      </c>
      <c r="C617" s="2">
        <v>42402.399756944447</v>
      </c>
      <c r="D617" t="s">
        <v>211</v>
      </c>
      <c r="E617" t="s">
        <v>1813</v>
      </c>
      <c r="F617" t="s">
        <v>1814</v>
      </c>
      <c r="G617" t="s">
        <v>1019</v>
      </c>
      <c r="H617" t="s">
        <v>1020</v>
      </c>
      <c r="I617">
        <v>162673000</v>
      </c>
      <c r="J617" t="s">
        <v>1021</v>
      </c>
      <c r="K617">
        <v>136.80000000000001</v>
      </c>
      <c r="L617">
        <v>704.2</v>
      </c>
      <c r="M617">
        <v>0</v>
      </c>
      <c r="O617" t="s">
        <v>34</v>
      </c>
    </row>
    <row r="618" spans="1:15">
      <c r="A618" t="s">
        <v>1822</v>
      </c>
      <c r="B618" s="2">
        <v>42685.414918981478</v>
      </c>
      <c r="C618" s="2">
        <v>42685.425335648149</v>
      </c>
      <c r="D618" t="s">
        <v>211</v>
      </c>
      <c r="E618" t="s">
        <v>1661</v>
      </c>
      <c r="F618" t="s">
        <v>1662</v>
      </c>
      <c r="G618" t="s">
        <v>1019</v>
      </c>
      <c r="H618" t="s">
        <v>1031</v>
      </c>
      <c r="I618">
        <v>185345009</v>
      </c>
      <c r="J618" t="s">
        <v>1032</v>
      </c>
      <c r="K618">
        <v>85.55</v>
      </c>
      <c r="L618">
        <v>85.55</v>
      </c>
      <c r="M618">
        <v>0</v>
      </c>
      <c r="N618">
        <v>444814009</v>
      </c>
      <c r="O618" t="s">
        <v>1035</v>
      </c>
    </row>
    <row r="619" spans="1:15">
      <c r="A619" t="s">
        <v>1823</v>
      </c>
      <c r="B619" s="2">
        <v>42773.373252314814</v>
      </c>
      <c r="C619" s="2">
        <v>42773.398622685185</v>
      </c>
      <c r="D619" t="s">
        <v>211</v>
      </c>
      <c r="E619" t="s">
        <v>1813</v>
      </c>
      <c r="F619" t="s">
        <v>1814</v>
      </c>
      <c r="G619" t="s">
        <v>1019</v>
      </c>
      <c r="H619" t="s">
        <v>1020</v>
      </c>
      <c r="I619">
        <v>162673000</v>
      </c>
      <c r="J619" t="s">
        <v>1021</v>
      </c>
      <c r="K619">
        <v>136.80000000000001</v>
      </c>
      <c r="L619">
        <v>778.78</v>
      </c>
      <c r="M619">
        <v>0</v>
      </c>
      <c r="O619" t="s">
        <v>34</v>
      </c>
    </row>
    <row r="620" spans="1:15">
      <c r="A620" t="s">
        <v>1824</v>
      </c>
      <c r="B620" s="2">
        <v>43144.373252314814</v>
      </c>
      <c r="C620" s="2">
        <v>43144.397858796299</v>
      </c>
      <c r="D620" t="s">
        <v>211</v>
      </c>
      <c r="E620" t="s">
        <v>1813</v>
      </c>
      <c r="F620" t="s">
        <v>1814</v>
      </c>
      <c r="G620" t="s">
        <v>1019</v>
      </c>
      <c r="H620" t="s">
        <v>1020</v>
      </c>
      <c r="I620">
        <v>162673000</v>
      </c>
      <c r="J620" t="s">
        <v>1021</v>
      </c>
      <c r="K620">
        <v>136.80000000000001</v>
      </c>
      <c r="L620">
        <v>949.8</v>
      </c>
      <c r="M620">
        <v>0</v>
      </c>
      <c r="O620" t="s">
        <v>34</v>
      </c>
    </row>
    <row r="621" spans="1:15">
      <c r="A621" t="s">
        <v>1825</v>
      </c>
      <c r="B621" s="2">
        <v>43158.373252314814</v>
      </c>
      <c r="C621" s="2">
        <v>43158.51116898148</v>
      </c>
      <c r="D621" t="s">
        <v>211</v>
      </c>
      <c r="E621" t="s">
        <v>1661</v>
      </c>
      <c r="F621" t="s">
        <v>1662</v>
      </c>
      <c r="G621" t="s">
        <v>1019</v>
      </c>
      <c r="H621" t="s">
        <v>1031</v>
      </c>
      <c r="I621">
        <v>185349003</v>
      </c>
      <c r="J621" t="s">
        <v>1038</v>
      </c>
      <c r="K621">
        <v>85.55</v>
      </c>
      <c r="L621">
        <v>3105.35</v>
      </c>
      <c r="M621">
        <v>0</v>
      </c>
      <c r="N621">
        <v>66383009</v>
      </c>
      <c r="O621" t="s">
        <v>1209</v>
      </c>
    </row>
    <row r="622" spans="1:15">
      <c r="A622" t="s">
        <v>1826</v>
      </c>
      <c r="B622" s="2">
        <v>43274.289918981478</v>
      </c>
      <c r="C622" s="2">
        <v>43274.303425925929</v>
      </c>
      <c r="D622" t="s">
        <v>211</v>
      </c>
      <c r="E622" t="s">
        <v>1661</v>
      </c>
      <c r="F622" t="s">
        <v>1662</v>
      </c>
      <c r="G622" t="s">
        <v>1019</v>
      </c>
      <c r="H622" t="s">
        <v>1031</v>
      </c>
      <c r="I622">
        <v>185345009</v>
      </c>
      <c r="J622" t="s">
        <v>1032</v>
      </c>
      <c r="K622">
        <v>85.55</v>
      </c>
      <c r="L622">
        <v>167.45</v>
      </c>
      <c r="M622">
        <v>0</v>
      </c>
      <c r="N622">
        <v>10509002</v>
      </c>
      <c r="O622" t="s">
        <v>1033</v>
      </c>
    </row>
    <row r="623" spans="1:15">
      <c r="A623" t="s">
        <v>1827</v>
      </c>
      <c r="B623" s="2">
        <v>43515.373252314814</v>
      </c>
      <c r="C623" s="2">
        <v>43515.405578703707</v>
      </c>
      <c r="D623" t="s">
        <v>211</v>
      </c>
      <c r="E623" t="s">
        <v>1813</v>
      </c>
      <c r="F623" t="s">
        <v>1814</v>
      </c>
      <c r="G623" t="s">
        <v>1019</v>
      </c>
      <c r="H623" t="s">
        <v>1020</v>
      </c>
      <c r="I623">
        <v>162673000</v>
      </c>
      <c r="J623" t="s">
        <v>1021</v>
      </c>
      <c r="K623">
        <v>136.80000000000001</v>
      </c>
      <c r="L623">
        <v>778.78</v>
      </c>
      <c r="M623">
        <v>0</v>
      </c>
      <c r="O623" t="s">
        <v>34</v>
      </c>
    </row>
    <row r="624" spans="1:15">
      <c r="A624" t="s">
        <v>1828</v>
      </c>
      <c r="B624" s="2">
        <v>43886.373252314814</v>
      </c>
      <c r="C624" s="2">
        <v>43886.395011574074</v>
      </c>
      <c r="D624" t="s">
        <v>211</v>
      </c>
      <c r="E624" t="s">
        <v>1813</v>
      </c>
      <c r="F624" t="s">
        <v>1814</v>
      </c>
      <c r="G624" t="s">
        <v>1019</v>
      </c>
      <c r="H624" t="s">
        <v>1020</v>
      </c>
      <c r="I624">
        <v>162673000</v>
      </c>
      <c r="J624" t="s">
        <v>1021</v>
      </c>
      <c r="K624">
        <v>136.80000000000001</v>
      </c>
      <c r="L624">
        <v>1130.48</v>
      </c>
      <c r="M624">
        <v>0</v>
      </c>
      <c r="O624" t="s">
        <v>34</v>
      </c>
    </row>
    <row r="625" spans="1:15">
      <c r="A625" t="s">
        <v>1829</v>
      </c>
      <c r="B625" s="2">
        <v>44082.414918981478</v>
      </c>
      <c r="C625" s="2">
        <v>44082.456585648149</v>
      </c>
      <c r="D625" t="s">
        <v>211</v>
      </c>
      <c r="E625" t="s">
        <v>1830</v>
      </c>
      <c r="F625" t="s">
        <v>1831</v>
      </c>
      <c r="G625" t="s">
        <v>1019</v>
      </c>
      <c r="H625" t="s">
        <v>1076</v>
      </c>
      <c r="I625">
        <v>50849002</v>
      </c>
      <c r="J625" t="s">
        <v>1163</v>
      </c>
      <c r="K625">
        <v>146.18</v>
      </c>
      <c r="L625">
        <v>146.18</v>
      </c>
      <c r="M625">
        <v>0</v>
      </c>
      <c r="N625">
        <v>90460009</v>
      </c>
      <c r="O625" t="s">
        <v>1832</v>
      </c>
    </row>
    <row r="626" spans="1:15">
      <c r="A626" t="s">
        <v>1833</v>
      </c>
      <c r="B626" s="2">
        <v>44082.414918981478</v>
      </c>
      <c r="C626" s="2">
        <v>44089.425335648149</v>
      </c>
      <c r="D626" t="s">
        <v>211</v>
      </c>
      <c r="E626" t="s">
        <v>1834</v>
      </c>
      <c r="F626" t="s">
        <v>1835</v>
      </c>
      <c r="G626" t="s">
        <v>1019</v>
      </c>
      <c r="H626" t="s">
        <v>1836</v>
      </c>
      <c r="I626">
        <v>32485007</v>
      </c>
      <c r="J626" t="s">
        <v>1837</v>
      </c>
      <c r="K626">
        <v>110.92</v>
      </c>
      <c r="L626">
        <v>7876.12</v>
      </c>
      <c r="M626">
        <v>0</v>
      </c>
      <c r="N626">
        <v>25675004</v>
      </c>
      <c r="O626" t="s">
        <v>1838</v>
      </c>
    </row>
    <row r="627" spans="1:15">
      <c r="A627" t="s">
        <v>1839</v>
      </c>
      <c r="B627" s="2">
        <v>44257.373252314814</v>
      </c>
      <c r="C627" s="2">
        <v>44257.404224537036</v>
      </c>
      <c r="D627" t="s">
        <v>211</v>
      </c>
      <c r="E627" t="s">
        <v>1813</v>
      </c>
      <c r="F627" t="s">
        <v>1814</v>
      </c>
      <c r="G627" t="s">
        <v>1019</v>
      </c>
      <c r="H627" t="s">
        <v>1020</v>
      </c>
      <c r="I627">
        <v>162673000</v>
      </c>
      <c r="J627" t="s">
        <v>1021</v>
      </c>
      <c r="K627">
        <v>136.80000000000001</v>
      </c>
      <c r="L627">
        <v>1191.9000000000001</v>
      </c>
      <c r="M627">
        <v>0</v>
      </c>
      <c r="O627" t="s">
        <v>34</v>
      </c>
    </row>
    <row r="628" spans="1:15">
      <c r="A628" t="s">
        <v>1840</v>
      </c>
      <c r="B628" s="2">
        <v>44628.373252314814</v>
      </c>
      <c r="C628" s="2">
        <v>44628.413969907408</v>
      </c>
      <c r="D628" t="s">
        <v>211</v>
      </c>
      <c r="E628" t="s">
        <v>1813</v>
      </c>
      <c r="F628" t="s">
        <v>1814</v>
      </c>
      <c r="G628" t="s">
        <v>1019</v>
      </c>
      <c r="H628" t="s">
        <v>1020</v>
      </c>
      <c r="I628">
        <v>162673000</v>
      </c>
      <c r="J628" t="s">
        <v>1021</v>
      </c>
      <c r="K628">
        <v>136.80000000000001</v>
      </c>
      <c r="L628">
        <v>704.2</v>
      </c>
      <c r="M628">
        <v>0</v>
      </c>
      <c r="O628" t="s">
        <v>34</v>
      </c>
    </row>
    <row r="629" spans="1:15">
      <c r="A629" t="s">
        <v>1841</v>
      </c>
      <c r="B629" s="2">
        <v>44999.414918981478</v>
      </c>
      <c r="C629" s="2">
        <v>44999.444675925923</v>
      </c>
      <c r="D629" t="s">
        <v>211</v>
      </c>
      <c r="E629" t="s">
        <v>1813</v>
      </c>
      <c r="F629" t="s">
        <v>1814</v>
      </c>
      <c r="G629" t="s">
        <v>1019</v>
      </c>
      <c r="H629" t="s">
        <v>1020</v>
      </c>
      <c r="I629">
        <v>162673000</v>
      </c>
      <c r="J629" t="s">
        <v>1021</v>
      </c>
      <c r="K629">
        <v>136.80000000000001</v>
      </c>
      <c r="L629">
        <v>778.78</v>
      </c>
      <c r="M629">
        <v>0</v>
      </c>
      <c r="O629" t="s">
        <v>34</v>
      </c>
    </row>
    <row r="630" spans="1:15">
      <c r="A630" t="s">
        <v>1842</v>
      </c>
      <c r="B630" s="2">
        <v>45013.414918981478</v>
      </c>
      <c r="C630" s="2">
        <v>45013.681921296295</v>
      </c>
      <c r="D630" t="s">
        <v>211</v>
      </c>
      <c r="E630" t="s">
        <v>1661</v>
      </c>
      <c r="F630" t="s">
        <v>1662</v>
      </c>
      <c r="G630" t="s">
        <v>1019</v>
      </c>
      <c r="H630" t="s">
        <v>1031</v>
      </c>
      <c r="I630">
        <v>185349003</v>
      </c>
      <c r="J630" t="s">
        <v>1038</v>
      </c>
      <c r="K630">
        <v>85.55</v>
      </c>
      <c r="L630">
        <v>4399.55</v>
      </c>
      <c r="M630">
        <v>0</v>
      </c>
      <c r="N630">
        <v>66383009</v>
      </c>
      <c r="O630" t="s">
        <v>1209</v>
      </c>
    </row>
    <row r="631" spans="1:15">
      <c r="A631" t="s">
        <v>1843</v>
      </c>
      <c r="B631" s="2">
        <v>45370.414918981478</v>
      </c>
      <c r="C631" s="2">
        <v>45370.454305555555</v>
      </c>
      <c r="D631" t="s">
        <v>211</v>
      </c>
      <c r="E631" t="s">
        <v>1813</v>
      </c>
      <c r="F631" t="s">
        <v>1814</v>
      </c>
      <c r="G631" t="s">
        <v>1019</v>
      </c>
      <c r="H631" t="s">
        <v>1020</v>
      </c>
      <c r="I631">
        <v>162673000</v>
      </c>
      <c r="J631" t="s">
        <v>1021</v>
      </c>
      <c r="K631">
        <v>136.80000000000001</v>
      </c>
      <c r="L631">
        <v>778.78</v>
      </c>
      <c r="M631">
        <v>0</v>
      </c>
      <c r="O631" t="s">
        <v>34</v>
      </c>
    </row>
    <row r="632" spans="1:15">
      <c r="A632" t="s">
        <v>1844</v>
      </c>
      <c r="B632" s="2">
        <v>45384.414918981478</v>
      </c>
      <c r="C632" s="2">
        <v>45384.581458333334</v>
      </c>
      <c r="D632" t="s">
        <v>211</v>
      </c>
      <c r="E632" t="s">
        <v>1661</v>
      </c>
      <c r="F632" t="s">
        <v>1662</v>
      </c>
      <c r="G632" t="s">
        <v>1019</v>
      </c>
      <c r="H632" t="s">
        <v>1031</v>
      </c>
      <c r="I632">
        <v>185349003</v>
      </c>
      <c r="J632" t="s">
        <v>1038</v>
      </c>
      <c r="K632">
        <v>85.55</v>
      </c>
      <c r="L632">
        <v>3105.35</v>
      </c>
      <c r="M632">
        <v>0</v>
      </c>
      <c r="N632">
        <v>103697008</v>
      </c>
      <c r="O632" t="s">
        <v>1039</v>
      </c>
    </row>
    <row r="633" spans="1:15">
      <c r="A633" t="s">
        <v>1845</v>
      </c>
      <c r="B633" s="2">
        <v>45741.414918981478</v>
      </c>
      <c r="C633" s="2">
        <v>45741.443530092591</v>
      </c>
      <c r="D633" t="s">
        <v>211</v>
      </c>
      <c r="E633" t="s">
        <v>1813</v>
      </c>
      <c r="F633" t="s">
        <v>1814</v>
      </c>
      <c r="G633" t="s">
        <v>1019</v>
      </c>
      <c r="H633" t="s">
        <v>1020</v>
      </c>
      <c r="I633">
        <v>162673000</v>
      </c>
      <c r="J633" t="s">
        <v>1021</v>
      </c>
      <c r="K633">
        <v>136.80000000000001</v>
      </c>
      <c r="L633">
        <v>704.2</v>
      </c>
      <c r="M633">
        <v>0</v>
      </c>
      <c r="O633" t="s">
        <v>34</v>
      </c>
    </row>
    <row r="634" spans="1:15">
      <c r="A634" t="s">
        <v>1846</v>
      </c>
      <c r="B634" s="2">
        <v>45755.414918981478</v>
      </c>
      <c r="C634" s="2">
        <v>45755.546793981484</v>
      </c>
      <c r="D634" t="s">
        <v>211</v>
      </c>
      <c r="E634" t="s">
        <v>1661</v>
      </c>
      <c r="F634" t="s">
        <v>1662</v>
      </c>
      <c r="G634" t="s">
        <v>1019</v>
      </c>
      <c r="H634" t="s">
        <v>1031</v>
      </c>
      <c r="I634">
        <v>185349003</v>
      </c>
      <c r="J634" t="s">
        <v>1038</v>
      </c>
      <c r="K634">
        <v>85.55</v>
      </c>
      <c r="L634">
        <v>3536.75</v>
      </c>
      <c r="M634">
        <v>0</v>
      </c>
      <c r="N634">
        <v>103697008</v>
      </c>
      <c r="O634" t="s">
        <v>1039</v>
      </c>
    </row>
    <row r="635" spans="1:15">
      <c r="A635" t="s">
        <v>1847</v>
      </c>
      <c r="B635" s="2">
        <v>46112.414918981478</v>
      </c>
      <c r="C635" s="2">
        <v>46112.447662037041</v>
      </c>
      <c r="D635" t="s">
        <v>211</v>
      </c>
      <c r="E635" t="s">
        <v>1813</v>
      </c>
      <c r="F635" t="s">
        <v>1814</v>
      </c>
      <c r="G635" t="s">
        <v>1019</v>
      </c>
      <c r="H635" t="s">
        <v>1020</v>
      </c>
      <c r="I635">
        <v>162673000</v>
      </c>
      <c r="J635" t="s">
        <v>1021</v>
      </c>
      <c r="K635">
        <v>136.80000000000001</v>
      </c>
      <c r="L635">
        <v>994.48</v>
      </c>
      <c r="M635">
        <v>0</v>
      </c>
      <c r="O635" t="s">
        <v>34</v>
      </c>
    </row>
    <row r="636" spans="1:15">
      <c r="A636" t="s">
        <v>1848</v>
      </c>
      <c r="B636" s="2">
        <v>46126.414918981478</v>
      </c>
      <c r="C636" s="2">
        <v>46126.530381944445</v>
      </c>
      <c r="D636" t="s">
        <v>211</v>
      </c>
      <c r="E636" t="s">
        <v>1661</v>
      </c>
      <c r="F636" t="s">
        <v>1662</v>
      </c>
      <c r="G636" t="s">
        <v>1019</v>
      </c>
      <c r="H636" t="s">
        <v>1031</v>
      </c>
      <c r="I636">
        <v>185349003</v>
      </c>
      <c r="J636" t="s">
        <v>1038</v>
      </c>
      <c r="K636">
        <v>85.55</v>
      </c>
      <c r="L636">
        <v>2673.95</v>
      </c>
      <c r="M636">
        <v>0</v>
      </c>
      <c r="N636">
        <v>66383009</v>
      </c>
      <c r="O636" t="s">
        <v>1209</v>
      </c>
    </row>
    <row r="637" spans="1:15">
      <c r="A637" t="s">
        <v>1849</v>
      </c>
      <c r="B637" s="2">
        <v>42408.844606481478</v>
      </c>
      <c r="C637" s="2">
        <v>42408.855023148149</v>
      </c>
      <c r="D637" t="s">
        <v>219</v>
      </c>
      <c r="E637" t="s">
        <v>1850</v>
      </c>
      <c r="F637" t="s">
        <v>1851</v>
      </c>
      <c r="G637" t="s">
        <v>1325</v>
      </c>
      <c r="H637" t="s">
        <v>1020</v>
      </c>
      <c r="I637">
        <v>410620009</v>
      </c>
      <c r="J637" t="s">
        <v>1054</v>
      </c>
      <c r="K637">
        <v>136.80000000000001</v>
      </c>
      <c r="L637">
        <v>272.8</v>
      </c>
      <c r="M637">
        <v>0</v>
      </c>
      <c r="O637" t="s">
        <v>34</v>
      </c>
    </row>
    <row r="638" spans="1:15">
      <c r="A638" t="s">
        <v>1852</v>
      </c>
      <c r="B638" s="2">
        <v>42677.886273148149</v>
      </c>
      <c r="C638" s="2">
        <v>42677.927939814814</v>
      </c>
      <c r="D638" t="s">
        <v>219</v>
      </c>
      <c r="E638" t="s">
        <v>1530</v>
      </c>
      <c r="F638" t="s">
        <v>1531</v>
      </c>
      <c r="G638" t="s">
        <v>1325</v>
      </c>
      <c r="H638" t="s">
        <v>1076</v>
      </c>
      <c r="I638">
        <v>50849002</v>
      </c>
      <c r="J638" t="s">
        <v>1163</v>
      </c>
      <c r="K638">
        <v>146.18</v>
      </c>
      <c r="L638">
        <v>1008.98</v>
      </c>
      <c r="M638">
        <v>0</v>
      </c>
      <c r="N638">
        <v>125605004</v>
      </c>
      <c r="O638" t="s">
        <v>1644</v>
      </c>
    </row>
    <row r="639" spans="1:15">
      <c r="A639" t="s">
        <v>1853</v>
      </c>
      <c r="B639" s="2">
        <v>42758.552939814814</v>
      </c>
      <c r="C639" s="2">
        <v>42758.563356481478</v>
      </c>
      <c r="D639" t="s">
        <v>219</v>
      </c>
      <c r="E639" t="s">
        <v>1854</v>
      </c>
      <c r="F639" t="s">
        <v>1855</v>
      </c>
      <c r="G639" t="s">
        <v>1325</v>
      </c>
      <c r="H639" t="s">
        <v>1031</v>
      </c>
      <c r="I639">
        <v>185345009</v>
      </c>
      <c r="J639" t="s">
        <v>1032</v>
      </c>
      <c r="K639">
        <v>85.55</v>
      </c>
      <c r="L639">
        <v>85.55</v>
      </c>
      <c r="M639">
        <v>0</v>
      </c>
      <c r="N639">
        <v>444814009</v>
      </c>
      <c r="O639" t="s">
        <v>1035</v>
      </c>
    </row>
    <row r="640" spans="1:15">
      <c r="A640" t="s">
        <v>1856</v>
      </c>
      <c r="B640" s="2">
        <v>42779.844606481478</v>
      </c>
      <c r="C640" s="2">
        <v>42779.859085648146</v>
      </c>
      <c r="D640" t="s">
        <v>219</v>
      </c>
      <c r="E640" t="s">
        <v>1850</v>
      </c>
      <c r="F640" t="s">
        <v>1851</v>
      </c>
      <c r="G640" t="s">
        <v>1325</v>
      </c>
      <c r="H640" t="s">
        <v>1020</v>
      </c>
      <c r="I640">
        <v>410620009</v>
      </c>
      <c r="J640" t="s">
        <v>1054</v>
      </c>
      <c r="K640">
        <v>136.80000000000001</v>
      </c>
      <c r="L640">
        <v>704.2</v>
      </c>
      <c r="M640">
        <v>0</v>
      </c>
      <c r="O640" t="s">
        <v>34</v>
      </c>
    </row>
    <row r="641" spans="1:15">
      <c r="A641" t="s">
        <v>1857</v>
      </c>
      <c r="B641" s="2">
        <v>42783.864768518521</v>
      </c>
      <c r="C641" s="2">
        <v>42783.875185185185</v>
      </c>
      <c r="D641" t="s">
        <v>219</v>
      </c>
      <c r="E641" t="s">
        <v>1854</v>
      </c>
      <c r="F641" t="s">
        <v>1855</v>
      </c>
      <c r="G641" t="s">
        <v>1325</v>
      </c>
      <c r="H641" t="s">
        <v>1031</v>
      </c>
      <c r="I641">
        <v>185349003</v>
      </c>
      <c r="J641" t="s">
        <v>1038</v>
      </c>
      <c r="K641">
        <v>85.55</v>
      </c>
      <c r="L641">
        <v>85.55</v>
      </c>
      <c r="M641">
        <v>0</v>
      </c>
      <c r="N641">
        <v>16114001</v>
      </c>
      <c r="O641" t="s">
        <v>1858</v>
      </c>
    </row>
    <row r="642" spans="1:15">
      <c r="A642" t="s">
        <v>1859</v>
      </c>
      <c r="B642" s="2">
        <v>42793.844606481478</v>
      </c>
      <c r="C642" s="2">
        <v>42793.959965277776</v>
      </c>
      <c r="D642" t="s">
        <v>219</v>
      </c>
      <c r="E642" t="s">
        <v>1854</v>
      </c>
      <c r="F642" t="s">
        <v>1855</v>
      </c>
      <c r="G642" t="s">
        <v>1325</v>
      </c>
      <c r="H642" t="s">
        <v>1031</v>
      </c>
      <c r="I642">
        <v>185349003</v>
      </c>
      <c r="J642" t="s">
        <v>1038</v>
      </c>
      <c r="K642">
        <v>85.55</v>
      </c>
      <c r="L642">
        <v>3105.35</v>
      </c>
      <c r="M642">
        <v>0</v>
      </c>
      <c r="N642">
        <v>103697008</v>
      </c>
      <c r="O642" t="s">
        <v>1039</v>
      </c>
    </row>
    <row r="643" spans="1:15">
      <c r="A643" t="s">
        <v>1860</v>
      </c>
      <c r="B643" s="2">
        <v>43150.844606481478</v>
      </c>
      <c r="C643" s="2">
        <v>43150.855023148149</v>
      </c>
      <c r="D643" t="s">
        <v>219</v>
      </c>
      <c r="E643" t="s">
        <v>1850</v>
      </c>
      <c r="F643" t="s">
        <v>1851</v>
      </c>
      <c r="G643" t="s">
        <v>1325</v>
      </c>
      <c r="H643" t="s">
        <v>1020</v>
      </c>
      <c r="I643">
        <v>410620009</v>
      </c>
      <c r="J643" t="s">
        <v>1054</v>
      </c>
      <c r="K643">
        <v>136.80000000000001</v>
      </c>
      <c r="L643">
        <v>704.2</v>
      </c>
      <c r="M643">
        <v>0</v>
      </c>
      <c r="O643" t="s">
        <v>34</v>
      </c>
    </row>
    <row r="644" spans="1:15">
      <c r="A644" t="s">
        <v>1861</v>
      </c>
      <c r="B644" s="2">
        <v>43157.844606481478</v>
      </c>
      <c r="C644" s="2">
        <v>43158.135405092595</v>
      </c>
      <c r="D644" t="s">
        <v>219</v>
      </c>
      <c r="E644" t="s">
        <v>1854</v>
      </c>
      <c r="F644" t="s">
        <v>1855</v>
      </c>
      <c r="G644" t="s">
        <v>1325</v>
      </c>
      <c r="H644" t="s">
        <v>1031</v>
      </c>
      <c r="I644">
        <v>185349003</v>
      </c>
      <c r="J644" t="s">
        <v>1038</v>
      </c>
      <c r="K644">
        <v>85.55</v>
      </c>
      <c r="L644">
        <v>4830.95</v>
      </c>
      <c r="M644">
        <v>0</v>
      </c>
      <c r="N644">
        <v>66383009</v>
      </c>
      <c r="O644" t="s">
        <v>1209</v>
      </c>
    </row>
    <row r="645" spans="1:15">
      <c r="A645" t="s">
        <v>1862</v>
      </c>
      <c r="B645" s="2">
        <v>43302.719606481478</v>
      </c>
      <c r="C645" s="2">
        <v>43302.731678240743</v>
      </c>
      <c r="D645" t="s">
        <v>219</v>
      </c>
      <c r="E645" t="s">
        <v>1854</v>
      </c>
      <c r="F645" t="s">
        <v>1855</v>
      </c>
      <c r="G645" t="s">
        <v>1325</v>
      </c>
      <c r="H645" t="s">
        <v>1031</v>
      </c>
      <c r="I645">
        <v>185345009</v>
      </c>
      <c r="J645" t="s">
        <v>1032</v>
      </c>
      <c r="K645">
        <v>85.55</v>
      </c>
      <c r="L645">
        <v>445.95</v>
      </c>
      <c r="M645">
        <v>42.33</v>
      </c>
      <c r="N645">
        <v>10509002</v>
      </c>
      <c r="O645" t="s">
        <v>1033</v>
      </c>
    </row>
    <row r="646" spans="1:15">
      <c r="A646" t="s">
        <v>1863</v>
      </c>
      <c r="B646" s="2">
        <v>43521.844606481478</v>
      </c>
      <c r="C646" s="2">
        <v>43521.855023148149</v>
      </c>
      <c r="D646" t="s">
        <v>219</v>
      </c>
      <c r="E646" t="s">
        <v>1850</v>
      </c>
      <c r="F646" t="s">
        <v>1851</v>
      </c>
      <c r="G646" t="s">
        <v>1325</v>
      </c>
      <c r="H646" t="s">
        <v>1020</v>
      </c>
      <c r="I646">
        <v>410620009</v>
      </c>
      <c r="J646" t="s">
        <v>1054</v>
      </c>
      <c r="K646">
        <v>136.80000000000001</v>
      </c>
      <c r="L646">
        <v>2049.58</v>
      </c>
      <c r="M646">
        <v>0</v>
      </c>
      <c r="O646" t="s">
        <v>34</v>
      </c>
    </row>
    <row r="647" spans="1:15">
      <c r="A647" t="s">
        <v>1864</v>
      </c>
      <c r="B647" s="2">
        <v>43528.844606481478</v>
      </c>
      <c r="C647" s="2">
        <v>43528.990034722221</v>
      </c>
      <c r="D647" t="s">
        <v>219</v>
      </c>
      <c r="E647" t="s">
        <v>1854</v>
      </c>
      <c r="F647" t="s">
        <v>1855</v>
      </c>
      <c r="G647" t="s">
        <v>1325</v>
      </c>
      <c r="H647" t="s">
        <v>1031</v>
      </c>
      <c r="I647">
        <v>185349003</v>
      </c>
      <c r="J647" t="s">
        <v>1038</v>
      </c>
      <c r="K647">
        <v>85.55</v>
      </c>
      <c r="L647">
        <v>3105.35</v>
      </c>
      <c r="M647">
        <v>0</v>
      </c>
      <c r="N647">
        <v>66383009</v>
      </c>
      <c r="O647" t="s">
        <v>1209</v>
      </c>
    </row>
    <row r="648" spans="1:15">
      <c r="A648" t="s">
        <v>1865</v>
      </c>
      <c r="B648" s="2">
        <v>43892.844606481478</v>
      </c>
      <c r="C648" s="2">
        <v>43892.859166666669</v>
      </c>
      <c r="D648" t="s">
        <v>219</v>
      </c>
      <c r="E648" t="s">
        <v>1850</v>
      </c>
      <c r="F648" t="s">
        <v>1851</v>
      </c>
      <c r="G648" t="s">
        <v>1325</v>
      </c>
      <c r="H648" t="s">
        <v>1020</v>
      </c>
      <c r="I648">
        <v>410620009</v>
      </c>
      <c r="J648" t="s">
        <v>1054</v>
      </c>
      <c r="K648">
        <v>136.80000000000001</v>
      </c>
      <c r="L648">
        <v>840.2</v>
      </c>
      <c r="M648">
        <v>0</v>
      </c>
      <c r="O648" t="s">
        <v>34</v>
      </c>
    </row>
    <row r="649" spans="1:15">
      <c r="A649" t="s">
        <v>1866</v>
      </c>
      <c r="B649" s="2">
        <v>44263.844606481478</v>
      </c>
      <c r="C649" s="2">
        <v>44263.855023148149</v>
      </c>
      <c r="D649" t="s">
        <v>219</v>
      </c>
      <c r="E649" t="s">
        <v>1850</v>
      </c>
      <c r="F649" t="s">
        <v>1851</v>
      </c>
      <c r="G649" t="s">
        <v>1325</v>
      </c>
      <c r="H649" t="s">
        <v>1020</v>
      </c>
      <c r="I649">
        <v>410620009</v>
      </c>
      <c r="J649" t="s">
        <v>1054</v>
      </c>
      <c r="K649">
        <v>136.80000000000001</v>
      </c>
      <c r="L649">
        <v>840.2</v>
      </c>
      <c r="M649">
        <v>0</v>
      </c>
      <c r="O649" t="s">
        <v>34</v>
      </c>
    </row>
    <row r="650" spans="1:15">
      <c r="A650" t="s">
        <v>1867</v>
      </c>
      <c r="B650" s="2">
        <v>44277.886273148149</v>
      </c>
      <c r="C650" s="2">
        <v>44278.051932870374</v>
      </c>
      <c r="D650" t="s">
        <v>219</v>
      </c>
      <c r="E650" t="s">
        <v>1854</v>
      </c>
      <c r="F650" t="s">
        <v>1855</v>
      </c>
      <c r="G650" t="s">
        <v>1325</v>
      </c>
      <c r="H650" t="s">
        <v>1031</v>
      </c>
      <c r="I650">
        <v>185349003</v>
      </c>
      <c r="J650" t="s">
        <v>1038</v>
      </c>
      <c r="K650">
        <v>85.55</v>
      </c>
      <c r="L650">
        <v>3968.15</v>
      </c>
      <c r="M650">
        <v>0</v>
      </c>
      <c r="N650">
        <v>103697008</v>
      </c>
      <c r="O650" t="s">
        <v>1039</v>
      </c>
    </row>
    <row r="651" spans="1:15">
      <c r="A651" t="s">
        <v>1868</v>
      </c>
      <c r="B651" s="2">
        <v>44340.886273148149</v>
      </c>
      <c r="C651" s="2">
        <v>44340.896689814814</v>
      </c>
      <c r="D651" t="s">
        <v>219</v>
      </c>
      <c r="E651" t="s">
        <v>1869</v>
      </c>
      <c r="F651" t="s">
        <v>1870</v>
      </c>
      <c r="G651" t="s">
        <v>1325</v>
      </c>
      <c r="H651" t="s">
        <v>1043</v>
      </c>
      <c r="I651">
        <v>33879002</v>
      </c>
      <c r="J651" t="s">
        <v>1044</v>
      </c>
      <c r="K651">
        <v>142.58000000000001</v>
      </c>
      <c r="L651">
        <v>278.58</v>
      </c>
      <c r="M651">
        <v>0</v>
      </c>
      <c r="O651" t="s">
        <v>34</v>
      </c>
    </row>
    <row r="652" spans="1:15">
      <c r="A652" t="s">
        <v>1871</v>
      </c>
      <c r="B652" s="2">
        <v>44368.886273148149</v>
      </c>
      <c r="C652" s="2">
        <v>44368.896689814814</v>
      </c>
      <c r="D652" t="s">
        <v>219</v>
      </c>
      <c r="E652" t="s">
        <v>1869</v>
      </c>
      <c r="F652" t="s">
        <v>1870</v>
      </c>
      <c r="G652" t="s">
        <v>1325</v>
      </c>
      <c r="H652" t="s">
        <v>1043</v>
      </c>
      <c r="I652">
        <v>33879002</v>
      </c>
      <c r="J652" t="s">
        <v>1044</v>
      </c>
      <c r="K652">
        <v>142.58000000000001</v>
      </c>
      <c r="L652">
        <v>278.58</v>
      </c>
      <c r="M652">
        <v>0</v>
      </c>
      <c r="O652" t="s">
        <v>34</v>
      </c>
    </row>
    <row r="653" spans="1:15">
      <c r="A653" t="s">
        <v>1872</v>
      </c>
      <c r="B653" s="2">
        <v>44634.886273148149</v>
      </c>
      <c r="C653" s="2">
        <v>44634.896689814814</v>
      </c>
      <c r="D653" t="s">
        <v>219</v>
      </c>
      <c r="E653" t="s">
        <v>1850</v>
      </c>
      <c r="F653" t="s">
        <v>1851</v>
      </c>
      <c r="G653" t="s">
        <v>1325</v>
      </c>
      <c r="H653" t="s">
        <v>1020</v>
      </c>
      <c r="I653">
        <v>410620009</v>
      </c>
      <c r="J653" t="s">
        <v>1054</v>
      </c>
      <c r="K653">
        <v>136.80000000000001</v>
      </c>
      <c r="L653">
        <v>704.2</v>
      </c>
      <c r="M653">
        <v>0</v>
      </c>
      <c r="O653" t="s">
        <v>34</v>
      </c>
    </row>
    <row r="654" spans="1:15">
      <c r="A654" t="s">
        <v>1873</v>
      </c>
      <c r="B654" s="2">
        <v>44648.886273148149</v>
      </c>
      <c r="C654" s="2">
        <v>44649.038206018522</v>
      </c>
      <c r="D654" t="s">
        <v>219</v>
      </c>
      <c r="E654" t="s">
        <v>1854</v>
      </c>
      <c r="F654" t="s">
        <v>1855</v>
      </c>
      <c r="G654" t="s">
        <v>1325</v>
      </c>
      <c r="H654" t="s">
        <v>1031</v>
      </c>
      <c r="I654">
        <v>185349003</v>
      </c>
      <c r="J654" t="s">
        <v>1038</v>
      </c>
      <c r="K654">
        <v>85.55</v>
      </c>
      <c r="L654">
        <v>3536.75</v>
      </c>
      <c r="M654">
        <v>0</v>
      </c>
      <c r="N654">
        <v>103697008</v>
      </c>
      <c r="O654" t="s">
        <v>1039</v>
      </c>
    </row>
    <row r="655" spans="1:15">
      <c r="A655" t="s">
        <v>1874</v>
      </c>
      <c r="B655" s="2">
        <v>44812.094606481478</v>
      </c>
      <c r="C655" s="2">
        <v>44812.105023148149</v>
      </c>
      <c r="D655" t="s">
        <v>219</v>
      </c>
      <c r="E655" t="s">
        <v>1854</v>
      </c>
      <c r="F655" t="s">
        <v>1855</v>
      </c>
      <c r="G655" t="s">
        <v>1325</v>
      </c>
      <c r="H655" t="s">
        <v>1031</v>
      </c>
      <c r="I655">
        <v>185345009</v>
      </c>
      <c r="J655" t="s">
        <v>1032</v>
      </c>
      <c r="K655">
        <v>85.55</v>
      </c>
      <c r="L655">
        <v>85.55</v>
      </c>
      <c r="M655">
        <v>0</v>
      </c>
      <c r="N655">
        <v>444814009</v>
      </c>
      <c r="O655" t="s">
        <v>1035</v>
      </c>
    </row>
    <row r="656" spans="1:15">
      <c r="A656" t="s">
        <v>1875</v>
      </c>
      <c r="B656" s="2">
        <v>45005.886273148149</v>
      </c>
      <c r="C656" s="2">
        <v>45005.9065625</v>
      </c>
      <c r="D656" t="s">
        <v>219</v>
      </c>
      <c r="E656" t="s">
        <v>1850</v>
      </c>
      <c r="F656" t="s">
        <v>1851</v>
      </c>
      <c r="G656" t="s">
        <v>1325</v>
      </c>
      <c r="H656" t="s">
        <v>1020</v>
      </c>
      <c r="I656">
        <v>410620009</v>
      </c>
      <c r="J656" t="s">
        <v>1054</v>
      </c>
      <c r="K656">
        <v>136.80000000000001</v>
      </c>
      <c r="L656">
        <v>704.2</v>
      </c>
      <c r="M656">
        <v>0</v>
      </c>
      <c r="O656" t="s">
        <v>34</v>
      </c>
    </row>
    <row r="657" spans="1:15">
      <c r="A657" t="s">
        <v>1876</v>
      </c>
      <c r="B657" s="2">
        <v>45019.886273148149</v>
      </c>
      <c r="C657" s="2">
        <v>45020.045844907407</v>
      </c>
      <c r="D657" t="s">
        <v>219</v>
      </c>
      <c r="E657" t="s">
        <v>1854</v>
      </c>
      <c r="F657" t="s">
        <v>1855</v>
      </c>
      <c r="G657" t="s">
        <v>1325</v>
      </c>
      <c r="H657" t="s">
        <v>1031</v>
      </c>
      <c r="I657">
        <v>185349003</v>
      </c>
      <c r="J657" t="s">
        <v>1038</v>
      </c>
      <c r="K657">
        <v>85.55</v>
      </c>
      <c r="L657">
        <v>3536.75</v>
      </c>
      <c r="M657">
        <v>0</v>
      </c>
      <c r="N657">
        <v>66383009</v>
      </c>
      <c r="O657" t="s">
        <v>1209</v>
      </c>
    </row>
    <row r="658" spans="1:15">
      <c r="A658" t="s">
        <v>1877</v>
      </c>
      <c r="B658" s="2">
        <v>45376.886273148149</v>
      </c>
      <c r="C658" s="2">
        <v>45376.896689814814</v>
      </c>
      <c r="D658" t="s">
        <v>219</v>
      </c>
      <c r="E658" t="s">
        <v>1850</v>
      </c>
      <c r="F658" t="s">
        <v>1851</v>
      </c>
      <c r="G658" t="s">
        <v>1325</v>
      </c>
      <c r="H658" t="s">
        <v>1020</v>
      </c>
      <c r="I658">
        <v>410620009</v>
      </c>
      <c r="J658" t="s">
        <v>1054</v>
      </c>
      <c r="K658">
        <v>136.80000000000001</v>
      </c>
      <c r="L658">
        <v>914.78</v>
      </c>
      <c r="M658">
        <v>0</v>
      </c>
      <c r="O658" t="s">
        <v>34</v>
      </c>
    </row>
    <row r="659" spans="1:15">
      <c r="A659" t="s">
        <v>1878</v>
      </c>
      <c r="B659" s="2">
        <v>45733.719606481478</v>
      </c>
      <c r="C659" s="2">
        <v>45733.730023148149</v>
      </c>
      <c r="D659" t="s">
        <v>219</v>
      </c>
      <c r="E659" t="s">
        <v>1854</v>
      </c>
      <c r="F659" t="s">
        <v>1855</v>
      </c>
      <c r="G659" t="s">
        <v>1325</v>
      </c>
      <c r="H659" t="s">
        <v>1031</v>
      </c>
      <c r="I659">
        <v>185345009</v>
      </c>
      <c r="J659" t="s">
        <v>1032</v>
      </c>
      <c r="K659">
        <v>85.55</v>
      </c>
      <c r="L659">
        <v>85.55</v>
      </c>
      <c r="M659">
        <v>0</v>
      </c>
      <c r="N659">
        <v>195662009</v>
      </c>
      <c r="O659" t="s">
        <v>1130</v>
      </c>
    </row>
    <row r="660" spans="1:15">
      <c r="A660" t="s">
        <v>1879</v>
      </c>
      <c r="B660" s="2">
        <v>45747.886273148149</v>
      </c>
      <c r="C660" s="2">
        <v>45747.896689814814</v>
      </c>
      <c r="D660" t="s">
        <v>219</v>
      </c>
      <c r="E660" t="s">
        <v>1850</v>
      </c>
      <c r="F660" t="s">
        <v>1851</v>
      </c>
      <c r="G660" t="s">
        <v>1325</v>
      </c>
      <c r="H660" t="s">
        <v>1020</v>
      </c>
      <c r="I660">
        <v>410620009</v>
      </c>
      <c r="J660" t="s">
        <v>1054</v>
      </c>
      <c r="K660">
        <v>136.80000000000001</v>
      </c>
      <c r="L660">
        <v>1560.76</v>
      </c>
      <c r="M660">
        <v>0</v>
      </c>
      <c r="O660" t="s">
        <v>34</v>
      </c>
    </row>
    <row r="661" spans="1:15">
      <c r="A661" t="s">
        <v>1880</v>
      </c>
      <c r="B661" s="2">
        <v>46118.886273148149</v>
      </c>
      <c r="C661" s="2">
        <v>46118.92496527778</v>
      </c>
      <c r="D661" t="s">
        <v>219</v>
      </c>
      <c r="E661" t="s">
        <v>1850</v>
      </c>
      <c r="F661" t="s">
        <v>1851</v>
      </c>
      <c r="G661" t="s">
        <v>1325</v>
      </c>
      <c r="H661" t="s">
        <v>1020</v>
      </c>
      <c r="I661">
        <v>162673000</v>
      </c>
      <c r="J661" t="s">
        <v>1021</v>
      </c>
      <c r="K661">
        <v>136.80000000000001</v>
      </c>
      <c r="L661">
        <v>704.2</v>
      </c>
      <c r="M661">
        <v>0</v>
      </c>
      <c r="O661" t="s">
        <v>34</v>
      </c>
    </row>
    <row r="662" spans="1:15">
      <c r="A662" t="s">
        <v>1881</v>
      </c>
      <c r="B662" s="2">
        <v>33238.425833333335</v>
      </c>
      <c r="C662" s="2">
        <v>33238.436249999999</v>
      </c>
      <c r="D662" t="s">
        <v>227</v>
      </c>
      <c r="E662" t="s">
        <v>1882</v>
      </c>
      <c r="F662" t="s">
        <v>1883</v>
      </c>
      <c r="G662" t="s">
        <v>1019</v>
      </c>
      <c r="H662" t="s">
        <v>1020</v>
      </c>
      <c r="I662">
        <v>410620009</v>
      </c>
      <c r="J662" t="s">
        <v>1054</v>
      </c>
      <c r="K662">
        <v>136.80000000000001</v>
      </c>
      <c r="L662">
        <v>704.2</v>
      </c>
      <c r="M662">
        <v>0</v>
      </c>
      <c r="O662" t="s">
        <v>34</v>
      </c>
    </row>
    <row r="663" spans="1:15">
      <c r="A663" t="s">
        <v>1884</v>
      </c>
      <c r="B663" s="2">
        <v>33609.425833333335</v>
      </c>
      <c r="C663" s="2">
        <v>33609.462141203701</v>
      </c>
      <c r="D663" t="s">
        <v>227</v>
      </c>
      <c r="E663" t="s">
        <v>1882</v>
      </c>
      <c r="F663" t="s">
        <v>1883</v>
      </c>
      <c r="G663" t="s">
        <v>1019</v>
      </c>
      <c r="H663" t="s">
        <v>1020</v>
      </c>
      <c r="I663">
        <v>162673000</v>
      </c>
      <c r="J663" t="s">
        <v>1021</v>
      </c>
      <c r="K663">
        <v>136.80000000000001</v>
      </c>
      <c r="L663">
        <v>919.9</v>
      </c>
      <c r="M663">
        <v>0</v>
      </c>
      <c r="O663" t="s">
        <v>34</v>
      </c>
    </row>
    <row r="664" spans="1:15">
      <c r="A664" t="s">
        <v>1885</v>
      </c>
      <c r="B664" s="2">
        <v>35079.425833333335</v>
      </c>
      <c r="C664" s="2">
        <v>35079.452986111108</v>
      </c>
      <c r="D664" t="s">
        <v>227</v>
      </c>
      <c r="E664" t="s">
        <v>1882</v>
      </c>
      <c r="F664" t="s">
        <v>1883</v>
      </c>
      <c r="G664" t="s">
        <v>1019</v>
      </c>
      <c r="H664" t="s">
        <v>1020</v>
      </c>
      <c r="I664">
        <v>162673000</v>
      </c>
      <c r="J664" t="s">
        <v>1021</v>
      </c>
      <c r="K664">
        <v>136.80000000000001</v>
      </c>
      <c r="L664">
        <v>1195.8</v>
      </c>
      <c r="M664">
        <v>0</v>
      </c>
      <c r="O664" t="s">
        <v>34</v>
      </c>
    </row>
    <row r="665" spans="1:15">
      <c r="A665" t="s">
        <v>1886</v>
      </c>
      <c r="B665" s="2">
        <v>39475.425833333335</v>
      </c>
      <c r="C665" s="2">
        <v>39475.461689814816</v>
      </c>
      <c r="D665" t="s">
        <v>227</v>
      </c>
      <c r="E665" t="s">
        <v>1882</v>
      </c>
      <c r="F665" t="s">
        <v>1883</v>
      </c>
      <c r="G665" t="s">
        <v>1474</v>
      </c>
      <c r="H665" t="s">
        <v>1020</v>
      </c>
      <c r="I665">
        <v>162673000</v>
      </c>
      <c r="J665" t="s">
        <v>1021</v>
      </c>
      <c r="K665">
        <v>136.80000000000001</v>
      </c>
      <c r="L665">
        <v>934.74</v>
      </c>
      <c r="M665">
        <v>0</v>
      </c>
      <c r="O665" t="s">
        <v>34</v>
      </c>
    </row>
    <row r="666" spans="1:15">
      <c r="A666" t="s">
        <v>1887</v>
      </c>
      <c r="B666" s="2">
        <v>42331.425833333335</v>
      </c>
      <c r="C666" s="2">
        <v>42331.454479166663</v>
      </c>
      <c r="D666" t="s">
        <v>227</v>
      </c>
      <c r="E666" t="s">
        <v>1882</v>
      </c>
      <c r="F666" t="s">
        <v>1883</v>
      </c>
      <c r="G666" t="s">
        <v>1474</v>
      </c>
      <c r="H666" t="s">
        <v>1020</v>
      </c>
      <c r="I666">
        <v>162673000</v>
      </c>
      <c r="J666" t="s">
        <v>1021</v>
      </c>
      <c r="K666">
        <v>136.80000000000001</v>
      </c>
      <c r="L666">
        <v>1138.96</v>
      </c>
      <c r="M666">
        <v>0</v>
      </c>
      <c r="O666" t="s">
        <v>34</v>
      </c>
    </row>
    <row r="667" spans="1:15">
      <c r="A667" t="s">
        <v>1888</v>
      </c>
      <c r="B667" s="2">
        <v>42400.675833333335</v>
      </c>
      <c r="C667" s="2">
        <v>42400.686249999999</v>
      </c>
      <c r="D667" t="s">
        <v>227</v>
      </c>
      <c r="E667" t="s">
        <v>1889</v>
      </c>
      <c r="F667" t="s">
        <v>1890</v>
      </c>
      <c r="G667" t="s">
        <v>1474</v>
      </c>
      <c r="H667" t="s">
        <v>1031</v>
      </c>
      <c r="I667">
        <v>185345009</v>
      </c>
      <c r="J667" t="s">
        <v>1032</v>
      </c>
      <c r="K667">
        <v>85.55</v>
      </c>
      <c r="L667">
        <v>85.55</v>
      </c>
      <c r="M667">
        <v>68.44</v>
      </c>
      <c r="N667">
        <v>10509002</v>
      </c>
      <c r="O667" t="s">
        <v>1033</v>
      </c>
    </row>
    <row r="668" spans="1:15">
      <c r="A668" t="s">
        <v>1891</v>
      </c>
      <c r="B668" s="2">
        <v>42408.425833333335</v>
      </c>
      <c r="C668" s="2">
        <v>42408.453877314816</v>
      </c>
      <c r="D668" t="s">
        <v>227</v>
      </c>
      <c r="E668" t="s">
        <v>1889</v>
      </c>
      <c r="F668" t="s">
        <v>1890</v>
      </c>
      <c r="G668" t="s">
        <v>1474</v>
      </c>
      <c r="H668" t="s">
        <v>1043</v>
      </c>
      <c r="I668">
        <v>185349003</v>
      </c>
      <c r="J668" t="s">
        <v>1038</v>
      </c>
      <c r="K668">
        <v>85.55</v>
      </c>
      <c r="L668">
        <v>734.33</v>
      </c>
      <c r="M668">
        <v>587.46</v>
      </c>
      <c r="O668" t="s">
        <v>34</v>
      </c>
    </row>
    <row r="669" spans="1:15">
      <c r="A669" t="s">
        <v>1892</v>
      </c>
      <c r="B669" s="2">
        <v>42840.550833333335</v>
      </c>
      <c r="C669" s="2">
        <v>42840.561249999999</v>
      </c>
      <c r="D669" t="s">
        <v>227</v>
      </c>
      <c r="E669" t="s">
        <v>1889</v>
      </c>
      <c r="F669" t="s">
        <v>1890</v>
      </c>
      <c r="G669" t="s">
        <v>1474</v>
      </c>
      <c r="H669" t="s">
        <v>1031</v>
      </c>
      <c r="I669">
        <v>185345009</v>
      </c>
      <c r="J669" t="s">
        <v>1032</v>
      </c>
      <c r="K669">
        <v>85.55</v>
      </c>
      <c r="L669">
        <v>2043.77</v>
      </c>
      <c r="M669">
        <v>468.62</v>
      </c>
      <c r="N669">
        <v>195662009</v>
      </c>
      <c r="O669" t="s">
        <v>1130</v>
      </c>
    </row>
    <row r="670" spans="1:15">
      <c r="A670" t="s">
        <v>1893</v>
      </c>
      <c r="B670" s="2">
        <v>43066.425833333335</v>
      </c>
      <c r="C670" s="2">
        <v>43066.462025462963</v>
      </c>
      <c r="D670" t="s">
        <v>227</v>
      </c>
      <c r="E670" t="s">
        <v>1882</v>
      </c>
      <c r="F670" t="s">
        <v>1883</v>
      </c>
      <c r="G670" t="s">
        <v>1474</v>
      </c>
      <c r="H670" t="s">
        <v>1020</v>
      </c>
      <c r="I670">
        <v>162673000</v>
      </c>
      <c r="J670" t="s">
        <v>1021</v>
      </c>
      <c r="K670">
        <v>136.80000000000001</v>
      </c>
      <c r="L670">
        <v>1648.38</v>
      </c>
      <c r="M670">
        <v>152.30000000000001</v>
      </c>
      <c r="O670" t="s">
        <v>34</v>
      </c>
    </row>
    <row r="671" spans="1:15">
      <c r="A671" t="s">
        <v>1894</v>
      </c>
      <c r="B671" s="2">
        <v>43714.884166666663</v>
      </c>
      <c r="C671" s="2">
        <v>43714.894583333335</v>
      </c>
      <c r="D671" t="s">
        <v>227</v>
      </c>
      <c r="E671" t="s">
        <v>1889</v>
      </c>
      <c r="F671" t="s">
        <v>1890</v>
      </c>
      <c r="G671" t="s">
        <v>1474</v>
      </c>
      <c r="H671" t="s">
        <v>1031</v>
      </c>
      <c r="I671">
        <v>185345009</v>
      </c>
      <c r="J671" t="s">
        <v>1032</v>
      </c>
      <c r="K671">
        <v>85.55</v>
      </c>
      <c r="L671">
        <v>85.55</v>
      </c>
      <c r="M671">
        <v>0</v>
      </c>
      <c r="N671">
        <v>444814009</v>
      </c>
      <c r="O671" t="s">
        <v>1035</v>
      </c>
    </row>
    <row r="672" spans="1:15">
      <c r="A672" t="s">
        <v>1895</v>
      </c>
      <c r="B672" s="2">
        <v>43801.425833333335</v>
      </c>
      <c r="C672" s="2">
        <v>43801.448761574073</v>
      </c>
      <c r="D672" t="s">
        <v>227</v>
      </c>
      <c r="E672" t="s">
        <v>1882</v>
      </c>
      <c r="F672" t="s">
        <v>1883</v>
      </c>
      <c r="G672" t="s">
        <v>1474</v>
      </c>
      <c r="H672" t="s">
        <v>1020</v>
      </c>
      <c r="I672">
        <v>162673000</v>
      </c>
      <c r="J672" t="s">
        <v>1021</v>
      </c>
      <c r="K672">
        <v>136.80000000000001</v>
      </c>
      <c r="L672">
        <v>1420.83</v>
      </c>
      <c r="M672">
        <v>0</v>
      </c>
      <c r="O672" t="s">
        <v>34</v>
      </c>
    </row>
    <row r="673" spans="1:15">
      <c r="A673" t="s">
        <v>1896</v>
      </c>
      <c r="B673" s="2">
        <v>43815.425833333335</v>
      </c>
      <c r="C673" s="2">
        <v>43815.582546296297</v>
      </c>
      <c r="D673" t="s">
        <v>227</v>
      </c>
      <c r="E673" t="s">
        <v>1889</v>
      </c>
      <c r="F673" t="s">
        <v>1890</v>
      </c>
      <c r="G673" t="s">
        <v>1474</v>
      </c>
      <c r="H673" t="s">
        <v>1031</v>
      </c>
      <c r="I673">
        <v>185349003</v>
      </c>
      <c r="J673" t="s">
        <v>1038</v>
      </c>
      <c r="K673">
        <v>85.55</v>
      </c>
      <c r="L673">
        <v>3536.75</v>
      </c>
      <c r="M673">
        <v>2829.4</v>
      </c>
      <c r="N673">
        <v>103697008</v>
      </c>
      <c r="O673" t="s">
        <v>1039</v>
      </c>
    </row>
    <row r="674" spans="1:15">
      <c r="A674" t="s">
        <v>1897</v>
      </c>
      <c r="B674" s="2">
        <v>44312.467499999999</v>
      </c>
      <c r="C674" s="2">
        <v>44312.477916666663</v>
      </c>
      <c r="D674" t="s">
        <v>227</v>
      </c>
      <c r="E674" t="s">
        <v>1889</v>
      </c>
      <c r="F674" t="s">
        <v>1890</v>
      </c>
      <c r="G674" t="s">
        <v>1474</v>
      </c>
      <c r="H674" t="s">
        <v>1043</v>
      </c>
      <c r="I674">
        <v>33879002</v>
      </c>
      <c r="J674" t="s">
        <v>1044</v>
      </c>
      <c r="K674">
        <v>142.58000000000001</v>
      </c>
      <c r="L674">
        <v>278.58</v>
      </c>
      <c r="M674">
        <v>0</v>
      </c>
      <c r="O674" t="s">
        <v>34</v>
      </c>
    </row>
    <row r="675" spans="1:15">
      <c r="A675" t="s">
        <v>1898</v>
      </c>
      <c r="B675" s="2">
        <v>44340.467499999999</v>
      </c>
      <c r="C675" s="2">
        <v>44340.477916666663</v>
      </c>
      <c r="D675" t="s">
        <v>227</v>
      </c>
      <c r="E675" t="s">
        <v>1889</v>
      </c>
      <c r="F675" t="s">
        <v>1890</v>
      </c>
      <c r="G675" t="s">
        <v>1474</v>
      </c>
      <c r="H675" t="s">
        <v>1043</v>
      </c>
      <c r="I675">
        <v>33879002</v>
      </c>
      <c r="J675" t="s">
        <v>1044</v>
      </c>
      <c r="K675">
        <v>142.58000000000001</v>
      </c>
      <c r="L675">
        <v>278.58</v>
      </c>
      <c r="M675">
        <v>0</v>
      </c>
      <c r="O675" t="s">
        <v>34</v>
      </c>
    </row>
    <row r="676" spans="1:15">
      <c r="A676" t="s">
        <v>1899</v>
      </c>
      <c r="B676" s="2">
        <v>44536.425833333335</v>
      </c>
      <c r="C676" s="2">
        <v>44536.463460648149</v>
      </c>
      <c r="D676" t="s">
        <v>227</v>
      </c>
      <c r="E676" t="s">
        <v>1882</v>
      </c>
      <c r="F676" t="s">
        <v>1883</v>
      </c>
      <c r="G676" t="s">
        <v>1474</v>
      </c>
      <c r="H676" t="s">
        <v>1020</v>
      </c>
      <c r="I676">
        <v>162673000</v>
      </c>
      <c r="J676" t="s">
        <v>1021</v>
      </c>
      <c r="K676">
        <v>136.80000000000001</v>
      </c>
      <c r="L676">
        <v>785.58</v>
      </c>
      <c r="M676">
        <v>0</v>
      </c>
      <c r="O676" t="s">
        <v>34</v>
      </c>
    </row>
    <row r="677" spans="1:15">
      <c r="A677" t="s">
        <v>1900</v>
      </c>
      <c r="B677" s="2">
        <v>44550.425833333335</v>
      </c>
      <c r="C677" s="2">
        <v>44550.587210648147</v>
      </c>
      <c r="D677" t="s">
        <v>227</v>
      </c>
      <c r="E677" t="s">
        <v>1889</v>
      </c>
      <c r="F677" t="s">
        <v>1890</v>
      </c>
      <c r="G677" t="s">
        <v>1474</v>
      </c>
      <c r="H677" t="s">
        <v>1031</v>
      </c>
      <c r="I677">
        <v>185349003</v>
      </c>
      <c r="J677" t="s">
        <v>1038</v>
      </c>
      <c r="K677">
        <v>85.55</v>
      </c>
      <c r="L677">
        <v>3536.75</v>
      </c>
      <c r="M677">
        <v>2395.42</v>
      </c>
      <c r="N677">
        <v>103697008</v>
      </c>
      <c r="O677" t="s">
        <v>1039</v>
      </c>
    </row>
    <row r="678" spans="1:15">
      <c r="A678" t="s">
        <v>1901</v>
      </c>
      <c r="B678" s="2">
        <v>45028.478344907409</v>
      </c>
      <c r="C678" s="2">
        <v>45028.488761574074</v>
      </c>
      <c r="D678" t="s">
        <v>227</v>
      </c>
      <c r="E678" t="s">
        <v>1889</v>
      </c>
      <c r="F678" t="s">
        <v>1890</v>
      </c>
      <c r="G678" t="s">
        <v>1474</v>
      </c>
      <c r="H678" t="s">
        <v>1031</v>
      </c>
      <c r="I678">
        <v>185347001</v>
      </c>
      <c r="J678" t="s">
        <v>1124</v>
      </c>
      <c r="K678">
        <v>85.55</v>
      </c>
      <c r="L678">
        <v>85.55</v>
      </c>
      <c r="M678">
        <v>0</v>
      </c>
      <c r="N678">
        <v>307731004</v>
      </c>
      <c r="O678" t="s">
        <v>1902</v>
      </c>
    </row>
    <row r="679" spans="1:15">
      <c r="A679" t="s">
        <v>1903</v>
      </c>
      <c r="B679" s="2">
        <v>45095.478344907409</v>
      </c>
      <c r="C679" s="2">
        <v>45095.488761574074</v>
      </c>
      <c r="D679" t="s">
        <v>227</v>
      </c>
      <c r="E679" t="s">
        <v>1889</v>
      </c>
      <c r="F679" t="s">
        <v>1890</v>
      </c>
      <c r="G679" t="s">
        <v>1474</v>
      </c>
      <c r="H679" t="s">
        <v>1031</v>
      </c>
      <c r="I679">
        <v>185349003</v>
      </c>
      <c r="J679" t="s">
        <v>1038</v>
      </c>
      <c r="K679">
        <v>85.55</v>
      </c>
      <c r="L679">
        <v>85.55</v>
      </c>
      <c r="M679">
        <v>0</v>
      </c>
      <c r="N679">
        <v>307731004</v>
      </c>
      <c r="O679" t="s">
        <v>1902</v>
      </c>
    </row>
    <row r="680" spans="1:15">
      <c r="A680" t="s">
        <v>1904</v>
      </c>
      <c r="B680" s="2">
        <v>45243.425833333335</v>
      </c>
      <c r="C680" s="2">
        <v>45243.449814814812</v>
      </c>
      <c r="D680" t="s">
        <v>227</v>
      </c>
      <c r="E680" t="s">
        <v>1882</v>
      </c>
      <c r="F680" t="s">
        <v>1883</v>
      </c>
      <c r="G680" t="s">
        <v>1474</v>
      </c>
      <c r="H680" t="s">
        <v>1020</v>
      </c>
      <c r="I680">
        <v>162673000</v>
      </c>
      <c r="J680" t="s">
        <v>1021</v>
      </c>
      <c r="K680">
        <v>136.80000000000001</v>
      </c>
      <c r="L680">
        <v>996.16</v>
      </c>
      <c r="M680">
        <v>0</v>
      </c>
      <c r="O680" t="s">
        <v>34</v>
      </c>
    </row>
    <row r="681" spans="1:15">
      <c r="A681" t="s">
        <v>1905</v>
      </c>
      <c r="B681" s="2">
        <v>45614.425833333335</v>
      </c>
      <c r="C681" s="2">
        <v>45614.46197916667</v>
      </c>
      <c r="D681" t="s">
        <v>227</v>
      </c>
      <c r="E681" t="s">
        <v>1882</v>
      </c>
      <c r="F681" t="s">
        <v>1883</v>
      </c>
      <c r="G681" t="s">
        <v>1474</v>
      </c>
      <c r="H681" t="s">
        <v>1020</v>
      </c>
      <c r="I681">
        <v>162673000</v>
      </c>
      <c r="J681" t="s">
        <v>1021</v>
      </c>
      <c r="K681">
        <v>136.80000000000001</v>
      </c>
      <c r="L681">
        <v>1266.48</v>
      </c>
      <c r="M681">
        <v>0</v>
      </c>
      <c r="O681" t="s">
        <v>34</v>
      </c>
    </row>
    <row r="682" spans="1:15">
      <c r="A682" t="s">
        <v>1906</v>
      </c>
      <c r="B682" s="2">
        <v>45628.425833333335</v>
      </c>
      <c r="C682" s="2">
        <v>45628.649699074071</v>
      </c>
      <c r="D682" t="s">
        <v>227</v>
      </c>
      <c r="E682" t="s">
        <v>1889</v>
      </c>
      <c r="F682" t="s">
        <v>1890</v>
      </c>
      <c r="G682" t="s">
        <v>1474</v>
      </c>
      <c r="H682" t="s">
        <v>1031</v>
      </c>
      <c r="I682">
        <v>185349003</v>
      </c>
      <c r="J682" t="s">
        <v>1038</v>
      </c>
      <c r="K682">
        <v>85.55</v>
      </c>
      <c r="L682">
        <v>4399.55</v>
      </c>
      <c r="M682">
        <v>3366.42</v>
      </c>
      <c r="N682">
        <v>66383009</v>
      </c>
      <c r="O682" t="s">
        <v>1209</v>
      </c>
    </row>
    <row r="683" spans="1:15">
      <c r="A683" t="s">
        <v>1907</v>
      </c>
      <c r="B683" s="2">
        <v>45633.649699074071</v>
      </c>
      <c r="C683" s="2">
        <v>45633.737997685188</v>
      </c>
      <c r="D683" t="s">
        <v>227</v>
      </c>
      <c r="E683" t="s">
        <v>1889</v>
      </c>
      <c r="F683" t="s">
        <v>1890</v>
      </c>
      <c r="G683" t="s">
        <v>1474</v>
      </c>
      <c r="H683" t="s">
        <v>1031</v>
      </c>
      <c r="I683">
        <v>439740005</v>
      </c>
      <c r="J683" t="s">
        <v>1908</v>
      </c>
      <c r="K683">
        <v>142.58000000000001</v>
      </c>
      <c r="L683">
        <v>2299.58</v>
      </c>
      <c r="M683">
        <v>1839.66</v>
      </c>
      <c r="N683">
        <v>61804006</v>
      </c>
      <c r="O683" t="s">
        <v>1909</v>
      </c>
    </row>
    <row r="684" spans="1:15">
      <c r="A684" t="s">
        <v>1910</v>
      </c>
      <c r="B684" s="2">
        <v>45985.425833333335</v>
      </c>
      <c r="C684" s="2">
        <v>45985.45784722222</v>
      </c>
      <c r="D684" t="s">
        <v>227</v>
      </c>
      <c r="E684" t="s">
        <v>1882</v>
      </c>
      <c r="F684" t="s">
        <v>1883</v>
      </c>
      <c r="G684" t="s">
        <v>1474</v>
      </c>
      <c r="H684" t="s">
        <v>1020</v>
      </c>
      <c r="I684">
        <v>162673000</v>
      </c>
      <c r="J684" t="s">
        <v>1021</v>
      </c>
      <c r="K684">
        <v>136.80000000000001</v>
      </c>
      <c r="L684">
        <v>1285.9000000000001</v>
      </c>
      <c r="M684">
        <v>0</v>
      </c>
      <c r="O684" t="s">
        <v>34</v>
      </c>
    </row>
    <row r="685" spans="1:15">
      <c r="A685" t="s">
        <v>1911</v>
      </c>
      <c r="B685" s="2">
        <v>35704.67255787037</v>
      </c>
      <c r="C685" s="2">
        <v>35704.729062500002</v>
      </c>
      <c r="D685" t="s">
        <v>236</v>
      </c>
      <c r="E685" t="s">
        <v>1912</v>
      </c>
      <c r="F685" t="s">
        <v>1913</v>
      </c>
      <c r="G685" t="s">
        <v>1474</v>
      </c>
      <c r="H685" t="s">
        <v>1031</v>
      </c>
      <c r="I685">
        <v>185347001</v>
      </c>
      <c r="J685" t="s">
        <v>1124</v>
      </c>
      <c r="K685">
        <v>85.55</v>
      </c>
      <c r="L685">
        <v>1379.75</v>
      </c>
      <c r="M685">
        <v>1103.8</v>
      </c>
      <c r="N685">
        <v>37320007</v>
      </c>
      <c r="O685" t="s">
        <v>1125</v>
      </c>
    </row>
    <row r="686" spans="1:15">
      <c r="A686" t="s">
        <v>1914</v>
      </c>
      <c r="B686" s="2">
        <v>36425.67255787037</v>
      </c>
      <c r="C686" s="2">
        <v>36425.695555555554</v>
      </c>
      <c r="D686" t="s">
        <v>236</v>
      </c>
      <c r="E686" t="s">
        <v>1915</v>
      </c>
      <c r="F686" t="s">
        <v>1916</v>
      </c>
      <c r="G686" t="s">
        <v>1474</v>
      </c>
      <c r="H686" t="s">
        <v>1020</v>
      </c>
      <c r="I686">
        <v>162673000</v>
      </c>
      <c r="J686" t="s">
        <v>1021</v>
      </c>
      <c r="K686">
        <v>136.80000000000001</v>
      </c>
      <c r="L686">
        <v>919.9</v>
      </c>
      <c r="M686">
        <v>0</v>
      </c>
      <c r="O686" t="s">
        <v>34</v>
      </c>
    </row>
    <row r="687" spans="1:15">
      <c r="A687" t="s">
        <v>1917</v>
      </c>
      <c r="B687" s="2">
        <v>39108.29755787037</v>
      </c>
      <c r="C687" s="2">
        <v>39108.307974537034</v>
      </c>
      <c r="D687" t="s">
        <v>236</v>
      </c>
      <c r="E687" t="s">
        <v>1912</v>
      </c>
      <c r="F687" t="s">
        <v>1913</v>
      </c>
      <c r="G687" t="s">
        <v>1474</v>
      </c>
      <c r="H687" t="s">
        <v>1031</v>
      </c>
      <c r="I687">
        <v>185345009</v>
      </c>
      <c r="J687" t="s">
        <v>1032</v>
      </c>
      <c r="K687">
        <v>85.55</v>
      </c>
      <c r="L687">
        <v>92.93</v>
      </c>
      <c r="M687">
        <v>74.34</v>
      </c>
      <c r="N687">
        <v>36971009</v>
      </c>
      <c r="O687" t="s">
        <v>1278</v>
      </c>
    </row>
    <row r="688" spans="1:15">
      <c r="A688" t="s">
        <v>1918</v>
      </c>
      <c r="B688" s="2">
        <v>41670.630891203706</v>
      </c>
      <c r="C688" s="2">
        <v>41670.64130787037</v>
      </c>
      <c r="D688" t="s">
        <v>236</v>
      </c>
      <c r="E688" t="s">
        <v>1912</v>
      </c>
      <c r="F688" t="s">
        <v>1913</v>
      </c>
      <c r="G688" t="s">
        <v>1474</v>
      </c>
      <c r="H688" t="s">
        <v>1043</v>
      </c>
      <c r="I688">
        <v>185347001</v>
      </c>
      <c r="J688" t="s">
        <v>1124</v>
      </c>
      <c r="K688">
        <v>85.55</v>
      </c>
      <c r="L688">
        <v>85.55</v>
      </c>
      <c r="M688">
        <v>0</v>
      </c>
      <c r="N688">
        <v>82423001</v>
      </c>
      <c r="O688" t="s">
        <v>1542</v>
      </c>
    </row>
    <row r="689" spans="1:15">
      <c r="A689" t="s">
        <v>1919</v>
      </c>
      <c r="B689" s="2">
        <v>41682.630891203706</v>
      </c>
      <c r="C689" s="2">
        <v>41682.659513888888</v>
      </c>
      <c r="D689" t="s">
        <v>236</v>
      </c>
      <c r="E689" t="s">
        <v>1915</v>
      </c>
      <c r="F689" t="s">
        <v>1916</v>
      </c>
      <c r="G689" t="s">
        <v>1474</v>
      </c>
      <c r="H689" t="s">
        <v>1020</v>
      </c>
      <c r="I689">
        <v>162673000</v>
      </c>
      <c r="J689" t="s">
        <v>1021</v>
      </c>
      <c r="K689">
        <v>136.80000000000001</v>
      </c>
      <c r="L689">
        <v>704.2</v>
      </c>
      <c r="M689">
        <v>132.49</v>
      </c>
      <c r="O689" t="s">
        <v>34</v>
      </c>
    </row>
    <row r="690" spans="1:15">
      <c r="A690" t="s">
        <v>1920</v>
      </c>
      <c r="B690" s="2">
        <v>42053.630891203706</v>
      </c>
      <c r="C690" s="2">
        <v>42053.666250000002</v>
      </c>
      <c r="D690" t="s">
        <v>236</v>
      </c>
      <c r="E690" t="s">
        <v>1915</v>
      </c>
      <c r="F690" t="s">
        <v>1916</v>
      </c>
      <c r="G690" t="s">
        <v>1474</v>
      </c>
      <c r="H690" t="s">
        <v>1020</v>
      </c>
      <c r="I690">
        <v>162673000</v>
      </c>
      <c r="J690" t="s">
        <v>1021</v>
      </c>
      <c r="K690">
        <v>136.80000000000001</v>
      </c>
      <c r="L690">
        <v>704.2</v>
      </c>
      <c r="M690">
        <v>563.36</v>
      </c>
      <c r="O690" t="s">
        <v>34</v>
      </c>
    </row>
    <row r="691" spans="1:15">
      <c r="A691" t="s">
        <v>1921</v>
      </c>
      <c r="B691" s="2">
        <v>42424.630891203706</v>
      </c>
      <c r="C691" s="2">
        <v>42424.657905092594</v>
      </c>
      <c r="D691" t="s">
        <v>236</v>
      </c>
      <c r="E691" t="s">
        <v>1915</v>
      </c>
      <c r="F691" t="s">
        <v>1916</v>
      </c>
      <c r="G691" t="s">
        <v>1474</v>
      </c>
      <c r="H691" t="s">
        <v>1020</v>
      </c>
      <c r="I691">
        <v>162673000</v>
      </c>
      <c r="J691" t="s">
        <v>1021</v>
      </c>
      <c r="K691">
        <v>136.80000000000001</v>
      </c>
      <c r="L691">
        <v>778.78</v>
      </c>
      <c r="M691">
        <v>0</v>
      </c>
      <c r="O691" t="s">
        <v>34</v>
      </c>
    </row>
    <row r="692" spans="1:15">
      <c r="A692" t="s">
        <v>1922</v>
      </c>
      <c r="B692" s="2">
        <v>42795.630891203706</v>
      </c>
      <c r="C692" s="2">
        <v>42795.658252314817</v>
      </c>
      <c r="D692" t="s">
        <v>236</v>
      </c>
      <c r="E692" t="s">
        <v>1915</v>
      </c>
      <c r="F692" t="s">
        <v>1916</v>
      </c>
      <c r="G692" t="s">
        <v>1474</v>
      </c>
      <c r="H692" t="s">
        <v>1020</v>
      </c>
      <c r="I692">
        <v>162673000</v>
      </c>
      <c r="J692" t="s">
        <v>1021</v>
      </c>
      <c r="K692">
        <v>136.80000000000001</v>
      </c>
      <c r="L692">
        <v>1188.6300000000001</v>
      </c>
      <c r="M692">
        <v>0</v>
      </c>
      <c r="O692" t="s">
        <v>34</v>
      </c>
    </row>
    <row r="693" spans="1:15">
      <c r="A693" t="s">
        <v>1923</v>
      </c>
      <c r="B693" s="2">
        <v>43166.630891203706</v>
      </c>
      <c r="C693" s="2">
        <v>43166.65730324074</v>
      </c>
      <c r="D693" t="s">
        <v>236</v>
      </c>
      <c r="E693" t="s">
        <v>1915</v>
      </c>
      <c r="F693" t="s">
        <v>1916</v>
      </c>
      <c r="G693" t="s">
        <v>1474</v>
      </c>
      <c r="H693" t="s">
        <v>1020</v>
      </c>
      <c r="I693">
        <v>162673000</v>
      </c>
      <c r="J693" t="s">
        <v>1021</v>
      </c>
      <c r="K693">
        <v>136.80000000000001</v>
      </c>
      <c r="L693">
        <v>704.2</v>
      </c>
      <c r="M693">
        <v>0</v>
      </c>
      <c r="O693" t="s">
        <v>34</v>
      </c>
    </row>
    <row r="694" spans="1:15">
      <c r="A694" t="s">
        <v>1924</v>
      </c>
      <c r="B694" s="2">
        <v>43180.67255787037</v>
      </c>
      <c r="C694" s="2">
        <v>43180.933437500003</v>
      </c>
      <c r="D694" t="s">
        <v>236</v>
      </c>
      <c r="E694" t="s">
        <v>1912</v>
      </c>
      <c r="F694" t="s">
        <v>1913</v>
      </c>
      <c r="G694" t="s">
        <v>1474</v>
      </c>
      <c r="H694" t="s">
        <v>1031</v>
      </c>
      <c r="I694">
        <v>185349003</v>
      </c>
      <c r="J694" t="s">
        <v>1038</v>
      </c>
      <c r="K694">
        <v>85.55</v>
      </c>
      <c r="L694">
        <v>5262.35</v>
      </c>
      <c r="M694">
        <v>3814.74</v>
      </c>
      <c r="N694">
        <v>103697008</v>
      </c>
      <c r="O694" t="s">
        <v>1039</v>
      </c>
    </row>
    <row r="695" spans="1:15">
      <c r="A695" t="s">
        <v>1925</v>
      </c>
      <c r="B695" s="2">
        <v>43537.67255787037</v>
      </c>
      <c r="C695" s="2">
        <v>43537.694247685184</v>
      </c>
      <c r="D695" t="s">
        <v>236</v>
      </c>
      <c r="E695" t="s">
        <v>1915</v>
      </c>
      <c r="F695" t="s">
        <v>1916</v>
      </c>
      <c r="G695" t="s">
        <v>1474</v>
      </c>
      <c r="H695" t="s">
        <v>1020</v>
      </c>
      <c r="I695">
        <v>162673000</v>
      </c>
      <c r="J695" t="s">
        <v>1021</v>
      </c>
      <c r="K695">
        <v>136.80000000000001</v>
      </c>
      <c r="L695">
        <v>1515.82</v>
      </c>
      <c r="M695">
        <v>150.21</v>
      </c>
      <c r="O695" t="s">
        <v>34</v>
      </c>
    </row>
    <row r="696" spans="1:15">
      <c r="A696" t="s">
        <v>1926</v>
      </c>
      <c r="B696" s="2">
        <v>43908.67255787037</v>
      </c>
      <c r="C696" s="2">
        <v>43908.7109375</v>
      </c>
      <c r="D696" t="s">
        <v>236</v>
      </c>
      <c r="E696" t="s">
        <v>1915</v>
      </c>
      <c r="F696" t="s">
        <v>1916</v>
      </c>
      <c r="G696" t="s">
        <v>1474</v>
      </c>
      <c r="H696" t="s">
        <v>1020</v>
      </c>
      <c r="I696">
        <v>162673000</v>
      </c>
      <c r="J696" t="s">
        <v>1021</v>
      </c>
      <c r="K696">
        <v>136.80000000000001</v>
      </c>
      <c r="L696">
        <v>1578.45</v>
      </c>
      <c r="M696">
        <v>200.31</v>
      </c>
      <c r="O696" t="s">
        <v>34</v>
      </c>
    </row>
    <row r="697" spans="1:15">
      <c r="A697" t="s">
        <v>1927</v>
      </c>
      <c r="B697" s="2">
        <v>43922.67255787037</v>
      </c>
      <c r="C697" s="2">
        <v>43922.908483796295</v>
      </c>
      <c r="D697" t="s">
        <v>236</v>
      </c>
      <c r="E697" t="s">
        <v>1912</v>
      </c>
      <c r="F697" t="s">
        <v>1913</v>
      </c>
      <c r="G697" t="s">
        <v>1474</v>
      </c>
      <c r="H697" t="s">
        <v>1031</v>
      </c>
      <c r="I697">
        <v>185349003</v>
      </c>
      <c r="J697" t="s">
        <v>1038</v>
      </c>
      <c r="K697">
        <v>85.55</v>
      </c>
      <c r="L697">
        <v>4830.95</v>
      </c>
      <c r="M697">
        <v>3864.76</v>
      </c>
      <c r="N697">
        <v>103697008</v>
      </c>
      <c r="O697" t="s">
        <v>1039</v>
      </c>
    </row>
    <row r="698" spans="1:15">
      <c r="A698" t="s">
        <v>1928</v>
      </c>
      <c r="B698" s="2">
        <v>44279.67255787037</v>
      </c>
      <c r="C698" s="2">
        <v>44279.701631944445</v>
      </c>
      <c r="D698" t="s">
        <v>236</v>
      </c>
      <c r="E698" t="s">
        <v>1915</v>
      </c>
      <c r="F698" t="s">
        <v>1916</v>
      </c>
      <c r="G698" t="s">
        <v>1474</v>
      </c>
      <c r="H698" t="s">
        <v>1020</v>
      </c>
      <c r="I698">
        <v>162673000</v>
      </c>
      <c r="J698" t="s">
        <v>1021</v>
      </c>
      <c r="K698">
        <v>136.80000000000001</v>
      </c>
      <c r="L698">
        <v>919.9</v>
      </c>
      <c r="M698">
        <v>0</v>
      </c>
      <c r="O698" t="s">
        <v>34</v>
      </c>
    </row>
    <row r="699" spans="1:15">
      <c r="A699" t="s">
        <v>1929</v>
      </c>
      <c r="B699" s="2">
        <v>44293.67255787037</v>
      </c>
      <c r="C699" s="2">
        <v>44293.682974537034</v>
      </c>
      <c r="D699" t="s">
        <v>236</v>
      </c>
      <c r="E699" t="s">
        <v>1912</v>
      </c>
      <c r="F699" t="s">
        <v>1913</v>
      </c>
      <c r="G699" t="s">
        <v>1474</v>
      </c>
      <c r="H699" t="s">
        <v>1043</v>
      </c>
      <c r="I699">
        <v>33879002</v>
      </c>
      <c r="J699" t="s">
        <v>1044</v>
      </c>
      <c r="K699">
        <v>142.58000000000001</v>
      </c>
      <c r="L699">
        <v>278.58</v>
      </c>
      <c r="M699">
        <v>0</v>
      </c>
      <c r="O699" t="s">
        <v>34</v>
      </c>
    </row>
    <row r="700" spans="1:15">
      <c r="A700" t="s">
        <v>1930</v>
      </c>
      <c r="B700" s="2">
        <v>44293.67255787037</v>
      </c>
      <c r="C700" s="2">
        <v>44293.806597222225</v>
      </c>
      <c r="D700" t="s">
        <v>236</v>
      </c>
      <c r="E700" t="s">
        <v>1912</v>
      </c>
      <c r="F700" t="s">
        <v>1913</v>
      </c>
      <c r="G700" t="s">
        <v>1474</v>
      </c>
      <c r="H700" t="s">
        <v>1031</v>
      </c>
      <c r="I700">
        <v>185349003</v>
      </c>
      <c r="J700" t="s">
        <v>1038</v>
      </c>
      <c r="K700">
        <v>85.55</v>
      </c>
      <c r="L700">
        <v>3105.35</v>
      </c>
      <c r="M700">
        <v>2380.62</v>
      </c>
      <c r="N700">
        <v>103697008</v>
      </c>
      <c r="O700" t="s">
        <v>1039</v>
      </c>
    </row>
    <row r="701" spans="1:15">
      <c r="A701" t="s">
        <v>1931</v>
      </c>
      <c r="B701" s="2">
        <v>44314.67255787037</v>
      </c>
      <c r="C701" s="2">
        <v>44314.682974537034</v>
      </c>
      <c r="D701" t="s">
        <v>236</v>
      </c>
      <c r="E701" t="s">
        <v>1912</v>
      </c>
      <c r="F701" t="s">
        <v>1913</v>
      </c>
      <c r="G701" t="s">
        <v>1474</v>
      </c>
      <c r="H701" t="s">
        <v>1043</v>
      </c>
      <c r="I701">
        <v>33879002</v>
      </c>
      <c r="J701" t="s">
        <v>1044</v>
      </c>
      <c r="K701">
        <v>142.58000000000001</v>
      </c>
      <c r="L701">
        <v>278.58</v>
      </c>
      <c r="M701">
        <v>222.86</v>
      </c>
      <c r="O701" t="s">
        <v>34</v>
      </c>
    </row>
    <row r="702" spans="1:15">
      <c r="A702" t="s">
        <v>1932</v>
      </c>
      <c r="B702" s="2">
        <v>44516.97452546296</v>
      </c>
      <c r="C702" s="2">
        <v>44517.030590277776</v>
      </c>
      <c r="D702" t="s">
        <v>236</v>
      </c>
      <c r="E702" t="s">
        <v>1912</v>
      </c>
      <c r="F702" t="s">
        <v>1913</v>
      </c>
      <c r="G702" t="s">
        <v>1474</v>
      </c>
      <c r="H702" t="s">
        <v>1031</v>
      </c>
      <c r="I702">
        <v>185347001</v>
      </c>
      <c r="J702" t="s">
        <v>1124</v>
      </c>
      <c r="K702">
        <v>85.55</v>
      </c>
      <c r="L702">
        <v>1379.75</v>
      </c>
      <c r="M702">
        <v>0</v>
      </c>
      <c r="N702">
        <v>37320007</v>
      </c>
      <c r="O702" t="s">
        <v>1125</v>
      </c>
    </row>
    <row r="703" spans="1:15">
      <c r="A703" t="s">
        <v>1933</v>
      </c>
      <c r="B703" s="2">
        <v>44538.030590277776</v>
      </c>
      <c r="C703" s="2">
        <v>44538.043900462966</v>
      </c>
      <c r="D703" t="s">
        <v>236</v>
      </c>
      <c r="E703" t="s">
        <v>1912</v>
      </c>
      <c r="F703" t="s">
        <v>1913</v>
      </c>
      <c r="G703" t="s">
        <v>1474</v>
      </c>
      <c r="H703" t="s">
        <v>1031</v>
      </c>
      <c r="I703">
        <v>390906007</v>
      </c>
      <c r="J703" t="s">
        <v>1255</v>
      </c>
      <c r="K703">
        <v>85.55</v>
      </c>
      <c r="L703">
        <v>516.95000000000005</v>
      </c>
      <c r="M703">
        <v>350.96</v>
      </c>
      <c r="N703">
        <v>37320007</v>
      </c>
      <c r="O703" t="s">
        <v>1125</v>
      </c>
    </row>
    <row r="704" spans="1:15">
      <c r="A704" t="s">
        <v>1934</v>
      </c>
      <c r="B704" s="2">
        <v>44650.67255787037</v>
      </c>
      <c r="C704" s="2">
        <v>44650.704594907409</v>
      </c>
      <c r="D704" t="s">
        <v>236</v>
      </c>
      <c r="E704" t="s">
        <v>1915</v>
      </c>
      <c r="F704" t="s">
        <v>1916</v>
      </c>
      <c r="G704" t="s">
        <v>1474</v>
      </c>
      <c r="H704" t="s">
        <v>1020</v>
      </c>
      <c r="I704">
        <v>162673000</v>
      </c>
      <c r="J704" t="s">
        <v>1021</v>
      </c>
      <c r="K704">
        <v>136.80000000000001</v>
      </c>
      <c r="L704">
        <v>1130.48</v>
      </c>
      <c r="M704">
        <v>904.38</v>
      </c>
      <c r="O704" t="s">
        <v>34</v>
      </c>
    </row>
    <row r="705" spans="1:15">
      <c r="A705" t="s">
        <v>1935</v>
      </c>
      <c r="B705" s="2">
        <v>44664.67255787037</v>
      </c>
      <c r="C705" s="2">
        <v>44664.809155092589</v>
      </c>
      <c r="D705" t="s">
        <v>236</v>
      </c>
      <c r="E705" t="s">
        <v>1912</v>
      </c>
      <c r="F705" t="s">
        <v>1913</v>
      </c>
      <c r="G705" t="s">
        <v>1474</v>
      </c>
      <c r="H705" t="s">
        <v>1031</v>
      </c>
      <c r="I705">
        <v>185349003</v>
      </c>
      <c r="J705" t="s">
        <v>1038</v>
      </c>
      <c r="K705">
        <v>85.55</v>
      </c>
      <c r="L705">
        <v>3536.75</v>
      </c>
      <c r="M705">
        <v>2829.4</v>
      </c>
      <c r="N705">
        <v>103697008</v>
      </c>
      <c r="O705" t="s">
        <v>1039</v>
      </c>
    </row>
    <row r="706" spans="1:15">
      <c r="A706" t="s">
        <v>1936</v>
      </c>
      <c r="B706" s="2">
        <v>44690.630891203706</v>
      </c>
      <c r="C706" s="2">
        <v>44690.64130787037</v>
      </c>
      <c r="D706" t="s">
        <v>236</v>
      </c>
      <c r="E706" t="s">
        <v>1912</v>
      </c>
      <c r="F706" t="s">
        <v>1913</v>
      </c>
      <c r="G706" t="s">
        <v>1474</v>
      </c>
      <c r="H706" t="s">
        <v>1031</v>
      </c>
      <c r="I706">
        <v>185345009</v>
      </c>
      <c r="J706" t="s">
        <v>1032</v>
      </c>
      <c r="K706">
        <v>85.55</v>
      </c>
      <c r="L706">
        <v>3536.75</v>
      </c>
      <c r="M706">
        <v>2829.4</v>
      </c>
      <c r="N706">
        <v>195662009</v>
      </c>
      <c r="O706" t="s">
        <v>1130</v>
      </c>
    </row>
    <row r="707" spans="1:15">
      <c r="A707" t="s">
        <v>1937</v>
      </c>
      <c r="B707" s="2">
        <v>45021.67255787037</v>
      </c>
      <c r="C707" s="2">
        <v>45021.710543981484</v>
      </c>
      <c r="D707" t="s">
        <v>236</v>
      </c>
      <c r="E707" t="s">
        <v>1915</v>
      </c>
      <c r="F707" t="s">
        <v>1916</v>
      </c>
      <c r="G707" t="s">
        <v>1474</v>
      </c>
      <c r="H707" t="s">
        <v>1020</v>
      </c>
      <c r="I707">
        <v>162673000</v>
      </c>
      <c r="J707" t="s">
        <v>1021</v>
      </c>
      <c r="K707">
        <v>136.80000000000001</v>
      </c>
      <c r="L707">
        <v>976.2</v>
      </c>
      <c r="M707">
        <v>0</v>
      </c>
      <c r="O707" t="s">
        <v>34</v>
      </c>
    </row>
    <row r="708" spans="1:15">
      <c r="A708" t="s">
        <v>1938</v>
      </c>
      <c r="B708" s="2">
        <v>45035.67255787037</v>
      </c>
      <c r="C708" s="2">
        <v>45035.782361111109</v>
      </c>
      <c r="D708" t="s">
        <v>236</v>
      </c>
      <c r="E708" t="s">
        <v>1912</v>
      </c>
      <c r="F708" t="s">
        <v>1913</v>
      </c>
      <c r="G708" t="s">
        <v>1474</v>
      </c>
      <c r="H708" t="s">
        <v>1031</v>
      </c>
      <c r="I708">
        <v>185349003</v>
      </c>
      <c r="J708" t="s">
        <v>1038</v>
      </c>
      <c r="K708">
        <v>85.55</v>
      </c>
      <c r="L708">
        <v>3105.35</v>
      </c>
      <c r="M708">
        <v>2202.79</v>
      </c>
      <c r="N708">
        <v>66383009</v>
      </c>
      <c r="O708" t="s">
        <v>1209</v>
      </c>
    </row>
    <row r="709" spans="1:15">
      <c r="A709" t="s">
        <v>1939</v>
      </c>
      <c r="B709" s="2">
        <v>45392.67255787037</v>
      </c>
      <c r="C709" s="2">
        <v>45392.70548611111</v>
      </c>
      <c r="D709" t="s">
        <v>236</v>
      </c>
      <c r="E709" t="s">
        <v>1915</v>
      </c>
      <c r="F709" t="s">
        <v>1916</v>
      </c>
      <c r="G709" t="s">
        <v>1474</v>
      </c>
      <c r="H709" t="s">
        <v>1020</v>
      </c>
      <c r="I709">
        <v>162673000</v>
      </c>
      <c r="J709" t="s">
        <v>1021</v>
      </c>
      <c r="K709">
        <v>136.80000000000001</v>
      </c>
      <c r="L709">
        <v>704.2</v>
      </c>
      <c r="M709">
        <v>0</v>
      </c>
      <c r="O709" t="s">
        <v>34</v>
      </c>
    </row>
    <row r="710" spans="1:15">
      <c r="A710" t="s">
        <v>1940</v>
      </c>
      <c r="B710" s="2">
        <v>45406.67255787037</v>
      </c>
      <c r="C710" s="2">
        <v>45406.900358796294</v>
      </c>
      <c r="D710" t="s">
        <v>236</v>
      </c>
      <c r="E710" t="s">
        <v>1912</v>
      </c>
      <c r="F710" t="s">
        <v>1913</v>
      </c>
      <c r="G710" t="s">
        <v>1474</v>
      </c>
      <c r="H710" t="s">
        <v>1031</v>
      </c>
      <c r="I710">
        <v>185349003</v>
      </c>
      <c r="J710" t="s">
        <v>1038</v>
      </c>
      <c r="K710">
        <v>85.55</v>
      </c>
      <c r="L710">
        <v>4399.55</v>
      </c>
      <c r="M710">
        <v>3020.55</v>
      </c>
      <c r="N710">
        <v>66383009</v>
      </c>
      <c r="O710" t="s">
        <v>1209</v>
      </c>
    </row>
    <row r="711" spans="1:15">
      <c r="A711" t="s">
        <v>1941</v>
      </c>
      <c r="B711" s="2">
        <v>45763.67255787037</v>
      </c>
      <c r="C711" s="2">
        <v>45763.712152777778</v>
      </c>
      <c r="D711" t="s">
        <v>236</v>
      </c>
      <c r="E711" t="s">
        <v>1915</v>
      </c>
      <c r="F711" t="s">
        <v>1916</v>
      </c>
      <c r="G711" t="s">
        <v>1474</v>
      </c>
      <c r="H711" t="s">
        <v>1020</v>
      </c>
      <c r="I711">
        <v>162673000</v>
      </c>
      <c r="J711" t="s">
        <v>1021</v>
      </c>
      <c r="K711">
        <v>136.80000000000001</v>
      </c>
      <c r="L711">
        <v>853.36</v>
      </c>
      <c r="M711">
        <v>0</v>
      </c>
      <c r="O711" t="s">
        <v>34</v>
      </c>
    </row>
    <row r="712" spans="1:15">
      <c r="A712" t="s">
        <v>1942</v>
      </c>
      <c r="B712" s="2">
        <v>45777.67255787037</v>
      </c>
      <c r="C712" s="2">
        <v>45777.806608796294</v>
      </c>
      <c r="D712" t="s">
        <v>236</v>
      </c>
      <c r="E712" t="s">
        <v>1912</v>
      </c>
      <c r="F712" t="s">
        <v>1913</v>
      </c>
      <c r="G712" t="s">
        <v>1474</v>
      </c>
      <c r="H712" t="s">
        <v>1031</v>
      </c>
      <c r="I712">
        <v>185349003</v>
      </c>
      <c r="J712" t="s">
        <v>1038</v>
      </c>
      <c r="K712">
        <v>85.55</v>
      </c>
      <c r="L712">
        <v>3536.75</v>
      </c>
      <c r="M712">
        <v>2553.59</v>
      </c>
      <c r="N712">
        <v>66383009</v>
      </c>
      <c r="O712" t="s">
        <v>1209</v>
      </c>
    </row>
    <row r="713" spans="1:15">
      <c r="A713" t="s">
        <v>1943</v>
      </c>
      <c r="B713" s="2">
        <v>46134.67255787037</v>
      </c>
      <c r="C713" s="2">
        <v>46134.712141203701</v>
      </c>
      <c r="D713" t="s">
        <v>236</v>
      </c>
      <c r="E713" t="s">
        <v>1915</v>
      </c>
      <c r="F713" t="s">
        <v>1916</v>
      </c>
      <c r="G713" t="s">
        <v>1474</v>
      </c>
      <c r="H713" t="s">
        <v>1020</v>
      </c>
      <c r="I713">
        <v>162673000</v>
      </c>
      <c r="J713" t="s">
        <v>1021</v>
      </c>
      <c r="K713">
        <v>136.80000000000001</v>
      </c>
      <c r="L713">
        <v>919.9</v>
      </c>
      <c r="M713">
        <v>0</v>
      </c>
      <c r="O713" t="s">
        <v>34</v>
      </c>
    </row>
    <row r="714" spans="1:15">
      <c r="A714" t="s">
        <v>1944</v>
      </c>
      <c r="B714" s="2">
        <v>39322.631597222222</v>
      </c>
      <c r="C714" s="2">
        <v>39322.663344907407</v>
      </c>
      <c r="D714" t="s">
        <v>245</v>
      </c>
      <c r="E714" t="s">
        <v>1945</v>
      </c>
      <c r="F714" t="s">
        <v>1946</v>
      </c>
      <c r="G714" t="s">
        <v>1107</v>
      </c>
      <c r="H714" t="s">
        <v>1020</v>
      </c>
      <c r="I714">
        <v>162673000</v>
      </c>
      <c r="J714" t="s">
        <v>1021</v>
      </c>
      <c r="K714">
        <v>136.80000000000001</v>
      </c>
      <c r="L714">
        <v>1030.67</v>
      </c>
      <c r="M714">
        <v>0</v>
      </c>
      <c r="O714" t="s">
        <v>34</v>
      </c>
    </row>
    <row r="715" spans="1:15">
      <c r="A715" t="s">
        <v>1947</v>
      </c>
      <c r="B715" s="2">
        <v>39693.631597222222</v>
      </c>
      <c r="C715" s="2">
        <v>39693.661921296298</v>
      </c>
      <c r="D715" t="s">
        <v>245</v>
      </c>
      <c r="E715" t="s">
        <v>1945</v>
      </c>
      <c r="F715" t="s">
        <v>1946</v>
      </c>
      <c r="G715" t="s">
        <v>1107</v>
      </c>
      <c r="H715" t="s">
        <v>1020</v>
      </c>
      <c r="I715">
        <v>162673000</v>
      </c>
      <c r="J715" t="s">
        <v>1021</v>
      </c>
      <c r="K715">
        <v>136.80000000000001</v>
      </c>
      <c r="L715">
        <v>704.2</v>
      </c>
      <c r="M715">
        <v>0</v>
      </c>
      <c r="O715" t="s">
        <v>34</v>
      </c>
    </row>
    <row r="716" spans="1:15">
      <c r="A716" t="s">
        <v>1948</v>
      </c>
      <c r="B716" s="2">
        <v>40702.631597222222</v>
      </c>
      <c r="C716" s="2">
        <v>40715.652430555558</v>
      </c>
      <c r="D716" t="s">
        <v>245</v>
      </c>
      <c r="E716" t="s">
        <v>1949</v>
      </c>
      <c r="F716" t="s">
        <v>1950</v>
      </c>
      <c r="G716" t="s">
        <v>1107</v>
      </c>
      <c r="H716" t="s">
        <v>1076</v>
      </c>
      <c r="I716">
        <v>185347001</v>
      </c>
      <c r="J716" t="s">
        <v>1124</v>
      </c>
      <c r="K716">
        <v>87.71</v>
      </c>
      <c r="L716">
        <v>72508.06</v>
      </c>
      <c r="M716">
        <v>47787.56</v>
      </c>
      <c r="N716">
        <v>91302008</v>
      </c>
      <c r="O716" t="s">
        <v>1951</v>
      </c>
    </row>
    <row r="717" spans="1:15">
      <c r="A717" t="s">
        <v>1952</v>
      </c>
      <c r="B717" s="2">
        <v>41429.631597222222</v>
      </c>
      <c r="C717" s="2">
        <v>41429.687442129631</v>
      </c>
      <c r="D717" t="s">
        <v>245</v>
      </c>
      <c r="E717" t="s">
        <v>1869</v>
      </c>
      <c r="F717" t="s">
        <v>1870</v>
      </c>
      <c r="G717" t="s">
        <v>1093</v>
      </c>
      <c r="H717" t="s">
        <v>1031</v>
      </c>
      <c r="I717">
        <v>185347001</v>
      </c>
      <c r="J717" t="s">
        <v>1124</v>
      </c>
      <c r="K717">
        <v>85.55</v>
      </c>
      <c r="L717">
        <v>1008.08</v>
      </c>
      <c r="M717">
        <v>958.08</v>
      </c>
      <c r="N717">
        <v>271737000</v>
      </c>
      <c r="O717" t="s">
        <v>1479</v>
      </c>
    </row>
    <row r="718" spans="1:15">
      <c r="A718" t="s">
        <v>1953</v>
      </c>
      <c r="B718" s="2">
        <v>41891.631597222222</v>
      </c>
      <c r="C718" s="2">
        <v>41891.660763888889</v>
      </c>
      <c r="D718" t="s">
        <v>245</v>
      </c>
      <c r="E718" t="s">
        <v>1945</v>
      </c>
      <c r="F718" t="s">
        <v>1946</v>
      </c>
      <c r="G718" t="s">
        <v>1093</v>
      </c>
      <c r="H718" t="s">
        <v>1020</v>
      </c>
      <c r="I718">
        <v>162673000</v>
      </c>
      <c r="J718" t="s">
        <v>1021</v>
      </c>
      <c r="K718">
        <v>136.80000000000001</v>
      </c>
      <c r="L718">
        <v>704.2</v>
      </c>
      <c r="M718">
        <v>704.2</v>
      </c>
      <c r="O718" t="s">
        <v>34</v>
      </c>
    </row>
    <row r="719" spans="1:15">
      <c r="A719" t="s">
        <v>1954</v>
      </c>
      <c r="B719" s="2">
        <v>42380.589930555558</v>
      </c>
      <c r="C719" s="2">
        <v>42380.600347222222</v>
      </c>
      <c r="D719" t="s">
        <v>245</v>
      </c>
      <c r="E719" t="s">
        <v>1869</v>
      </c>
      <c r="F719" t="s">
        <v>1870</v>
      </c>
      <c r="G719" t="s">
        <v>1019</v>
      </c>
      <c r="H719" t="s">
        <v>1031</v>
      </c>
      <c r="I719">
        <v>424619006</v>
      </c>
      <c r="J719" t="s">
        <v>1062</v>
      </c>
      <c r="K719">
        <v>142.58000000000001</v>
      </c>
      <c r="L719">
        <v>3689.25</v>
      </c>
      <c r="M719">
        <v>0</v>
      </c>
      <c r="N719">
        <v>156073000</v>
      </c>
      <c r="O719" t="s">
        <v>1397</v>
      </c>
    </row>
    <row r="720" spans="1:15">
      <c r="A720" t="s">
        <v>1955</v>
      </c>
      <c r="B720" s="2">
        <v>42415.589930555558</v>
      </c>
      <c r="C720" s="2">
        <v>42415.600347222222</v>
      </c>
      <c r="D720" t="s">
        <v>245</v>
      </c>
      <c r="E720" t="s">
        <v>1869</v>
      </c>
      <c r="F720" t="s">
        <v>1870</v>
      </c>
      <c r="G720" t="s">
        <v>1019</v>
      </c>
      <c r="H720" t="s">
        <v>1043</v>
      </c>
      <c r="I720">
        <v>698314001</v>
      </c>
      <c r="J720" t="s">
        <v>1190</v>
      </c>
      <c r="K720">
        <v>142.58000000000001</v>
      </c>
      <c r="L720">
        <v>142.58000000000001</v>
      </c>
      <c r="M720">
        <v>0</v>
      </c>
      <c r="N720">
        <v>389095005</v>
      </c>
      <c r="O720" t="s">
        <v>1191</v>
      </c>
    </row>
    <row r="721" spans="1:15">
      <c r="A721" t="s">
        <v>1956</v>
      </c>
      <c r="B721" s="2">
        <v>42775.589930555558</v>
      </c>
      <c r="C721" s="2">
        <v>42775.600347222222</v>
      </c>
      <c r="D721" t="s">
        <v>245</v>
      </c>
      <c r="E721" t="s">
        <v>1869</v>
      </c>
      <c r="F721" t="s">
        <v>1870</v>
      </c>
      <c r="G721" t="s">
        <v>1093</v>
      </c>
      <c r="H721" t="s">
        <v>1043</v>
      </c>
      <c r="I721">
        <v>698314001</v>
      </c>
      <c r="J721" t="s">
        <v>1190</v>
      </c>
      <c r="K721">
        <v>142.58000000000001</v>
      </c>
      <c r="L721">
        <v>142.58000000000001</v>
      </c>
      <c r="M721">
        <v>92.58</v>
      </c>
      <c r="N721">
        <v>389095005</v>
      </c>
      <c r="O721" t="s">
        <v>1191</v>
      </c>
    </row>
    <row r="722" spans="1:15">
      <c r="A722" t="s">
        <v>1957</v>
      </c>
      <c r="B722" s="2">
        <v>42778.339930555558</v>
      </c>
      <c r="C722" s="2">
        <v>42778.388449074075</v>
      </c>
      <c r="D722" t="s">
        <v>245</v>
      </c>
      <c r="E722" t="s">
        <v>1869</v>
      </c>
      <c r="F722" t="s">
        <v>1870</v>
      </c>
      <c r="G722" t="s">
        <v>1093</v>
      </c>
      <c r="H722" t="s">
        <v>1043</v>
      </c>
      <c r="I722">
        <v>308335008</v>
      </c>
      <c r="J722" t="s">
        <v>1194</v>
      </c>
      <c r="K722">
        <v>142.58000000000001</v>
      </c>
      <c r="L722">
        <v>12931.56</v>
      </c>
      <c r="M722">
        <v>12881.56</v>
      </c>
      <c r="N722">
        <v>389095005</v>
      </c>
      <c r="O722" t="s">
        <v>1191</v>
      </c>
    </row>
    <row r="723" spans="1:15">
      <c r="A723" t="s">
        <v>1958</v>
      </c>
      <c r="B723" s="2">
        <v>42990.631597222222</v>
      </c>
      <c r="C723" s="2">
        <v>42990.664849537039</v>
      </c>
      <c r="D723" t="s">
        <v>245</v>
      </c>
      <c r="E723" t="s">
        <v>1945</v>
      </c>
      <c r="F723" t="s">
        <v>1946</v>
      </c>
      <c r="G723" t="s">
        <v>1107</v>
      </c>
      <c r="H723" t="s">
        <v>1020</v>
      </c>
      <c r="I723">
        <v>162673000</v>
      </c>
      <c r="J723" t="s">
        <v>1021</v>
      </c>
      <c r="K723">
        <v>136.80000000000001</v>
      </c>
      <c r="L723">
        <v>1186.6500000000001</v>
      </c>
      <c r="M723">
        <v>0</v>
      </c>
      <c r="O723" t="s">
        <v>34</v>
      </c>
    </row>
    <row r="724" spans="1:15">
      <c r="A724" t="s">
        <v>1959</v>
      </c>
      <c r="B724" s="2">
        <v>43004.631597222222</v>
      </c>
      <c r="C724" s="2">
        <v>43004.873032407406</v>
      </c>
      <c r="D724" t="s">
        <v>245</v>
      </c>
      <c r="E724" t="s">
        <v>1869</v>
      </c>
      <c r="F724" t="s">
        <v>1870</v>
      </c>
      <c r="G724" t="s">
        <v>1107</v>
      </c>
      <c r="H724" t="s">
        <v>1031</v>
      </c>
      <c r="I724">
        <v>185349003</v>
      </c>
      <c r="J724" t="s">
        <v>1038</v>
      </c>
      <c r="K724">
        <v>85.55</v>
      </c>
      <c r="L724">
        <v>4830.95</v>
      </c>
      <c r="M724">
        <v>1153.28</v>
      </c>
      <c r="N724">
        <v>103697008</v>
      </c>
      <c r="O724" t="s">
        <v>1039</v>
      </c>
    </row>
    <row r="725" spans="1:15">
      <c r="A725" t="s">
        <v>1960</v>
      </c>
      <c r="B725" s="2">
        <v>43542.631597222222</v>
      </c>
      <c r="C725" s="2">
        <v>43542.642013888886</v>
      </c>
      <c r="D725" t="s">
        <v>245</v>
      </c>
      <c r="E725" t="s">
        <v>1869</v>
      </c>
      <c r="F725" t="s">
        <v>1870</v>
      </c>
      <c r="G725" t="s">
        <v>1107</v>
      </c>
      <c r="H725" t="s">
        <v>1043</v>
      </c>
      <c r="I725">
        <v>185345009</v>
      </c>
      <c r="J725" t="s">
        <v>1032</v>
      </c>
      <c r="K725">
        <v>85.55</v>
      </c>
      <c r="L725">
        <v>85.55</v>
      </c>
      <c r="M725">
        <v>0</v>
      </c>
      <c r="N725">
        <v>65363002</v>
      </c>
      <c r="O725" t="s">
        <v>1335</v>
      </c>
    </row>
    <row r="726" spans="1:15">
      <c r="A726" t="s">
        <v>1961</v>
      </c>
      <c r="B726" s="2">
        <v>43550.631597222222</v>
      </c>
      <c r="C726" s="2">
        <v>43550.677557870367</v>
      </c>
      <c r="D726" t="s">
        <v>245</v>
      </c>
      <c r="E726" t="s">
        <v>1869</v>
      </c>
      <c r="F726" t="s">
        <v>1870</v>
      </c>
      <c r="G726" t="s">
        <v>1107</v>
      </c>
      <c r="H726" t="s">
        <v>1043</v>
      </c>
      <c r="I726">
        <v>308335008</v>
      </c>
      <c r="J726" t="s">
        <v>1194</v>
      </c>
      <c r="K726">
        <v>142.58000000000001</v>
      </c>
      <c r="L726">
        <v>573.98</v>
      </c>
      <c r="M726">
        <v>0</v>
      </c>
      <c r="N726">
        <v>389095005</v>
      </c>
      <c r="O726" t="s">
        <v>1191</v>
      </c>
    </row>
    <row r="727" spans="1:15">
      <c r="A727" t="s">
        <v>1962</v>
      </c>
      <c r="B727" s="2">
        <v>43599.631597222222</v>
      </c>
      <c r="C727" s="2">
        <v>43599.642013888886</v>
      </c>
      <c r="D727" t="s">
        <v>245</v>
      </c>
      <c r="E727" t="s">
        <v>1869</v>
      </c>
      <c r="F727" t="s">
        <v>1870</v>
      </c>
      <c r="G727" t="s">
        <v>1093</v>
      </c>
      <c r="H727" t="s">
        <v>1031</v>
      </c>
      <c r="I727">
        <v>424441002</v>
      </c>
      <c r="J727" t="s">
        <v>1059</v>
      </c>
      <c r="K727">
        <v>142.58000000000001</v>
      </c>
      <c r="L727">
        <v>12171.69</v>
      </c>
      <c r="M727">
        <v>12021.69</v>
      </c>
      <c r="N727">
        <v>72892002</v>
      </c>
      <c r="O727" t="s">
        <v>1060</v>
      </c>
    </row>
    <row r="728" spans="1:15">
      <c r="A728" t="s">
        <v>1963</v>
      </c>
      <c r="B728" s="2">
        <v>43607.631597222222</v>
      </c>
      <c r="C728" s="2">
        <v>43607.642013888886</v>
      </c>
      <c r="D728" t="s">
        <v>245</v>
      </c>
      <c r="E728" t="s">
        <v>1869</v>
      </c>
      <c r="F728" t="s">
        <v>1870</v>
      </c>
      <c r="G728" t="s">
        <v>1093</v>
      </c>
      <c r="H728" t="s">
        <v>1031</v>
      </c>
      <c r="I728">
        <v>424619006</v>
      </c>
      <c r="J728" t="s">
        <v>1062</v>
      </c>
      <c r="K728">
        <v>142.58000000000001</v>
      </c>
      <c r="L728">
        <v>2361.4299999999998</v>
      </c>
      <c r="M728">
        <v>2311.4299999999998</v>
      </c>
      <c r="N728">
        <v>35999006</v>
      </c>
      <c r="O728" t="s">
        <v>1116</v>
      </c>
    </row>
    <row r="729" spans="1:15">
      <c r="A729" t="s">
        <v>1964</v>
      </c>
      <c r="B729" s="2">
        <v>44089.631597222222</v>
      </c>
      <c r="C729" s="2">
        <v>44089.669895833336</v>
      </c>
      <c r="D729" t="s">
        <v>245</v>
      </c>
      <c r="E729" t="s">
        <v>1945</v>
      </c>
      <c r="F729" t="s">
        <v>1946</v>
      </c>
      <c r="G729" t="s">
        <v>1026</v>
      </c>
      <c r="H729" t="s">
        <v>1020</v>
      </c>
      <c r="I729">
        <v>162673000</v>
      </c>
      <c r="J729" t="s">
        <v>1021</v>
      </c>
      <c r="K729">
        <v>136.80000000000001</v>
      </c>
      <c r="L729">
        <v>4495.0200000000004</v>
      </c>
      <c r="M729">
        <v>0</v>
      </c>
      <c r="O729" t="s">
        <v>34</v>
      </c>
    </row>
    <row r="730" spans="1:15">
      <c r="A730" t="s">
        <v>1965</v>
      </c>
      <c r="B730" s="2">
        <v>44096.631597222222</v>
      </c>
      <c r="C730" s="2">
        <v>44096.642013888886</v>
      </c>
      <c r="D730" t="s">
        <v>245</v>
      </c>
      <c r="E730" t="s">
        <v>1869</v>
      </c>
      <c r="F730" t="s">
        <v>1870</v>
      </c>
      <c r="G730" t="s">
        <v>1026</v>
      </c>
      <c r="H730" t="s">
        <v>1031</v>
      </c>
      <c r="I730">
        <v>424441002</v>
      </c>
      <c r="J730" t="s">
        <v>1059</v>
      </c>
      <c r="K730">
        <v>142.58000000000001</v>
      </c>
      <c r="L730">
        <v>54597.89</v>
      </c>
      <c r="M730">
        <v>31799.35</v>
      </c>
      <c r="N730">
        <v>72892002</v>
      </c>
      <c r="O730" t="s">
        <v>1060</v>
      </c>
    </row>
    <row r="731" spans="1:15">
      <c r="A731" t="s">
        <v>1966</v>
      </c>
      <c r="B731" s="2">
        <v>44124.631597222222</v>
      </c>
      <c r="C731" s="2">
        <v>44124.642013888886</v>
      </c>
      <c r="D731" t="s">
        <v>245</v>
      </c>
      <c r="E731" t="s">
        <v>1869</v>
      </c>
      <c r="F731" t="s">
        <v>1870</v>
      </c>
      <c r="G731" t="s">
        <v>1026</v>
      </c>
      <c r="H731" t="s">
        <v>1031</v>
      </c>
      <c r="I731">
        <v>424619006</v>
      </c>
      <c r="J731" t="s">
        <v>1062</v>
      </c>
      <c r="K731">
        <v>142.58000000000001</v>
      </c>
      <c r="L731">
        <v>12448.86</v>
      </c>
      <c r="M731">
        <v>12448.86</v>
      </c>
      <c r="N731">
        <v>72892002</v>
      </c>
      <c r="O731" t="s">
        <v>1060</v>
      </c>
    </row>
    <row r="732" spans="1:15">
      <c r="A732" t="s">
        <v>1967</v>
      </c>
      <c r="B732" s="2">
        <v>44152.589930555558</v>
      </c>
      <c r="C732" s="2">
        <v>44152.600347222222</v>
      </c>
      <c r="D732" t="s">
        <v>245</v>
      </c>
      <c r="E732" t="s">
        <v>1869</v>
      </c>
      <c r="F732" t="s">
        <v>1870</v>
      </c>
      <c r="G732" t="s">
        <v>1026</v>
      </c>
      <c r="H732" t="s">
        <v>1031</v>
      </c>
      <c r="I732">
        <v>424619006</v>
      </c>
      <c r="J732" t="s">
        <v>1062</v>
      </c>
      <c r="K732">
        <v>142.58000000000001</v>
      </c>
      <c r="L732">
        <v>13773.39</v>
      </c>
      <c r="M732">
        <v>13773.39</v>
      </c>
      <c r="N732">
        <v>72892002</v>
      </c>
      <c r="O732" t="s">
        <v>1060</v>
      </c>
    </row>
    <row r="733" spans="1:15">
      <c r="A733" t="s">
        <v>1968</v>
      </c>
      <c r="B733" s="2">
        <v>44180.589930555558</v>
      </c>
      <c r="C733" s="2">
        <v>44180.600347222222</v>
      </c>
      <c r="D733" t="s">
        <v>245</v>
      </c>
      <c r="E733" t="s">
        <v>1869</v>
      </c>
      <c r="F733" t="s">
        <v>1870</v>
      </c>
      <c r="G733" t="s">
        <v>1026</v>
      </c>
      <c r="H733" t="s">
        <v>1031</v>
      </c>
      <c r="I733">
        <v>424619006</v>
      </c>
      <c r="J733" t="s">
        <v>1062</v>
      </c>
      <c r="K733">
        <v>142.58000000000001</v>
      </c>
      <c r="L733">
        <v>18236.080000000002</v>
      </c>
      <c r="M733">
        <v>18236.080000000002</v>
      </c>
      <c r="N733">
        <v>72892002</v>
      </c>
      <c r="O733" t="s">
        <v>1060</v>
      </c>
    </row>
    <row r="734" spans="1:15">
      <c r="A734" t="s">
        <v>1969</v>
      </c>
      <c r="B734" s="2">
        <v>44208.589930555558</v>
      </c>
      <c r="C734" s="2">
        <v>44208.600347222222</v>
      </c>
      <c r="D734" t="s">
        <v>245</v>
      </c>
      <c r="E734" t="s">
        <v>1869</v>
      </c>
      <c r="F734" t="s">
        <v>1870</v>
      </c>
      <c r="G734" t="s">
        <v>1026</v>
      </c>
      <c r="H734" t="s">
        <v>1031</v>
      </c>
      <c r="I734">
        <v>424619006</v>
      </c>
      <c r="J734" t="s">
        <v>1062</v>
      </c>
      <c r="K734">
        <v>142.58000000000001</v>
      </c>
      <c r="L734">
        <v>10902.74</v>
      </c>
      <c r="M734">
        <v>10902.74</v>
      </c>
      <c r="N734">
        <v>72892002</v>
      </c>
      <c r="O734" t="s">
        <v>1060</v>
      </c>
    </row>
    <row r="735" spans="1:15">
      <c r="A735" t="s">
        <v>1970</v>
      </c>
      <c r="B735" s="2">
        <v>44236.589930555558</v>
      </c>
      <c r="C735" s="2">
        <v>44236.600347222222</v>
      </c>
      <c r="D735" t="s">
        <v>245</v>
      </c>
      <c r="E735" t="s">
        <v>1869</v>
      </c>
      <c r="F735" t="s">
        <v>1870</v>
      </c>
      <c r="G735" t="s">
        <v>1026</v>
      </c>
      <c r="H735" t="s">
        <v>1031</v>
      </c>
      <c r="I735">
        <v>424619006</v>
      </c>
      <c r="J735" t="s">
        <v>1062</v>
      </c>
      <c r="K735">
        <v>142.58000000000001</v>
      </c>
      <c r="L735">
        <v>12238.87</v>
      </c>
      <c r="M735">
        <v>12238.87</v>
      </c>
      <c r="N735">
        <v>72892002</v>
      </c>
      <c r="O735" t="s">
        <v>1060</v>
      </c>
    </row>
    <row r="736" spans="1:15">
      <c r="A736" t="s">
        <v>1971</v>
      </c>
      <c r="B736" s="2">
        <v>44264.589930555558</v>
      </c>
      <c r="C736" s="2">
        <v>44264.600347222222</v>
      </c>
      <c r="D736" t="s">
        <v>245</v>
      </c>
      <c r="E736" t="s">
        <v>1869</v>
      </c>
      <c r="F736" t="s">
        <v>1870</v>
      </c>
      <c r="G736" t="s">
        <v>1026</v>
      </c>
      <c r="H736" t="s">
        <v>1031</v>
      </c>
      <c r="I736">
        <v>424619006</v>
      </c>
      <c r="J736" t="s">
        <v>1062</v>
      </c>
      <c r="K736">
        <v>142.58000000000001</v>
      </c>
      <c r="L736">
        <v>4665.96</v>
      </c>
      <c r="M736">
        <v>4665.96</v>
      </c>
      <c r="N736">
        <v>72892002</v>
      </c>
      <c r="O736" t="s">
        <v>1060</v>
      </c>
    </row>
    <row r="737" spans="1:15">
      <c r="A737" t="s">
        <v>1972</v>
      </c>
      <c r="B737" s="2">
        <v>44292.631597222222</v>
      </c>
      <c r="C737" s="2">
        <v>44292.642013888886</v>
      </c>
      <c r="D737" t="s">
        <v>245</v>
      </c>
      <c r="E737" t="s">
        <v>1869</v>
      </c>
      <c r="F737" t="s">
        <v>1870</v>
      </c>
      <c r="G737" t="s">
        <v>1026</v>
      </c>
      <c r="H737" t="s">
        <v>1031</v>
      </c>
      <c r="I737">
        <v>424619006</v>
      </c>
      <c r="J737" t="s">
        <v>1062</v>
      </c>
      <c r="K737">
        <v>142.58000000000001</v>
      </c>
      <c r="L737">
        <v>8506.85</v>
      </c>
      <c r="M737">
        <v>8506.85</v>
      </c>
      <c r="N737">
        <v>72892002</v>
      </c>
      <c r="O737" t="s">
        <v>1060</v>
      </c>
    </row>
    <row r="738" spans="1:15">
      <c r="A738" t="s">
        <v>1973</v>
      </c>
      <c r="B738" s="2">
        <v>44306.631597222222</v>
      </c>
      <c r="C738" s="2">
        <v>44306.642013888886</v>
      </c>
      <c r="D738" t="s">
        <v>245</v>
      </c>
      <c r="E738" t="s">
        <v>1869</v>
      </c>
      <c r="F738" t="s">
        <v>1870</v>
      </c>
      <c r="G738" t="s">
        <v>1974</v>
      </c>
      <c r="H738" t="s">
        <v>1031</v>
      </c>
      <c r="I738">
        <v>424619006</v>
      </c>
      <c r="J738" t="s">
        <v>1062</v>
      </c>
      <c r="K738">
        <v>142.58000000000001</v>
      </c>
      <c r="L738">
        <v>8841.34</v>
      </c>
      <c r="M738">
        <v>8806.34</v>
      </c>
      <c r="N738">
        <v>72892002</v>
      </c>
      <c r="O738" t="s">
        <v>1060</v>
      </c>
    </row>
    <row r="739" spans="1:15">
      <c r="A739" t="s">
        <v>1975</v>
      </c>
      <c r="B739" s="2">
        <v>44313.631597222222</v>
      </c>
      <c r="C739" s="2">
        <v>44313.642013888886</v>
      </c>
      <c r="D739" t="s">
        <v>245</v>
      </c>
      <c r="E739" t="s">
        <v>1869</v>
      </c>
      <c r="F739" t="s">
        <v>1870</v>
      </c>
      <c r="G739" t="s">
        <v>1974</v>
      </c>
      <c r="H739" t="s">
        <v>1031</v>
      </c>
      <c r="I739">
        <v>424619006</v>
      </c>
      <c r="J739" t="s">
        <v>1062</v>
      </c>
      <c r="K739">
        <v>142.58000000000001</v>
      </c>
      <c r="L739">
        <v>11451.02</v>
      </c>
      <c r="M739">
        <v>11416.02</v>
      </c>
      <c r="N739">
        <v>72892002</v>
      </c>
      <c r="O739" t="s">
        <v>1060</v>
      </c>
    </row>
    <row r="740" spans="1:15">
      <c r="A740" t="s">
        <v>1976</v>
      </c>
      <c r="B740" s="2">
        <v>44320.631597222222</v>
      </c>
      <c r="C740" s="2">
        <v>44320.673263888886</v>
      </c>
      <c r="D740" t="s">
        <v>245</v>
      </c>
      <c r="E740" t="s">
        <v>1949</v>
      </c>
      <c r="F740" t="s">
        <v>1950</v>
      </c>
      <c r="G740" t="s">
        <v>1974</v>
      </c>
      <c r="H740" t="s">
        <v>1076</v>
      </c>
      <c r="I740">
        <v>183460006</v>
      </c>
      <c r="J740" t="s">
        <v>1077</v>
      </c>
      <c r="K740">
        <v>146.18</v>
      </c>
      <c r="L740">
        <v>13744.29</v>
      </c>
      <c r="M740">
        <v>13709.29</v>
      </c>
      <c r="N740">
        <v>72892002</v>
      </c>
      <c r="O740" t="s">
        <v>1060</v>
      </c>
    </row>
    <row r="741" spans="1:15">
      <c r="A741" t="s">
        <v>1977</v>
      </c>
      <c r="B741" s="2">
        <v>44362.631597222222</v>
      </c>
      <c r="C741" s="2">
        <v>44362.642013888886</v>
      </c>
      <c r="D741" t="s">
        <v>245</v>
      </c>
      <c r="E741" t="s">
        <v>1869</v>
      </c>
      <c r="F741" t="s">
        <v>1870</v>
      </c>
      <c r="G741" t="s">
        <v>1974</v>
      </c>
      <c r="H741" t="s">
        <v>1031</v>
      </c>
      <c r="I741">
        <v>169762003</v>
      </c>
      <c r="J741" t="s">
        <v>1079</v>
      </c>
      <c r="K741">
        <v>142.58000000000001</v>
      </c>
      <c r="L741">
        <v>5438.48</v>
      </c>
      <c r="M741">
        <v>5403.48</v>
      </c>
      <c r="O741" t="s">
        <v>34</v>
      </c>
    </row>
    <row r="742" spans="1:15">
      <c r="A742" t="s">
        <v>1978</v>
      </c>
      <c r="B742" s="2">
        <v>44439.631597222222</v>
      </c>
      <c r="C742" s="2">
        <v>44439.642013888886</v>
      </c>
      <c r="D742" t="s">
        <v>245</v>
      </c>
      <c r="E742" t="s">
        <v>1869</v>
      </c>
      <c r="F742" t="s">
        <v>1870</v>
      </c>
      <c r="G742" t="s">
        <v>1974</v>
      </c>
      <c r="H742" t="s">
        <v>1043</v>
      </c>
      <c r="I742">
        <v>33879002</v>
      </c>
      <c r="J742" t="s">
        <v>1044</v>
      </c>
      <c r="K742">
        <v>142.58000000000001</v>
      </c>
      <c r="L742">
        <v>278.58</v>
      </c>
      <c r="M742">
        <v>243.58</v>
      </c>
      <c r="O742" t="s">
        <v>34</v>
      </c>
    </row>
    <row r="743" spans="1:15">
      <c r="A743" t="s">
        <v>1979</v>
      </c>
      <c r="B743" s="2">
        <v>44460.631597222222</v>
      </c>
      <c r="C743" s="2">
        <v>44460.642013888886</v>
      </c>
      <c r="D743" t="s">
        <v>245</v>
      </c>
      <c r="E743" t="s">
        <v>1869</v>
      </c>
      <c r="F743" t="s">
        <v>1870</v>
      </c>
      <c r="G743" t="s">
        <v>1974</v>
      </c>
      <c r="H743" t="s">
        <v>1043</v>
      </c>
      <c r="I743">
        <v>33879002</v>
      </c>
      <c r="J743" t="s">
        <v>1044</v>
      </c>
      <c r="K743">
        <v>142.58000000000001</v>
      </c>
      <c r="L743">
        <v>278.58</v>
      </c>
      <c r="M743">
        <v>243.58</v>
      </c>
      <c r="O743" t="s">
        <v>34</v>
      </c>
    </row>
    <row r="744" spans="1:15">
      <c r="A744" t="s">
        <v>1980</v>
      </c>
      <c r="B744" s="2">
        <v>44512.756597222222</v>
      </c>
      <c r="C744" s="2">
        <v>44512.767013888886</v>
      </c>
      <c r="D744" t="s">
        <v>245</v>
      </c>
      <c r="E744" t="s">
        <v>1869</v>
      </c>
      <c r="F744" t="s">
        <v>1870</v>
      </c>
      <c r="G744" t="s">
        <v>1974</v>
      </c>
      <c r="H744" t="s">
        <v>1031</v>
      </c>
      <c r="I744">
        <v>185345009</v>
      </c>
      <c r="J744" t="s">
        <v>1032</v>
      </c>
      <c r="K744">
        <v>85.55</v>
      </c>
      <c r="L744">
        <v>2715.8</v>
      </c>
      <c r="M744">
        <v>2680.8</v>
      </c>
      <c r="N744">
        <v>10509002</v>
      </c>
      <c r="O744" t="s">
        <v>1033</v>
      </c>
    </row>
    <row r="745" spans="1:15">
      <c r="A745" t="s">
        <v>1981</v>
      </c>
      <c r="B745" s="2">
        <v>44523.589930555558</v>
      </c>
      <c r="C745" s="2">
        <v>44523.631597222222</v>
      </c>
      <c r="D745" t="s">
        <v>245</v>
      </c>
      <c r="E745" t="s">
        <v>1949</v>
      </c>
      <c r="F745" t="s">
        <v>1950</v>
      </c>
      <c r="G745" t="s">
        <v>1974</v>
      </c>
      <c r="H745" t="s">
        <v>1076</v>
      </c>
      <c r="I745">
        <v>50849002</v>
      </c>
      <c r="J745" t="s">
        <v>1163</v>
      </c>
      <c r="K745">
        <v>146.18</v>
      </c>
      <c r="L745">
        <v>11079.29</v>
      </c>
      <c r="M745">
        <v>11044.29</v>
      </c>
      <c r="O745" t="s">
        <v>34</v>
      </c>
    </row>
    <row r="746" spans="1:15">
      <c r="A746" t="s">
        <v>1982</v>
      </c>
      <c r="B746" s="2">
        <v>44530.589930555558</v>
      </c>
      <c r="C746" s="2">
        <v>44530.600347222222</v>
      </c>
      <c r="D746" t="s">
        <v>245</v>
      </c>
      <c r="E746" t="s">
        <v>1945</v>
      </c>
      <c r="F746" t="s">
        <v>1946</v>
      </c>
      <c r="G746" t="s">
        <v>1974</v>
      </c>
      <c r="H746" t="s">
        <v>1020</v>
      </c>
      <c r="I746">
        <v>162673000</v>
      </c>
      <c r="J746" t="s">
        <v>1021</v>
      </c>
      <c r="K746">
        <v>136.80000000000001</v>
      </c>
      <c r="L746">
        <v>3625.33</v>
      </c>
      <c r="M746">
        <v>3625.33</v>
      </c>
      <c r="O746" t="s">
        <v>34</v>
      </c>
    </row>
    <row r="747" spans="1:15">
      <c r="A747" t="s">
        <v>1983</v>
      </c>
      <c r="B747" s="2">
        <v>44717.089930555558</v>
      </c>
      <c r="C747" s="2">
        <v>44717.100347222222</v>
      </c>
      <c r="D747" t="s">
        <v>245</v>
      </c>
      <c r="E747" t="s">
        <v>1869</v>
      </c>
      <c r="F747" t="s">
        <v>1870</v>
      </c>
      <c r="G747" t="s">
        <v>1122</v>
      </c>
      <c r="H747" t="s">
        <v>1031</v>
      </c>
      <c r="I747">
        <v>185345009</v>
      </c>
      <c r="J747" t="s">
        <v>1032</v>
      </c>
      <c r="K747">
        <v>85.55</v>
      </c>
      <c r="L747">
        <v>85.55</v>
      </c>
      <c r="M747">
        <v>0</v>
      </c>
      <c r="N747">
        <v>195662009</v>
      </c>
      <c r="O747" t="s">
        <v>1130</v>
      </c>
    </row>
    <row r="748" spans="1:15">
      <c r="A748" t="s">
        <v>1984</v>
      </c>
      <c r="B748" s="2">
        <v>44729.631597222222</v>
      </c>
      <c r="C748" s="2">
        <v>44729.642013888886</v>
      </c>
      <c r="D748" t="s">
        <v>245</v>
      </c>
      <c r="E748" t="s">
        <v>1869</v>
      </c>
      <c r="F748" t="s">
        <v>1870</v>
      </c>
      <c r="G748" t="s">
        <v>1122</v>
      </c>
      <c r="H748" t="s">
        <v>1043</v>
      </c>
      <c r="I748">
        <v>698314001</v>
      </c>
      <c r="J748" t="s">
        <v>1190</v>
      </c>
      <c r="K748">
        <v>142.58000000000001</v>
      </c>
      <c r="L748">
        <v>142.58000000000001</v>
      </c>
      <c r="M748">
        <v>114.06</v>
      </c>
      <c r="N748">
        <v>389095005</v>
      </c>
      <c r="O748" t="s">
        <v>1191</v>
      </c>
    </row>
    <row r="749" spans="1:15">
      <c r="A749" t="s">
        <v>1985</v>
      </c>
      <c r="B749" s="2">
        <v>44901.589930555558</v>
      </c>
      <c r="C749" s="2">
        <v>44901.61246527778</v>
      </c>
      <c r="D749" t="s">
        <v>245</v>
      </c>
      <c r="E749" t="s">
        <v>1945</v>
      </c>
      <c r="F749" t="s">
        <v>1946</v>
      </c>
      <c r="G749" t="s">
        <v>1122</v>
      </c>
      <c r="H749" t="s">
        <v>1020</v>
      </c>
      <c r="I749">
        <v>162673000</v>
      </c>
      <c r="J749" t="s">
        <v>1021</v>
      </c>
      <c r="K749">
        <v>136.80000000000001</v>
      </c>
      <c r="L749">
        <v>4131.3100000000004</v>
      </c>
      <c r="M749">
        <v>3305.04</v>
      </c>
      <c r="O749" t="s">
        <v>34</v>
      </c>
    </row>
    <row r="750" spans="1:15">
      <c r="A750" t="s">
        <v>1986</v>
      </c>
      <c r="B750" s="2">
        <v>44915.589930555558</v>
      </c>
      <c r="C750" s="2">
        <v>44915.740752314814</v>
      </c>
      <c r="D750" t="s">
        <v>245</v>
      </c>
      <c r="E750" t="s">
        <v>1869</v>
      </c>
      <c r="F750" t="s">
        <v>1870</v>
      </c>
      <c r="G750" t="s">
        <v>1122</v>
      </c>
      <c r="H750" t="s">
        <v>1031</v>
      </c>
      <c r="I750">
        <v>185349003</v>
      </c>
      <c r="J750" t="s">
        <v>1038</v>
      </c>
      <c r="K750">
        <v>85.55</v>
      </c>
      <c r="L750">
        <v>3105.35</v>
      </c>
      <c r="M750">
        <v>2484.2800000000002</v>
      </c>
      <c r="N750">
        <v>66383009</v>
      </c>
      <c r="O750" t="s">
        <v>1209</v>
      </c>
    </row>
    <row r="751" spans="1:15">
      <c r="A751" t="s">
        <v>1987</v>
      </c>
      <c r="B751" s="2">
        <v>45089.631597222222</v>
      </c>
      <c r="C751" s="2">
        <v>45089.642013888886</v>
      </c>
      <c r="D751" t="s">
        <v>245</v>
      </c>
      <c r="E751" t="s">
        <v>1869</v>
      </c>
      <c r="F751" t="s">
        <v>1870</v>
      </c>
      <c r="G751" t="s">
        <v>1122</v>
      </c>
      <c r="H751" t="s">
        <v>1043</v>
      </c>
      <c r="I751">
        <v>698314001</v>
      </c>
      <c r="J751" t="s">
        <v>1190</v>
      </c>
      <c r="K751">
        <v>142.58000000000001</v>
      </c>
      <c r="L751">
        <v>142.58000000000001</v>
      </c>
      <c r="M751">
        <v>114.06</v>
      </c>
      <c r="N751">
        <v>389095005</v>
      </c>
      <c r="O751" t="s">
        <v>1191</v>
      </c>
    </row>
    <row r="752" spans="1:15">
      <c r="A752" t="s">
        <v>1988</v>
      </c>
      <c r="B752" s="2">
        <v>45272.589930555558</v>
      </c>
      <c r="C752" s="2">
        <v>45272.622824074075</v>
      </c>
      <c r="D752" t="s">
        <v>245</v>
      </c>
      <c r="E752" t="s">
        <v>1945</v>
      </c>
      <c r="F752" t="s">
        <v>1946</v>
      </c>
      <c r="G752" t="s">
        <v>1122</v>
      </c>
      <c r="H752" t="s">
        <v>1020</v>
      </c>
      <c r="I752">
        <v>162673000</v>
      </c>
      <c r="J752" t="s">
        <v>1021</v>
      </c>
      <c r="K752">
        <v>136.80000000000001</v>
      </c>
      <c r="L752">
        <v>4811.6000000000004</v>
      </c>
      <c r="M752">
        <v>3849.28</v>
      </c>
      <c r="O752" t="s">
        <v>34</v>
      </c>
    </row>
    <row r="753" spans="1:15">
      <c r="A753" t="s">
        <v>1989</v>
      </c>
      <c r="B753" s="2">
        <v>45449.631597222222</v>
      </c>
      <c r="C753" s="2">
        <v>45449.670729166668</v>
      </c>
      <c r="D753" t="s">
        <v>245</v>
      </c>
      <c r="E753" t="s">
        <v>1869</v>
      </c>
      <c r="F753" t="s">
        <v>1870</v>
      </c>
      <c r="G753" t="s">
        <v>1122</v>
      </c>
      <c r="H753" t="s">
        <v>1043</v>
      </c>
      <c r="I753">
        <v>698314001</v>
      </c>
      <c r="J753" t="s">
        <v>1190</v>
      </c>
      <c r="K753">
        <v>142.58000000000001</v>
      </c>
      <c r="L753">
        <v>573.98</v>
      </c>
      <c r="M753">
        <v>272.77999999999997</v>
      </c>
      <c r="N753">
        <v>183996000</v>
      </c>
      <c r="O753" t="s">
        <v>1622</v>
      </c>
    </row>
    <row r="754" spans="1:15">
      <c r="A754" t="s">
        <v>1990</v>
      </c>
      <c r="B754" s="2">
        <v>45467.670729166668</v>
      </c>
      <c r="C754" s="2">
        <v>45468.670729166668</v>
      </c>
      <c r="D754" t="s">
        <v>245</v>
      </c>
      <c r="E754" t="s">
        <v>1854</v>
      </c>
      <c r="F754" t="s">
        <v>1855</v>
      </c>
      <c r="G754" t="s">
        <v>1122</v>
      </c>
      <c r="H754" t="s">
        <v>1431</v>
      </c>
      <c r="I754">
        <v>305408004</v>
      </c>
      <c r="J754" t="s">
        <v>1626</v>
      </c>
      <c r="K754">
        <v>146.18</v>
      </c>
      <c r="L754">
        <v>8470.73</v>
      </c>
      <c r="M754">
        <v>6776.58</v>
      </c>
      <c r="N754">
        <v>183996000</v>
      </c>
      <c r="O754" t="s">
        <v>1622</v>
      </c>
    </row>
    <row r="755" spans="1:15">
      <c r="A755" t="s">
        <v>1991</v>
      </c>
      <c r="B755" s="2">
        <v>45643.589930555558</v>
      </c>
      <c r="C755" s="2">
        <v>45643.618449074071</v>
      </c>
      <c r="D755" t="s">
        <v>245</v>
      </c>
      <c r="E755" t="s">
        <v>1945</v>
      </c>
      <c r="F755" t="s">
        <v>1946</v>
      </c>
      <c r="G755" t="s">
        <v>1122</v>
      </c>
      <c r="H755" t="s">
        <v>1020</v>
      </c>
      <c r="I755">
        <v>162673000</v>
      </c>
      <c r="J755" t="s">
        <v>1021</v>
      </c>
      <c r="K755">
        <v>136.80000000000001</v>
      </c>
      <c r="L755">
        <v>4272.43</v>
      </c>
      <c r="M755">
        <v>3417.94</v>
      </c>
      <c r="O755" t="s">
        <v>34</v>
      </c>
    </row>
    <row r="756" spans="1:15">
      <c r="A756" t="s">
        <v>1992</v>
      </c>
      <c r="B756" s="2">
        <v>46014.589930555558</v>
      </c>
      <c r="C756" s="2">
        <v>46014.621053240742</v>
      </c>
      <c r="D756" t="s">
        <v>245</v>
      </c>
      <c r="E756" t="s">
        <v>1945</v>
      </c>
      <c r="F756" t="s">
        <v>1946</v>
      </c>
      <c r="G756" t="s">
        <v>1122</v>
      </c>
      <c r="H756" t="s">
        <v>1020</v>
      </c>
      <c r="I756">
        <v>162673000</v>
      </c>
      <c r="J756" t="s">
        <v>1021</v>
      </c>
      <c r="K756">
        <v>136.80000000000001</v>
      </c>
      <c r="L756">
        <v>4497.21</v>
      </c>
      <c r="M756">
        <v>3597.77</v>
      </c>
      <c r="O756" t="s">
        <v>34</v>
      </c>
    </row>
    <row r="757" spans="1:15">
      <c r="A757" t="s">
        <v>1993</v>
      </c>
      <c r="B757" s="2">
        <v>46028.589930555558</v>
      </c>
      <c r="C757" s="2">
        <v>46028.757800925923</v>
      </c>
      <c r="D757" t="s">
        <v>245</v>
      </c>
      <c r="E757" t="s">
        <v>1869</v>
      </c>
      <c r="F757" t="s">
        <v>1870</v>
      </c>
      <c r="G757" t="s">
        <v>1122</v>
      </c>
      <c r="H757" t="s">
        <v>1031</v>
      </c>
      <c r="I757">
        <v>185349003</v>
      </c>
      <c r="J757" t="s">
        <v>1038</v>
      </c>
      <c r="K757">
        <v>85.55</v>
      </c>
      <c r="L757">
        <v>3105.35</v>
      </c>
      <c r="M757">
        <v>2484.2800000000002</v>
      </c>
      <c r="N757">
        <v>66383009</v>
      </c>
      <c r="O757" t="s">
        <v>1209</v>
      </c>
    </row>
    <row r="758" spans="1:15">
      <c r="A758" t="s">
        <v>1994</v>
      </c>
      <c r="B758" s="2">
        <v>26976.568888888887</v>
      </c>
      <c r="C758" s="2">
        <v>26976.579305555555</v>
      </c>
      <c r="D758" t="s">
        <v>256</v>
      </c>
      <c r="E758" t="s">
        <v>1769</v>
      </c>
      <c r="F758" t="s">
        <v>1770</v>
      </c>
      <c r="G758" t="s">
        <v>1325</v>
      </c>
      <c r="H758" t="s">
        <v>1020</v>
      </c>
      <c r="I758">
        <v>410620009</v>
      </c>
      <c r="J758" t="s">
        <v>1054</v>
      </c>
      <c r="K758">
        <v>136.80000000000001</v>
      </c>
      <c r="L758">
        <v>704.2</v>
      </c>
      <c r="M758">
        <v>0</v>
      </c>
      <c r="O758" t="s">
        <v>34</v>
      </c>
    </row>
    <row r="759" spans="1:15">
      <c r="A759" t="s">
        <v>1995</v>
      </c>
      <c r="B759" s="2">
        <v>29594.568888888887</v>
      </c>
      <c r="C759" s="2">
        <v>29594.617233796296</v>
      </c>
      <c r="D759" t="s">
        <v>256</v>
      </c>
      <c r="E759" t="s">
        <v>1996</v>
      </c>
      <c r="F759" t="s">
        <v>1997</v>
      </c>
      <c r="G759" t="s">
        <v>1325</v>
      </c>
      <c r="H759" t="s">
        <v>1031</v>
      </c>
      <c r="I759">
        <v>185347001</v>
      </c>
      <c r="J759" t="s">
        <v>1124</v>
      </c>
      <c r="K759">
        <v>85.55</v>
      </c>
      <c r="L759">
        <v>1379.75</v>
      </c>
      <c r="M759">
        <v>827.85</v>
      </c>
      <c r="N759">
        <v>37320007</v>
      </c>
      <c r="O759" t="s">
        <v>1125</v>
      </c>
    </row>
    <row r="760" spans="1:15">
      <c r="A760" t="s">
        <v>1998</v>
      </c>
      <c r="B760" s="2">
        <v>30315.568888888887</v>
      </c>
      <c r="C760" s="2">
        <v>30315.600914351853</v>
      </c>
      <c r="D760" t="s">
        <v>256</v>
      </c>
      <c r="E760" t="s">
        <v>1769</v>
      </c>
      <c r="F760" t="s">
        <v>1770</v>
      </c>
      <c r="G760" t="s">
        <v>1325</v>
      </c>
      <c r="H760" t="s">
        <v>1020</v>
      </c>
      <c r="I760">
        <v>162673000</v>
      </c>
      <c r="J760" t="s">
        <v>1021</v>
      </c>
      <c r="K760">
        <v>136.80000000000001</v>
      </c>
      <c r="L760">
        <v>704.2</v>
      </c>
      <c r="M760">
        <v>0</v>
      </c>
      <c r="O760" t="s">
        <v>34</v>
      </c>
    </row>
    <row r="761" spans="1:15">
      <c r="A761" t="s">
        <v>1999</v>
      </c>
      <c r="B761" s="2">
        <v>30686.568888888887</v>
      </c>
      <c r="C761" s="2">
        <v>30686.606423611112</v>
      </c>
      <c r="D761" t="s">
        <v>256</v>
      </c>
      <c r="E761" t="s">
        <v>1769</v>
      </c>
      <c r="F761" t="s">
        <v>1770</v>
      </c>
      <c r="G761" t="s">
        <v>1325</v>
      </c>
      <c r="H761" t="s">
        <v>1020</v>
      </c>
      <c r="I761">
        <v>162673000</v>
      </c>
      <c r="J761" t="s">
        <v>1021</v>
      </c>
      <c r="K761">
        <v>136.80000000000001</v>
      </c>
      <c r="L761">
        <v>704.2</v>
      </c>
      <c r="M761">
        <v>0</v>
      </c>
      <c r="O761" t="s">
        <v>34</v>
      </c>
    </row>
    <row r="762" spans="1:15">
      <c r="A762" t="s">
        <v>2000</v>
      </c>
      <c r="B762" s="2">
        <v>35667.610555555555</v>
      </c>
      <c r="C762" s="2">
        <v>35667.652222222219</v>
      </c>
      <c r="D762" t="s">
        <v>256</v>
      </c>
      <c r="E762" t="s">
        <v>2001</v>
      </c>
      <c r="F762" t="s">
        <v>2002</v>
      </c>
      <c r="G762" t="s">
        <v>1325</v>
      </c>
      <c r="H762" t="s">
        <v>1076</v>
      </c>
      <c r="I762">
        <v>183452005</v>
      </c>
      <c r="J762" t="s">
        <v>2003</v>
      </c>
      <c r="K762">
        <v>87.71</v>
      </c>
      <c r="L762">
        <v>87.71</v>
      </c>
      <c r="M762">
        <v>0</v>
      </c>
      <c r="N762">
        <v>82423001</v>
      </c>
      <c r="O762" t="s">
        <v>1542</v>
      </c>
    </row>
    <row r="763" spans="1:15">
      <c r="A763" t="s">
        <v>2004</v>
      </c>
      <c r="B763" s="2">
        <v>36582.619143518517</v>
      </c>
      <c r="C763" s="2">
        <v>36582.629560185182</v>
      </c>
      <c r="D763" t="s">
        <v>256</v>
      </c>
      <c r="E763" t="s">
        <v>1996</v>
      </c>
      <c r="F763" t="s">
        <v>1997</v>
      </c>
      <c r="G763" t="s">
        <v>1325</v>
      </c>
      <c r="H763" t="s">
        <v>1031</v>
      </c>
      <c r="I763">
        <v>424619006</v>
      </c>
      <c r="J763" t="s">
        <v>1062</v>
      </c>
      <c r="K763">
        <v>142.58000000000001</v>
      </c>
      <c r="L763">
        <v>1005.38</v>
      </c>
      <c r="M763">
        <v>1005.38</v>
      </c>
      <c r="N763">
        <v>37849005</v>
      </c>
      <c r="O763" t="s">
        <v>1102</v>
      </c>
    </row>
    <row r="764" spans="1:15">
      <c r="A764" t="s">
        <v>2005</v>
      </c>
      <c r="B764" s="2">
        <v>38302.568888888891</v>
      </c>
      <c r="C764" s="2">
        <v>38302.606238425928</v>
      </c>
      <c r="D764" t="s">
        <v>256</v>
      </c>
      <c r="E764" t="s">
        <v>1769</v>
      </c>
      <c r="F764" t="s">
        <v>1770</v>
      </c>
      <c r="G764" t="s">
        <v>1325</v>
      </c>
      <c r="H764" t="s">
        <v>1020</v>
      </c>
      <c r="I764">
        <v>162673000</v>
      </c>
      <c r="J764" t="s">
        <v>1021</v>
      </c>
      <c r="K764">
        <v>136.80000000000001</v>
      </c>
      <c r="L764">
        <v>914.78</v>
      </c>
      <c r="M764">
        <v>0</v>
      </c>
      <c r="O764" t="s">
        <v>34</v>
      </c>
    </row>
    <row r="765" spans="1:15">
      <c r="A765" t="s">
        <v>2006</v>
      </c>
      <c r="B765" s="2">
        <v>39381.610555555555</v>
      </c>
      <c r="C765" s="2">
        <v>39381.620972222219</v>
      </c>
      <c r="D765" t="s">
        <v>256</v>
      </c>
      <c r="E765" t="s">
        <v>1996</v>
      </c>
      <c r="F765" t="s">
        <v>1997</v>
      </c>
      <c r="G765" t="s">
        <v>1325</v>
      </c>
      <c r="H765" t="s">
        <v>1031</v>
      </c>
      <c r="I765">
        <v>185347001</v>
      </c>
      <c r="J765" t="s">
        <v>1124</v>
      </c>
      <c r="K765">
        <v>85.55</v>
      </c>
      <c r="L765">
        <v>85.55</v>
      </c>
      <c r="M765">
        <v>0</v>
      </c>
      <c r="N765">
        <v>239873007</v>
      </c>
      <c r="O765" t="s">
        <v>2007</v>
      </c>
    </row>
    <row r="766" spans="1:15">
      <c r="A766" t="s">
        <v>2008</v>
      </c>
      <c r="B766" s="2">
        <v>39772.568888888891</v>
      </c>
      <c r="C766" s="2">
        <v>39772.592719907407</v>
      </c>
      <c r="D766" t="s">
        <v>256</v>
      </c>
      <c r="E766" t="s">
        <v>1769</v>
      </c>
      <c r="F766" t="s">
        <v>1770</v>
      </c>
      <c r="G766" t="s">
        <v>1325</v>
      </c>
      <c r="H766" t="s">
        <v>1020</v>
      </c>
      <c r="I766">
        <v>162673000</v>
      </c>
      <c r="J766" t="s">
        <v>1021</v>
      </c>
      <c r="K766">
        <v>136.80000000000001</v>
      </c>
      <c r="L766">
        <v>853.36</v>
      </c>
      <c r="M766">
        <v>0</v>
      </c>
      <c r="O766" t="s">
        <v>34</v>
      </c>
    </row>
    <row r="767" spans="1:15">
      <c r="A767" t="s">
        <v>2009</v>
      </c>
      <c r="B767" s="2">
        <v>39793.568888888891</v>
      </c>
      <c r="C767" s="2">
        <v>39793.579305555555</v>
      </c>
      <c r="D767" t="s">
        <v>256</v>
      </c>
      <c r="E767" t="s">
        <v>1996</v>
      </c>
      <c r="F767" t="s">
        <v>1997</v>
      </c>
      <c r="G767" t="s">
        <v>1325</v>
      </c>
      <c r="H767" t="s">
        <v>1031</v>
      </c>
      <c r="I767">
        <v>390906007</v>
      </c>
      <c r="J767" t="s">
        <v>1255</v>
      </c>
      <c r="K767">
        <v>85.55</v>
      </c>
      <c r="L767">
        <v>85.55</v>
      </c>
      <c r="M767">
        <v>0</v>
      </c>
      <c r="N767">
        <v>55822004</v>
      </c>
      <c r="O767" t="s">
        <v>2010</v>
      </c>
    </row>
    <row r="768" spans="1:15">
      <c r="A768" t="s">
        <v>2011</v>
      </c>
      <c r="B768" s="2">
        <v>41242.568888888891</v>
      </c>
      <c r="C768" s="2">
        <v>41242.597824074073</v>
      </c>
      <c r="D768" t="s">
        <v>256</v>
      </c>
      <c r="E768" t="s">
        <v>1769</v>
      </c>
      <c r="F768" t="s">
        <v>1770</v>
      </c>
      <c r="G768" t="s">
        <v>1325</v>
      </c>
      <c r="H768" t="s">
        <v>1020</v>
      </c>
      <c r="I768">
        <v>162673000</v>
      </c>
      <c r="J768" t="s">
        <v>1021</v>
      </c>
      <c r="K768">
        <v>136.80000000000001</v>
      </c>
      <c r="L768">
        <v>936.95</v>
      </c>
      <c r="M768">
        <v>0</v>
      </c>
      <c r="O768" t="s">
        <v>34</v>
      </c>
    </row>
    <row r="769" spans="1:15">
      <c r="A769" t="s">
        <v>2012</v>
      </c>
      <c r="B769" s="2">
        <v>42348.568888888891</v>
      </c>
      <c r="C769" s="2">
        <v>42348.579305555555</v>
      </c>
      <c r="D769" t="s">
        <v>256</v>
      </c>
      <c r="E769" t="s">
        <v>1996</v>
      </c>
      <c r="F769" t="s">
        <v>1997</v>
      </c>
      <c r="G769" t="s">
        <v>1325</v>
      </c>
      <c r="H769" t="s">
        <v>1031</v>
      </c>
      <c r="I769">
        <v>390906007</v>
      </c>
      <c r="J769" t="s">
        <v>1255</v>
      </c>
      <c r="K769">
        <v>85.55</v>
      </c>
      <c r="L769">
        <v>234.71</v>
      </c>
      <c r="M769">
        <v>0</v>
      </c>
      <c r="N769">
        <v>55822004</v>
      </c>
      <c r="O769" t="s">
        <v>2010</v>
      </c>
    </row>
    <row r="770" spans="1:15">
      <c r="A770" t="s">
        <v>2013</v>
      </c>
      <c r="B770" s="2">
        <v>42600.402222222219</v>
      </c>
      <c r="C770" s="2">
        <v>42600.412638888891</v>
      </c>
      <c r="D770" t="s">
        <v>256</v>
      </c>
      <c r="E770" t="s">
        <v>1996</v>
      </c>
      <c r="F770" t="s">
        <v>1997</v>
      </c>
      <c r="G770" t="s">
        <v>1325</v>
      </c>
      <c r="H770" t="s">
        <v>1031</v>
      </c>
      <c r="I770">
        <v>185345009</v>
      </c>
      <c r="J770" t="s">
        <v>1032</v>
      </c>
      <c r="K770">
        <v>85.55</v>
      </c>
      <c r="L770">
        <v>85.55</v>
      </c>
      <c r="M770">
        <v>85.55</v>
      </c>
      <c r="N770">
        <v>195662009</v>
      </c>
      <c r="O770" t="s">
        <v>1130</v>
      </c>
    </row>
    <row r="771" spans="1:15">
      <c r="A771" t="s">
        <v>2014</v>
      </c>
      <c r="B771" s="2">
        <v>42691.568888888891</v>
      </c>
      <c r="C771" s="2">
        <v>42691.605752314812</v>
      </c>
      <c r="D771" t="s">
        <v>256</v>
      </c>
      <c r="E771" t="s">
        <v>1769</v>
      </c>
      <c r="F771" t="s">
        <v>1770</v>
      </c>
      <c r="G771" t="s">
        <v>1325</v>
      </c>
      <c r="H771" t="s">
        <v>1020</v>
      </c>
      <c r="I771">
        <v>162673000</v>
      </c>
      <c r="J771" t="s">
        <v>1021</v>
      </c>
      <c r="K771">
        <v>136.80000000000001</v>
      </c>
      <c r="L771">
        <v>704.2</v>
      </c>
      <c r="M771">
        <v>0</v>
      </c>
      <c r="O771" t="s">
        <v>34</v>
      </c>
    </row>
    <row r="772" spans="1:15">
      <c r="A772" t="s">
        <v>2015</v>
      </c>
      <c r="B772" s="2">
        <v>42713.568888888891</v>
      </c>
      <c r="C772" s="2">
        <v>42713.579305555555</v>
      </c>
      <c r="D772" t="s">
        <v>256</v>
      </c>
      <c r="E772" t="s">
        <v>1996</v>
      </c>
      <c r="F772" t="s">
        <v>1997</v>
      </c>
      <c r="G772" t="s">
        <v>1325</v>
      </c>
      <c r="H772" t="s">
        <v>1031</v>
      </c>
      <c r="I772">
        <v>390906007</v>
      </c>
      <c r="J772" t="s">
        <v>1255</v>
      </c>
      <c r="K772">
        <v>85.55</v>
      </c>
      <c r="L772">
        <v>234.71</v>
      </c>
      <c r="M772">
        <v>0</v>
      </c>
      <c r="N772">
        <v>55822004</v>
      </c>
      <c r="O772" t="s">
        <v>2010</v>
      </c>
    </row>
    <row r="773" spans="1:15">
      <c r="A773" t="s">
        <v>2016</v>
      </c>
      <c r="B773" s="2">
        <v>43062.568888888891</v>
      </c>
      <c r="C773" s="2">
        <v>43062.599340277775</v>
      </c>
      <c r="D773" t="s">
        <v>256</v>
      </c>
      <c r="E773" t="s">
        <v>1769</v>
      </c>
      <c r="F773" t="s">
        <v>1770</v>
      </c>
      <c r="G773" t="s">
        <v>1325</v>
      </c>
      <c r="H773" t="s">
        <v>1020</v>
      </c>
      <c r="I773">
        <v>162673000</v>
      </c>
      <c r="J773" t="s">
        <v>1021</v>
      </c>
      <c r="K773">
        <v>136.80000000000001</v>
      </c>
      <c r="L773">
        <v>778.78</v>
      </c>
      <c r="M773">
        <v>0</v>
      </c>
      <c r="O773" t="s">
        <v>34</v>
      </c>
    </row>
    <row r="774" spans="1:15">
      <c r="A774" t="s">
        <v>2017</v>
      </c>
      <c r="B774" s="2">
        <v>43078.568888888891</v>
      </c>
      <c r="C774" s="2">
        <v>43078.579305555555</v>
      </c>
      <c r="D774" t="s">
        <v>256</v>
      </c>
      <c r="E774" t="s">
        <v>1996</v>
      </c>
      <c r="F774" t="s">
        <v>1997</v>
      </c>
      <c r="G774" t="s">
        <v>1325</v>
      </c>
      <c r="H774" t="s">
        <v>1031</v>
      </c>
      <c r="I774">
        <v>390906007</v>
      </c>
      <c r="J774" t="s">
        <v>1255</v>
      </c>
      <c r="K774">
        <v>85.55</v>
      </c>
      <c r="L774">
        <v>234.71</v>
      </c>
      <c r="M774">
        <v>0</v>
      </c>
      <c r="N774">
        <v>55822004</v>
      </c>
      <c r="O774" t="s">
        <v>2010</v>
      </c>
    </row>
    <row r="775" spans="1:15">
      <c r="A775" t="s">
        <v>2018</v>
      </c>
      <c r="B775" s="2">
        <v>43433.568888888891</v>
      </c>
      <c r="C775" s="2">
        <v>43433.603518518517</v>
      </c>
      <c r="D775" t="s">
        <v>256</v>
      </c>
      <c r="E775" t="s">
        <v>1769</v>
      </c>
      <c r="F775" t="s">
        <v>1770</v>
      </c>
      <c r="G775" t="s">
        <v>1325</v>
      </c>
      <c r="H775" t="s">
        <v>1020</v>
      </c>
      <c r="I775">
        <v>162673000</v>
      </c>
      <c r="J775" t="s">
        <v>1021</v>
      </c>
      <c r="K775">
        <v>136.80000000000001</v>
      </c>
      <c r="L775">
        <v>919.9</v>
      </c>
      <c r="M775">
        <v>0</v>
      </c>
      <c r="O775" t="s">
        <v>34</v>
      </c>
    </row>
    <row r="776" spans="1:15">
      <c r="A776" t="s">
        <v>2019</v>
      </c>
      <c r="B776" s="2">
        <v>43443.568888888891</v>
      </c>
      <c r="C776" s="2">
        <v>43443.579305555555</v>
      </c>
      <c r="D776" t="s">
        <v>256</v>
      </c>
      <c r="E776" t="s">
        <v>1996</v>
      </c>
      <c r="F776" t="s">
        <v>1997</v>
      </c>
      <c r="G776" t="s">
        <v>1325</v>
      </c>
      <c r="H776" t="s">
        <v>1031</v>
      </c>
      <c r="I776">
        <v>390906007</v>
      </c>
      <c r="J776" t="s">
        <v>1255</v>
      </c>
      <c r="K776">
        <v>85.55</v>
      </c>
      <c r="L776">
        <v>234.71</v>
      </c>
      <c r="M776">
        <v>0</v>
      </c>
      <c r="N776">
        <v>55822004</v>
      </c>
      <c r="O776" t="s">
        <v>2010</v>
      </c>
    </row>
    <row r="777" spans="1:15">
      <c r="A777" t="s">
        <v>2020</v>
      </c>
      <c r="B777" s="2">
        <v>43804.568888888891</v>
      </c>
      <c r="C777" s="2">
        <v>43804.591956018521</v>
      </c>
      <c r="D777" t="s">
        <v>256</v>
      </c>
      <c r="E777" t="s">
        <v>1769</v>
      </c>
      <c r="F777" t="s">
        <v>1770</v>
      </c>
      <c r="G777" t="s">
        <v>1325</v>
      </c>
      <c r="H777" t="s">
        <v>1020</v>
      </c>
      <c r="I777">
        <v>162673000</v>
      </c>
      <c r="J777" t="s">
        <v>1021</v>
      </c>
      <c r="K777">
        <v>136.80000000000001</v>
      </c>
      <c r="L777">
        <v>704.2</v>
      </c>
      <c r="M777">
        <v>0</v>
      </c>
      <c r="O777" t="s">
        <v>34</v>
      </c>
    </row>
    <row r="778" spans="1:15">
      <c r="A778" t="s">
        <v>2021</v>
      </c>
      <c r="B778" s="2">
        <v>43808.568888888891</v>
      </c>
      <c r="C778" s="2">
        <v>43808.579305555555</v>
      </c>
      <c r="D778" t="s">
        <v>256</v>
      </c>
      <c r="E778" t="s">
        <v>1996</v>
      </c>
      <c r="F778" t="s">
        <v>1997</v>
      </c>
      <c r="G778" t="s">
        <v>1325</v>
      </c>
      <c r="H778" t="s">
        <v>1031</v>
      </c>
      <c r="I778">
        <v>390906007</v>
      </c>
      <c r="J778" t="s">
        <v>1255</v>
      </c>
      <c r="K778">
        <v>85.55</v>
      </c>
      <c r="L778">
        <v>234.71</v>
      </c>
      <c r="M778">
        <v>0</v>
      </c>
      <c r="N778">
        <v>55822004</v>
      </c>
      <c r="O778" t="s">
        <v>2010</v>
      </c>
    </row>
    <row r="779" spans="1:15">
      <c r="A779" t="s">
        <v>2022</v>
      </c>
      <c r="B779" s="2">
        <v>44175.568888888891</v>
      </c>
      <c r="C779" s="2">
        <v>44175.603506944448</v>
      </c>
      <c r="D779" t="s">
        <v>256</v>
      </c>
      <c r="E779" t="s">
        <v>1769</v>
      </c>
      <c r="F779" t="s">
        <v>1770</v>
      </c>
      <c r="G779" t="s">
        <v>1325</v>
      </c>
      <c r="H779" t="s">
        <v>1020</v>
      </c>
      <c r="I779">
        <v>162673000</v>
      </c>
      <c r="J779" t="s">
        <v>1021</v>
      </c>
      <c r="K779">
        <v>136.80000000000001</v>
      </c>
      <c r="L779">
        <v>1716.16</v>
      </c>
      <c r="M779">
        <v>0</v>
      </c>
      <c r="O779" t="s">
        <v>34</v>
      </c>
    </row>
    <row r="780" spans="1:15">
      <c r="A780" t="s">
        <v>2023</v>
      </c>
      <c r="B780" s="2">
        <v>44182.568888888891</v>
      </c>
      <c r="C780" s="2">
        <v>44182.579305555555</v>
      </c>
      <c r="D780" t="s">
        <v>256</v>
      </c>
      <c r="E780" t="s">
        <v>1996</v>
      </c>
      <c r="F780" t="s">
        <v>1997</v>
      </c>
      <c r="G780" t="s">
        <v>1325</v>
      </c>
      <c r="H780" t="s">
        <v>1031</v>
      </c>
      <c r="I780">
        <v>390906007</v>
      </c>
      <c r="J780" t="s">
        <v>1255</v>
      </c>
      <c r="K780">
        <v>85.55</v>
      </c>
      <c r="L780">
        <v>234.71</v>
      </c>
      <c r="M780">
        <v>0</v>
      </c>
      <c r="N780">
        <v>55822004</v>
      </c>
      <c r="O780" t="s">
        <v>2010</v>
      </c>
    </row>
    <row r="781" spans="1:15">
      <c r="A781" t="s">
        <v>2024</v>
      </c>
      <c r="B781" s="2">
        <v>44189.568888888891</v>
      </c>
      <c r="C781" s="2">
        <v>44189.821319444447</v>
      </c>
      <c r="D781" t="s">
        <v>256</v>
      </c>
      <c r="E781" t="s">
        <v>1996</v>
      </c>
      <c r="F781" t="s">
        <v>1997</v>
      </c>
      <c r="G781" t="s">
        <v>1325</v>
      </c>
      <c r="H781" t="s">
        <v>1031</v>
      </c>
      <c r="I781">
        <v>185349003</v>
      </c>
      <c r="J781" t="s">
        <v>1038</v>
      </c>
      <c r="K781">
        <v>85.55</v>
      </c>
      <c r="L781">
        <v>4830.95</v>
      </c>
      <c r="M781">
        <v>413.96</v>
      </c>
      <c r="N781">
        <v>66383009</v>
      </c>
      <c r="O781" t="s">
        <v>1209</v>
      </c>
    </row>
    <row r="782" spans="1:15">
      <c r="A782" t="s">
        <v>2025</v>
      </c>
      <c r="B782" s="2">
        <v>44205.568888888891</v>
      </c>
      <c r="C782" s="2">
        <v>44205.579305555555</v>
      </c>
      <c r="D782" t="s">
        <v>256</v>
      </c>
      <c r="E782" t="s">
        <v>1996</v>
      </c>
      <c r="F782" t="s">
        <v>1997</v>
      </c>
      <c r="G782" t="s">
        <v>1325</v>
      </c>
      <c r="H782" t="s">
        <v>1031</v>
      </c>
      <c r="I782">
        <v>390906007</v>
      </c>
      <c r="J782" t="s">
        <v>1255</v>
      </c>
      <c r="K782">
        <v>85.55</v>
      </c>
      <c r="L782">
        <v>85.55</v>
      </c>
      <c r="M782">
        <v>51.33</v>
      </c>
      <c r="N782">
        <v>59621000</v>
      </c>
      <c r="O782" t="s">
        <v>1461</v>
      </c>
    </row>
    <row r="783" spans="1:15">
      <c r="A783" t="s">
        <v>2026</v>
      </c>
      <c r="B783" s="2">
        <v>44265.568888888891</v>
      </c>
      <c r="C783" s="2">
        <v>44265.579305555555</v>
      </c>
      <c r="D783" t="s">
        <v>256</v>
      </c>
      <c r="E783" t="s">
        <v>1996</v>
      </c>
      <c r="F783" t="s">
        <v>1997</v>
      </c>
      <c r="G783" t="s">
        <v>1325</v>
      </c>
      <c r="H783" t="s">
        <v>1031</v>
      </c>
      <c r="I783">
        <v>390906007</v>
      </c>
      <c r="J783" t="s">
        <v>1255</v>
      </c>
      <c r="K783">
        <v>85.55</v>
      </c>
      <c r="L783">
        <v>85.55</v>
      </c>
      <c r="M783">
        <v>51.33</v>
      </c>
      <c r="N783">
        <v>59621000</v>
      </c>
      <c r="O783" t="s">
        <v>1461</v>
      </c>
    </row>
    <row r="784" spans="1:15">
      <c r="A784" t="s">
        <v>2027</v>
      </c>
      <c r="B784" s="2">
        <v>44280.610555555555</v>
      </c>
      <c r="C784" s="2">
        <v>44280.620972222219</v>
      </c>
      <c r="D784" t="s">
        <v>256</v>
      </c>
      <c r="E784" t="s">
        <v>1996</v>
      </c>
      <c r="F784" t="s">
        <v>1997</v>
      </c>
      <c r="G784" t="s">
        <v>1325</v>
      </c>
      <c r="H784" t="s">
        <v>1043</v>
      </c>
      <c r="I784">
        <v>33879002</v>
      </c>
      <c r="J784" t="s">
        <v>1044</v>
      </c>
      <c r="K784">
        <v>142.58000000000001</v>
      </c>
      <c r="L784">
        <v>278.58</v>
      </c>
      <c r="M784">
        <v>167.15</v>
      </c>
      <c r="O784" t="s">
        <v>34</v>
      </c>
    </row>
    <row r="785" spans="1:15">
      <c r="A785" t="s">
        <v>2028</v>
      </c>
      <c r="B785" s="2">
        <v>44301.610555555555</v>
      </c>
      <c r="C785" s="2">
        <v>44301.620972222219</v>
      </c>
      <c r="D785" t="s">
        <v>256</v>
      </c>
      <c r="E785" t="s">
        <v>1996</v>
      </c>
      <c r="F785" t="s">
        <v>1997</v>
      </c>
      <c r="G785" t="s">
        <v>1325</v>
      </c>
      <c r="H785" t="s">
        <v>1043</v>
      </c>
      <c r="I785">
        <v>33879002</v>
      </c>
      <c r="J785" t="s">
        <v>1044</v>
      </c>
      <c r="K785">
        <v>142.58000000000001</v>
      </c>
      <c r="L785">
        <v>278.58</v>
      </c>
      <c r="M785">
        <v>167.15</v>
      </c>
      <c r="O785" t="s">
        <v>34</v>
      </c>
    </row>
    <row r="786" spans="1:15">
      <c r="A786" t="s">
        <v>2029</v>
      </c>
      <c r="B786" s="2">
        <v>44304.655370370368</v>
      </c>
      <c r="C786" s="2">
        <v>44304.683275462965</v>
      </c>
      <c r="D786" t="s">
        <v>256</v>
      </c>
      <c r="E786" t="s">
        <v>1996</v>
      </c>
      <c r="F786" t="s">
        <v>1997</v>
      </c>
      <c r="G786" t="s">
        <v>1325</v>
      </c>
      <c r="H786" t="s">
        <v>1031</v>
      </c>
      <c r="I786">
        <v>185349003</v>
      </c>
      <c r="J786" t="s">
        <v>1038</v>
      </c>
      <c r="K786">
        <v>85.55</v>
      </c>
      <c r="L786">
        <v>5138.45</v>
      </c>
      <c r="M786">
        <v>3083.07</v>
      </c>
      <c r="N786">
        <v>275978004</v>
      </c>
      <c r="O786" t="s">
        <v>1449</v>
      </c>
    </row>
    <row r="787" spans="1:15">
      <c r="A787" t="s">
        <v>2030</v>
      </c>
      <c r="B787" s="2">
        <v>44325.610555555555</v>
      </c>
      <c r="C787" s="2">
        <v>44325.620972222219</v>
      </c>
      <c r="D787" t="s">
        <v>256</v>
      </c>
      <c r="E787" t="s">
        <v>1996</v>
      </c>
      <c r="F787" t="s">
        <v>1997</v>
      </c>
      <c r="G787" t="s">
        <v>1325</v>
      </c>
      <c r="H787" t="s">
        <v>1031</v>
      </c>
      <c r="I787">
        <v>390906007</v>
      </c>
      <c r="J787" t="s">
        <v>1255</v>
      </c>
      <c r="K787">
        <v>85.55</v>
      </c>
      <c r="L787">
        <v>516.95000000000005</v>
      </c>
      <c r="M787">
        <v>516.95000000000005</v>
      </c>
      <c r="N787">
        <v>59621000</v>
      </c>
      <c r="O787" t="s">
        <v>1461</v>
      </c>
    </row>
    <row r="788" spans="1:15">
      <c r="A788" t="s">
        <v>2031</v>
      </c>
      <c r="B788" s="2">
        <v>44516.568888888891</v>
      </c>
      <c r="C788" s="2">
        <v>44516.610555555555</v>
      </c>
      <c r="D788" t="s">
        <v>256</v>
      </c>
      <c r="E788" t="s">
        <v>2001</v>
      </c>
      <c r="F788" t="s">
        <v>2002</v>
      </c>
      <c r="G788" t="s">
        <v>1325</v>
      </c>
      <c r="H788" t="s">
        <v>1076</v>
      </c>
      <c r="I788">
        <v>50849002</v>
      </c>
      <c r="J788" t="s">
        <v>1163</v>
      </c>
      <c r="K788">
        <v>146.18</v>
      </c>
      <c r="L788">
        <v>12003.47</v>
      </c>
      <c r="M788">
        <v>3566.26</v>
      </c>
      <c r="N788">
        <v>312608009</v>
      </c>
      <c r="O788" t="s">
        <v>1249</v>
      </c>
    </row>
    <row r="789" spans="1:15">
      <c r="A789" t="s">
        <v>2032</v>
      </c>
      <c r="B789" s="2">
        <v>44546.568888888891</v>
      </c>
      <c r="C789" s="2">
        <v>44546.609456018516</v>
      </c>
      <c r="D789" t="s">
        <v>256</v>
      </c>
      <c r="E789" t="s">
        <v>1769</v>
      </c>
      <c r="F789" t="s">
        <v>1770</v>
      </c>
      <c r="G789" t="s">
        <v>1325</v>
      </c>
      <c r="H789" t="s">
        <v>1020</v>
      </c>
      <c r="I789">
        <v>162673000</v>
      </c>
      <c r="J789" t="s">
        <v>1021</v>
      </c>
      <c r="K789">
        <v>136.80000000000001</v>
      </c>
      <c r="L789">
        <v>704.2</v>
      </c>
      <c r="M789">
        <v>422.52</v>
      </c>
      <c r="O789" t="s">
        <v>34</v>
      </c>
    </row>
    <row r="790" spans="1:15">
      <c r="A790" t="s">
        <v>2033</v>
      </c>
      <c r="B790" s="2">
        <v>44547.568888888891</v>
      </c>
      <c r="C790" s="2">
        <v>44547.579305555555</v>
      </c>
      <c r="D790" t="s">
        <v>256</v>
      </c>
      <c r="E790" t="s">
        <v>1996</v>
      </c>
      <c r="F790" t="s">
        <v>1997</v>
      </c>
      <c r="G790" t="s">
        <v>1325</v>
      </c>
      <c r="H790" t="s">
        <v>1031</v>
      </c>
      <c r="I790">
        <v>390906007</v>
      </c>
      <c r="J790" t="s">
        <v>1255</v>
      </c>
      <c r="K790">
        <v>85.55</v>
      </c>
      <c r="L790">
        <v>234.71</v>
      </c>
      <c r="M790">
        <v>234.71</v>
      </c>
      <c r="N790">
        <v>55822004</v>
      </c>
      <c r="O790" t="s">
        <v>2010</v>
      </c>
    </row>
    <row r="791" spans="1:15">
      <c r="A791" t="s">
        <v>2034</v>
      </c>
      <c r="B791" s="2">
        <v>44801.318888888891</v>
      </c>
      <c r="C791" s="2">
        <v>44801.329305555555</v>
      </c>
      <c r="D791" t="s">
        <v>256</v>
      </c>
      <c r="E791" t="s">
        <v>1996</v>
      </c>
      <c r="F791" t="s">
        <v>1997</v>
      </c>
      <c r="G791" t="s">
        <v>1325</v>
      </c>
      <c r="H791" t="s">
        <v>1031</v>
      </c>
      <c r="I791">
        <v>185345009</v>
      </c>
      <c r="J791" t="s">
        <v>1032</v>
      </c>
      <c r="K791">
        <v>85.55</v>
      </c>
      <c r="L791">
        <v>85.55</v>
      </c>
      <c r="M791">
        <v>85.55</v>
      </c>
      <c r="N791">
        <v>444814009</v>
      </c>
      <c r="O791" t="s">
        <v>1035</v>
      </c>
    </row>
    <row r="792" spans="1:15">
      <c r="A792" t="s">
        <v>2035</v>
      </c>
      <c r="B792" s="2">
        <v>44852.360555555555</v>
      </c>
      <c r="C792" s="2">
        <v>44852.370972222219</v>
      </c>
      <c r="D792" t="s">
        <v>256</v>
      </c>
      <c r="E792" t="s">
        <v>1996</v>
      </c>
      <c r="F792" t="s">
        <v>1997</v>
      </c>
      <c r="G792" t="s">
        <v>1325</v>
      </c>
      <c r="H792" t="s">
        <v>1031</v>
      </c>
      <c r="I792">
        <v>185345009</v>
      </c>
      <c r="J792" t="s">
        <v>1032</v>
      </c>
      <c r="K792">
        <v>85.55</v>
      </c>
      <c r="L792">
        <v>85.55</v>
      </c>
      <c r="M792">
        <v>85.55</v>
      </c>
      <c r="N792">
        <v>444814009</v>
      </c>
      <c r="O792" t="s">
        <v>1035</v>
      </c>
    </row>
    <row r="793" spans="1:15">
      <c r="A793" t="s">
        <v>2036</v>
      </c>
      <c r="B793" s="2">
        <v>44917.568888888891</v>
      </c>
      <c r="C793" s="2">
        <v>44917.607372685183</v>
      </c>
      <c r="D793" t="s">
        <v>256</v>
      </c>
      <c r="E793" t="s">
        <v>1769</v>
      </c>
      <c r="F793" t="s">
        <v>1770</v>
      </c>
      <c r="G793" t="s">
        <v>1325</v>
      </c>
      <c r="H793" t="s">
        <v>1020</v>
      </c>
      <c r="I793">
        <v>162673000</v>
      </c>
      <c r="J793" t="s">
        <v>1021</v>
      </c>
      <c r="K793">
        <v>136.80000000000001</v>
      </c>
      <c r="L793">
        <v>1236.98</v>
      </c>
      <c r="M793">
        <v>0</v>
      </c>
      <c r="O793" t="s">
        <v>34</v>
      </c>
    </row>
    <row r="794" spans="1:15">
      <c r="A794" t="s">
        <v>2037</v>
      </c>
      <c r="B794" s="2">
        <v>44924.568888888891</v>
      </c>
      <c r="C794" s="2">
        <v>44924.579305555555</v>
      </c>
      <c r="D794" t="s">
        <v>256</v>
      </c>
      <c r="E794" t="s">
        <v>1996</v>
      </c>
      <c r="F794" t="s">
        <v>1997</v>
      </c>
      <c r="G794" t="s">
        <v>1325</v>
      </c>
      <c r="H794" t="s">
        <v>1031</v>
      </c>
      <c r="I794">
        <v>390906007</v>
      </c>
      <c r="J794" t="s">
        <v>1255</v>
      </c>
      <c r="K794">
        <v>85.55</v>
      </c>
      <c r="L794">
        <v>234.71</v>
      </c>
      <c r="M794">
        <v>0</v>
      </c>
      <c r="N794">
        <v>55822004</v>
      </c>
      <c r="O794" t="s">
        <v>2010</v>
      </c>
    </row>
    <row r="795" spans="1:15">
      <c r="A795" t="s">
        <v>2038</v>
      </c>
      <c r="B795" s="2">
        <v>45015.982662037037</v>
      </c>
      <c r="C795" s="2">
        <v>45016.0233912037</v>
      </c>
      <c r="D795" t="s">
        <v>256</v>
      </c>
      <c r="E795" t="s">
        <v>1996</v>
      </c>
      <c r="F795" t="s">
        <v>1997</v>
      </c>
      <c r="G795" t="s">
        <v>1325</v>
      </c>
      <c r="H795" t="s">
        <v>1031</v>
      </c>
      <c r="I795">
        <v>185347001</v>
      </c>
      <c r="J795" t="s">
        <v>1124</v>
      </c>
      <c r="K795">
        <v>85.55</v>
      </c>
      <c r="L795">
        <v>1379.75</v>
      </c>
      <c r="M795">
        <v>0</v>
      </c>
      <c r="N795">
        <v>37320007</v>
      </c>
      <c r="O795" t="s">
        <v>1125</v>
      </c>
    </row>
    <row r="796" spans="1:15">
      <c r="A796" t="s">
        <v>2039</v>
      </c>
      <c r="B796" s="2">
        <v>45037.0233912037</v>
      </c>
      <c r="C796" s="2">
        <v>45037.060555555552</v>
      </c>
      <c r="D796" t="s">
        <v>256</v>
      </c>
      <c r="E796" t="s">
        <v>1996</v>
      </c>
      <c r="F796" t="s">
        <v>1997</v>
      </c>
      <c r="G796" t="s">
        <v>1325</v>
      </c>
      <c r="H796" t="s">
        <v>1031</v>
      </c>
      <c r="I796">
        <v>390906007</v>
      </c>
      <c r="J796" t="s">
        <v>1255</v>
      </c>
      <c r="K796">
        <v>85.55</v>
      </c>
      <c r="L796">
        <v>516.95000000000005</v>
      </c>
      <c r="M796">
        <v>0</v>
      </c>
      <c r="N796">
        <v>37320007</v>
      </c>
      <c r="O796" t="s">
        <v>1125</v>
      </c>
    </row>
    <row r="797" spans="1:15">
      <c r="A797" t="s">
        <v>2040</v>
      </c>
      <c r="B797" s="2">
        <v>45288.568888888891</v>
      </c>
      <c r="C797" s="2">
        <v>45288.600104166668</v>
      </c>
      <c r="D797" t="s">
        <v>256</v>
      </c>
      <c r="E797" t="s">
        <v>1769</v>
      </c>
      <c r="F797" t="s">
        <v>1770</v>
      </c>
      <c r="G797" t="s">
        <v>1325</v>
      </c>
      <c r="H797" t="s">
        <v>1020</v>
      </c>
      <c r="I797">
        <v>162673000</v>
      </c>
      <c r="J797" t="s">
        <v>1021</v>
      </c>
      <c r="K797">
        <v>136.80000000000001</v>
      </c>
      <c r="L797">
        <v>778.78</v>
      </c>
      <c r="M797">
        <v>0</v>
      </c>
      <c r="O797" t="s">
        <v>34</v>
      </c>
    </row>
    <row r="798" spans="1:15">
      <c r="A798" t="s">
        <v>2041</v>
      </c>
      <c r="B798" s="2">
        <v>45295.568888888891</v>
      </c>
      <c r="C798" s="2">
        <v>45295.592222222222</v>
      </c>
      <c r="D798" t="s">
        <v>256</v>
      </c>
      <c r="E798" t="s">
        <v>1226</v>
      </c>
      <c r="F798" t="s">
        <v>1227</v>
      </c>
      <c r="G798" t="s">
        <v>1325</v>
      </c>
      <c r="H798" t="s">
        <v>1031</v>
      </c>
      <c r="I798">
        <v>185347001</v>
      </c>
      <c r="J798" t="s">
        <v>1124</v>
      </c>
      <c r="K798">
        <v>85.55</v>
      </c>
      <c r="L798">
        <v>516.95000000000005</v>
      </c>
      <c r="M798">
        <v>0</v>
      </c>
      <c r="N798">
        <v>414545008</v>
      </c>
      <c r="O798" t="s">
        <v>1228</v>
      </c>
    </row>
    <row r="799" spans="1:15">
      <c r="A799" t="s">
        <v>2042</v>
      </c>
      <c r="B799" s="2">
        <v>45296.809583333335</v>
      </c>
      <c r="C799" s="2">
        <v>45297.038668981484</v>
      </c>
      <c r="D799" t="s">
        <v>256</v>
      </c>
      <c r="E799" t="s">
        <v>1226</v>
      </c>
      <c r="F799" t="s">
        <v>1227</v>
      </c>
      <c r="G799" t="s">
        <v>1325</v>
      </c>
      <c r="H799" t="s">
        <v>1031</v>
      </c>
      <c r="I799">
        <v>185347001</v>
      </c>
      <c r="J799" t="s">
        <v>1124</v>
      </c>
      <c r="K799">
        <v>85.55</v>
      </c>
      <c r="L799">
        <v>1444.46</v>
      </c>
      <c r="M799">
        <v>0</v>
      </c>
      <c r="N799">
        <v>414545008</v>
      </c>
      <c r="O799" t="s">
        <v>1228</v>
      </c>
    </row>
    <row r="800" spans="1:15">
      <c r="A800" t="s">
        <v>2043</v>
      </c>
      <c r="B800" s="2">
        <v>45298.408113425925</v>
      </c>
      <c r="C800" s="2">
        <v>45299.408113425925</v>
      </c>
      <c r="D800" t="s">
        <v>256</v>
      </c>
      <c r="E800" t="s">
        <v>1226</v>
      </c>
      <c r="F800" t="s">
        <v>1227</v>
      </c>
      <c r="G800" t="s">
        <v>1325</v>
      </c>
      <c r="H800" t="s">
        <v>1431</v>
      </c>
      <c r="I800">
        <v>32485007</v>
      </c>
      <c r="J800" t="s">
        <v>1837</v>
      </c>
      <c r="K800">
        <v>146.18</v>
      </c>
      <c r="L800">
        <v>61382.57</v>
      </c>
      <c r="M800">
        <v>35441.57</v>
      </c>
      <c r="N800">
        <v>274531002</v>
      </c>
      <c r="O800" t="s">
        <v>2044</v>
      </c>
    </row>
    <row r="801" spans="1:15">
      <c r="A801" t="s">
        <v>2045</v>
      </c>
      <c r="B801" s="2">
        <v>45298.75818287037</v>
      </c>
      <c r="C801" s="2">
        <v>45299.810717592591</v>
      </c>
      <c r="D801" t="s">
        <v>256</v>
      </c>
      <c r="E801" t="s">
        <v>1226</v>
      </c>
      <c r="F801" t="s">
        <v>1227</v>
      </c>
      <c r="G801" t="s">
        <v>1325</v>
      </c>
      <c r="H801" t="s">
        <v>1431</v>
      </c>
      <c r="I801">
        <v>397821002</v>
      </c>
      <c r="J801" t="s">
        <v>2046</v>
      </c>
      <c r="K801">
        <v>146.18</v>
      </c>
      <c r="L801">
        <v>7703.16</v>
      </c>
      <c r="M801">
        <v>7703.16</v>
      </c>
      <c r="N801">
        <v>399261000</v>
      </c>
      <c r="O801" t="s">
        <v>2047</v>
      </c>
    </row>
    <row r="802" spans="1:15">
      <c r="A802" t="s">
        <v>2048</v>
      </c>
      <c r="B802" s="2">
        <v>45299.800300925926</v>
      </c>
      <c r="C802" s="2">
        <v>45300.800300925926</v>
      </c>
      <c r="D802" t="s">
        <v>256</v>
      </c>
      <c r="E802" t="s">
        <v>1226</v>
      </c>
      <c r="F802" t="s">
        <v>1227</v>
      </c>
      <c r="G802" t="s">
        <v>1325</v>
      </c>
      <c r="H802" t="s">
        <v>1431</v>
      </c>
      <c r="I802">
        <v>305342007</v>
      </c>
      <c r="J802" t="s">
        <v>2049</v>
      </c>
      <c r="K802">
        <v>146.18</v>
      </c>
      <c r="L802">
        <v>1871.78</v>
      </c>
      <c r="M802">
        <v>1871.78</v>
      </c>
      <c r="N802">
        <v>399261000</v>
      </c>
      <c r="O802" t="s">
        <v>2047</v>
      </c>
    </row>
    <row r="803" spans="1:15">
      <c r="A803" t="s">
        <v>2050</v>
      </c>
      <c r="B803" s="2">
        <v>45302.568888888891</v>
      </c>
      <c r="C803" s="2">
        <v>45302.579305555555</v>
      </c>
      <c r="D803" t="s">
        <v>256</v>
      </c>
      <c r="E803" t="s">
        <v>1996</v>
      </c>
      <c r="F803" t="s">
        <v>1997</v>
      </c>
      <c r="G803" t="s">
        <v>1325</v>
      </c>
      <c r="H803" t="s">
        <v>1031</v>
      </c>
      <c r="I803">
        <v>390906007</v>
      </c>
      <c r="J803" t="s">
        <v>1255</v>
      </c>
      <c r="K803">
        <v>85.55</v>
      </c>
      <c r="L803">
        <v>234.71</v>
      </c>
      <c r="M803">
        <v>234.71</v>
      </c>
      <c r="N803">
        <v>55822004</v>
      </c>
      <c r="O803" t="s">
        <v>2010</v>
      </c>
    </row>
    <row r="804" spans="1:15">
      <c r="A804" t="s">
        <v>2051</v>
      </c>
      <c r="B804" s="2">
        <v>45313.290023148147</v>
      </c>
      <c r="C804" s="2">
        <v>45314.290023148147</v>
      </c>
      <c r="D804" t="s">
        <v>256</v>
      </c>
      <c r="E804" t="s">
        <v>1226</v>
      </c>
      <c r="F804" t="s">
        <v>1227</v>
      </c>
      <c r="G804" t="s">
        <v>1325</v>
      </c>
      <c r="H804" t="s">
        <v>1431</v>
      </c>
      <c r="I804">
        <v>305342007</v>
      </c>
      <c r="J804" t="s">
        <v>2049</v>
      </c>
      <c r="K804">
        <v>146.18</v>
      </c>
      <c r="L804">
        <v>1871.78</v>
      </c>
      <c r="M804">
        <v>1871.78</v>
      </c>
      <c r="N804">
        <v>399261000</v>
      </c>
      <c r="O804" t="s">
        <v>2047</v>
      </c>
    </row>
    <row r="805" spans="1:15">
      <c r="A805" t="s">
        <v>2052</v>
      </c>
      <c r="B805" s="2">
        <v>45537.251435185186</v>
      </c>
      <c r="C805" s="2">
        <v>45537.266840277778</v>
      </c>
      <c r="D805" t="s">
        <v>256</v>
      </c>
      <c r="E805" t="s">
        <v>1996</v>
      </c>
      <c r="F805" t="s">
        <v>1997</v>
      </c>
      <c r="G805" t="s">
        <v>1325</v>
      </c>
      <c r="H805" t="s">
        <v>1031</v>
      </c>
      <c r="I805">
        <v>185345009</v>
      </c>
      <c r="J805" t="s">
        <v>1032</v>
      </c>
      <c r="K805">
        <v>85.55</v>
      </c>
      <c r="L805">
        <v>199.12</v>
      </c>
      <c r="M805">
        <v>199.12</v>
      </c>
      <c r="N805">
        <v>10509002</v>
      </c>
      <c r="O805" t="s">
        <v>1033</v>
      </c>
    </row>
    <row r="806" spans="1:15">
      <c r="A806" t="s">
        <v>2053</v>
      </c>
      <c r="B806" s="2">
        <v>45547.610555555555</v>
      </c>
      <c r="C806" s="2">
        <v>45547.643564814818</v>
      </c>
      <c r="D806" t="s">
        <v>256</v>
      </c>
      <c r="E806" t="s">
        <v>1996</v>
      </c>
      <c r="F806" t="s">
        <v>1997</v>
      </c>
      <c r="G806" t="s">
        <v>1325</v>
      </c>
      <c r="H806" t="s">
        <v>1043</v>
      </c>
      <c r="I806">
        <v>185349003</v>
      </c>
      <c r="J806" t="s">
        <v>1038</v>
      </c>
      <c r="K806">
        <v>85.55</v>
      </c>
      <c r="L806">
        <v>652.95000000000005</v>
      </c>
      <c r="M806">
        <v>652.95000000000005</v>
      </c>
      <c r="O806" t="s">
        <v>34</v>
      </c>
    </row>
    <row r="807" spans="1:15">
      <c r="A807" t="s">
        <v>2054</v>
      </c>
      <c r="B807" s="2">
        <v>45659.568888888891</v>
      </c>
      <c r="C807" s="2">
        <v>45659.590451388889</v>
      </c>
      <c r="D807" t="s">
        <v>256</v>
      </c>
      <c r="E807" t="s">
        <v>1769</v>
      </c>
      <c r="F807" t="s">
        <v>1770</v>
      </c>
      <c r="G807" t="s">
        <v>1325</v>
      </c>
      <c r="H807" t="s">
        <v>1020</v>
      </c>
      <c r="I807">
        <v>162673000</v>
      </c>
      <c r="J807" t="s">
        <v>1021</v>
      </c>
      <c r="K807">
        <v>136.80000000000001</v>
      </c>
      <c r="L807">
        <v>807.47</v>
      </c>
      <c r="M807">
        <v>0</v>
      </c>
      <c r="O807" t="s">
        <v>34</v>
      </c>
    </row>
    <row r="808" spans="1:15">
      <c r="A808" t="s">
        <v>2055</v>
      </c>
      <c r="B808" s="2">
        <v>45667.568888888891</v>
      </c>
      <c r="C808" s="2">
        <v>45667.579305555555</v>
      </c>
      <c r="D808" t="s">
        <v>256</v>
      </c>
      <c r="E808" t="s">
        <v>1996</v>
      </c>
      <c r="F808" t="s">
        <v>1997</v>
      </c>
      <c r="G808" t="s">
        <v>1325</v>
      </c>
      <c r="H808" t="s">
        <v>1031</v>
      </c>
      <c r="I808">
        <v>390906007</v>
      </c>
      <c r="J808" t="s">
        <v>1255</v>
      </c>
      <c r="K808">
        <v>85.55</v>
      </c>
      <c r="L808">
        <v>234.71</v>
      </c>
      <c r="M808">
        <v>0</v>
      </c>
      <c r="N808">
        <v>55822004</v>
      </c>
      <c r="O808" t="s">
        <v>2010</v>
      </c>
    </row>
    <row r="809" spans="1:15">
      <c r="A809" t="s">
        <v>2056</v>
      </c>
      <c r="B809" s="2">
        <v>46030.568888888891</v>
      </c>
      <c r="C809" s="2">
        <v>46030.603773148148</v>
      </c>
      <c r="D809" t="s">
        <v>256</v>
      </c>
      <c r="E809" t="s">
        <v>1769</v>
      </c>
      <c r="F809" t="s">
        <v>1770</v>
      </c>
      <c r="G809" t="s">
        <v>1325</v>
      </c>
      <c r="H809" t="s">
        <v>1020</v>
      </c>
      <c r="I809">
        <v>162673000</v>
      </c>
      <c r="J809" t="s">
        <v>1021</v>
      </c>
      <c r="K809">
        <v>136.80000000000001</v>
      </c>
      <c r="L809">
        <v>914.78</v>
      </c>
      <c r="M809">
        <v>0</v>
      </c>
      <c r="O809" t="s">
        <v>34</v>
      </c>
    </row>
    <row r="810" spans="1:15">
      <c r="A810" t="s">
        <v>2057</v>
      </c>
      <c r="B810" s="2">
        <v>46032.568888888891</v>
      </c>
      <c r="C810" s="2">
        <v>46032.579305555555</v>
      </c>
      <c r="D810" t="s">
        <v>256</v>
      </c>
      <c r="E810" t="s">
        <v>1996</v>
      </c>
      <c r="F810" t="s">
        <v>1997</v>
      </c>
      <c r="G810" t="s">
        <v>1325</v>
      </c>
      <c r="H810" t="s">
        <v>1031</v>
      </c>
      <c r="I810">
        <v>390906007</v>
      </c>
      <c r="J810" t="s">
        <v>1255</v>
      </c>
      <c r="K810">
        <v>85.55</v>
      </c>
      <c r="L810">
        <v>234.71</v>
      </c>
      <c r="M810">
        <v>0</v>
      </c>
      <c r="N810">
        <v>55822004</v>
      </c>
      <c r="O810" t="s">
        <v>2010</v>
      </c>
    </row>
    <row r="811" spans="1:15">
      <c r="A811" t="s">
        <v>2058</v>
      </c>
      <c r="B811" s="2">
        <v>46044.568888888891</v>
      </c>
      <c r="C811" s="2">
        <v>46044.734872685185</v>
      </c>
      <c r="D811" t="s">
        <v>256</v>
      </c>
      <c r="E811" t="s">
        <v>1996</v>
      </c>
      <c r="F811" t="s">
        <v>1997</v>
      </c>
      <c r="G811" t="s">
        <v>1325</v>
      </c>
      <c r="H811" t="s">
        <v>1031</v>
      </c>
      <c r="I811">
        <v>185349003</v>
      </c>
      <c r="J811" t="s">
        <v>1038</v>
      </c>
      <c r="K811">
        <v>85.55</v>
      </c>
      <c r="L811">
        <v>3536.75</v>
      </c>
      <c r="M811">
        <v>0</v>
      </c>
      <c r="N811">
        <v>103697008</v>
      </c>
      <c r="O811" t="s">
        <v>1039</v>
      </c>
    </row>
    <row r="812" spans="1:15">
      <c r="A812" t="s">
        <v>2059</v>
      </c>
      <c r="B812" s="2">
        <v>46130.683275462965</v>
      </c>
      <c r="C812" s="2">
        <v>46130.721365740741</v>
      </c>
      <c r="D812" t="s">
        <v>256</v>
      </c>
      <c r="E812" t="s">
        <v>1996</v>
      </c>
      <c r="F812" t="s">
        <v>1997</v>
      </c>
      <c r="G812" t="s">
        <v>1325</v>
      </c>
      <c r="H812" t="s">
        <v>1031</v>
      </c>
      <c r="I812">
        <v>185349003</v>
      </c>
      <c r="J812" t="s">
        <v>1038</v>
      </c>
      <c r="K812">
        <v>85.55</v>
      </c>
      <c r="L812">
        <v>12213.93</v>
      </c>
      <c r="M812">
        <v>6563.3</v>
      </c>
      <c r="N812">
        <v>275978004</v>
      </c>
      <c r="O812" t="s">
        <v>1449</v>
      </c>
    </row>
    <row r="813" spans="1:15">
      <c r="A813" t="s">
        <v>2060</v>
      </c>
      <c r="B813" s="2">
        <v>42622.96429398148</v>
      </c>
      <c r="C813" s="2">
        <v>42622.974710648145</v>
      </c>
      <c r="D813" t="s">
        <v>266</v>
      </c>
      <c r="E813" t="s">
        <v>2061</v>
      </c>
      <c r="F813" t="s">
        <v>2062</v>
      </c>
      <c r="G813" t="s">
        <v>1093</v>
      </c>
      <c r="H813" t="s">
        <v>1031</v>
      </c>
      <c r="I813">
        <v>185345009</v>
      </c>
      <c r="J813" t="s">
        <v>1032</v>
      </c>
      <c r="K813">
        <v>85.55</v>
      </c>
      <c r="L813">
        <v>85.55</v>
      </c>
      <c r="M813">
        <v>0</v>
      </c>
      <c r="N813">
        <v>43878008</v>
      </c>
      <c r="O813" t="s">
        <v>1217</v>
      </c>
    </row>
    <row r="814" spans="1:15">
      <c r="A814" t="s">
        <v>2063</v>
      </c>
      <c r="B814" s="2">
        <v>42709.672627314816</v>
      </c>
      <c r="C814" s="2">
        <v>42709.68304398148</v>
      </c>
      <c r="D814" t="s">
        <v>266</v>
      </c>
      <c r="E814" t="s">
        <v>2064</v>
      </c>
      <c r="F814" t="s">
        <v>2065</v>
      </c>
      <c r="G814" t="s">
        <v>1093</v>
      </c>
      <c r="H814" t="s">
        <v>1020</v>
      </c>
      <c r="I814">
        <v>410620009</v>
      </c>
      <c r="J814" t="s">
        <v>1054</v>
      </c>
      <c r="K814">
        <v>136.80000000000001</v>
      </c>
      <c r="L814">
        <v>272.8</v>
      </c>
      <c r="M814">
        <v>208.35</v>
      </c>
      <c r="O814" t="s">
        <v>34</v>
      </c>
    </row>
    <row r="815" spans="1:15">
      <c r="A815" t="s">
        <v>2066</v>
      </c>
      <c r="B815" s="2">
        <v>43080.672627314816</v>
      </c>
      <c r="C815" s="2">
        <v>43080.68304398148</v>
      </c>
      <c r="D815" t="s">
        <v>266</v>
      </c>
      <c r="E815" t="s">
        <v>2064</v>
      </c>
      <c r="F815" t="s">
        <v>2065</v>
      </c>
      <c r="G815" t="s">
        <v>1093</v>
      </c>
      <c r="H815" t="s">
        <v>1020</v>
      </c>
      <c r="I815">
        <v>410620009</v>
      </c>
      <c r="J815" t="s">
        <v>1054</v>
      </c>
      <c r="K815">
        <v>136.80000000000001</v>
      </c>
      <c r="L815">
        <v>704.2</v>
      </c>
      <c r="M815">
        <v>604.20000000000005</v>
      </c>
      <c r="O815" t="s">
        <v>34</v>
      </c>
    </row>
    <row r="816" spans="1:15">
      <c r="A816" t="s">
        <v>2067</v>
      </c>
      <c r="B816" s="2">
        <v>43087.672627314816</v>
      </c>
      <c r="C816" s="2">
        <v>43087.792546296296</v>
      </c>
      <c r="D816" t="s">
        <v>266</v>
      </c>
      <c r="E816" t="s">
        <v>2061</v>
      </c>
      <c r="F816" t="s">
        <v>2062</v>
      </c>
      <c r="G816" t="s">
        <v>1093</v>
      </c>
      <c r="H816" t="s">
        <v>1031</v>
      </c>
      <c r="I816">
        <v>185349003</v>
      </c>
      <c r="J816" t="s">
        <v>1038</v>
      </c>
      <c r="K816">
        <v>85.55</v>
      </c>
      <c r="L816">
        <v>3536.75</v>
      </c>
      <c r="M816">
        <v>3466.69</v>
      </c>
      <c r="N816">
        <v>103697008</v>
      </c>
      <c r="O816" t="s">
        <v>1039</v>
      </c>
    </row>
    <row r="817" spans="1:15">
      <c r="A817" t="s">
        <v>2068</v>
      </c>
      <c r="B817" s="2">
        <v>43232.723356481481</v>
      </c>
      <c r="C817" s="2">
        <v>43232.73709490741</v>
      </c>
      <c r="D817" t="s">
        <v>266</v>
      </c>
      <c r="E817" t="s">
        <v>2061</v>
      </c>
      <c r="F817" t="s">
        <v>2062</v>
      </c>
      <c r="G817" t="s">
        <v>1093</v>
      </c>
      <c r="H817" t="s">
        <v>1031</v>
      </c>
      <c r="I817">
        <v>185345009</v>
      </c>
      <c r="J817" t="s">
        <v>1032</v>
      </c>
      <c r="K817">
        <v>85.55</v>
      </c>
      <c r="L817">
        <v>169.58</v>
      </c>
      <c r="M817">
        <v>119.58</v>
      </c>
      <c r="N817">
        <v>10509002</v>
      </c>
      <c r="O817" t="s">
        <v>1033</v>
      </c>
    </row>
    <row r="818" spans="1:15">
      <c r="A818" t="s">
        <v>2069</v>
      </c>
      <c r="B818" s="2">
        <v>43241.71429398148</v>
      </c>
      <c r="C818" s="2">
        <v>43241.724710648145</v>
      </c>
      <c r="D818" t="s">
        <v>266</v>
      </c>
      <c r="E818" t="s">
        <v>1612</v>
      </c>
      <c r="F818" t="s">
        <v>1613</v>
      </c>
      <c r="G818" t="s">
        <v>1093</v>
      </c>
      <c r="H818" t="s">
        <v>1159</v>
      </c>
      <c r="I818">
        <v>702927004</v>
      </c>
      <c r="J818" t="s">
        <v>1160</v>
      </c>
      <c r="K818">
        <v>142.58000000000001</v>
      </c>
      <c r="L818">
        <v>142.58000000000001</v>
      </c>
      <c r="M818">
        <v>92.58</v>
      </c>
      <c r="O818" t="s">
        <v>34</v>
      </c>
    </row>
    <row r="819" spans="1:15">
      <c r="A819" t="s">
        <v>2070</v>
      </c>
      <c r="B819" s="2">
        <v>43451.672627314816</v>
      </c>
      <c r="C819" s="2">
        <v>43451.68304398148</v>
      </c>
      <c r="D819" t="s">
        <v>266</v>
      </c>
      <c r="E819" t="s">
        <v>2064</v>
      </c>
      <c r="F819" t="s">
        <v>2065</v>
      </c>
      <c r="G819" t="s">
        <v>1093</v>
      </c>
      <c r="H819" t="s">
        <v>1020</v>
      </c>
      <c r="I819">
        <v>410620009</v>
      </c>
      <c r="J819" t="s">
        <v>1054</v>
      </c>
      <c r="K819">
        <v>136.80000000000001</v>
      </c>
      <c r="L819">
        <v>1567</v>
      </c>
      <c r="M819">
        <v>1467</v>
      </c>
      <c r="O819" t="s">
        <v>34</v>
      </c>
    </row>
    <row r="820" spans="1:15">
      <c r="A820" t="s">
        <v>2071</v>
      </c>
      <c r="B820" s="2">
        <v>43458.672627314816</v>
      </c>
      <c r="C820" s="2">
        <v>43458.812268518515</v>
      </c>
      <c r="D820" t="s">
        <v>266</v>
      </c>
      <c r="E820" t="s">
        <v>2061</v>
      </c>
      <c r="F820" t="s">
        <v>2062</v>
      </c>
      <c r="G820" t="s">
        <v>1093</v>
      </c>
      <c r="H820" t="s">
        <v>1031</v>
      </c>
      <c r="I820">
        <v>185349003</v>
      </c>
      <c r="J820" t="s">
        <v>1038</v>
      </c>
      <c r="K820">
        <v>85.55</v>
      </c>
      <c r="L820">
        <v>3105.35</v>
      </c>
      <c r="M820">
        <v>3055.35</v>
      </c>
      <c r="N820">
        <v>103697008</v>
      </c>
      <c r="O820" t="s">
        <v>1039</v>
      </c>
    </row>
    <row r="821" spans="1:15">
      <c r="A821" t="s">
        <v>2072</v>
      </c>
      <c r="B821" s="2">
        <v>43822.672627314816</v>
      </c>
      <c r="C821" s="2">
        <v>43822.68304398148</v>
      </c>
      <c r="D821" t="s">
        <v>266</v>
      </c>
      <c r="E821" t="s">
        <v>2064</v>
      </c>
      <c r="F821" t="s">
        <v>2065</v>
      </c>
      <c r="G821" t="s">
        <v>1093</v>
      </c>
      <c r="H821" t="s">
        <v>1020</v>
      </c>
      <c r="I821">
        <v>410620009</v>
      </c>
      <c r="J821" t="s">
        <v>1054</v>
      </c>
      <c r="K821">
        <v>136.80000000000001</v>
      </c>
      <c r="L821">
        <v>1567</v>
      </c>
      <c r="M821">
        <v>1467</v>
      </c>
      <c r="O821" t="s">
        <v>34</v>
      </c>
    </row>
    <row r="822" spans="1:15">
      <c r="A822" t="s">
        <v>2073</v>
      </c>
      <c r="B822" s="2">
        <v>43829.672627314816</v>
      </c>
      <c r="C822" s="2">
        <v>43829.806145833332</v>
      </c>
      <c r="D822" t="s">
        <v>266</v>
      </c>
      <c r="E822" t="s">
        <v>2061</v>
      </c>
      <c r="F822" t="s">
        <v>2062</v>
      </c>
      <c r="G822" t="s">
        <v>1093</v>
      </c>
      <c r="H822" t="s">
        <v>1031</v>
      </c>
      <c r="I822">
        <v>185349003</v>
      </c>
      <c r="J822" t="s">
        <v>1038</v>
      </c>
      <c r="K822">
        <v>85.55</v>
      </c>
      <c r="L822">
        <v>3105.35</v>
      </c>
      <c r="M822">
        <v>3055.35</v>
      </c>
      <c r="N822">
        <v>66383009</v>
      </c>
      <c r="O822" t="s">
        <v>1209</v>
      </c>
    </row>
    <row r="823" spans="1:15">
      <c r="A823" t="s">
        <v>2074</v>
      </c>
      <c r="B823" s="2">
        <v>44193.672627314816</v>
      </c>
      <c r="C823" s="2">
        <v>44193.683067129627</v>
      </c>
      <c r="D823" t="s">
        <v>266</v>
      </c>
      <c r="E823" t="s">
        <v>2064</v>
      </c>
      <c r="F823" t="s">
        <v>2065</v>
      </c>
      <c r="G823" t="s">
        <v>1093</v>
      </c>
      <c r="H823" t="s">
        <v>1020</v>
      </c>
      <c r="I823">
        <v>410620009</v>
      </c>
      <c r="J823" t="s">
        <v>1054</v>
      </c>
      <c r="K823">
        <v>136.80000000000001</v>
      </c>
      <c r="L823">
        <v>1186.78</v>
      </c>
      <c r="M823">
        <v>1086.78</v>
      </c>
      <c r="O823" t="s">
        <v>34</v>
      </c>
    </row>
    <row r="824" spans="1:15">
      <c r="A824" t="s">
        <v>2075</v>
      </c>
      <c r="B824" s="2">
        <v>44200.672627314816</v>
      </c>
      <c r="C824" s="2">
        <v>44200.775694444441</v>
      </c>
      <c r="D824" t="s">
        <v>266</v>
      </c>
      <c r="E824" t="s">
        <v>2061</v>
      </c>
      <c r="F824" t="s">
        <v>2062</v>
      </c>
      <c r="G824" t="s">
        <v>1093</v>
      </c>
      <c r="H824" t="s">
        <v>1031</v>
      </c>
      <c r="I824">
        <v>185349003</v>
      </c>
      <c r="J824" t="s">
        <v>1038</v>
      </c>
      <c r="K824">
        <v>85.55</v>
      </c>
      <c r="L824">
        <v>3105.35</v>
      </c>
      <c r="M824">
        <v>3055.35</v>
      </c>
      <c r="N824">
        <v>103697008</v>
      </c>
      <c r="O824" t="s">
        <v>1039</v>
      </c>
    </row>
    <row r="825" spans="1:15">
      <c r="A825" t="s">
        <v>2076</v>
      </c>
      <c r="B825" s="2">
        <v>44557.672627314816</v>
      </c>
      <c r="C825" s="2">
        <v>44557.68304398148</v>
      </c>
      <c r="D825" t="s">
        <v>266</v>
      </c>
      <c r="E825" t="s">
        <v>2061</v>
      </c>
      <c r="F825" t="s">
        <v>2062</v>
      </c>
      <c r="G825" t="s">
        <v>1093</v>
      </c>
      <c r="H825" t="s">
        <v>1043</v>
      </c>
      <c r="I825">
        <v>33879002</v>
      </c>
      <c r="J825" t="s">
        <v>1044</v>
      </c>
      <c r="K825">
        <v>142.58000000000001</v>
      </c>
      <c r="L825">
        <v>278.58</v>
      </c>
      <c r="M825">
        <v>128.58000000000001</v>
      </c>
      <c r="O825" t="s">
        <v>34</v>
      </c>
    </row>
    <row r="826" spans="1:15">
      <c r="A826" t="s">
        <v>2077</v>
      </c>
      <c r="B826" s="2">
        <v>44564.672627314816</v>
      </c>
      <c r="C826" s="2">
        <v>44564.68304398148</v>
      </c>
      <c r="D826" t="s">
        <v>266</v>
      </c>
      <c r="E826" t="s">
        <v>2064</v>
      </c>
      <c r="F826" t="s">
        <v>2065</v>
      </c>
      <c r="G826" t="s">
        <v>1093</v>
      </c>
      <c r="H826" t="s">
        <v>1020</v>
      </c>
      <c r="I826">
        <v>410620009</v>
      </c>
      <c r="J826" t="s">
        <v>1054</v>
      </c>
      <c r="K826">
        <v>136.80000000000001</v>
      </c>
      <c r="L826">
        <v>1055.9000000000001</v>
      </c>
      <c r="M826">
        <v>1055.9000000000001</v>
      </c>
      <c r="O826" t="s">
        <v>34</v>
      </c>
    </row>
    <row r="827" spans="1:15">
      <c r="A827" t="s">
        <v>2078</v>
      </c>
      <c r="B827" s="2">
        <v>44578.672627314816</v>
      </c>
      <c r="C827" s="2">
        <v>44578.68304398148</v>
      </c>
      <c r="D827" t="s">
        <v>266</v>
      </c>
      <c r="E827" t="s">
        <v>2061</v>
      </c>
      <c r="F827" t="s">
        <v>2062</v>
      </c>
      <c r="G827" t="s">
        <v>1093</v>
      </c>
      <c r="H827" t="s">
        <v>1043</v>
      </c>
      <c r="I827">
        <v>33879002</v>
      </c>
      <c r="J827" t="s">
        <v>1044</v>
      </c>
      <c r="K827">
        <v>142.58000000000001</v>
      </c>
      <c r="L827">
        <v>278.58</v>
      </c>
      <c r="M827">
        <v>228.58</v>
      </c>
      <c r="O827" t="s">
        <v>34</v>
      </c>
    </row>
    <row r="828" spans="1:15">
      <c r="A828" t="s">
        <v>2079</v>
      </c>
      <c r="B828" s="2">
        <v>44578.672627314816</v>
      </c>
      <c r="C828" s="2">
        <v>44578.935914351852</v>
      </c>
      <c r="D828" t="s">
        <v>266</v>
      </c>
      <c r="E828" t="s">
        <v>2061</v>
      </c>
      <c r="F828" t="s">
        <v>2062</v>
      </c>
      <c r="G828" t="s">
        <v>1093</v>
      </c>
      <c r="H828" t="s">
        <v>1031</v>
      </c>
      <c r="I828">
        <v>185349003</v>
      </c>
      <c r="J828" t="s">
        <v>1038</v>
      </c>
      <c r="K828">
        <v>85.55</v>
      </c>
      <c r="L828">
        <v>5262.35</v>
      </c>
      <c r="M828">
        <v>5212.3500000000004</v>
      </c>
      <c r="N828">
        <v>66383009</v>
      </c>
      <c r="O828" t="s">
        <v>1209</v>
      </c>
    </row>
    <row r="829" spans="1:15">
      <c r="A829" t="s">
        <v>2080</v>
      </c>
      <c r="B829" s="2">
        <v>44653.297627314816</v>
      </c>
      <c r="C829" s="2">
        <v>44653.308761574073</v>
      </c>
      <c r="D829" t="s">
        <v>266</v>
      </c>
      <c r="E829" t="s">
        <v>2061</v>
      </c>
      <c r="F829" t="s">
        <v>2062</v>
      </c>
      <c r="G829" t="s">
        <v>1093</v>
      </c>
      <c r="H829" t="s">
        <v>1031</v>
      </c>
      <c r="I829">
        <v>185345009</v>
      </c>
      <c r="J829" t="s">
        <v>1032</v>
      </c>
      <c r="K829">
        <v>85.55</v>
      </c>
      <c r="L829">
        <v>775.79</v>
      </c>
      <c r="M829">
        <v>725.79</v>
      </c>
      <c r="N829">
        <v>10509002</v>
      </c>
      <c r="O829" t="s">
        <v>1033</v>
      </c>
    </row>
    <row r="830" spans="1:15">
      <c r="A830" t="s">
        <v>2081</v>
      </c>
      <c r="B830" s="2">
        <v>44674.922627314816</v>
      </c>
      <c r="C830" s="2">
        <v>44674.93304398148</v>
      </c>
      <c r="D830" t="s">
        <v>266</v>
      </c>
      <c r="E830" t="s">
        <v>2061</v>
      </c>
      <c r="F830" t="s">
        <v>2062</v>
      </c>
      <c r="G830" t="s">
        <v>1093</v>
      </c>
      <c r="H830" t="s">
        <v>1031</v>
      </c>
      <c r="I830">
        <v>185345009</v>
      </c>
      <c r="J830" t="s">
        <v>1032</v>
      </c>
      <c r="K830">
        <v>85.55</v>
      </c>
      <c r="L830">
        <v>85.55</v>
      </c>
      <c r="M830">
        <v>35.549999999999997</v>
      </c>
      <c r="N830">
        <v>195662009</v>
      </c>
      <c r="O830" t="s">
        <v>1130</v>
      </c>
    </row>
    <row r="831" spans="1:15">
      <c r="A831" t="s">
        <v>2082</v>
      </c>
      <c r="B831" s="2">
        <v>44683.71429398148</v>
      </c>
      <c r="C831" s="2">
        <v>44683.734895833331</v>
      </c>
      <c r="D831" t="s">
        <v>266</v>
      </c>
      <c r="E831" t="s">
        <v>2061</v>
      </c>
      <c r="F831" t="s">
        <v>2062</v>
      </c>
      <c r="G831" t="s">
        <v>1093</v>
      </c>
      <c r="H831" t="s">
        <v>1043</v>
      </c>
      <c r="I831">
        <v>185349003</v>
      </c>
      <c r="J831" t="s">
        <v>1038</v>
      </c>
      <c r="K831">
        <v>85.55</v>
      </c>
      <c r="L831">
        <v>652.95000000000005</v>
      </c>
      <c r="M831">
        <v>602.95000000000005</v>
      </c>
      <c r="O831" t="s">
        <v>34</v>
      </c>
    </row>
    <row r="832" spans="1:15">
      <c r="A832" t="s">
        <v>2083</v>
      </c>
      <c r="B832" s="2">
        <v>44935.672627314816</v>
      </c>
      <c r="C832" s="2">
        <v>44935.68304398148</v>
      </c>
      <c r="D832" t="s">
        <v>266</v>
      </c>
      <c r="E832" t="s">
        <v>2064</v>
      </c>
      <c r="F832" t="s">
        <v>2065</v>
      </c>
      <c r="G832" t="s">
        <v>1093</v>
      </c>
      <c r="H832" t="s">
        <v>1020</v>
      </c>
      <c r="I832">
        <v>410620009</v>
      </c>
      <c r="J832" t="s">
        <v>1054</v>
      </c>
      <c r="K832">
        <v>136.80000000000001</v>
      </c>
      <c r="L832">
        <v>704.2</v>
      </c>
      <c r="M832">
        <v>604.20000000000005</v>
      </c>
      <c r="O832" t="s">
        <v>34</v>
      </c>
    </row>
    <row r="833" spans="1:15">
      <c r="A833" t="s">
        <v>2084</v>
      </c>
      <c r="B833" s="2">
        <v>44949.672627314816</v>
      </c>
      <c r="C833" s="2">
        <v>44949.934490740743</v>
      </c>
      <c r="D833" t="s">
        <v>266</v>
      </c>
      <c r="E833" t="s">
        <v>2061</v>
      </c>
      <c r="F833" t="s">
        <v>2062</v>
      </c>
      <c r="G833" t="s">
        <v>1093</v>
      </c>
      <c r="H833" t="s">
        <v>1031</v>
      </c>
      <c r="I833">
        <v>185349003</v>
      </c>
      <c r="J833" t="s">
        <v>1038</v>
      </c>
      <c r="K833">
        <v>85.55</v>
      </c>
      <c r="L833">
        <v>5262.35</v>
      </c>
      <c r="M833">
        <v>5212.3500000000004</v>
      </c>
      <c r="N833">
        <v>66383009</v>
      </c>
      <c r="O833" t="s">
        <v>1209</v>
      </c>
    </row>
    <row r="834" spans="1:15">
      <c r="A834" t="s">
        <v>2085</v>
      </c>
      <c r="B834" s="2">
        <v>45306.672627314816</v>
      </c>
      <c r="C834" s="2">
        <v>45306.689583333333</v>
      </c>
      <c r="D834" t="s">
        <v>266</v>
      </c>
      <c r="E834" t="s">
        <v>2064</v>
      </c>
      <c r="F834" t="s">
        <v>2065</v>
      </c>
      <c r="G834" t="s">
        <v>1093</v>
      </c>
      <c r="H834" t="s">
        <v>1020</v>
      </c>
      <c r="I834">
        <v>410620009</v>
      </c>
      <c r="J834" t="s">
        <v>1054</v>
      </c>
      <c r="K834">
        <v>136.80000000000001</v>
      </c>
      <c r="L834">
        <v>704.2</v>
      </c>
      <c r="M834">
        <v>604.20000000000005</v>
      </c>
      <c r="O834" t="s">
        <v>34</v>
      </c>
    </row>
    <row r="835" spans="1:15">
      <c r="A835" t="s">
        <v>2086</v>
      </c>
      <c r="B835" s="2">
        <v>45677.672627314816</v>
      </c>
      <c r="C835" s="2">
        <v>45677.68304398148</v>
      </c>
      <c r="D835" t="s">
        <v>266</v>
      </c>
      <c r="E835" t="s">
        <v>2064</v>
      </c>
      <c r="F835" t="s">
        <v>2065</v>
      </c>
      <c r="G835" t="s">
        <v>1093</v>
      </c>
      <c r="H835" t="s">
        <v>1020</v>
      </c>
      <c r="I835">
        <v>410620009</v>
      </c>
      <c r="J835" t="s">
        <v>1054</v>
      </c>
      <c r="K835">
        <v>136.80000000000001</v>
      </c>
      <c r="L835">
        <v>1347.75</v>
      </c>
      <c r="M835">
        <v>1247.75</v>
      </c>
      <c r="O835" t="s">
        <v>34</v>
      </c>
    </row>
    <row r="836" spans="1:15">
      <c r="A836" t="s">
        <v>2087</v>
      </c>
      <c r="B836" s="2">
        <v>45992.380960648145</v>
      </c>
      <c r="C836" s="2">
        <v>45992.391377314816</v>
      </c>
      <c r="D836" t="s">
        <v>266</v>
      </c>
      <c r="E836" t="s">
        <v>2061</v>
      </c>
      <c r="F836" t="s">
        <v>2062</v>
      </c>
      <c r="G836" t="s">
        <v>1093</v>
      </c>
      <c r="H836" t="s">
        <v>1031</v>
      </c>
      <c r="I836">
        <v>185345009</v>
      </c>
      <c r="J836" t="s">
        <v>1032</v>
      </c>
      <c r="K836">
        <v>85.55</v>
      </c>
      <c r="L836">
        <v>85.55</v>
      </c>
      <c r="M836">
        <v>35.549999999999997</v>
      </c>
      <c r="N836">
        <v>444814009</v>
      </c>
      <c r="O836" t="s">
        <v>1035</v>
      </c>
    </row>
    <row r="837" spans="1:15">
      <c r="A837" t="s">
        <v>2088</v>
      </c>
      <c r="B837" s="2">
        <v>46048.672627314816</v>
      </c>
      <c r="C837" s="2">
        <v>46048.68304398148</v>
      </c>
      <c r="D837" t="s">
        <v>266</v>
      </c>
      <c r="E837" t="s">
        <v>2064</v>
      </c>
      <c r="F837" t="s">
        <v>2065</v>
      </c>
      <c r="G837" t="s">
        <v>1093</v>
      </c>
      <c r="H837" t="s">
        <v>1020</v>
      </c>
      <c r="I837">
        <v>410620009</v>
      </c>
      <c r="J837" t="s">
        <v>1054</v>
      </c>
      <c r="K837">
        <v>136.80000000000001</v>
      </c>
      <c r="L837">
        <v>914.78</v>
      </c>
      <c r="M837">
        <v>814.78</v>
      </c>
      <c r="O837" t="s">
        <v>34</v>
      </c>
    </row>
    <row r="838" spans="1:15">
      <c r="A838" t="s">
        <v>2089</v>
      </c>
      <c r="B838" s="2">
        <v>46062.672627314816</v>
      </c>
      <c r="C838" s="2">
        <v>46062.797476851854</v>
      </c>
      <c r="D838" t="s">
        <v>266</v>
      </c>
      <c r="E838" t="s">
        <v>2061</v>
      </c>
      <c r="F838" t="s">
        <v>2062</v>
      </c>
      <c r="G838" t="s">
        <v>1093</v>
      </c>
      <c r="H838" t="s">
        <v>1031</v>
      </c>
      <c r="I838">
        <v>185349003</v>
      </c>
      <c r="J838" t="s">
        <v>1038</v>
      </c>
      <c r="K838">
        <v>85.55</v>
      </c>
      <c r="L838">
        <v>3105.35</v>
      </c>
      <c r="M838">
        <v>3055.35</v>
      </c>
      <c r="N838">
        <v>66383009</v>
      </c>
      <c r="O838" t="s">
        <v>1209</v>
      </c>
    </row>
    <row r="839" spans="1:15">
      <c r="A839" t="s">
        <v>2090</v>
      </c>
      <c r="B839" s="2">
        <v>45042.288298611114</v>
      </c>
      <c r="C839" s="2">
        <v>45042.298715277779</v>
      </c>
      <c r="D839" t="s">
        <v>275</v>
      </c>
      <c r="E839" t="s">
        <v>2091</v>
      </c>
      <c r="F839" t="s">
        <v>2092</v>
      </c>
      <c r="G839" t="s">
        <v>1019</v>
      </c>
      <c r="H839" t="s">
        <v>1020</v>
      </c>
      <c r="I839">
        <v>410620009</v>
      </c>
      <c r="J839" t="s">
        <v>1054</v>
      </c>
      <c r="K839">
        <v>136.80000000000001</v>
      </c>
      <c r="L839">
        <v>853.02</v>
      </c>
      <c r="M839">
        <v>0</v>
      </c>
      <c r="O839" t="s">
        <v>34</v>
      </c>
    </row>
    <row r="840" spans="1:15">
      <c r="A840" t="s">
        <v>2093</v>
      </c>
      <c r="B840" s="2">
        <v>45077.288298611114</v>
      </c>
      <c r="C840" s="2">
        <v>45077.298715277779</v>
      </c>
      <c r="D840" t="s">
        <v>275</v>
      </c>
      <c r="E840" t="s">
        <v>2091</v>
      </c>
      <c r="F840" t="s">
        <v>2092</v>
      </c>
      <c r="G840" t="s">
        <v>1019</v>
      </c>
      <c r="H840" t="s">
        <v>1020</v>
      </c>
      <c r="I840">
        <v>410620009</v>
      </c>
      <c r="J840" t="s">
        <v>1054</v>
      </c>
      <c r="K840">
        <v>136.80000000000001</v>
      </c>
      <c r="L840">
        <v>488.5</v>
      </c>
      <c r="M840">
        <v>0</v>
      </c>
      <c r="O840" t="s">
        <v>34</v>
      </c>
    </row>
    <row r="841" spans="1:15">
      <c r="A841" t="s">
        <v>2094</v>
      </c>
      <c r="B841" s="2">
        <v>45140.288298611114</v>
      </c>
      <c r="C841" s="2">
        <v>45140.298715277779</v>
      </c>
      <c r="D841" t="s">
        <v>275</v>
      </c>
      <c r="E841" t="s">
        <v>2091</v>
      </c>
      <c r="F841" t="s">
        <v>2092</v>
      </c>
      <c r="G841" t="s">
        <v>1019</v>
      </c>
      <c r="H841" t="s">
        <v>1020</v>
      </c>
      <c r="I841">
        <v>410620009</v>
      </c>
      <c r="J841" t="s">
        <v>1054</v>
      </c>
      <c r="K841">
        <v>136.80000000000001</v>
      </c>
      <c r="L841">
        <v>816.8</v>
      </c>
      <c r="M841">
        <v>0</v>
      </c>
      <c r="O841" t="s">
        <v>34</v>
      </c>
    </row>
    <row r="842" spans="1:15">
      <c r="A842" t="s">
        <v>2095</v>
      </c>
      <c r="B842" s="2">
        <v>45203.288298611114</v>
      </c>
      <c r="C842" s="2">
        <v>45203.298715277779</v>
      </c>
      <c r="D842" t="s">
        <v>275</v>
      </c>
      <c r="E842" t="s">
        <v>2091</v>
      </c>
      <c r="F842" t="s">
        <v>2092</v>
      </c>
      <c r="G842" t="s">
        <v>1019</v>
      </c>
      <c r="H842" t="s">
        <v>1020</v>
      </c>
      <c r="I842">
        <v>410620009</v>
      </c>
      <c r="J842" t="s">
        <v>1054</v>
      </c>
      <c r="K842">
        <v>136.80000000000001</v>
      </c>
      <c r="L842">
        <v>816.8</v>
      </c>
      <c r="M842">
        <v>0</v>
      </c>
      <c r="O842" t="s">
        <v>34</v>
      </c>
    </row>
    <row r="843" spans="1:15">
      <c r="A843" t="s">
        <v>2096</v>
      </c>
      <c r="B843" s="2">
        <v>45222.288298611114</v>
      </c>
      <c r="C843" s="2">
        <v>45222.421631944446</v>
      </c>
      <c r="D843" t="s">
        <v>275</v>
      </c>
      <c r="E843" t="s">
        <v>2097</v>
      </c>
      <c r="F843" t="s">
        <v>2098</v>
      </c>
      <c r="G843" t="s">
        <v>1019</v>
      </c>
      <c r="H843" t="s">
        <v>1076</v>
      </c>
      <c r="I843">
        <v>50849002</v>
      </c>
      <c r="J843" t="s">
        <v>1163</v>
      </c>
      <c r="K843">
        <v>146.18</v>
      </c>
      <c r="L843">
        <v>2889.63</v>
      </c>
      <c r="M843">
        <v>0</v>
      </c>
      <c r="N843">
        <v>241929008</v>
      </c>
      <c r="O843" t="s">
        <v>2099</v>
      </c>
    </row>
    <row r="844" spans="1:15">
      <c r="A844" t="s">
        <v>2100</v>
      </c>
      <c r="B844" s="2">
        <v>45222.629965277774</v>
      </c>
      <c r="C844" s="2">
        <v>45222.640381944446</v>
      </c>
      <c r="D844" t="s">
        <v>275</v>
      </c>
      <c r="E844" t="s">
        <v>2101</v>
      </c>
      <c r="F844" t="s">
        <v>2102</v>
      </c>
      <c r="G844" t="s">
        <v>1019</v>
      </c>
      <c r="H844" t="s">
        <v>1031</v>
      </c>
      <c r="I844">
        <v>185347001</v>
      </c>
      <c r="J844" t="s">
        <v>1124</v>
      </c>
      <c r="K844">
        <v>85.55</v>
      </c>
      <c r="L844">
        <v>85.55</v>
      </c>
      <c r="M844">
        <v>0</v>
      </c>
      <c r="N844">
        <v>3718001</v>
      </c>
      <c r="O844" t="s">
        <v>2103</v>
      </c>
    </row>
    <row r="845" spans="1:15">
      <c r="A845" t="s">
        <v>2104</v>
      </c>
      <c r="B845" s="2">
        <v>45233.121631944443</v>
      </c>
      <c r="C845" s="2">
        <v>45233.14135416667</v>
      </c>
      <c r="D845" t="s">
        <v>275</v>
      </c>
      <c r="E845" t="s">
        <v>2101</v>
      </c>
      <c r="F845" t="s">
        <v>2102</v>
      </c>
      <c r="G845" t="s">
        <v>1019</v>
      </c>
      <c r="H845" t="s">
        <v>1031</v>
      </c>
      <c r="I845">
        <v>185347001</v>
      </c>
      <c r="J845" t="s">
        <v>1124</v>
      </c>
      <c r="K845">
        <v>85.55</v>
      </c>
      <c r="L845">
        <v>516.95000000000005</v>
      </c>
      <c r="M845">
        <v>0</v>
      </c>
      <c r="N845">
        <v>609328004</v>
      </c>
      <c r="O845" t="s">
        <v>1137</v>
      </c>
    </row>
    <row r="846" spans="1:15">
      <c r="A846" t="s">
        <v>2105</v>
      </c>
      <c r="B846" s="2">
        <v>45287.246631944443</v>
      </c>
      <c r="C846" s="2">
        <v>45287.257048611114</v>
      </c>
      <c r="D846" t="s">
        <v>275</v>
      </c>
      <c r="E846" t="s">
        <v>2101</v>
      </c>
      <c r="F846" t="s">
        <v>2102</v>
      </c>
      <c r="G846" t="s">
        <v>1019</v>
      </c>
      <c r="H846" t="s">
        <v>1031</v>
      </c>
      <c r="I846">
        <v>185347001</v>
      </c>
      <c r="J846" t="s">
        <v>1124</v>
      </c>
      <c r="K846">
        <v>85.55</v>
      </c>
      <c r="L846">
        <v>85.55</v>
      </c>
      <c r="M846">
        <v>0</v>
      </c>
      <c r="N846">
        <v>24079001</v>
      </c>
      <c r="O846" t="s">
        <v>2106</v>
      </c>
    </row>
    <row r="847" spans="1:15">
      <c r="A847" t="s">
        <v>2107</v>
      </c>
      <c r="B847" s="2">
        <v>45294.246631944443</v>
      </c>
      <c r="C847" s="2">
        <v>45294.257048611114</v>
      </c>
      <c r="D847" t="s">
        <v>275</v>
      </c>
      <c r="E847" t="s">
        <v>2091</v>
      </c>
      <c r="F847" t="s">
        <v>2092</v>
      </c>
      <c r="G847" t="s">
        <v>1019</v>
      </c>
      <c r="H847" t="s">
        <v>1020</v>
      </c>
      <c r="I847">
        <v>410620009</v>
      </c>
      <c r="J847" t="s">
        <v>1054</v>
      </c>
      <c r="K847">
        <v>136.80000000000001</v>
      </c>
      <c r="L847">
        <v>1399</v>
      </c>
      <c r="M847">
        <v>0</v>
      </c>
      <c r="O847" t="s">
        <v>34</v>
      </c>
    </row>
    <row r="848" spans="1:15">
      <c r="A848" t="s">
        <v>2108</v>
      </c>
      <c r="B848" s="2">
        <v>45301.246631944443</v>
      </c>
      <c r="C848" s="2">
        <v>45301.257048611114</v>
      </c>
      <c r="D848" t="s">
        <v>275</v>
      </c>
      <c r="E848" t="s">
        <v>2101</v>
      </c>
      <c r="F848" t="s">
        <v>2102</v>
      </c>
      <c r="G848" t="s">
        <v>1019</v>
      </c>
      <c r="H848" t="s">
        <v>1031</v>
      </c>
      <c r="I848">
        <v>185347001</v>
      </c>
      <c r="J848" t="s">
        <v>1124</v>
      </c>
      <c r="K848">
        <v>85.55</v>
      </c>
      <c r="L848">
        <v>85.55</v>
      </c>
      <c r="M848">
        <v>0</v>
      </c>
      <c r="N848">
        <v>24079001</v>
      </c>
      <c r="O848" t="s">
        <v>2106</v>
      </c>
    </row>
    <row r="849" spans="1:15">
      <c r="A849" t="s">
        <v>2109</v>
      </c>
      <c r="B849" s="2">
        <v>45371.288298611114</v>
      </c>
      <c r="C849" s="2">
        <v>45371.329965277779</v>
      </c>
      <c r="D849" t="s">
        <v>275</v>
      </c>
      <c r="E849" t="s">
        <v>2097</v>
      </c>
      <c r="F849" t="s">
        <v>2098</v>
      </c>
      <c r="G849" t="s">
        <v>1019</v>
      </c>
      <c r="H849" t="s">
        <v>1076</v>
      </c>
      <c r="I849">
        <v>50849002</v>
      </c>
      <c r="J849" t="s">
        <v>1163</v>
      </c>
      <c r="K849">
        <v>146.18</v>
      </c>
      <c r="L849">
        <v>4140.8900000000003</v>
      </c>
      <c r="M849">
        <v>0</v>
      </c>
      <c r="N849">
        <v>312608009</v>
      </c>
      <c r="O849" t="s">
        <v>1249</v>
      </c>
    </row>
    <row r="850" spans="1:15">
      <c r="A850" t="s">
        <v>2110</v>
      </c>
      <c r="B850" s="2">
        <v>45385.288298611114</v>
      </c>
      <c r="C850" s="2">
        <v>45385.298715277779</v>
      </c>
      <c r="D850" t="s">
        <v>275</v>
      </c>
      <c r="E850" t="s">
        <v>2091</v>
      </c>
      <c r="F850" t="s">
        <v>2092</v>
      </c>
      <c r="G850" t="s">
        <v>1019</v>
      </c>
      <c r="H850" t="s">
        <v>1020</v>
      </c>
      <c r="I850">
        <v>410620009</v>
      </c>
      <c r="J850" t="s">
        <v>1054</v>
      </c>
      <c r="K850">
        <v>136.80000000000001</v>
      </c>
      <c r="L850">
        <v>136.80000000000001</v>
      </c>
      <c r="M850">
        <v>0</v>
      </c>
      <c r="O850" t="s">
        <v>34</v>
      </c>
    </row>
    <row r="851" spans="1:15">
      <c r="A851" t="s">
        <v>2111</v>
      </c>
      <c r="B851" s="2">
        <v>45392.288298611114</v>
      </c>
      <c r="C851" s="2">
        <v>45392.298715277779</v>
      </c>
      <c r="D851" t="s">
        <v>275</v>
      </c>
      <c r="E851" t="s">
        <v>2101</v>
      </c>
      <c r="F851" t="s">
        <v>2102</v>
      </c>
      <c r="G851" t="s">
        <v>1019</v>
      </c>
      <c r="H851" t="s">
        <v>1043</v>
      </c>
      <c r="I851">
        <v>185345009</v>
      </c>
      <c r="J851" t="s">
        <v>1032</v>
      </c>
      <c r="K851">
        <v>85.55</v>
      </c>
      <c r="L851">
        <v>85.55</v>
      </c>
      <c r="M851">
        <v>0</v>
      </c>
      <c r="N851">
        <v>65363002</v>
      </c>
      <c r="O851" t="s">
        <v>1335</v>
      </c>
    </row>
    <row r="852" spans="1:15">
      <c r="A852" t="s">
        <v>2112</v>
      </c>
      <c r="B852" s="2">
        <v>45476.288298611114</v>
      </c>
      <c r="C852" s="2">
        <v>45476.298715277779</v>
      </c>
      <c r="D852" t="s">
        <v>275</v>
      </c>
      <c r="E852" t="s">
        <v>2091</v>
      </c>
      <c r="F852" t="s">
        <v>2092</v>
      </c>
      <c r="G852" t="s">
        <v>1122</v>
      </c>
      <c r="H852" t="s">
        <v>1020</v>
      </c>
      <c r="I852">
        <v>410620009</v>
      </c>
      <c r="J852" t="s">
        <v>1054</v>
      </c>
      <c r="K852">
        <v>136.80000000000001</v>
      </c>
      <c r="L852">
        <v>1097.9100000000001</v>
      </c>
      <c r="M852">
        <v>691.93</v>
      </c>
      <c r="O852" t="s">
        <v>34</v>
      </c>
    </row>
    <row r="853" spans="1:15">
      <c r="A853" t="s">
        <v>2113</v>
      </c>
      <c r="B853" s="2">
        <v>45567.288298611114</v>
      </c>
      <c r="C853" s="2">
        <v>45567.298715277779</v>
      </c>
      <c r="D853" t="s">
        <v>275</v>
      </c>
      <c r="E853" t="s">
        <v>2091</v>
      </c>
      <c r="F853" t="s">
        <v>2092</v>
      </c>
      <c r="G853" t="s">
        <v>1122</v>
      </c>
      <c r="H853" t="s">
        <v>1020</v>
      </c>
      <c r="I853">
        <v>410620009</v>
      </c>
      <c r="J853" t="s">
        <v>1054</v>
      </c>
      <c r="K853">
        <v>136.80000000000001</v>
      </c>
      <c r="L853">
        <v>851.52</v>
      </c>
      <c r="M853">
        <v>681.22</v>
      </c>
      <c r="O853" t="s">
        <v>34</v>
      </c>
    </row>
    <row r="854" spans="1:15">
      <c r="A854" t="s">
        <v>2114</v>
      </c>
      <c r="B854" s="2">
        <v>45749.288298611114</v>
      </c>
      <c r="C854" s="2">
        <v>45749.298715277779</v>
      </c>
      <c r="D854" t="s">
        <v>275</v>
      </c>
      <c r="E854" t="s">
        <v>2091</v>
      </c>
      <c r="F854" t="s">
        <v>2092</v>
      </c>
      <c r="G854" t="s">
        <v>1122</v>
      </c>
      <c r="H854" t="s">
        <v>1020</v>
      </c>
      <c r="I854">
        <v>410620009</v>
      </c>
      <c r="J854" t="s">
        <v>1054</v>
      </c>
      <c r="K854">
        <v>136.80000000000001</v>
      </c>
      <c r="L854">
        <v>1135.5999999999999</v>
      </c>
      <c r="M854">
        <v>908.48</v>
      </c>
      <c r="O854" t="s">
        <v>34</v>
      </c>
    </row>
    <row r="855" spans="1:15">
      <c r="A855" t="s">
        <v>2115</v>
      </c>
      <c r="B855" s="2">
        <v>45931.288298611114</v>
      </c>
      <c r="C855" s="2">
        <v>45931.298715277779</v>
      </c>
      <c r="D855" t="s">
        <v>275</v>
      </c>
      <c r="E855" t="s">
        <v>2091</v>
      </c>
      <c r="F855" t="s">
        <v>2092</v>
      </c>
      <c r="G855" t="s">
        <v>1122</v>
      </c>
      <c r="H855" t="s">
        <v>1020</v>
      </c>
      <c r="I855">
        <v>410620009</v>
      </c>
      <c r="J855" t="s">
        <v>1054</v>
      </c>
      <c r="K855">
        <v>136.80000000000001</v>
      </c>
      <c r="L855">
        <v>272.8</v>
      </c>
      <c r="M855">
        <v>31.84</v>
      </c>
      <c r="O855" t="s">
        <v>34</v>
      </c>
    </row>
    <row r="856" spans="1:15">
      <c r="A856" t="s">
        <v>2116</v>
      </c>
      <c r="B856" s="2">
        <v>46113.288298611114</v>
      </c>
      <c r="C856" s="2">
        <v>46113.298715277779</v>
      </c>
      <c r="D856" t="s">
        <v>275</v>
      </c>
      <c r="E856" t="s">
        <v>2091</v>
      </c>
      <c r="F856" t="s">
        <v>2092</v>
      </c>
      <c r="G856" t="s">
        <v>1122</v>
      </c>
      <c r="H856" t="s">
        <v>1020</v>
      </c>
      <c r="I856">
        <v>410620009</v>
      </c>
      <c r="J856" t="s">
        <v>1054</v>
      </c>
      <c r="K856">
        <v>136.80000000000001</v>
      </c>
      <c r="L856">
        <v>972.53</v>
      </c>
      <c r="M856">
        <v>778.02</v>
      </c>
      <c r="O856" t="s">
        <v>34</v>
      </c>
    </row>
    <row r="857" spans="1:15">
      <c r="A857" t="s">
        <v>2117</v>
      </c>
      <c r="B857" s="2">
        <v>46120.288298611114</v>
      </c>
      <c r="C857" s="2">
        <v>46120.452743055554</v>
      </c>
      <c r="D857" t="s">
        <v>275</v>
      </c>
      <c r="E857" t="s">
        <v>2101</v>
      </c>
      <c r="F857" t="s">
        <v>2102</v>
      </c>
      <c r="G857" t="s">
        <v>1122</v>
      </c>
      <c r="H857" t="s">
        <v>1031</v>
      </c>
      <c r="I857">
        <v>185349003</v>
      </c>
      <c r="J857" t="s">
        <v>1038</v>
      </c>
      <c r="K857">
        <v>85.55</v>
      </c>
      <c r="L857">
        <v>3105.35</v>
      </c>
      <c r="M857">
        <v>2484.2800000000002</v>
      </c>
      <c r="N857">
        <v>103697008</v>
      </c>
      <c r="O857" t="s">
        <v>1039</v>
      </c>
    </row>
    <row r="858" spans="1:15">
      <c r="A858" t="s">
        <v>2118</v>
      </c>
      <c r="B858" s="2">
        <v>43520.461412037039</v>
      </c>
      <c r="C858" s="2">
        <v>43520.471828703703</v>
      </c>
      <c r="D858" t="s">
        <v>283</v>
      </c>
      <c r="E858" t="s">
        <v>2119</v>
      </c>
      <c r="F858" t="s">
        <v>2120</v>
      </c>
      <c r="G858" t="s">
        <v>1474</v>
      </c>
      <c r="H858" t="s">
        <v>1020</v>
      </c>
      <c r="I858">
        <v>410620009</v>
      </c>
      <c r="J858" t="s">
        <v>1054</v>
      </c>
      <c r="K858">
        <v>136.80000000000001</v>
      </c>
      <c r="L858">
        <v>347.38</v>
      </c>
      <c r="M858">
        <v>0</v>
      </c>
      <c r="O858" t="s">
        <v>34</v>
      </c>
    </row>
    <row r="859" spans="1:15">
      <c r="A859" t="s">
        <v>2121</v>
      </c>
      <c r="B859" s="2">
        <v>43555.503078703703</v>
      </c>
      <c r="C859" s="2">
        <v>43555.513495370367</v>
      </c>
      <c r="D859" t="s">
        <v>283</v>
      </c>
      <c r="E859" t="s">
        <v>2119</v>
      </c>
      <c r="F859" t="s">
        <v>2120</v>
      </c>
      <c r="G859" t="s">
        <v>1474</v>
      </c>
      <c r="H859" t="s">
        <v>1020</v>
      </c>
      <c r="I859">
        <v>410620009</v>
      </c>
      <c r="J859" t="s">
        <v>1054</v>
      </c>
      <c r="K859">
        <v>136.80000000000001</v>
      </c>
      <c r="L859">
        <v>272.8</v>
      </c>
      <c r="M859">
        <v>0</v>
      </c>
      <c r="O859" t="s">
        <v>34</v>
      </c>
    </row>
    <row r="860" spans="1:15">
      <c r="A860" t="s">
        <v>2122</v>
      </c>
      <c r="B860" s="2">
        <v>43618.503078703703</v>
      </c>
      <c r="C860" s="2">
        <v>43618.513495370367</v>
      </c>
      <c r="D860" t="s">
        <v>283</v>
      </c>
      <c r="E860" t="s">
        <v>2119</v>
      </c>
      <c r="F860" t="s">
        <v>2120</v>
      </c>
      <c r="G860" t="s">
        <v>1474</v>
      </c>
      <c r="H860" t="s">
        <v>1020</v>
      </c>
      <c r="I860">
        <v>410620009</v>
      </c>
      <c r="J860" t="s">
        <v>1054</v>
      </c>
      <c r="K860">
        <v>136.80000000000001</v>
      </c>
      <c r="L860">
        <v>816.8</v>
      </c>
      <c r="M860">
        <v>0</v>
      </c>
      <c r="O860" t="s">
        <v>34</v>
      </c>
    </row>
    <row r="861" spans="1:15">
      <c r="A861" t="s">
        <v>2123</v>
      </c>
      <c r="B861" s="2">
        <v>43681.503078703703</v>
      </c>
      <c r="C861" s="2">
        <v>43681.513495370367</v>
      </c>
      <c r="D861" t="s">
        <v>283</v>
      </c>
      <c r="E861" t="s">
        <v>2119</v>
      </c>
      <c r="F861" t="s">
        <v>2120</v>
      </c>
      <c r="G861" t="s">
        <v>1474</v>
      </c>
      <c r="H861" t="s">
        <v>1020</v>
      </c>
      <c r="I861">
        <v>410620009</v>
      </c>
      <c r="J861" t="s">
        <v>1054</v>
      </c>
      <c r="K861">
        <v>136.80000000000001</v>
      </c>
      <c r="L861">
        <v>816.8</v>
      </c>
      <c r="M861">
        <v>636.62</v>
      </c>
      <c r="O861" t="s">
        <v>34</v>
      </c>
    </row>
    <row r="862" spans="1:15">
      <c r="A862" t="s">
        <v>2124</v>
      </c>
      <c r="B862" s="2">
        <v>43772.461412037039</v>
      </c>
      <c r="C862" s="2">
        <v>43772.471828703703</v>
      </c>
      <c r="D862" t="s">
        <v>283</v>
      </c>
      <c r="E862" t="s">
        <v>2119</v>
      </c>
      <c r="F862" t="s">
        <v>2120</v>
      </c>
      <c r="G862" t="s">
        <v>1474</v>
      </c>
      <c r="H862" t="s">
        <v>1020</v>
      </c>
      <c r="I862">
        <v>410620009</v>
      </c>
      <c r="J862" t="s">
        <v>1054</v>
      </c>
      <c r="K862">
        <v>136.80000000000001</v>
      </c>
      <c r="L862">
        <v>1214.3499999999999</v>
      </c>
      <c r="M862">
        <v>971.48</v>
      </c>
      <c r="O862" t="s">
        <v>34</v>
      </c>
    </row>
    <row r="863" spans="1:15">
      <c r="A863" t="s">
        <v>2125</v>
      </c>
      <c r="B863" s="2">
        <v>43851.711412037039</v>
      </c>
      <c r="C863" s="2">
        <v>43851.721828703703</v>
      </c>
      <c r="D863" t="s">
        <v>283</v>
      </c>
      <c r="E863" t="s">
        <v>1057</v>
      </c>
      <c r="F863" t="s">
        <v>1058</v>
      </c>
      <c r="G863" t="s">
        <v>1474</v>
      </c>
      <c r="H863" t="s">
        <v>1031</v>
      </c>
      <c r="I863">
        <v>185345009</v>
      </c>
      <c r="J863" t="s">
        <v>1032</v>
      </c>
      <c r="K863">
        <v>85.55</v>
      </c>
      <c r="L863">
        <v>7955.25</v>
      </c>
      <c r="M863">
        <v>6364.2</v>
      </c>
      <c r="N863">
        <v>10509002</v>
      </c>
      <c r="O863" t="s">
        <v>1033</v>
      </c>
    </row>
    <row r="864" spans="1:15">
      <c r="A864" t="s">
        <v>2126</v>
      </c>
      <c r="B864" s="2">
        <v>43863.461412037039</v>
      </c>
      <c r="C864" s="2">
        <v>43863.471828703703</v>
      </c>
      <c r="D864" t="s">
        <v>283</v>
      </c>
      <c r="E864" t="s">
        <v>2119</v>
      </c>
      <c r="F864" t="s">
        <v>2120</v>
      </c>
      <c r="G864" t="s">
        <v>1474</v>
      </c>
      <c r="H864" t="s">
        <v>1020</v>
      </c>
      <c r="I864">
        <v>410620009</v>
      </c>
      <c r="J864" t="s">
        <v>1054</v>
      </c>
      <c r="K864">
        <v>136.80000000000001</v>
      </c>
      <c r="L864">
        <v>848.03</v>
      </c>
      <c r="M864">
        <v>678.42</v>
      </c>
      <c r="O864" t="s">
        <v>34</v>
      </c>
    </row>
    <row r="865" spans="1:15">
      <c r="A865" t="s">
        <v>2127</v>
      </c>
      <c r="B865" s="2">
        <v>43870.461412037039</v>
      </c>
      <c r="C865" s="2">
        <v>43870.471828703703</v>
      </c>
      <c r="D865" t="s">
        <v>283</v>
      </c>
      <c r="E865" t="s">
        <v>1057</v>
      </c>
      <c r="F865" t="s">
        <v>1058</v>
      </c>
      <c r="G865" t="s">
        <v>1474</v>
      </c>
      <c r="H865" t="s">
        <v>1043</v>
      </c>
      <c r="I865">
        <v>185349003</v>
      </c>
      <c r="J865" t="s">
        <v>1038</v>
      </c>
      <c r="K865">
        <v>85.55</v>
      </c>
      <c r="L865">
        <v>301.25</v>
      </c>
      <c r="M865">
        <v>241</v>
      </c>
      <c r="O865" t="s">
        <v>34</v>
      </c>
    </row>
    <row r="866" spans="1:15">
      <c r="A866" t="s">
        <v>2128</v>
      </c>
      <c r="B866" s="2">
        <v>43910.503078703703</v>
      </c>
      <c r="C866" s="2">
        <v>43910.513495370367</v>
      </c>
      <c r="D866" t="s">
        <v>283</v>
      </c>
      <c r="E866" t="s">
        <v>1057</v>
      </c>
      <c r="F866" t="s">
        <v>1058</v>
      </c>
      <c r="G866" t="s">
        <v>1474</v>
      </c>
      <c r="H866" t="s">
        <v>1043</v>
      </c>
      <c r="I866">
        <v>185345009</v>
      </c>
      <c r="J866" t="s">
        <v>1032</v>
      </c>
      <c r="K866">
        <v>85.55</v>
      </c>
      <c r="L866">
        <v>85.55</v>
      </c>
      <c r="M866">
        <v>0</v>
      </c>
      <c r="N866">
        <v>65363002</v>
      </c>
      <c r="O866" t="s">
        <v>1335</v>
      </c>
    </row>
    <row r="867" spans="1:15">
      <c r="A867" t="s">
        <v>2129</v>
      </c>
      <c r="B867" s="2">
        <v>43932.628078703703</v>
      </c>
      <c r="C867" s="2">
        <v>43932.638495370367</v>
      </c>
      <c r="D867" t="s">
        <v>283</v>
      </c>
      <c r="E867" t="s">
        <v>1057</v>
      </c>
      <c r="F867" t="s">
        <v>1058</v>
      </c>
      <c r="G867" t="s">
        <v>1474</v>
      </c>
      <c r="H867" t="s">
        <v>1031</v>
      </c>
      <c r="I867">
        <v>185347001</v>
      </c>
      <c r="J867" t="s">
        <v>1124</v>
      </c>
      <c r="K867">
        <v>85.55</v>
      </c>
      <c r="L867">
        <v>85.55</v>
      </c>
      <c r="M867">
        <v>0</v>
      </c>
      <c r="N867">
        <v>735029006</v>
      </c>
      <c r="O867" t="s">
        <v>2130</v>
      </c>
    </row>
    <row r="868" spans="1:15">
      <c r="A868" t="s">
        <v>2131</v>
      </c>
      <c r="B868" s="2">
        <v>43941.878078703703</v>
      </c>
      <c r="C868" s="2">
        <v>43941.899953703702</v>
      </c>
      <c r="D868" t="s">
        <v>283</v>
      </c>
      <c r="E868" t="s">
        <v>1057</v>
      </c>
      <c r="F868" t="s">
        <v>1058</v>
      </c>
      <c r="G868" t="s">
        <v>1474</v>
      </c>
      <c r="H868" t="s">
        <v>1031</v>
      </c>
      <c r="I868">
        <v>185347001</v>
      </c>
      <c r="J868" t="s">
        <v>1124</v>
      </c>
      <c r="K868">
        <v>85.55</v>
      </c>
      <c r="L868">
        <v>516.95000000000005</v>
      </c>
      <c r="M868">
        <v>0</v>
      </c>
      <c r="N868">
        <v>609328004</v>
      </c>
      <c r="O868" t="s">
        <v>1137</v>
      </c>
    </row>
    <row r="869" spans="1:15">
      <c r="A869" t="s">
        <v>2132</v>
      </c>
      <c r="B869" s="2">
        <v>43954.503078703703</v>
      </c>
      <c r="C869" s="2">
        <v>43954.513495370367</v>
      </c>
      <c r="D869" t="s">
        <v>283</v>
      </c>
      <c r="E869" t="s">
        <v>2119</v>
      </c>
      <c r="F869" t="s">
        <v>2120</v>
      </c>
      <c r="G869" t="s">
        <v>1474</v>
      </c>
      <c r="H869" t="s">
        <v>1020</v>
      </c>
      <c r="I869">
        <v>410620009</v>
      </c>
      <c r="J869" t="s">
        <v>1054</v>
      </c>
      <c r="K869">
        <v>136.80000000000001</v>
      </c>
      <c r="L869">
        <v>816.8</v>
      </c>
      <c r="M869">
        <v>311.54000000000002</v>
      </c>
      <c r="O869" t="s">
        <v>34</v>
      </c>
    </row>
    <row r="870" spans="1:15">
      <c r="A870" t="s">
        <v>2133</v>
      </c>
      <c r="B870" s="2">
        <v>44045.503078703703</v>
      </c>
      <c r="C870" s="2">
        <v>44045.513495370367</v>
      </c>
      <c r="D870" t="s">
        <v>283</v>
      </c>
      <c r="E870" t="s">
        <v>2119</v>
      </c>
      <c r="F870" t="s">
        <v>2120</v>
      </c>
      <c r="G870" t="s">
        <v>1474</v>
      </c>
      <c r="H870" t="s">
        <v>1020</v>
      </c>
      <c r="I870">
        <v>410620009</v>
      </c>
      <c r="J870" t="s">
        <v>1054</v>
      </c>
      <c r="K870">
        <v>136.80000000000001</v>
      </c>
      <c r="L870">
        <v>272.8</v>
      </c>
      <c r="M870">
        <v>218.24</v>
      </c>
      <c r="O870" t="s">
        <v>34</v>
      </c>
    </row>
    <row r="871" spans="1:15">
      <c r="A871" t="s">
        <v>2134</v>
      </c>
      <c r="B871" s="2">
        <v>44227.461412037039</v>
      </c>
      <c r="C871" s="2">
        <v>44227.471828703703</v>
      </c>
      <c r="D871" t="s">
        <v>283</v>
      </c>
      <c r="E871" t="s">
        <v>2119</v>
      </c>
      <c r="F871" t="s">
        <v>2120</v>
      </c>
      <c r="G871" t="s">
        <v>1474</v>
      </c>
      <c r="H871" t="s">
        <v>1020</v>
      </c>
      <c r="I871">
        <v>410620009</v>
      </c>
      <c r="J871" t="s">
        <v>1054</v>
      </c>
      <c r="K871">
        <v>136.80000000000001</v>
      </c>
      <c r="L871">
        <v>272.8</v>
      </c>
      <c r="M871">
        <v>218.24</v>
      </c>
      <c r="O871" t="s">
        <v>34</v>
      </c>
    </row>
    <row r="872" spans="1:15">
      <c r="A872" t="s">
        <v>2135</v>
      </c>
      <c r="B872" s="2">
        <v>44409.503078703703</v>
      </c>
      <c r="C872" s="2">
        <v>44409.513495370367</v>
      </c>
      <c r="D872" t="s">
        <v>283</v>
      </c>
      <c r="E872" t="s">
        <v>2119</v>
      </c>
      <c r="F872" t="s">
        <v>2120</v>
      </c>
      <c r="G872" t="s">
        <v>1474</v>
      </c>
      <c r="H872" t="s">
        <v>1020</v>
      </c>
      <c r="I872">
        <v>410620009</v>
      </c>
      <c r="J872" t="s">
        <v>1054</v>
      </c>
      <c r="K872">
        <v>136.80000000000001</v>
      </c>
      <c r="L872">
        <v>272.8</v>
      </c>
      <c r="M872">
        <v>0</v>
      </c>
      <c r="O872" t="s">
        <v>34</v>
      </c>
    </row>
    <row r="873" spans="1:15">
      <c r="A873" t="s">
        <v>2136</v>
      </c>
      <c r="B873" s="2">
        <v>44591.461412037039</v>
      </c>
      <c r="C873" s="2">
        <v>44591.471828703703</v>
      </c>
      <c r="D873" t="s">
        <v>283</v>
      </c>
      <c r="E873" t="s">
        <v>2119</v>
      </c>
      <c r="F873" t="s">
        <v>2120</v>
      </c>
      <c r="G873" t="s">
        <v>1474</v>
      </c>
      <c r="H873" t="s">
        <v>1020</v>
      </c>
      <c r="I873">
        <v>410620009</v>
      </c>
      <c r="J873" t="s">
        <v>1054</v>
      </c>
      <c r="K873">
        <v>136.80000000000001</v>
      </c>
      <c r="L873">
        <v>1135.5999999999999</v>
      </c>
      <c r="M873">
        <v>0</v>
      </c>
      <c r="O873" t="s">
        <v>34</v>
      </c>
    </row>
    <row r="874" spans="1:15">
      <c r="A874" t="s">
        <v>2137</v>
      </c>
      <c r="B874" s="2">
        <v>44773.503078703703</v>
      </c>
      <c r="C874" s="2">
        <v>44773.513495370367</v>
      </c>
      <c r="D874" t="s">
        <v>283</v>
      </c>
      <c r="E874" t="s">
        <v>2119</v>
      </c>
      <c r="F874" t="s">
        <v>2120</v>
      </c>
      <c r="G874" t="s">
        <v>1474</v>
      </c>
      <c r="H874" t="s">
        <v>1020</v>
      </c>
      <c r="I874">
        <v>410620009</v>
      </c>
      <c r="J874" t="s">
        <v>1054</v>
      </c>
      <c r="K874">
        <v>136.80000000000001</v>
      </c>
      <c r="L874">
        <v>443.84</v>
      </c>
      <c r="M874">
        <v>0</v>
      </c>
      <c r="O874" t="s">
        <v>34</v>
      </c>
    </row>
    <row r="875" spans="1:15">
      <c r="A875" t="s">
        <v>2138</v>
      </c>
      <c r="B875" s="2">
        <v>44955.461412037039</v>
      </c>
      <c r="C875" s="2">
        <v>44955.471828703703</v>
      </c>
      <c r="D875" t="s">
        <v>283</v>
      </c>
      <c r="E875" t="s">
        <v>2119</v>
      </c>
      <c r="F875" t="s">
        <v>2120</v>
      </c>
      <c r="G875" t="s">
        <v>1474</v>
      </c>
      <c r="H875" t="s">
        <v>1020</v>
      </c>
      <c r="I875">
        <v>410620009</v>
      </c>
      <c r="J875" t="s">
        <v>1054</v>
      </c>
      <c r="K875">
        <v>136.80000000000001</v>
      </c>
      <c r="L875">
        <v>272.8</v>
      </c>
      <c r="M875">
        <v>0</v>
      </c>
      <c r="O875" t="s">
        <v>34</v>
      </c>
    </row>
    <row r="876" spans="1:15">
      <c r="A876" t="s">
        <v>2139</v>
      </c>
      <c r="B876" s="2">
        <v>45058.503078703703</v>
      </c>
      <c r="C876" s="2">
        <v>45058.513495370367</v>
      </c>
      <c r="D876" t="s">
        <v>283</v>
      </c>
      <c r="E876" t="s">
        <v>1057</v>
      </c>
      <c r="F876" t="s">
        <v>1058</v>
      </c>
      <c r="G876" t="s">
        <v>1474</v>
      </c>
      <c r="H876" t="s">
        <v>1031</v>
      </c>
      <c r="I876">
        <v>185345009</v>
      </c>
      <c r="J876" t="s">
        <v>1032</v>
      </c>
      <c r="K876">
        <v>85.55</v>
      </c>
      <c r="L876">
        <v>85.55</v>
      </c>
      <c r="M876">
        <v>0</v>
      </c>
      <c r="N876">
        <v>367498001</v>
      </c>
      <c r="O876" t="s">
        <v>2140</v>
      </c>
    </row>
    <row r="877" spans="1:15">
      <c r="A877" t="s">
        <v>2141</v>
      </c>
      <c r="B877" s="2">
        <v>45124.503078703703</v>
      </c>
      <c r="C877" s="2">
        <v>45124.513495370367</v>
      </c>
      <c r="D877" t="s">
        <v>283</v>
      </c>
      <c r="E877" t="s">
        <v>1057</v>
      </c>
      <c r="F877" t="s">
        <v>1058</v>
      </c>
      <c r="G877" t="s">
        <v>1474</v>
      </c>
      <c r="H877" t="s">
        <v>1043</v>
      </c>
      <c r="I877">
        <v>185345009</v>
      </c>
      <c r="J877" t="s">
        <v>1032</v>
      </c>
      <c r="K877">
        <v>85.55</v>
      </c>
      <c r="L877">
        <v>85.55</v>
      </c>
      <c r="M877">
        <v>0</v>
      </c>
      <c r="N877">
        <v>65363002</v>
      </c>
      <c r="O877" t="s">
        <v>1335</v>
      </c>
    </row>
    <row r="878" spans="1:15">
      <c r="A878" t="s">
        <v>2142</v>
      </c>
      <c r="B878" s="2">
        <v>45326.461412037039</v>
      </c>
      <c r="C878" s="2">
        <v>45326.471828703703</v>
      </c>
      <c r="D878" t="s">
        <v>283</v>
      </c>
      <c r="E878" t="s">
        <v>2119</v>
      </c>
      <c r="F878" t="s">
        <v>2120</v>
      </c>
      <c r="G878" t="s">
        <v>1474</v>
      </c>
      <c r="H878" t="s">
        <v>1020</v>
      </c>
      <c r="I878">
        <v>410620009</v>
      </c>
      <c r="J878" t="s">
        <v>1054</v>
      </c>
      <c r="K878">
        <v>136.80000000000001</v>
      </c>
      <c r="L878">
        <v>1248.2</v>
      </c>
      <c r="M878">
        <v>13.94</v>
      </c>
      <c r="O878" t="s">
        <v>34</v>
      </c>
    </row>
    <row r="879" spans="1:15">
      <c r="A879" t="s">
        <v>2143</v>
      </c>
      <c r="B879" s="2">
        <v>45333.461412037039</v>
      </c>
      <c r="C879" s="2">
        <v>45333.630300925928</v>
      </c>
      <c r="D879" t="s">
        <v>283</v>
      </c>
      <c r="E879" t="s">
        <v>1057</v>
      </c>
      <c r="F879" t="s">
        <v>1058</v>
      </c>
      <c r="G879" t="s">
        <v>1474</v>
      </c>
      <c r="H879" t="s">
        <v>1031</v>
      </c>
      <c r="I879">
        <v>185349003</v>
      </c>
      <c r="J879" t="s">
        <v>1038</v>
      </c>
      <c r="K879">
        <v>85.55</v>
      </c>
      <c r="L879">
        <v>3536.75</v>
      </c>
      <c r="M879">
        <v>2829.4</v>
      </c>
      <c r="N879">
        <v>103697008</v>
      </c>
      <c r="O879" t="s">
        <v>1039</v>
      </c>
    </row>
    <row r="880" spans="1:15">
      <c r="A880" t="s">
        <v>2144</v>
      </c>
      <c r="B880" s="2">
        <v>45536.503078703703</v>
      </c>
      <c r="C880" s="2">
        <v>45536.513495370367</v>
      </c>
      <c r="D880" t="s">
        <v>283</v>
      </c>
      <c r="E880" t="s">
        <v>1057</v>
      </c>
      <c r="F880" t="s">
        <v>1058</v>
      </c>
      <c r="G880" t="s">
        <v>1474</v>
      </c>
      <c r="H880" t="s">
        <v>1043</v>
      </c>
      <c r="I880">
        <v>185345009</v>
      </c>
      <c r="J880" t="s">
        <v>1032</v>
      </c>
      <c r="K880">
        <v>85.55</v>
      </c>
      <c r="L880">
        <v>85.55</v>
      </c>
      <c r="M880">
        <v>0</v>
      </c>
      <c r="N880">
        <v>65363002</v>
      </c>
      <c r="O880" t="s">
        <v>1335</v>
      </c>
    </row>
    <row r="881" spans="1:15">
      <c r="A881" t="s">
        <v>2145</v>
      </c>
      <c r="B881" s="2">
        <v>45697.461412037039</v>
      </c>
      <c r="C881" s="2">
        <v>45697.471828703703</v>
      </c>
      <c r="D881" t="s">
        <v>283</v>
      </c>
      <c r="E881" t="s">
        <v>2119</v>
      </c>
      <c r="F881" t="s">
        <v>2120</v>
      </c>
      <c r="G881" t="s">
        <v>1474</v>
      </c>
      <c r="H881" t="s">
        <v>1020</v>
      </c>
      <c r="I881">
        <v>410620009</v>
      </c>
      <c r="J881" t="s">
        <v>1054</v>
      </c>
      <c r="K881">
        <v>136.80000000000001</v>
      </c>
      <c r="L881">
        <v>563.08000000000004</v>
      </c>
      <c r="M881">
        <v>0</v>
      </c>
      <c r="O881" t="s">
        <v>34</v>
      </c>
    </row>
    <row r="882" spans="1:15">
      <c r="A882" t="s">
        <v>2146</v>
      </c>
      <c r="B882" s="2">
        <v>46068.461412037039</v>
      </c>
      <c r="C882" s="2">
        <v>46068.471828703703</v>
      </c>
      <c r="D882" t="s">
        <v>283</v>
      </c>
      <c r="E882" t="s">
        <v>2119</v>
      </c>
      <c r="F882" t="s">
        <v>2120</v>
      </c>
      <c r="G882" t="s">
        <v>1474</v>
      </c>
      <c r="H882" t="s">
        <v>1020</v>
      </c>
      <c r="I882">
        <v>410620009</v>
      </c>
      <c r="J882" t="s">
        <v>1054</v>
      </c>
      <c r="K882">
        <v>136.80000000000001</v>
      </c>
      <c r="L882">
        <v>272.8</v>
      </c>
      <c r="M882">
        <v>0</v>
      </c>
      <c r="O882" t="s">
        <v>34</v>
      </c>
    </row>
    <row r="883" spans="1:15">
      <c r="A883" t="s">
        <v>2147</v>
      </c>
      <c r="B883" s="2">
        <v>46181.628078703703</v>
      </c>
      <c r="C883" s="2">
        <v>46181.638495370367</v>
      </c>
      <c r="D883" t="s">
        <v>283</v>
      </c>
      <c r="E883" t="s">
        <v>1057</v>
      </c>
      <c r="F883" t="s">
        <v>1058</v>
      </c>
      <c r="G883" t="s">
        <v>1474</v>
      </c>
      <c r="H883" t="s">
        <v>1031</v>
      </c>
      <c r="I883">
        <v>185347001</v>
      </c>
      <c r="J883" t="s">
        <v>1124</v>
      </c>
      <c r="K883">
        <v>85.55</v>
      </c>
      <c r="L883">
        <v>85.55</v>
      </c>
      <c r="M883">
        <v>0</v>
      </c>
      <c r="N883">
        <v>735029006</v>
      </c>
      <c r="O883" t="s">
        <v>2130</v>
      </c>
    </row>
    <row r="884" spans="1:15">
      <c r="A884" t="s">
        <v>2148</v>
      </c>
      <c r="B884" s="2">
        <v>29908.397696759261</v>
      </c>
      <c r="C884" s="2">
        <v>29908.437152777777</v>
      </c>
      <c r="D884" t="s">
        <v>291</v>
      </c>
      <c r="E884" t="s">
        <v>2149</v>
      </c>
      <c r="F884" t="s">
        <v>2150</v>
      </c>
      <c r="G884" t="s">
        <v>1019</v>
      </c>
      <c r="H884" t="s">
        <v>1020</v>
      </c>
      <c r="I884">
        <v>162673000</v>
      </c>
      <c r="J884" t="s">
        <v>1021</v>
      </c>
      <c r="K884">
        <v>136.80000000000001</v>
      </c>
      <c r="L884">
        <v>704.2</v>
      </c>
      <c r="M884">
        <v>0</v>
      </c>
      <c r="O884" t="s">
        <v>34</v>
      </c>
    </row>
    <row r="885" spans="1:15">
      <c r="A885" t="s">
        <v>2151</v>
      </c>
      <c r="B885" s="2">
        <v>30279.397696759261</v>
      </c>
      <c r="C885" s="2">
        <v>30279.429861111112</v>
      </c>
      <c r="D885" t="s">
        <v>291</v>
      </c>
      <c r="E885" t="s">
        <v>2149</v>
      </c>
      <c r="F885" t="s">
        <v>2150</v>
      </c>
      <c r="G885" t="s">
        <v>1019</v>
      </c>
      <c r="H885" t="s">
        <v>1020</v>
      </c>
      <c r="I885">
        <v>162673000</v>
      </c>
      <c r="J885" t="s">
        <v>1021</v>
      </c>
      <c r="K885">
        <v>136.80000000000001</v>
      </c>
      <c r="L885">
        <v>849.22</v>
      </c>
      <c r="M885">
        <v>0</v>
      </c>
      <c r="O885" t="s">
        <v>34</v>
      </c>
    </row>
    <row r="886" spans="1:15">
      <c r="A886" t="s">
        <v>2152</v>
      </c>
      <c r="B886" s="2">
        <v>33576.397696759261</v>
      </c>
      <c r="C886" s="2">
        <v>33576.42019675926</v>
      </c>
      <c r="D886" t="s">
        <v>291</v>
      </c>
      <c r="E886" t="s">
        <v>2149</v>
      </c>
      <c r="F886" t="s">
        <v>2150</v>
      </c>
      <c r="G886" t="s">
        <v>1019</v>
      </c>
      <c r="H886" t="s">
        <v>1020</v>
      </c>
      <c r="I886">
        <v>162673000</v>
      </c>
      <c r="J886" t="s">
        <v>1021</v>
      </c>
      <c r="K886">
        <v>136.80000000000001</v>
      </c>
      <c r="L886">
        <v>860.16</v>
      </c>
      <c r="M886">
        <v>0</v>
      </c>
      <c r="O886" t="s">
        <v>34</v>
      </c>
    </row>
    <row r="887" spans="1:15">
      <c r="A887" t="s">
        <v>2153</v>
      </c>
      <c r="B887" s="2">
        <v>39365.439363425925</v>
      </c>
      <c r="C887" s="2">
        <v>39365.475648148145</v>
      </c>
      <c r="D887" t="s">
        <v>291</v>
      </c>
      <c r="E887" t="s">
        <v>2149</v>
      </c>
      <c r="F887" t="s">
        <v>2150</v>
      </c>
      <c r="G887" t="s">
        <v>1019</v>
      </c>
      <c r="H887" t="s">
        <v>1020</v>
      </c>
      <c r="I887">
        <v>162673000</v>
      </c>
      <c r="J887" t="s">
        <v>1021</v>
      </c>
      <c r="K887">
        <v>136.80000000000001</v>
      </c>
      <c r="L887">
        <v>785.58</v>
      </c>
      <c r="M887">
        <v>0</v>
      </c>
      <c r="O887" t="s">
        <v>34</v>
      </c>
    </row>
    <row r="888" spans="1:15">
      <c r="A888" t="s">
        <v>2154</v>
      </c>
      <c r="B888" s="2">
        <v>40100.439363425925</v>
      </c>
      <c r="C888" s="2">
        <v>40100.473622685182</v>
      </c>
      <c r="D888" t="s">
        <v>291</v>
      </c>
      <c r="E888" t="s">
        <v>2149</v>
      </c>
      <c r="F888" t="s">
        <v>2150</v>
      </c>
      <c r="G888" t="s">
        <v>1019</v>
      </c>
      <c r="H888" t="s">
        <v>1020</v>
      </c>
      <c r="I888">
        <v>162673000</v>
      </c>
      <c r="J888" t="s">
        <v>1021</v>
      </c>
      <c r="K888">
        <v>136.80000000000001</v>
      </c>
      <c r="L888">
        <v>934.74</v>
      </c>
      <c r="M888">
        <v>0</v>
      </c>
      <c r="O888" t="s">
        <v>34</v>
      </c>
    </row>
    <row r="889" spans="1:15">
      <c r="A889" t="s">
        <v>2155</v>
      </c>
      <c r="B889" s="2">
        <v>40113.21329861111</v>
      </c>
      <c r="C889" s="2">
        <v>40113.426759259259</v>
      </c>
      <c r="D889" t="s">
        <v>291</v>
      </c>
      <c r="E889" t="s">
        <v>1226</v>
      </c>
      <c r="F889" t="s">
        <v>1227</v>
      </c>
      <c r="G889" t="s">
        <v>1019</v>
      </c>
      <c r="H889" t="s">
        <v>1031</v>
      </c>
      <c r="I889">
        <v>185347001</v>
      </c>
      <c r="J889" t="s">
        <v>1124</v>
      </c>
      <c r="K889">
        <v>85.55</v>
      </c>
      <c r="L889">
        <v>1875.86</v>
      </c>
      <c r="M889">
        <v>0</v>
      </c>
      <c r="N889">
        <v>414545008</v>
      </c>
      <c r="O889" t="s">
        <v>1228</v>
      </c>
    </row>
    <row r="890" spans="1:15">
      <c r="A890" t="s">
        <v>2156</v>
      </c>
      <c r="B890" s="2">
        <v>40434.439363425925</v>
      </c>
      <c r="C890" s="2">
        <v>40434.473530092589</v>
      </c>
      <c r="D890" t="s">
        <v>291</v>
      </c>
      <c r="E890" t="s">
        <v>1303</v>
      </c>
      <c r="F890" t="s">
        <v>1304</v>
      </c>
      <c r="G890" t="s">
        <v>1019</v>
      </c>
      <c r="H890" t="s">
        <v>1031</v>
      </c>
      <c r="I890">
        <v>185345009</v>
      </c>
      <c r="J890" t="s">
        <v>1032</v>
      </c>
      <c r="K890">
        <v>85.55</v>
      </c>
      <c r="L890">
        <v>948.35</v>
      </c>
      <c r="M890">
        <v>0</v>
      </c>
      <c r="N890">
        <v>39898005</v>
      </c>
      <c r="O890" t="s">
        <v>2157</v>
      </c>
    </row>
    <row r="891" spans="1:15">
      <c r="A891" t="s">
        <v>2158</v>
      </c>
      <c r="B891" s="2">
        <v>40454.509039351855</v>
      </c>
      <c r="C891" s="2">
        <v>40455.509039351855</v>
      </c>
      <c r="D891" t="s">
        <v>291</v>
      </c>
      <c r="E891" t="s">
        <v>1303</v>
      </c>
      <c r="F891" t="s">
        <v>1304</v>
      </c>
      <c r="G891" t="s">
        <v>1122</v>
      </c>
      <c r="H891" t="s">
        <v>1431</v>
      </c>
      <c r="I891">
        <v>185347001</v>
      </c>
      <c r="J891" t="s">
        <v>1124</v>
      </c>
      <c r="K891">
        <v>87.71</v>
      </c>
      <c r="L891">
        <v>997.39</v>
      </c>
      <c r="M891">
        <v>611.51</v>
      </c>
      <c r="N891">
        <v>39898005</v>
      </c>
      <c r="O891" t="s">
        <v>2157</v>
      </c>
    </row>
    <row r="892" spans="1:15">
      <c r="A892" t="s">
        <v>2159</v>
      </c>
      <c r="B892" s="2">
        <v>40835.439363425925</v>
      </c>
      <c r="C892" s="2">
        <v>40835.47315972222</v>
      </c>
      <c r="D892" t="s">
        <v>291</v>
      </c>
      <c r="E892" t="s">
        <v>2149</v>
      </c>
      <c r="F892" t="s">
        <v>2150</v>
      </c>
      <c r="G892" t="s">
        <v>1122</v>
      </c>
      <c r="H892" t="s">
        <v>1020</v>
      </c>
      <c r="I892">
        <v>162673000</v>
      </c>
      <c r="J892" t="s">
        <v>1021</v>
      </c>
      <c r="K892">
        <v>136.80000000000001</v>
      </c>
      <c r="L892">
        <v>1210.18</v>
      </c>
      <c r="M892">
        <v>781.74</v>
      </c>
      <c r="O892" t="s">
        <v>34</v>
      </c>
    </row>
    <row r="893" spans="1:15">
      <c r="A893" t="s">
        <v>2160</v>
      </c>
      <c r="B893" s="2">
        <v>42284.439363425925</v>
      </c>
      <c r="C893" s="2">
        <v>42284.480520833335</v>
      </c>
      <c r="D893" t="s">
        <v>291</v>
      </c>
      <c r="E893" t="s">
        <v>2149</v>
      </c>
      <c r="F893" t="s">
        <v>2150</v>
      </c>
      <c r="G893" t="s">
        <v>1122</v>
      </c>
      <c r="H893" t="s">
        <v>1020</v>
      </c>
      <c r="I893">
        <v>162673000</v>
      </c>
      <c r="J893" t="s">
        <v>1021</v>
      </c>
      <c r="K893">
        <v>136.80000000000001</v>
      </c>
      <c r="L893">
        <v>1284.76</v>
      </c>
      <c r="M893">
        <v>841.4</v>
      </c>
      <c r="O893" t="s">
        <v>34</v>
      </c>
    </row>
    <row r="894" spans="1:15">
      <c r="A894" t="s">
        <v>2161</v>
      </c>
      <c r="B894" s="2">
        <v>42655.439363425925</v>
      </c>
      <c r="C894" s="2">
        <v>42655.473865740743</v>
      </c>
      <c r="D894" t="s">
        <v>291</v>
      </c>
      <c r="E894" t="s">
        <v>2149</v>
      </c>
      <c r="F894" t="s">
        <v>2150</v>
      </c>
      <c r="G894" t="s">
        <v>1122</v>
      </c>
      <c r="H894" t="s">
        <v>1020</v>
      </c>
      <c r="I894">
        <v>162673000</v>
      </c>
      <c r="J894" t="s">
        <v>1021</v>
      </c>
      <c r="K894">
        <v>136.80000000000001</v>
      </c>
      <c r="L894">
        <v>1284.76</v>
      </c>
      <c r="M894">
        <v>841.4</v>
      </c>
      <c r="O894" t="s">
        <v>34</v>
      </c>
    </row>
    <row r="895" spans="1:15">
      <c r="A895" t="s">
        <v>2162</v>
      </c>
      <c r="B895" s="2">
        <v>43026.439363425925</v>
      </c>
      <c r="C895" s="2">
        <v>43026.465150462966</v>
      </c>
      <c r="D895" t="s">
        <v>291</v>
      </c>
      <c r="E895" t="s">
        <v>2149</v>
      </c>
      <c r="F895" t="s">
        <v>2150</v>
      </c>
      <c r="G895" t="s">
        <v>1122</v>
      </c>
      <c r="H895" t="s">
        <v>1020</v>
      </c>
      <c r="I895">
        <v>162673000</v>
      </c>
      <c r="J895" t="s">
        <v>1021</v>
      </c>
      <c r="K895">
        <v>136.80000000000001</v>
      </c>
      <c r="L895">
        <v>1216.98</v>
      </c>
      <c r="M895">
        <v>787.18</v>
      </c>
      <c r="O895" t="s">
        <v>34</v>
      </c>
    </row>
    <row r="896" spans="1:15">
      <c r="A896" t="s">
        <v>2163</v>
      </c>
      <c r="B896" s="2">
        <v>43040.439363425925</v>
      </c>
      <c r="C896" s="2">
        <v>43040.598877314813</v>
      </c>
      <c r="D896" t="s">
        <v>291</v>
      </c>
      <c r="E896" t="s">
        <v>1303</v>
      </c>
      <c r="F896" t="s">
        <v>1304</v>
      </c>
      <c r="G896" t="s">
        <v>1122</v>
      </c>
      <c r="H896" t="s">
        <v>1031</v>
      </c>
      <c r="I896">
        <v>185349003</v>
      </c>
      <c r="J896" t="s">
        <v>1038</v>
      </c>
      <c r="K896">
        <v>85.55</v>
      </c>
      <c r="L896">
        <v>2673.95</v>
      </c>
      <c r="M896">
        <v>2139.16</v>
      </c>
      <c r="N896">
        <v>66383009</v>
      </c>
      <c r="O896" t="s">
        <v>1209</v>
      </c>
    </row>
    <row r="897" spans="1:15">
      <c r="A897" t="s">
        <v>2164</v>
      </c>
      <c r="B897" s="2">
        <v>43375.461284722223</v>
      </c>
      <c r="C897" s="2">
        <v>43375.485775462963</v>
      </c>
      <c r="D897" t="s">
        <v>291</v>
      </c>
      <c r="E897" t="s">
        <v>1303</v>
      </c>
      <c r="F897" t="s">
        <v>1304</v>
      </c>
      <c r="G897" t="s">
        <v>1122</v>
      </c>
      <c r="H897" t="s">
        <v>1031</v>
      </c>
      <c r="I897">
        <v>185349003</v>
      </c>
      <c r="J897" t="s">
        <v>1038</v>
      </c>
      <c r="K897">
        <v>85.55</v>
      </c>
      <c r="L897">
        <v>10048.42</v>
      </c>
      <c r="M897">
        <v>7852.34</v>
      </c>
      <c r="N897">
        <v>275978004</v>
      </c>
      <c r="O897" t="s">
        <v>1449</v>
      </c>
    </row>
    <row r="898" spans="1:15">
      <c r="A898" t="s">
        <v>2165</v>
      </c>
      <c r="B898" s="2">
        <v>43397.439363425925</v>
      </c>
      <c r="C898" s="2">
        <v>43397.461574074077</v>
      </c>
      <c r="D898" t="s">
        <v>291</v>
      </c>
      <c r="E898" t="s">
        <v>2149</v>
      </c>
      <c r="F898" t="s">
        <v>2150</v>
      </c>
      <c r="G898" t="s">
        <v>1122</v>
      </c>
      <c r="H898" t="s">
        <v>1020</v>
      </c>
      <c r="I898">
        <v>162673000</v>
      </c>
      <c r="J898" t="s">
        <v>1021</v>
      </c>
      <c r="K898">
        <v>136.80000000000001</v>
      </c>
      <c r="L898">
        <v>2079.7800000000002</v>
      </c>
      <c r="M898">
        <v>1663.82</v>
      </c>
      <c r="O898" t="s">
        <v>34</v>
      </c>
    </row>
    <row r="899" spans="1:15">
      <c r="A899" t="s">
        <v>2166</v>
      </c>
      <c r="B899" s="2">
        <v>43768.439363425925</v>
      </c>
      <c r="C899" s="2">
        <v>43768.470243055555</v>
      </c>
      <c r="D899" t="s">
        <v>291</v>
      </c>
      <c r="E899" t="s">
        <v>2149</v>
      </c>
      <c r="F899" t="s">
        <v>2150</v>
      </c>
      <c r="G899" t="s">
        <v>1122</v>
      </c>
      <c r="H899" t="s">
        <v>1020</v>
      </c>
      <c r="I899">
        <v>162673000</v>
      </c>
      <c r="J899" t="s">
        <v>1021</v>
      </c>
      <c r="K899">
        <v>136.80000000000001</v>
      </c>
      <c r="L899">
        <v>1284.76</v>
      </c>
      <c r="M899">
        <v>841.4</v>
      </c>
      <c r="O899" t="s">
        <v>34</v>
      </c>
    </row>
    <row r="900" spans="1:15">
      <c r="A900" t="s">
        <v>2167</v>
      </c>
      <c r="B900" s="2">
        <v>43782.397696759261</v>
      </c>
      <c r="C900" s="2">
        <v>43782.55877314815</v>
      </c>
      <c r="D900" t="s">
        <v>291</v>
      </c>
      <c r="E900" t="s">
        <v>1303</v>
      </c>
      <c r="F900" t="s">
        <v>1304</v>
      </c>
      <c r="G900" t="s">
        <v>1122</v>
      </c>
      <c r="H900" t="s">
        <v>1031</v>
      </c>
      <c r="I900">
        <v>185349003</v>
      </c>
      <c r="J900" t="s">
        <v>1038</v>
      </c>
      <c r="K900">
        <v>85.55</v>
      </c>
      <c r="L900">
        <v>3536.75</v>
      </c>
      <c r="M900">
        <v>2829.4</v>
      </c>
      <c r="N900">
        <v>66383009</v>
      </c>
      <c r="O900" t="s">
        <v>1209</v>
      </c>
    </row>
    <row r="901" spans="1:15">
      <c r="A901" t="s">
        <v>2168</v>
      </c>
      <c r="B901" s="2">
        <v>44139.397696759261</v>
      </c>
      <c r="C901" s="2">
        <v>44139.424756944441</v>
      </c>
      <c r="D901" t="s">
        <v>291</v>
      </c>
      <c r="E901" t="s">
        <v>2149</v>
      </c>
      <c r="F901" t="s">
        <v>2150</v>
      </c>
      <c r="G901" t="s">
        <v>1122</v>
      </c>
      <c r="H901" t="s">
        <v>1020</v>
      </c>
      <c r="I901">
        <v>162673000</v>
      </c>
      <c r="J901" t="s">
        <v>1021</v>
      </c>
      <c r="K901">
        <v>136.80000000000001</v>
      </c>
      <c r="L901">
        <v>1284.76</v>
      </c>
      <c r="M901">
        <v>841.4</v>
      </c>
      <c r="O901" t="s">
        <v>34</v>
      </c>
    </row>
    <row r="902" spans="1:15">
      <c r="A902" t="s">
        <v>2169</v>
      </c>
      <c r="B902" s="2">
        <v>44272.439363425925</v>
      </c>
      <c r="C902" s="2">
        <v>44272.449780092589</v>
      </c>
      <c r="D902" t="s">
        <v>291</v>
      </c>
      <c r="E902" t="s">
        <v>1303</v>
      </c>
      <c r="F902" t="s">
        <v>1304</v>
      </c>
      <c r="G902" t="s">
        <v>1122</v>
      </c>
      <c r="H902" t="s">
        <v>1043</v>
      </c>
      <c r="I902">
        <v>33879002</v>
      </c>
      <c r="J902" t="s">
        <v>1044</v>
      </c>
      <c r="K902">
        <v>142.58000000000001</v>
      </c>
      <c r="L902">
        <v>278.58</v>
      </c>
      <c r="M902">
        <v>222.86</v>
      </c>
      <c r="O902" t="s">
        <v>34</v>
      </c>
    </row>
    <row r="903" spans="1:15">
      <c r="A903" t="s">
        <v>2170</v>
      </c>
      <c r="B903" s="2">
        <v>44293.439363425925</v>
      </c>
      <c r="C903" s="2">
        <v>44293.449780092589</v>
      </c>
      <c r="D903" t="s">
        <v>291</v>
      </c>
      <c r="E903" t="s">
        <v>1303</v>
      </c>
      <c r="F903" t="s">
        <v>1304</v>
      </c>
      <c r="G903" t="s">
        <v>1122</v>
      </c>
      <c r="H903" t="s">
        <v>1043</v>
      </c>
      <c r="I903">
        <v>33879002</v>
      </c>
      <c r="J903" t="s">
        <v>1044</v>
      </c>
      <c r="K903">
        <v>142.58000000000001</v>
      </c>
      <c r="L903">
        <v>278.58</v>
      </c>
      <c r="M903">
        <v>222.86</v>
      </c>
      <c r="O903" t="s">
        <v>34</v>
      </c>
    </row>
    <row r="904" spans="1:15">
      <c r="A904" t="s">
        <v>2171</v>
      </c>
      <c r="B904" s="2">
        <v>44510.397696759261</v>
      </c>
      <c r="C904" s="2">
        <v>44510.423125000001</v>
      </c>
      <c r="D904" t="s">
        <v>291</v>
      </c>
      <c r="E904" t="s">
        <v>2149</v>
      </c>
      <c r="F904" t="s">
        <v>2150</v>
      </c>
      <c r="G904" t="s">
        <v>1122</v>
      </c>
      <c r="H904" t="s">
        <v>1020</v>
      </c>
      <c r="I904">
        <v>162673000</v>
      </c>
      <c r="J904" t="s">
        <v>1021</v>
      </c>
      <c r="K904">
        <v>136.80000000000001</v>
      </c>
      <c r="L904">
        <v>927.94</v>
      </c>
      <c r="M904">
        <v>555.94000000000005</v>
      </c>
      <c r="O904" t="s">
        <v>34</v>
      </c>
    </row>
    <row r="905" spans="1:15">
      <c r="A905" t="s">
        <v>2172</v>
      </c>
      <c r="B905" s="2">
        <v>44531.397696759261</v>
      </c>
      <c r="C905" s="2">
        <v>44531.408113425925</v>
      </c>
      <c r="D905" t="s">
        <v>291</v>
      </c>
      <c r="E905" t="s">
        <v>1303</v>
      </c>
      <c r="F905" t="s">
        <v>1304</v>
      </c>
      <c r="G905" t="s">
        <v>1122</v>
      </c>
      <c r="H905" t="s">
        <v>2173</v>
      </c>
      <c r="I905">
        <v>390906007</v>
      </c>
      <c r="J905" t="s">
        <v>1255</v>
      </c>
      <c r="K905">
        <v>75</v>
      </c>
      <c r="L905">
        <v>75</v>
      </c>
      <c r="M905">
        <v>60</v>
      </c>
      <c r="N905">
        <v>55822004</v>
      </c>
      <c r="O905" t="s">
        <v>2010</v>
      </c>
    </row>
    <row r="906" spans="1:15">
      <c r="A906" t="s">
        <v>2174</v>
      </c>
      <c r="B906" s="2">
        <v>44569.772696759261</v>
      </c>
      <c r="C906" s="2">
        <v>44569.783113425925</v>
      </c>
      <c r="D906" t="s">
        <v>291</v>
      </c>
      <c r="E906" t="s">
        <v>1303</v>
      </c>
      <c r="F906" t="s">
        <v>1304</v>
      </c>
      <c r="G906" t="s">
        <v>1122</v>
      </c>
      <c r="H906" t="s">
        <v>1031</v>
      </c>
      <c r="I906">
        <v>185345009</v>
      </c>
      <c r="J906" t="s">
        <v>1032</v>
      </c>
      <c r="K906">
        <v>85.55</v>
      </c>
      <c r="L906">
        <v>85.55</v>
      </c>
      <c r="M906">
        <v>68.44</v>
      </c>
      <c r="N906">
        <v>444814009</v>
      </c>
      <c r="O906" t="s">
        <v>1035</v>
      </c>
    </row>
    <row r="907" spans="1:15">
      <c r="A907" t="s">
        <v>2175</v>
      </c>
      <c r="B907" s="2">
        <v>44727.439363425925</v>
      </c>
      <c r="C907" s="2">
        <v>44727.47960648148</v>
      </c>
      <c r="D907" t="s">
        <v>291</v>
      </c>
      <c r="E907" t="s">
        <v>2176</v>
      </c>
      <c r="F907" t="s">
        <v>2177</v>
      </c>
      <c r="G907" t="s">
        <v>1122</v>
      </c>
      <c r="H907" t="s">
        <v>1159</v>
      </c>
      <c r="I907">
        <v>702927004</v>
      </c>
      <c r="J907" t="s">
        <v>1160</v>
      </c>
      <c r="K907">
        <v>142.58000000000001</v>
      </c>
      <c r="L907">
        <v>1222.76</v>
      </c>
      <c r="M907">
        <v>978.2</v>
      </c>
      <c r="O907" t="s">
        <v>34</v>
      </c>
    </row>
    <row r="908" spans="1:15">
      <c r="A908" t="s">
        <v>2178</v>
      </c>
      <c r="B908" s="2">
        <v>44734.439363425925</v>
      </c>
      <c r="C908" s="2">
        <v>44734.449780092589</v>
      </c>
      <c r="D908" t="s">
        <v>291</v>
      </c>
      <c r="E908" t="s">
        <v>1303</v>
      </c>
      <c r="F908" t="s">
        <v>1304</v>
      </c>
      <c r="G908" t="s">
        <v>1122</v>
      </c>
      <c r="H908" t="s">
        <v>1031</v>
      </c>
      <c r="I908">
        <v>185345009</v>
      </c>
      <c r="J908" t="s">
        <v>1032</v>
      </c>
      <c r="K908">
        <v>85.55</v>
      </c>
      <c r="L908">
        <v>3536.75</v>
      </c>
      <c r="M908">
        <v>2829.4</v>
      </c>
      <c r="N908">
        <v>43878008</v>
      </c>
      <c r="O908" t="s">
        <v>1217</v>
      </c>
    </row>
    <row r="909" spans="1:15">
      <c r="A909" t="s">
        <v>2179</v>
      </c>
      <c r="B909" s="2">
        <v>44881.397696759261</v>
      </c>
      <c r="C909" s="2">
        <v>44881.42664351852</v>
      </c>
      <c r="D909" t="s">
        <v>291</v>
      </c>
      <c r="E909" t="s">
        <v>2149</v>
      </c>
      <c r="F909" t="s">
        <v>2150</v>
      </c>
      <c r="G909" t="s">
        <v>1019</v>
      </c>
      <c r="H909" t="s">
        <v>1020</v>
      </c>
      <c r="I909">
        <v>162673000</v>
      </c>
      <c r="J909" t="s">
        <v>1021</v>
      </c>
      <c r="K909">
        <v>136.80000000000001</v>
      </c>
      <c r="L909">
        <v>1397.54</v>
      </c>
      <c r="M909">
        <v>0</v>
      </c>
      <c r="O909" t="s">
        <v>34</v>
      </c>
    </row>
    <row r="910" spans="1:15">
      <c r="A910" t="s">
        <v>2180</v>
      </c>
      <c r="B910" s="2">
        <v>44896.397696759261</v>
      </c>
      <c r="C910" s="2">
        <v>44896.408113425925</v>
      </c>
      <c r="D910" t="s">
        <v>291</v>
      </c>
      <c r="E910" t="s">
        <v>1303</v>
      </c>
      <c r="F910" t="s">
        <v>1304</v>
      </c>
      <c r="G910" t="s">
        <v>1019</v>
      </c>
      <c r="H910" t="s">
        <v>1031</v>
      </c>
      <c r="I910">
        <v>390906007</v>
      </c>
      <c r="J910" t="s">
        <v>1255</v>
      </c>
      <c r="K910">
        <v>85.55</v>
      </c>
      <c r="L910">
        <v>234.71</v>
      </c>
      <c r="M910">
        <v>0</v>
      </c>
      <c r="N910">
        <v>55822004</v>
      </c>
      <c r="O910" t="s">
        <v>2010</v>
      </c>
    </row>
    <row r="911" spans="1:15">
      <c r="A911" t="s">
        <v>2181</v>
      </c>
      <c r="B911" s="2">
        <v>45201.485775462963</v>
      </c>
      <c r="C911" s="2">
        <v>45201.520138888889</v>
      </c>
      <c r="D911" t="s">
        <v>291</v>
      </c>
      <c r="E911" t="s">
        <v>1303</v>
      </c>
      <c r="F911" t="s">
        <v>1304</v>
      </c>
      <c r="G911" t="s">
        <v>1122</v>
      </c>
      <c r="H911" t="s">
        <v>1031</v>
      </c>
      <c r="I911">
        <v>185349003</v>
      </c>
      <c r="J911" t="s">
        <v>1038</v>
      </c>
      <c r="K911">
        <v>85.55</v>
      </c>
      <c r="L911">
        <v>22740.05</v>
      </c>
      <c r="M911">
        <v>18005.650000000001</v>
      </c>
      <c r="N911">
        <v>275978004</v>
      </c>
      <c r="O911" t="s">
        <v>1449</v>
      </c>
    </row>
    <row r="912" spans="1:15">
      <c r="A912" t="s">
        <v>2182</v>
      </c>
      <c r="B912" s="2">
        <v>45252.397696759261</v>
      </c>
      <c r="C912" s="2">
        <v>45252.439282407409</v>
      </c>
      <c r="D912" t="s">
        <v>291</v>
      </c>
      <c r="E912" t="s">
        <v>2149</v>
      </c>
      <c r="F912" t="s">
        <v>2150</v>
      </c>
      <c r="G912" t="s">
        <v>1122</v>
      </c>
      <c r="H912" t="s">
        <v>1020</v>
      </c>
      <c r="I912">
        <v>162673000</v>
      </c>
      <c r="J912" t="s">
        <v>1021</v>
      </c>
      <c r="K912">
        <v>136.80000000000001</v>
      </c>
      <c r="L912">
        <v>1216.98</v>
      </c>
      <c r="M912">
        <v>973.58</v>
      </c>
      <c r="O912" t="s">
        <v>34</v>
      </c>
    </row>
    <row r="913" spans="1:15">
      <c r="A913" t="s">
        <v>2183</v>
      </c>
      <c r="B913" s="2">
        <v>45261.397696759261</v>
      </c>
      <c r="C913" s="2">
        <v>45261.408113425925</v>
      </c>
      <c r="D913" t="s">
        <v>291</v>
      </c>
      <c r="E913" t="s">
        <v>1303</v>
      </c>
      <c r="F913" t="s">
        <v>1304</v>
      </c>
      <c r="G913" t="s">
        <v>1122</v>
      </c>
      <c r="H913" t="s">
        <v>1031</v>
      </c>
      <c r="I913">
        <v>390906007</v>
      </c>
      <c r="J913" t="s">
        <v>1255</v>
      </c>
      <c r="K913">
        <v>85.55</v>
      </c>
      <c r="L913">
        <v>234.71</v>
      </c>
      <c r="M913">
        <v>187.76</v>
      </c>
      <c r="N913">
        <v>55822004</v>
      </c>
      <c r="O913" t="s">
        <v>2010</v>
      </c>
    </row>
    <row r="914" spans="1:15">
      <c r="A914" t="s">
        <v>2184</v>
      </c>
      <c r="B914" s="2">
        <v>45356.856030092589</v>
      </c>
      <c r="C914" s="2">
        <v>45356.866446759261</v>
      </c>
      <c r="D914" t="s">
        <v>291</v>
      </c>
      <c r="E914" t="s">
        <v>1303</v>
      </c>
      <c r="F914" t="s">
        <v>1304</v>
      </c>
      <c r="G914" t="s">
        <v>1122</v>
      </c>
      <c r="H914" t="s">
        <v>1031</v>
      </c>
      <c r="I914">
        <v>185345009</v>
      </c>
      <c r="J914" t="s">
        <v>1032</v>
      </c>
      <c r="K914">
        <v>85.55</v>
      </c>
      <c r="L914">
        <v>5162.82</v>
      </c>
      <c r="M914">
        <v>4130.26</v>
      </c>
      <c r="N914">
        <v>10509002</v>
      </c>
      <c r="O914" t="s">
        <v>1033</v>
      </c>
    </row>
    <row r="915" spans="1:15">
      <c r="A915" t="s">
        <v>2185</v>
      </c>
      <c r="B915" s="2">
        <v>45623.397696759261</v>
      </c>
      <c r="C915" s="2">
        <v>45623.420648148145</v>
      </c>
      <c r="D915" t="s">
        <v>291</v>
      </c>
      <c r="E915" t="s">
        <v>2149</v>
      </c>
      <c r="F915" t="s">
        <v>2150</v>
      </c>
      <c r="G915" t="s">
        <v>1122</v>
      </c>
      <c r="H915" t="s">
        <v>1020</v>
      </c>
      <c r="I915">
        <v>162673000</v>
      </c>
      <c r="J915" t="s">
        <v>1021</v>
      </c>
      <c r="K915">
        <v>136.80000000000001</v>
      </c>
      <c r="L915">
        <v>1346.18</v>
      </c>
      <c r="M915">
        <v>890.54</v>
      </c>
      <c r="O915" t="s">
        <v>34</v>
      </c>
    </row>
    <row r="916" spans="1:15">
      <c r="A916" t="s">
        <v>2186</v>
      </c>
      <c r="B916" s="2">
        <v>45626.397696759261</v>
      </c>
      <c r="C916" s="2">
        <v>45626.408113425925</v>
      </c>
      <c r="D916" t="s">
        <v>291</v>
      </c>
      <c r="E916" t="s">
        <v>1303</v>
      </c>
      <c r="F916" t="s">
        <v>1304</v>
      </c>
      <c r="G916" t="s">
        <v>1122</v>
      </c>
      <c r="H916" t="s">
        <v>1031</v>
      </c>
      <c r="I916">
        <v>390906007</v>
      </c>
      <c r="J916" t="s">
        <v>1255</v>
      </c>
      <c r="K916">
        <v>85.55</v>
      </c>
      <c r="L916">
        <v>234.71</v>
      </c>
      <c r="M916">
        <v>187.76</v>
      </c>
      <c r="N916">
        <v>55822004</v>
      </c>
      <c r="O916" t="s">
        <v>2010</v>
      </c>
    </row>
    <row r="917" spans="1:15">
      <c r="A917" t="s">
        <v>2187</v>
      </c>
      <c r="B917" s="2">
        <v>45636.468055555553</v>
      </c>
      <c r="C917" s="2">
        <v>45636.485451388886</v>
      </c>
      <c r="D917" t="s">
        <v>291</v>
      </c>
      <c r="E917" t="s">
        <v>1303</v>
      </c>
      <c r="F917" t="s">
        <v>1304</v>
      </c>
      <c r="G917" t="s">
        <v>1122</v>
      </c>
      <c r="H917" t="s">
        <v>1031</v>
      </c>
      <c r="I917">
        <v>185349003</v>
      </c>
      <c r="J917" t="s">
        <v>1038</v>
      </c>
      <c r="K917">
        <v>85.55</v>
      </c>
      <c r="L917">
        <v>5138.45</v>
      </c>
      <c r="M917">
        <v>4110.76</v>
      </c>
      <c r="N917">
        <v>68496003</v>
      </c>
      <c r="O917" t="s">
        <v>2188</v>
      </c>
    </row>
    <row r="918" spans="1:15">
      <c r="A918" t="s">
        <v>2189</v>
      </c>
      <c r="B918" s="2">
        <v>45637.397696759261</v>
      </c>
      <c r="C918" s="2">
        <v>45637.516053240739</v>
      </c>
      <c r="D918" t="s">
        <v>291</v>
      </c>
      <c r="E918" t="s">
        <v>1303</v>
      </c>
      <c r="F918" t="s">
        <v>1304</v>
      </c>
      <c r="G918" t="s">
        <v>1122</v>
      </c>
      <c r="H918" t="s">
        <v>1031</v>
      </c>
      <c r="I918">
        <v>185349003</v>
      </c>
      <c r="J918" t="s">
        <v>1038</v>
      </c>
      <c r="K918">
        <v>85.55</v>
      </c>
      <c r="L918">
        <v>3105.35</v>
      </c>
      <c r="M918">
        <v>2484.2800000000002</v>
      </c>
      <c r="N918">
        <v>103697008</v>
      </c>
      <c r="O918" t="s">
        <v>1039</v>
      </c>
    </row>
    <row r="919" spans="1:15">
      <c r="A919" t="s">
        <v>2190</v>
      </c>
      <c r="B919" s="2">
        <v>45994.397696759261</v>
      </c>
      <c r="C919" s="2">
        <v>45994.438506944447</v>
      </c>
      <c r="D919" t="s">
        <v>291</v>
      </c>
      <c r="E919" t="s">
        <v>2149</v>
      </c>
      <c r="F919" t="s">
        <v>2150</v>
      </c>
      <c r="G919" t="s">
        <v>1122</v>
      </c>
      <c r="H919" t="s">
        <v>1020</v>
      </c>
      <c r="I919">
        <v>162673000</v>
      </c>
      <c r="J919" t="s">
        <v>1021</v>
      </c>
      <c r="K919">
        <v>136.80000000000001</v>
      </c>
      <c r="L919">
        <v>1359.34</v>
      </c>
      <c r="M919">
        <v>901.06</v>
      </c>
      <c r="O919" t="s">
        <v>34</v>
      </c>
    </row>
    <row r="920" spans="1:15">
      <c r="A920" t="s">
        <v>2191</v>
      </c>
      <c r="B920" s="2">
        <v>46001.397696759261</v>
      </c>
      <c r="C920" s="2">
        <v>46001.408113425925</v>
      </c>
      <c r="D920" t="s">
        <v>291</v>
      </c>
      <c r="E920" t="s">
        <v>1303</v>
      </c>
      <c r="F920" t="s">
        <v>1304</v>
      </c>
      <c r="G920" t="s">
        <v>1122</v>
      </c>
      <c r="H920" t="s">
        <v>1031</v>
      </c>
      <c r="I920">
        <v>390906007</v>
      </c>
      <c r="J920" t="s">
        <v>1255</v>
      </c>
      <c r="K920">
        <v>85.55</v>
      </c>
      <c r="L920">
        <v>234.71</v>
      </c>
      <c r="M920">
        <v>187.76</v>
      </c>
      <c r="N920">
        <v>55822004</v>
      </c>
      <c r="O920" t="s">
        <v>2010</v>
      </c>
    </row>
    <row r="921" spans="1:15">
      <c r="A921" t="s">
        <v>2192</v>
      </c>
      <c r="B921" s="2">
        <v>46008.397696759261</v>
      </c>
      <c r="C921" s="2">
        <v>46008.515138888892</v>
      </c>
      <c r="D921" t="s">
        <v>291</v>
      </c>
      <c r="E921" t="s">
        <v>1303</v>
      </c>
      <c r="F921" t="s">
        <v>1304</v>
      </c>
      <c r="G921" t="s">
        <v>1122</v>
      </c>
      <c r="H921" t="s">
        <v>1031</v>
      </c>
      <c r="I921">
        <v>185349003</v>
      </c>
      <c r="J921" t="s">
        <v>1038</v>
      </c>
      <c r="K921">
        <v>85.55</v>
      </c>
      <c r="L921">
        <v>2673.95</v>
      </c>
      <c r="M921">
        <v>2139.16</v>
      </c>
      <c r="N921">
        <v>66383009</v>
      </c>
      <c r="O921" t="s">
        <v>1209</v>
      </c>
    </row>
    <row r="922" spans="1:15">
      <c r="A922" t="s">
        <v>2193</v>
      </c>
      <c r="B922" s="2">
        <v>28857.744224537037</v>
      </c>
      <c r="C922" s="2">
        <v>28857.770868055555</v>
      </c>
      <c r="D922" t="s">
        <v>301</v>
      </c>
      <c r="E922" t="s">
        <v>2194</v>
      </c>
      <c r="F922" t="s">
        <v>2195</v>
      </c>
      <c r="G922" t="s">
        <v>1093</v>
      </c>
      <c r="H922" t="s">
        <v>1020</v>
      </c>
      <c r="I922">
        <v>162673000</v>
      </c>
      <c r="J922" t="s">
        <v>1021</v>
      </c>
      <c r="K922">
        <v>136.80000000000001</v>
      </c>
      <c r="L922">
        <v>1156.5</v>
      </c>
      <c r="M922">
        <v>1006.5</v>
      </c>
      <c r="O922" t="s">
        <v>34</v>
      </c>
    </row>
    <row r="923" spans="1:15">
      <c r="A923" t="s">
        <v>2196</v>
      </c>
      <c r="B923" s="2">
        <v>35822.74422453704</v>
      </c>
      <c r="C923" s="2">
        <v>35822.776284722226</v>
      </c>
      <c r="D923" t="s">
        <v>301</v>
      </c>
      <c r="E923" t="s">
        <v>2194</v>
      </c>
      <c r="F923" t="s">
        <v>2195</v>
      </c>
      <c r="G923" t="s">
        <v>1093</v>
      </c>
      <c r="H923" t="s">
        <v>1020</v>
      </c>
      <c r="I923">
        <v>162673000</v>
      </c>
      <c r="J923" t="s">
        <v>1021</v>
      </c>
      <c r="K923">
        <v>136.80000000000001</v>
      </c>
      <c r="L923">
        <v>778.78</v>
      </c>
      <c r="M923">
        <v>628.78</v>
      </c>
      <c r="O923" t="s">
        <v>34</v>
      </c>
    </row>
    <row r="924" spans="1:15">
      <c r="A924" t="s">
        <v>2197</v>
      </c>
      <c r="B924" s="2">
        <v>36844.74422453704</v>
      </c>
      <c r="C924" s="2">
        <v>36844.782650462963</v>
      </c>
      <c r="D924" t="s">
        <v>301</v>
      </c>
      <c r="E924" t="s">
        <v>2194</v>
      </c>
      <c r="F924" t="s">
        <v>2195</v>
      </c>
      <c r="G924" t="s">
        <v>1093</v>
      </c>
      <c r="H924" t="s">
        <v>1020</v>
      </c>
      <c r="I924">
        <v>162673000</v>
      </c>
      <c r="J924" t="s">
        <v>1021</v>
      </c>
      <c r="K924">
        <v>136.80000000000001</v>
      </c>
      <c r="L924">
        <v>1127.58</v>
      </c>
      <c r="M924">
        <v>977.58</v>
      </c>
      <c r="O924" t="s">
        <v>34</v>
      </c>
    </row>
    <row r="925" spans="1:15">
      <c r="A925" t="s">
        <v>2198</v>
      </c>
      <c r="B925" s="2">
        <v>36852.875428240739</v>
      </c>
      <c r="C925" s="2">
        <v>36852.885844907411</v>
      </c>
      <c r="D925" t="s">
        <v>301</v>
      </c>
      <c r="E925" t="s">
        <v>2199</v>
      </c>
      <c r="F925" t="s">
        <v>2200</v>
      </c>
      <c r="G925" t="s">
        <v>1093</v>
      </c>
      <c r="H925" t="s">
        <v>1031</v>
      </c>
      <c r="I925">
        <v>185347001</v>
      </c>
      <c r="J925" t="s">
        <v>1124</v>
      </c>
      <c r="K925">
        <v>85.55</v>
      </c>
      <c r="L925">
        <v>160.13</v>
      </c>
      <c r="M925">
        <v>110.13</v>
      </c>
      <c r="N925">
        <v>271737000</v>
      </c>
      <c r="O925" t="s">
        <v>1479</v>
      </c>
    </row>
    <row r="926" spans="1:15">
      <c r="A926" t="s">
        <v>2201</v>
      </c>
      <c r="B926" s="2">
        <v>37215.74422453704</v>
      </c>
      <c r="C926" s="2">
        <v>37215.773587962962</v>
      </c>
      <c r="D926" t="s">
        <v>301</v>
      </c>
      <c r="E926" t="s">
        <v>2194</v>
      </c>
      <c r="F926" t="s">
        <v>2195</v>
      </c>
      <c r="G926" t="s">
        <v>1093</v>
      </c>
      <c r="H926" t="s">
        <v>1020</v>
      </c>
      <c r="I926">
        <v>162673000</v>
      </c>
      <c r="J926" t="s">
        <v>1021</v>
      </c>
      <c r="K926">
        <v>136.80000000000001</v>
      </c>
      <c r="L926">
        <v>1347.86</v>
      </c>
      <c r="M926">
        <v>1197.8599999999999</v>
      </c>
      <c r="O926" t="s">
        <v>34</v>
      </c>
    </row>
    <row r="927" spans="1:15">
      <c r="A927" t="s">
        <v>2202</v>
      </c>
      <c r="B927" s="2">
        <v>38503.785891203705</v>
      </c>
      <c r="C927" s="2">
        <v>38503.823576388888</v>
      </c>
      <c r="D927" t="s">
        <v>301</v>
      </c>
      <c r="E927" t="s">
        <v>2199</v>
      </c>
      <c r="F927" t="s">
        <v>2200</v>
      </c>
      <c r="G927" t="s">
        <v>1093</v>
      </c>
      <c r="H927" t="s">
        <v>1043</v>
      </c>
      <c r="I927">
        <v>185349003</v>
      </c>
      <c r="J927" t="s">
        <v>1038</v>
      </c>
      <c r="K927">
        <v>85.55</v>
      </c>
      <c r="L927">
        <v>808.91</v>
      </c>
      <c r="M927">
        <v>758.91</v>
      </c>
      <c r="O927" t="s">
        <v>34</v>
      </c>
    </row>
    <row r="928" spans="1:15">
      <c r="A928" t="s">
        <v>2203</v>
      </c>
      <c r="B928" s="2">
        <v>39322.86010416667</v>
      </c>
      <c r="C928" s="2">
        <v>39322.890659722223</v>
      </c>
      <c r="D928" t="s">
        <v>301</v>
      </c>
      <c r="E928" t="s">
        <v>2199</v>
      </c>
      <c r="F928" t="s">
        <v>2200</v>
      </c>
      <c r="G928" t="s">
        <v>1093</v>
      </c>
      <c r="H928" t="s">
        <v>1031</v>
      </c>
      <c r="I928">
        <v>36228007</v>
      </c>
      <c r="J928" t="s">
        <v>1705</v>
      </c>
      <c r="K928">
        <v>142.58000000000001</v>
      </c>
      <c r="L928">
        <v>2730.98</v>
      </c>
      <c r="M928">
        <v>2680.98</v>
      </c>
      <c r="O928" t="s">
        <v>34</v>
      </c>
    </row>
    <row r="929" spans="1:15">
      <c r="A929" t="s">
        <v>2204</v>
      </c>
      <c r="B929" s="2">
        <v>40183.74422453704</v>
      </c>
      <c r="C929" s="2">
        <v>40183.773773148147</v>
      </c>
      <c r="D929" t="s">
        <v>301</v>
      </c>
      <c r="E929" t="s">
        <v>2194</v>
      </c>
      <c r="F929" t="s">
        <v>2195</v>
      </c>
      <c r="G929" t="s">
        <v>1093</v>
      </c>
      <c r="H929" t="s">
        <v>1020</v>
      </c>
      <c r="I929">
        <v>162673000</v>
      </c>
      <c r="J929" t="s">
        <v>1021</v>
      </c>
      <c r="K929">
        <v>136.80000000000001</v>
      </c>
      <c r="L929">
        <v>860.16</v>
      </c>
      <c r="M929">
        <v>760.16</v>
      </c>
      <c r="O929" t="s">
        <v>34</v>
      </c>
    </row>
    <row r="930" spans="1:15">
      <c r="A930" t="s">
        <v>2205</v>
      </c>
      <c r="B930" s="2">
        <v>40925.74422453704</v>
      </c>
      <c r="C930" s="2">
        <v>40925.778090277781</v>
      </c>
      <c r="D930" t="s">
        <v>301</v>
      </c>
      <c r="E930" t="s">
        <v>2194</v>
      </c>
      <c r="F930" t="s">
        <v>2195</v>
      </c>
      <c r="G930" t="s">
        <v>1093</v>
      </c>
      <c r="H930" t="s">
        <v>1020</v>
      </c>
      <c r="I930">
        <v>162673000</v>
      </c>
      <c r="J930" t="s">
        <v>1021</v>
      </c>
      <c r="K930">
        <v>136.80000000000001</v>
      </c>
      <c r="L930">
        <v>1132.1600000000001</v>
      </c>
      <c r="M930">
        <v>1032.1600000000001</v>
      </c>
      <c r="O930" t="s">
        <v>34</v>
      </c>
    </row>
    <row r="931" spans="1:15">
      <c r="A931" t="s">
        <v>2206</v>
      </c>
      <c r="B931" s="2">
        <v>41296.74422453704</v>
      </c>
      <c r="C931" s="2">
        <v>41296.773252314815</v>
      </c>
      <c r="D931" t="s">
        <v>301</v>
      </c>
      <c r="E931" t="s">
        <v>2194</v>
      </c>
      <c r="F931" t="s">
        <v>2195</v>
      </c>
      <c r="G931" t="s">
        <v>1093</v>
      </c>
      <c r="H931" t="s">
        <v>1020</v>
      </c>
      <c r="I931">
        <v>162673000</v>
      </c>
      <c r="J931" t="s">
        <v>1021</v>
      </c>
      <c r="K931">
        <v>136.80000000000001</v>
      </c>
      <c r="L931">
        <v>853.36</v>
      </c>
      <c r="M931">
        <v>753.36</v>
      </c>
      <c r="O931" t="s">
        <v>34</v>
      </c>
    </row>
    <row r="932" spans="1:15">
      <c r="A932" t="s">
        <v>2207</v>
      </c>
      <c r="B932" s="2">
        <v>41940.785891203705</v>
      </c>
      <c r="C932" s="2">
        <v>41940.811006944445</v>
      </c>
      <c r="D932" t="s">
        <v>301</v>
      </c>
      <c r="E932" t="s">
        <v>2199</v>
      </c>
      <c r="F932" t="s">
        <v>2200</v>
      </c>
      <c r="G932" t="s">
        <v>1093</v>
      </c>
      <c r="H932" t="s">
        <v>1043</v>
      </c>
      <c r="I932">
        <v>185349003</v>
      </c>
      <c r="J932" t="s">
        <v>1038</v>
      </c>
      <c r="K932">
        <v>85.55</v>
      </c>
      <c r="L932">
        <v>802.11</v>
      </c>
      <c r="M932">
        <v>752.11</v>
      </c>
      <c r="O932" t="s">
        <v>34</v>
      </c>
    </row>
    <row r="933" spans="1:15">
      <c r="A933" t="s">
        <v>2208</v>
      </c>
      <c r="B933" s="2">
        <v>42038.74422453704</v>
      </c>
      <c r="C933" s="2">
        <v>42038.771678240744</v>
      </c>
      <c r="D933" t="s">
        <v>301</v>
      </c>
      <c r="E933" t="s">
        <v>2194</v>
      </c>
      <c r="F933" t="s">
        <v>2195</v>
      </c>
      <c r="G933" t="s">
        <v>1093</v>
      </c>
      <c r="H933" t="s">
        <v>1020</v>
      </c>
      <c r="I933">
        <v>162673000</v>
      </c>
      <c r="J933" t="s">
        <v>1021</v>
      </c>
      <c r="K933">
        <v>136.80000000000001</v>
      </c>
      <c r="L933">
        <v>717.36</v>
      </c>
      <c r="M933">
        <v>717.36</v>
      </c>
      <c r="O933" t="s">
        <v>34</v>
      </c>
    </row>
    <row r="934" spans="1:15">
      <c r="A934" t="s">
        <v>2209</v>
      </c>
      <c r="B934" s="2">
        <v>42409.74422453704</v>
      </c>
      <c r="C934" s="2">
        <v>42409.779363425929</v>
      </c>
      <c r="D934" t="s">
        <v>301</v>
      </c>
      <c r="E934" t="s">
        <v>2194</v>
      </c>
      <c r="F934" t="s">
        <v>2195</v>
      </c>
      <c r="G934" t="s">
        <v>1093</v>
      </c>
      <c r="H934" t="s">
        <v>1020</v>
      </c>
      <c r="I934">
        <v>162673000</v>
      </c>
      <c r="J934" t="s">
        <v>1021</v>
      </c>
      <c r="K934">
        <v>136.80000000000001</v>
      </c>
      <c r="L934">
        <v>927.94</v>
      </c>
      <c r="M934">
        <v>927.94</v>
      </c>
      <c r="O934" t="s">
        <v>34</v>
      </c>
    </row>
    <row r="935" spans="1:15">
      <c r="A935" t="s">
        <v>2210</v>
      </c>
      <c r="B935" s="2">
        <v>42712.936192129629</v>
      </c>
      <c r="C935" s="2">
        <v>42712.969814814816</v>
      </c>
      <c r="D935" t="s">
        <v>301</v>
      </c>
      <c r="E935" t="s">
        <v>2199</v>
      </c>
      <c r="F935" t="s">
        <v>2200</v>
      </c>
      <c r="G935" t="s">
        <v>1093</v>
      </c>
      <c r="H935" t="s">
        <v>1031</v>
      </c>
      <c r="I935">
        <v>36228007</v>
      </c>
      <c r="J935" t="s">
        <v>1705</v>
      </c>
      <c r="K935">
        <v>142.58000000000001</v>
      </c>
      <c r="L935">
        <v>3236.96</v>
      </c>
      <c r="M935">
        <v>3166.9</v>
      </c>
      <c r="O935" t="s">
        <v>34</v>
      </c>
    </row>
    <row r="936" spans="1:15">
      <c r="A936" t="s">
        <v>2211</v>
      </c>
      <c r="B936" s="2">
        <v>42780.74422453704</v>
      </c>
      <c r="C936" s="2">
        <v>42780.77076388889</v>
      </c>
      <c r="D936" t="s">
        <v>301</v>
      </c>
      <c r="E936" t="s">
        <v>2194</v>
      </c>
      <c r="F936" t="s">
        <v>2195</v>
      </c>
      <c r="G936" t="s">
        <v>1093</v>
      </c>
      <c r="H936" t="s">
        <v>1020</v>
      </c>
      <c r="I936">
        <v>162673000</v>
      </c>
      <c r="J936" t="s">
        <v>1021</v>
      </c>
      <c r="K936">
        <v>136.80000000000001</v>
      </c>
      <c r="L936">
        <v>1499.03</v>
      </c>
      <c r="M936">
        <v>1499.03</v>
      </c>
      <c r="O936" t="s">
        <v>34</v>
      </c>
    </row>
    <row r="937" spans="1:15">
      <c r="A937" t="s">
        <v>2212</v>
      </c>
      <c r="B937" s="2">
        <v>42794.74422453704</v>
      </c>
      <c r="C937" s="2">
        <v>42794.90488425926</v>
      </c>
      <c r="D937" t="s">
        <v>301</v>
      </c>
      <c r="E937" t="s">
        <v>2199</v>
      </c>
      <c r="F937" t="s">
        <v>2200</v>
      </c>
      <c r="G937" t="s">
        <v>1093</v>
      </c>
      <c r="H937" t="s">
        <v>1031</v>
      </c>
      <c r="I937">
        <v>185349003</v>
      </c>
      <c r="J937" t="s">
        <v>1038</v>
      </c>
      <c r="K937">
        <v>85.55</v>
      </c>
      <c r="L937">
        <v>3536.75</v>
      </c>
      <c r="M937">
        <v>3486.75</v>
      </c>
      <c r="N937">
        <v>103697008</v>
      </c>
      <c r="O937" t="s">
        <v>1039</v>
      </c>
    </row>
    <row r="938" spans="1:15">
      <c r="A938" t="s">
        <v>2213</v>
      </c>
      <c r="B938" s="2">
        <v>42899.785891203705</v>
      </c>
      <c r="C938" s="2">
        <v>42899.820717592593</v>
      </c>
      <c r="D938" t="s">
        <v>301</v>
      </c>
      <c r="E938" t="s">
        <v>2199</v>
      </c>
      <c r="F938" t="s">
        <v>2200</v>
      </c>
      <c r="G938" t="s">
        <v>1093</v>
      </c>
      <c r="H938" t="s">
        <v>1043</v>
      </c>
      <c r="I938">
        <v>185349003</v>
      </c>
      <c r="J938" t="s">
        <v>1038</v>
      </c>
      <c r="K938">
        <v>85.55</v>
      </c>
      <c r="L938">
        <v>1073.17</v>
      </c>
      <c r="M938">
        <v>1023.17</v>
      </c>
      <c r="O938" t="s">
        <v>34</v>
      </c>
    </row>
    <row r="939" spans="1:15">
      <c r="A939" t="s">
        <v>2214</v>
      </c>
      <c r="B939" s="2">
        <v>42906.785891203705</v>
      </c>
      <c r="C939" s="2">
        <v>42906.796307870369</v>
      </c>
      <c r="D939" t="s">
        <v>301</v>
      </c>
      <c r="E939" t="s">
        <v>2199</v>
      </c>
      <c r="F939" t="s">
        <v>2200</v>
      </c>
      <c r="G939" t="s">
        <v>1093</v>
      </c>
      <c r="H939" t="s">
        <v>1031</v>
      </c>
      <c r="I939">
        <v>185345009</v>
      </c>
      <c r="J939" t="s">
        <v>1032</v>
      </c>
      <c r="K939">
        <v>85.55</v>
      </c>
      <c r="L939">
        <v>85.55</v>
      </c>
      <c r="M939">
        <v>35.549999999999997</v>
      </c>
      <c r="N939">
        <v>444814009</v>
      </c>
      <c r="O939" t="s">
        <v>1035</v>
      </c>
    </row>
    <row r="940" spans="1:15">
      <c r="A940" t="s">
        <v>2215</v>
      </c>
      <c r="B940" s="2">
        <v>42913.785891203705</v>
      </c>
      <c r="C940" s="2">
        <v>42913.8984375</v>
      </c>
      <c r="D940" t="s">
        <v>301</v>
      </c>
      <c r="E940" t="s">
        <v>2199</v>
      </c>
      <c r="F940" t="s">
        <v>2200</v>
      </c>
      <c r="G940" t="s">
        <v>1093</v>
      </c>
      <c r="H940" t="s">
        <v>1031</v>
      </c>
      <c r="I940">
        <v>185349003</v>
      </c>
      <c r="J940" t="s">
        <v>1038</v>
      </c>
      <c r="K940">
        <v>85.55</v>
      </c>
      <c r="L940">
        <v>3105.35</v>
      </c>
      <c r="M940">
        <v>3055.35</v>
      </c>
      <c r="N940">
        <v>103697008</v>
      </c>
      <c r="O940" t="s">
        <v>1039</v>
      </c>
    </row>
    <row r="941" spans="1:15">
      <c r="A941" t="s">
        <v>2216</v>
      </c>
      <c r="B941" s="2">
        <v>43042.990648148145</v>
      </c>
      <c r="C941" s="2">
        <v>43043.023969907408</v>
      </c>
      <c r="D941" t="s">
        <v>301</v>
      </c>
      <c r="E941" t="s">
        <v>2199</v>
      </c>
      <c r="F941" t="s">
        <v>2200</v>
      </c>
      <c r="G941" t="s">
        <v>1093</v>
      </c>
      <c r="H941" t="s">
        <v>1031</v>
      </c>
      <c r="I941">
        <v>36228007</v>
      </c>
      <c r="J941" t="s">
        <v>1705</v>
      </c>
      <c r="K941">
        <v>142.58000000000001</v>
      </c>
      <c r="L941">
        <v>3236.96</v>
      </c>
      <c r="M941">
        <v>3186.96</v>
      </c>
      <c r="O941" t="s">
        <v>34</v>
      </c>
    </row>
    <row r="942" spans="1:15">
      <c r="A942" t="s">
        <v>2217</v>
      </c>
      <c r="B942" s="2">
        <v>43151.74422453704</v>
      </c>
      <c r="C942" s="2">
        <v>43151.774513888886</v>
      </c>
      <c r="D942" t="s">
        <v>301</v>
      </c>
      <c r="E942" t="s">
        <v>2194</v>
      </c>
      <c r="F942" t="s">
        <v>2195</v>
      </c>
      <c r="G942" t="s">
        <v>1093</v>
      </c>
      <c r="H942" t="s">
        <v>1020</v>
      </c>
      <c r="I942">
        <v>162673000</v>
      </c>
      <c r="J942" t="s">
        <v>1021</v>
      </c>
      <c r="K942">
        <v>136.80000000000001</v>
      </c>
      <c r="L942">
        <v>717.36</v>
      </c>
      <c r="M942">
        <v>617.36</v>
      </c>
      <c r="O942" t="s">
        <v>34</v>
      </c>
    </row>
    <row r="943" spans="1:15">
      <c r="A943" t="s">
        <v>2218</v>
      </c>
      <c r="B943" s="2">
        <v>43373.003136574072</v>
      </c>
      <c r="C943" s="2">
        <v>43373.036180555559</v>
      </c>
      <c r="D943" t="s">
        <v>301</v>
      </c>
      <c r="E943" t="s">
        <v>2199</v>
      </c>
      <c r="F943" t="s">
        <v>2200</v>
      </c>
      <c r="G943" t="s">
        <v>1093</v>
      </c>
      <c r="H943" t="s">
        <v>1031</v>
      </c>
      <c r="I943">
        <v>36228007</v>
      </c>
      <c r="J943" t="s">
        <v>1705</v>
      </c>
      <c r="K943">
        <v>142.58000000000001</v>
      </c>
      <c r="L943">
        <v>3236.96</v>
      </c>
      <c r="M943">
        <v>3186.96</v>
      </c>
      <c r="O943" t="s">
        <v>34</v>
      </c>
    </row>
    <row r="944" spans="1:15">
      <c r="A944" t="s">
        <v>2219</v>
      </c>
      <c r="B944" s="2">
        <v>43413.327557870369</v>
      </c>
      <c r="C944" s="2">
        <v>43413.33797453704</v>
      </c>
      <c r="D944" t="s">
        <v>301</v>
      </c>
      <c r="E944" t="s">
        <v>2199</v>
      </c>
      <c r="F944" t="s">
        <v>2200</v>
      </c>
      <c r="G944" t="s">
        <v>1093</v>
      </c>
      <c r="H944" t="s">
        <v>1031</v>
      </c>
      <c r="I944">
        <v>185345009</v>
      </c>
      <c r="J944" t="s">
        <v>1032</v>
      </c>
      <c r="K944">
        <v>85.55</v>
      </c>
      <c r="L944">
        <v>85.55</v>
      </c>
      <c r="M944">
        <v>35.549999999999997</v>
      </c>
      <c r="N944">
        <v>195662009</v>
      </c>
      <c r="O944" t="s">
        <v>1130</v>
      </c>
    </row>
    <row r="945" spans="1:15">
      <c r="A945" t="s">
        <v>2220</v>
      </c>
      <c r="B945" s="2">
        <v>43424.74422453704</v>
      </c>
      <c r="C945" s="2">
        <v>43424.77003472222</v>
      </c>
      <c r="D945" t="s">
        <v>301</v>
      </c>
      <c r="E945" t="s">
        <v>2199</v>
      </c>
      <c r="F945" t="s">
        <v>2200</v>
      </c>
      <c r="G945" t="s">
        <v>1093</v>
      </c>
      <c r="H945" t="s">
        <v>1043</v>
      </c>
      <c r="I945">
        <v>185349003</v>
      </c>
      <c r="J945" t="s">
        <v>1038</v>
      </c>
      <c r="K945">
        <v>85.55</v>
      </c>
      <c r="L945">
        <v>1017.81</v>
      </c>
      <c r="M945">
        <v>867.81</v>
      </c>
      <c r="O945" t="s">
        <v>34</v>
      </c>
    </row>
    <row r="946" spans="1:15">
      <c r="A946" t="s">
        <v>2221</v>
      </c>
      <c r="B946" s="2">
        <v>43522.74422453704</v>
      </c>
      <c r="C946" s="2">
        <v>43522.767361111109</v>
      </c>
      <c r="D946" t="s">
        <v>301</v>
      </c>
      <c r="E946" t="s">
        <v>2194</v>
      </c>
      <c r="F946" t="s">
        <v>2195</v>
      </c>
      <c r="G946" t="s">
        <v>1093</v>
      </c>
      <c r="H946" t="s">
        <v>1020</v>
      </c>
      <c r="I946">
        <v>162673000</v>
      </c>
      <c r="J946" t="s">
        <v>1021</v>
      </c>
      <c r="K946">
        <v>136.80000000000001</v>
      </c>
      <c r="L946">
        <v>933.06</v>
      </c>
      <c r="M946">
        <v>933.06</v>
      </c>
      <c r="O946" t="s">
        <v>34</v>
      </c>
    </row>
    <row r="947" spans="1:15">
      <c r="A947" t="s">
        <v>2222</v>
      </c>
      <c r="B947" s="2">
        <v>43536.785891203705</v>
      </c>
      <c r="C947" s="2">
        <v>43536.928402777776</v>
      </c>
      <c r="D947" t="s">
        <v>301</v>
      </c>
      <c r="E947" t="s">
        <v>2199</v>
      </c>
      <c r="F947" t="s">
        <v>2200</v>
      </c>
      <c r="G947" t="s">
        <v>1093</v>
      </c>
      <c r="H947" t="s">
        <v>1031</v>
      </c>
      <c r="I947">
        <v>185349003</v>
      </c>
      <c r="J947" t="s">
        <v>1038</v>
      </c>
      <c r="K947">
        <v>85.55</v>
      </c>
      <c r="L947">
        <v>3536.75</v>
      </c>
      <c r="M947">
        <v>3486.75</v>
      </c>
      <c r="N947">
        <v>103697008</v>
      </c>
      <c r="O947" t="s">
        <v>1039</v>
      </c>
    </row>
    <row r="948" spans="1:15">
      <c r="A948" t="s">
        <v>2223</v>
      </c>
      <c r="B948" s="2">
        <v>43733.015347222223</v>
      </c>
      <c r="C948" s="2">
        <v>43733.04892361111</v>
      </c>
      <c r="D948" t="s">
        <v>301</v>
      </c>
      <c r="E948" t="s">
        <v>2199</v>
      </c>
      <c r="F948" t="s">
        <v>2200</v>
      </c>
      <c r="G948" t="s">
        <v>1093</v>
      </c>
      <c r="H948" t="s">
        <v>1031</v>
      </c>
      <c r="I948">
        <v>36228007</v>
      </c>
      <c r="J948" t="s">
        <v>1705</v>
      </c>
      <c r="K948">
        <v>142.58000000000001</v>
      </c>
      <c r="L948">
        <v>3236.96</v>
      </c>
      <c r="M948">
        <v>3186.96</v>
      </c>
      <c r="O948" t="s">
        <v>34</v>
      </c>
    </row>
    <row r="949" spans="1:15">
      <c r="A949" t="s">
        <v>2224</v>
      </c>
      <c r="B949" s="2">
        <v>43893.74422453704</v>
      </c>
      <c r="C949" s="2">
        <v>43893.768854166665</v>
      </c>
      <c r="D949" t="s">
        <v>301</v>
      </c>
      <c r="E949" t="s">
        <v>2194</v>
      </c>
      <c r="F949" t="s">
        <v>2195</v>
      </c>
      <c r="G949" t="s">
        <v>1093</v>
      </c>
      <c r="H949" t="s">
        <v>1020</v>
      </c>
      <c r="I949">
        <v>162673000</v>
      </c>
      <c r="J949" t="s">
        <v>1021</v>
      </c>
      <c r="K949">
        <v>136.80000000000001</v>
      </c>
      <c r="L949">
        <v>853.36</v>
      </c>
      <c r="M949">
        <v>753.36</v>
      </c>
      <c r="O949" t="s">
        <v>34</v>
      </c>
    </row>
    <row r="950" spans="1:15">
      <c r="A950" t="s">
        <v>2225</v>
      </c>
      <c r="B950" s="2">
        <v>43907.785891203705</v>
      </c>
      <c r="C950" s="2">
        <v>43908.019988425927</v>
      </c>
      <c r="D950" t="s">
        <v>301</v>
      </c>
      <c r="E950" t="s">
        <v>2199</v>
      </c>
      <c r="F950" t="s">
        <v>2200</v>
      </c>
      <c r="G950" t="s">
        <v>1093</v>
      </c>
      <c r="H950" t="s">
        <v>1031</v>
      </c>
      <c r="I950">
        <v>185349003</v>
      </c>
      <c r="J950" t="s">
        <v>1038</v>
      </c>
      <c r="K950">
        <v>85.55</v>
      </c>
      <c r="L950">
        <v>4399.55</v>
      </c>
      <c r="M950">
        <v>4349.55</v>
      </c>
      <c r="N950">
        <v>103697008</v>
      </c>
      <c r="O950" t="s">
        <v>1039</v>
      </c>
    </row>
    <row r="951" spans="1:15">
      <c r="A951" t="s">
        <v>2226</v>
      </c>
      <c r="B951" s="2">
        <v>44093.028090277781</v>
      </c>
      <c r="C951" s="2">
        <v>44093.061944444446</v>
      </c>
      <c r="D951" t="s">
        <v>301</v>
      </c>
      <c r="E951" t="s">
        <v>2199</v>
      </c>
      <c r="F951" t="s">
        <v>2200</v>
      </c>
      <c r="G951" t="s">
        <v>1093</v>
      </c>
      <c r="H951" t="s">
        <v>1031</v>
      </c>
      <c r="I951">
        <v>36228007</v>
      </c>
      <c r="J951" t="s">
        <v>1705</v>
      </c>
      <c r="K951">
        <v>142.58000000000001</v>
      </c>
      <c r="L951">
        <v>3236.96</v>
      </c>
      <c r="M951">
        <v>3186.96</v>
      </c>
      <c r="O951" t="s">
        <v>34</v>
      </c>
    </row>
    <row r="952" spans="1:15">
      <c r="A952" t="s">
        <v>2227</v>
      </c>
      <c r="B952" s="2">
        <v>44143.79414351852</v>
      </c>
      <c r="C952" s="2">
        <v>44143.821319444447</v>
      </c>
      <c r="D952" t="s">
        <v>301</v>
      </c>
      <c r="E952" t="s">
        <v>2199</v>
      </c>
      <c r="F952" t="s">
        <v>2200</v>
      </c>
      <c r="G952" t="s">
        <v>1093</v>
      </c>
      <c r="H952" t="s">
        <v>1031</v>
      </c>
      <c r="I952">
        <v>185349003</v>
      </c>
      <c r="J952" t="s">
        <v>1038</v>
      </c>
      <c r="K952">
        <v>85.55</v>
      </c>
      <c r="L952">
        <v>5138.45</v>
      </c>
      <c r="M952">
        <v>5088.45</v>
      </c>
      <c r="N952">
        <v>275978004</v>
      </c>
      <c r="O952" t="s">
        <v>1449</v>
      </c>
    </row>
    <row r="953" spans="1:15">
      <c r="A953" t="s">
        <v>2228</v>
      </c>
      <c r="B953" s="2">
        <v>44264.74422453704</v>
      </c>
      <c r="C953" s="2">
        <v>44264.77921296296</v>
      </c>
      <c r="D953" t="s">
        <v>301</v>
      </c>
      <c r="E953" t="s">
        <v>2194</v>
      </c>
      <c r="F953" t="s">
        <v>2195</v>
      </c>
      <c r="G953" t="s">
        <v>1093</v>
      </c>
      <c r="H953" t="s">
        <v>1020</v>
      </c>
      <c r="I953">
        <v>162673000</v>
      </c>
      <c r="J953" t="s">
        <v>1021</v>
      </c>
      <c r="K953">
        <v>136.80000000000001</v>
      </c>
      <c r="L953">
        <v>927.94</v>
      </c>
      <c r="M953">
        <v>827.94</v>
      </c>
      <c r="O953" t="s">
        <v>34</v>
      </c>
    </row>
    <row r="954" spans="1:15">
      <c r="A954" t="s">
        <v>2229</v>
      </c>
      <c r="B954" s="2">
        <v>44299.785891203705</v>
      </c>
      <c r="C954" s="2">
        <v>44299.796307870369</v>
      </c>
      <c r="D954" t="s">
        <v>301</v>
      </c>
      <c r="E954" t="s">
        <v>2199</v>
      </c>
      <c r="F954" t="s">
        <v>2200</v>
      </c>
      <c r="G954" t="s">
        <v>1093</v>
      </c>
      <c r="H954" t="s">
        <v>1043</v>
      </c>
      <c r="I954">
        <v>33879002</v>
      </c>
      <c r="J954" t="s">
        <v>1044</v>
      </c>
      <c r="K954">
        <v>142.58000000000001</v>
      </c>
      <c r="L954">
        <v>278.58</v>
      </c>
      <c r="M954">
        <v>228.58</v>
      </c>
      <c r="O954" t="s">
        <v>34</v>
      </c>
    </row>
    <row r="955" spans="1:15">
      <c r="A955" t="s">
        <v>2230</v>
      </c>
      <c r="B955" s="2">
        <v>44320.785891203705</v>
      </c>
      <c r="C955" s="2">
        <v>44320.796307870369</v>
      </c>
      <c r="D955" t="s">
        <v>301</v>
      </c>
      <c r="E955" t="s">
        <v>2199</v>
      </c>
      <c r="F955" t="s">
        <v>2200</v>
      </c>
      <c r="G955" t="s">
        <v>1093</v>
      </c>
      <c r="H955" t="s">
        <v>1043</v>
      </c>
      <c r="I955">
        <v>33879002</v>
      </c>
      <c r="J955" t="s">
        <v>1044</v>
      </c>
      <c r="K955">
        <v>142.58000000000001</v>
      </c>
      <c r="L955">
        <v>278.58</v>
      </c>
      <c r="M955">
        <v>228.58</v>
      </c>
      <c r="O955" t="s">
        <v>34</v>
      </c>
    </row>
    <row r="956" spans="1:15">
      <c r="A956" t="s">
        <v>2231</v>
      </c>
      <c r="B956" s="2">
        <v>44453.04111111111</v>
      </c>
      <c r="C956" s="2">
        <v>44453.075127314813</v>
      </c>
      <c r="D956" t="s">
        <v>301</v>
      </c>
      <c r="E956" t="s">
        <v>2199</v>
      </c>
      <c r="F956" t="s">
        <v>2200</v>
      </c>
      <c r="G956" t="s">
        <v>1093</v>
      </c>
      <c r="H956" t="s">
        <v>1031</v>
      </c>
      <c r="I956">
        <v>36228007</v>
      </c>
      <c r="J956" t="s">
        <v>1705</v>
      </c>
      <c r="K956">
        <v>142.58000000000001</v>
      </c>
      <c r="L956">
        <v>3236.96</v>
      </c>
      <c r="M956">
        <v>3186.96</v>
      </c>
      <c r="O956" t="s">
        <v>34</v>
      </c>
    </row>
    <row r="957" spans="1:15">
      <c r="A957" t="s">
        <v>2232</v>
      </c>
      <c r="B957" s="2">
        <v>44572.74422453704</v>
      </c>
      <c r="C957" s="2">
        <v>44572.785891203705</v>
      </c>
      <c r="D957" t="s">
        <v>301</v>
      </c>
      <c r="E957" t="s">
        <v>2233</v>
      </c>
      <c r="F957" t="s">
        <v>2234</v>
      </c>
      <c r="G957" t="s">
        <v>1093</v>
      </c>
      <c r="H957" t="s">
        <v>1076</v>
      </c>
      <c r="I957">
        <v>50849002</v>
      </c>
      <c r="J957" t="s">
        <v>1163</v>
      </c>
      <c r="K957">
        <v>146.18</v>
      </c>
      <c r="L957">
        <v>1005.54</v>
      </c>
      <c r="M957">
        <v>855.54</v>
      </c>
      <c r="O957" t="s">
        <v>34</v>
      </c>
    </row>
    <row r="958" spans="1:15">
      <c r="A958" t="s">
        <v>2235</v>
      </c>
      <c r="B958" s="2">
        <v>44579.74422453704</v>
      </c>
      <c r="C958" s="2">
        <v>44579.754641203705</v>
      </c>
      <c r="D958" t="s">
        <v>301</v>
      </c>
      <c r="E958" t="s">
        <v>2236</v>
      </c>
      <c r="F958" t="s">
        <v>2237</v>
      </c>
      <c r="G958" t="s">
        <v>1093</v>
      </c>
      <c r="H958" t="s">
        <v>1159</v>
      </c>
      <c r="I958">
        <v>702927004</v>
      </c>
      <c r="J958" t="s">
        <v>1160</v>
      </c>
      <c r="K958">
        <v>142.58000000000001</v>
      </c>
      <c r="L958">
        <v>142.58000000000001</v>
      </c>
      <c r="M958">
        <v>92.58</v>
      </c>
      <c r="O958" t="s">
        <v>34</v>
      </c>
    </row>
    <row r="959" span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"s">
        <v>2236</v>
      </c>
      <c r="F959" t="s">
        <v>2237</v>
      </c>
      <c r="G959" t="s">
        <v>1093</v>
      </c>
      <c r="H959" t="s">
        <v>1159</v>
      </c>
      <c r="I959">
        <v>702927004</v>
      </c>
      <c r="J959" t="s">
        <v>1160</v>
      </c>
      <c r="K959">
        <v>142.58000000000001</v>
      </c>
      <c r="L959">
        <v>1592.74</v>
      </c>
      <c r="M959">
        <v>1542.74</v>
      </c>
      <c r="O959" t="s">
        <v>34</v>
      </c>
    </row>
    <row r="960" spans="1:15">
      <c r="A960" t="s">
        <v>2239</v>
      </c>
      <c r="B960" s="2">
        <v>44593.74422453704</v>
      </c>
      <c r="C960" s="2">
        <v>44593.754641203705</v>
      </c>
      <c r="D960" t="s">
        <v>301</v>
      </c>
      <c r="E960" t="s">
        <v>2199</v>
      </c>
      <c r="F960" t="s">
        <v>2200</v>
      </c>
      <c r="G960" t="s">
        <v>1093</v>
      </c>
      <c r="H960" t="s">
        <v>1043</v>
      </c>
      <c r="I960">
        <v>185349003</v>
      </c>
      <c r="J960" t="s">
        <v>1038</v>
      </c>
      <c r="K960">
        <v>85.55</v>
      </c>
      <c r="L960">
        <v>92.35</v>
      </c>
      <c r="M960">
        <v>42.35</v>
      </c>
      <c r="O960" t="s">
        <v>34</v>
      </c>
    </row>
    <row r="961" spans="1:15">
      <c r="A961" t="s">
        <v>2240</v>
      </c>
      <c r="B961" s="2">
        <v>44600.74422453704</v>
      </c>
      <c r="C961" s="2">
        <v>44601.05196759259</v>
      </c>
      <c r="D961" t="s">
        <v>301</v>
      </c>
      <c r="E961" t="s">
        <v>2199</v>
      </c>
      <c r="F961" t="s">
        <v>2200</v>
      </c>
      <c r="G961" t="s">
        <v>1093</v>
      </c>
      <c r="H961" t="s">
        <v>1031</v>
      </c>
      <c r="I961">
        <v>185349003</v>
      </c>
      <c r="J961" t="s">
        <v>1038</v>
      </c>
      <c r="K961">
        <v>85.55</v>
      </c>
      <c r="L961">
        <v>5262.35</v>
      </c>
      <c r="M961">
        <v>5212.3500000000004</v>
      </c>
      <c r="N961">
        <v>66383009</v>
      </c>
      <c r="O961" t="s">
        <v>1209</v>
      </c>
    </row>
    <row r="962" spans="1:15">
      <c r="A962" t="s">
        <v>2241</v>
      </c>
      <c r="B962" s="2">
        <v>44607.74422453704</v>
      </c>
      <c r="C962" s="2">
        <v>44607.754641203705</v>
      </c>
      <c r="D962" t="s">
        <v>301</v>
      </c>
      <c r="E962" t="s">
        <v>2199</v>
      </c>
      <c r="F962" t="s">
        <v>2200</v>
      </c>
      <c r="G962" t="s">
        <v>1093</v>
      </c>
      <c r="H962" t="s">
        <v>1031</v>
      </c>
      <c r="I962">
        <v>185345009</v>
      </c>
      <c r="J962" t="s">
        <v>1032</v>
      </c>
      <c r="K962">
        <v>85.55</v>
      </c>
      <c r="L962">
        <v>85.55</v>
      </c>
      <c r="M962">
        <v>35.549999999999997</v>
      </c>
      <c r="N962">
        <v>195662009</v>
      </c>
      <c r="O962" t="s">
        <v>1130</v>
      </c>
    </row>
    <row r="963" spans="1:15">
      <c r="A963" t="s">
        <v>2242</v>
      </c>
      <c r="B963" s="2">
        <v>44614.74422453704</v>
      </c>
      <c r="C963" s="2">
        <v>44614.769143518519</v>
      </c>
      <c r="D963" t="s">
        <v>301</v>
      </c>
      <c r="E963" t="s">
        <v>2236</v>
      </c>
      <c r="F963" t="s">
        <v>2237</v>
      </c>
      <c r="G963" t="s">
        <v>1093</v>
      </c>
      <c r="H963" t="s">
        <v>1159</v>
      </c>
      <c r="I963">
        <v>702927004</v>
      </c>
      <c r="J963" t="s">
        <v>1160</v>
      </c>
      <c r="K963">
        <v>142.58000000000001</v>
      </c>
      <c r="L963">
        <v>723.14</v>
      </c>
      <c r="M963">
        <v>673.14</v>
      </c>
      <c r="O963" t="s">
        <v>34</v>
      </c>
    </row>
    <row r="964" spans="1:15">
      <c r="A964" t="s">
        <v>2243</v>
      </c>
      <c r="B964" s="2">
        <v>44621.74422453704</v>
      </c>
      <c r="C964" s="2">
        <v>44621.754641203705</v>
      </c>
      <c r="D964" t="s">
        <v>301</v>
      </c>
      <c r="E964" t="s">
        <v>2199</v>
      </c>
      <c r="F964" t="s">
        <v>2200</v>
      </c>
      <c r="G964" t="s">
        <v>1093</v>
      </c>
      <c r="H964" t="s">
        <v>1043</v>
      </c>
      <c r="I964">
        <v>185349003</v>
      </c>
      <c r="J964" t="s">
        <v>1038</v>
      </c>
      <c r="K964">
        <v>85.55</v>
      </c>
      <c r="L964">
        <v>304.27999999999997</v>
      </c>
      <c r="M964">
        <v>254.28</v>
      </c>
      <c r="O964" t="s">
        <v>34</v>
      </c>
    </row>
    <row r="965" spans="1:15">
      <c r="A965" t="s">
        <v>2244</v>
      </c>
      <c r="B965" s="2">
        <v>44628.74422453704</v>
      </c>
      <c r="C965" s="2">
        <v>44628.987395833334</v>
      </c>
      <c r="D965" t="s">
        <v>301</v>
      </c>
      <c r="E965" t="s">
        <v>2199</v>
      </c>
      <c r="F965" t="s">
        <v>2200</v>
      </c>
      <c r="G965" t="s">
        <v>1093</v>
      </c>
      <c r="H965" t="s">
        <v>1031</v>
      </c>
      <c r="I965">
        <v>185349003</v>
      </c>
      <c r="J965" t="s">
        <v>1038</v>
      </c>
      <c r="K965">
        <v>85.55</v>
      </c>
      <c r="L965">
        <v>4830.95</v>
      </c>
      <c r="M965">
        <v>4780.95</v>
      </c>
      <c r="N965">
        <v>103697008</v>
      </c>
      <c r="O965" t="s">
        <v>1039</v>
      </c>
    </row>
    <row r="966" spans="1:15">
      <c r="A966" t="s">
        <v>2245</v>
      </c>
      <c r="B966" s="2">
        <v>44642.785891203705</v>
      </c>
      <c r="C966" s="2">
        <v>44642.815300925926</v>
      </c>
      <c r="D966" t="s">
        <v>301</v>
      </c>
      <c r="E966" t="s">
        <v>2194</v>
      </c>
      <c r="F966" t="s">
        <v>2195</v>
      </c>
      <c r="G966" t="s">
        <v>1093</v>
      </c>
      <c r="H966" t="s">
        <v>1020</v>
      </c>
      <c r="I966">
        <v>162673000</v>
      </c>
      <c r="J966" t="s">
        <v>1021</v>
      </c>
      <c r="K966">
        <v>136.80000000000001</v>
      </c>
      <c r="L966">
        <v>724.16</v>
      </c>
      <c r="M966">
        <v>724.16</v>
      </c>
      <c r="O966" t="s">
        <v>34</v>
      </c>
    </row>
    <row r="967" spans="1:15">
      <c r="A967" t="s">
        <v>2246</v>
      </c>
      <c r="B967" s="2">
        <v>44656.785891203705</v>
      </c>
      <c r="C967" s="2">
        <v>44656.932569444441</v>
      </c>
      <c r="D967" t="s">
        <v>301</v>
      </c>
      <c r="E967" t="s">
        <v>2199</v>
      </c>
      <c r="F967" t="s">
        <v>2200</v>
      </c>
      <c r="G967" t="s">
        <v>1093</v>
      </c>
      <c r="H967" t="s">
        <v>1031</v>
      </c>
      <c r="I967">
        <v>185349003</v>
      </c>
      <c r="J967" t="s">
        <v>1038</v>
      </c>
      <c r="K967">
        <v>85.55</v>
      </c>
      <c r="L967">
        <v>3105.35</v>
      </c>
      <c r="M967">
        <v>3055.35</v>
      </c>
      <c r="N967">
        <v>66383009</v>
      </c>
      <c r="O967" t="s">
        <v>1209</v>
      </c>
    </row>
    <row r="968" spans="1:15">
      <c r="A968" t="s">
        <v>2247</v>
      </c>
      <c r="B968" s="2">
        <v>44723.054293981484</v>
      </c>
      <c r="C968" s="2">
        <v>44723.087858796294</v>
      </c>
      <c r="D968" t="s">
        <v>301</v>
      </c>
      <c r="E968" t="s">
        <v>2199</v>
      </c>
      <c r="F968" t="s">
        <v>2200</v>
      </c>
      <c r="G968" t="s">
        <v>1093</v>
      </c>
      <c r="H968" t="s">
        <v>1031</v>
      </c>
      <c r="I968">
        <v>36228007</v>
      </c>
      <c r="J968" t="s">
        <v>1705</v>
      </c>
      <c r="K968">
        <v>142.58000000000001</v>
      </c>
      <c r="L968">
        <v>3236.96</v>
      </c>
      <c r="M968">
        <v>3186.96</v>
      </c>
      <c r="O968" t="s">
        <v>34</v>
      </c>
    </row>
    <row r="969" spans="1:15">
      <c r="A969" t="s">
        <v>2248</v>
      </c>
      <c r="B969" s="2">
        <v>44903.025358796294</v>
      </c>
      <c r="C969" s="2">
        <v>44903.057824074072</v>
      </c>
      <c r="D969" t="s">
        <v>301</v>
      </c>
      <c r="E969" t="s">
        <v>2199</v>
      </c>
      <c r="F969" t="s">
        <v>2200</v>
      </c>
      <c r="G969" t="s">
        <v>1093</v>
      </c>
      <c r="H969" t="s">
        <v>1031</v>
      </c>
      <c r="I969">
        <v>36228007</v>
      </c>
      <c r="J969" t="s">
        <v>1705</v>
      </c>
      <c r="K969">
        <v>142.58000000000001</v>
      </c>
      <c r="L969">
        <v>3236.96</v>
      </c>
      <c r="M969">
        <v>3166.9</v>
      </c>
      <c r="O969" t="s">
        <v>34</v>
      </c>
    </row>
    <row r="970" spans="1:15">
      <c r="A970" t="s">
        <v>2249</v>
      </c>
      <c r="B970" s="2">
        <v>45013.785891203705</v>
      </c>
      <c r="C970" s="2">
        <v>45013.825231481482</v>
      </c>
      <c r="D970" t="s">
        <v>301</v>
      </c>
      <c r="E970" t="s">
        <v>2194</v>
      </c>
      <c r="F970" t="s">
        <v>2195</v>
      </c>
      <c r="G970" t="s">
        <v>1093</v>
      </c>
      <c r="H970" t="s">
        <v>1020</v>
      </c>
      <c r="I970">
        <v>162673000</v>
      </c>
      <c r="J970" t="s">
        <v>1021</v>
      </c>
      <c r="K970">
        <v>136.80000000000001</v>
      </c>
      <c r="L970">
        <v>853.36</v>
      </c>
      <c r="M970">
        <v>853.36</v>
      </c>
      <c r="O970" t="s">
        <v>34</v>
      </c>
    </row>
    <row r="971" spans="1:15">
      <c r="A971" t="s">
        <v>2250</v>
      </c>
      <c r="B971" s="2">
        <v>45020.785891203705</v>
      </c>
      <c r="C971" s="2">
        <v>45020.823252314818</v>
      </c>
      <c r="D971" t="s">
        <v>301</v>
      </c>
      <c r="E971" t="s">
        <v>1226</v>
      </c>
      <c r="F971" t="s">
        <v>1227</v>
      </c>
      <c r="G971" t="s">
        <v>1093</v>
      </c>
      <c r="H971" t="s">
        <v>1031</v>
      </c>
      <c r="I971">
        <v>185347001</v>
      </c>
      <c r="J971" t="s">
        <v>1124</v>
      </c>
      <c r="K971">
        <v>85.55</v>
      </c>
      <c r="L971">
        <v>516.95000000000005</v>
      </c>
      <c r="M971">
        <v>466.95</v>
      </c>
      <c r="N971">
        <v>414545008</v>
      </c>
      <c r="O971" t="s">
        <v>1228</v>
      </c>
    </row>
    <row r="972" spans="1:15">
      <c r="A972" t="s">
        <v>2251</v>
      </c>
      <c r="B972" s="2">
        <v>45025.489918981482</v>
      </c>
      <c r="C972" s="2">
        <v>45025.71303240741</v>
      </c>
      <c r="D972" t="s">
        <v>301</v>
      </c>
      <c r="E972" t="s">
        <v>1226</v>
      </c>
      <c r="F972" t="s">
        <v>1227</v>
      </c>
      <c r="G972" t="s">
        <v>1093</v>
      </c>
      <c r="H972" t="s">
        <v>1031</v>
      </c>
      <c r="I972">
        <v>185347001</v>
      </c>
      <c r="J972" t="s">
        <v>1124</v>
      </c>
      <c r="K972">
        <v>85.55</v>
      </c>
      <c r="L972">
        <v>1444.46</v>
      </c>
      <c r="M972">
        <v>1394.46</v>
      </c>
      <c r="N972">
        <v>414545008</v>
      </c>
      <c r="O972" t="s">
        <v>1228</v>
      </c>
    </row>
    <row r="973" spans="1:15">
      <c r="A973" t="s">
        <v>2252</v>
      </c>
      <c r="B973" s="2">
        <v>45059.71303240741</v>
      </c>
      <c r="C973" s="2">
        <v>45059.778807870367</v>
      </c>
      <c r="D973" t="s">
        <v>301</v>
      </c>
      <c r="E973" t="s">
        <v>1226</v>
      </c>
      <c r="F973" t="s">
        <v>1227</v>
      </c>
      <c r="G973" t="s">
        <v>1093</v>
      </c>
      <c r="H973" t="s">
        <v>1031</v>
      </c>
      <c r="I973">
        <v>390906007</v>
      </c>
      <c r="J973" t="s">
        <v>1255</v>
      </c>
      <c r="K973">
        <v>85.55</v>
      </c>
      <c r="L973">
        <v>12770.26</v>
      </c>
      <c r="M973">
        <v>12720.26</v>
      </c>
      <c r="N973">
        <v>274531002</v>
      </c>
      <c r="O973" t="s">
        <v>2044</v>
      </c>
    </row>
    <row r="974" spans="1:15">
      <c r="A974" t="s">
        <v>2253</v>
      </c>
      <c r="B974" s="2">
        <v>45083.007974537039</v>
      </c>
      <c r="C974" s="2">
        <v>45083.277986111112</v>
      </c>
      <c r="D974" t="s">
        <v>301</v>
      </c>
      <c r="E974" t="s">
        <v>1226</v>
      </c>
      <c r="F974" t="s">
        <v>1227</v>
      </c>
      <c r="G974" t="s">
        <v>1093</v>
      </c>
      <c r="H974" t="s">
        <v>1031</v>
      </c>
      <c r="I974">
        <v>32485007</v>
      </c>
      <c r="J974" t="s">
        <v>1837</v>
      </c>
      <c r="K974">
        <v>142.58000000000001</v>
      </c>
      <c r="L974">
        <v>63156.1</v>
      </c>
      <c r="M974">
        <v>63106.1</v>
      </c>
      <c r="N974">
        <v>274531002</v>
      </c>
      <c r="O974" t="s">
        <v>2044</v>
      </c>
    </row>
    <row r="975" spans="1:15">
      <c r="A975" t="s">
        <v>2254</v>
      </c>
      <c r="B975" s="2">
        <v>45083.277986111112</v>
      </c>
      <c r="C975" s="2">
        <v>45089.495208333334</v>
      </c>
      <c r="D975" t="s">
        <v>301</v>
      </c>
      <c r="E975" t="s">
        <v>1226</v>
      </c>
      <c r="F975" t="s">
        <v>1227</v>
      </c>
      <c r="G975" t="s">
        <v>1093</v>
      </c>
      <c r="H975" t="s">
        <v>1431</v>
      </c>
      <c r="I975">
        <v>397821002</v>
      </c>
      <c r="J975" t="s">
        <v>2046</v>
      </c>
      <c r="K975">
        <v>146.18</v>
      </c>
      <c r="L975">
        <v>37194.61</v>
      </c>
      <c r="M975">
        <v>37144.61</v>
      </c>
      <c r="N975">
        <v>399261000</v>
      </c>
      <c r="O975" t="s">
        <v>2047</v>
      </c>
    </row>
    <row r="976" spans="1:15">
      <c r="A976" t="s">
        <v>2255</v>
      </c>
      <c r="B976" s="2">
        <v>45089.484791666669</v>
      </c>
      <c r="C976" s="2">
        <v>45090.484791666669</v>
      </c>
      <c r="D976" t="s">
        <v>301</v>
      </c>
      <c r="E976" t="s">
        <v>1226</v>
      </c>
      <c r="F976" t="s">
        <v>1227</v>
      </c>
      <c r="G976" t="s">
        <v>1093</v>
      </c>
      <c r="H976" t="s">
        <v>1431</v>
      </c>
      <c r="I976">
        <v>305342007</v>
      </c>
      <c r="J976" t="s">
        <v>2049</v>
      </c>
      <c r="K976">
        <v>146.18</v>
      </c>
      <c r="L976">
        <v>1871.78</v>
      </c>
      <c r="M976">
        <v>1821.78</v>
      </c>
      <c r="N976">
        <v>399261000</v>
      </c>
      <c r="O976" t="s">
        <v>2047</v>
      </c>
    </row>
    <row r="977" spans="1:15">
      <c r="A977" t="s">
        <v>2256</v>
      </c>
      <c r="B977" s="2">
        <v>45113.078657407408</v>
      </c>
      <c r="C977" s="2">
        <v>45113.111388888887</v>
      </c>
      <c r="D977" t="s">
        <v>301</v>
      </c>
      <c r="E977" t="s">
        <v>2199</v>
      </c>
      <c r="F977" t="s">
        <v>2200</v>
      </c>
      <c r="G977" t="s">
        <v>1093</v>
      </c>
      <c r="H977" t="s">
        <v>1031</v>
      </c>
      <c r="I977">
        <v>36228007</v>
      </c>
      <c r="J977" t="s">
        <v>1705</v>
      </c>
      <c r="K977">
        <v>142.58000000000001</v>
      </c>
      <c r="L977">
        <v>3236.96</v>
      </c>
      <c r="M977">
        <v>3186.96</v>
      </c>
      <c r="O977" t="s">
        <v>34</v>
      </c>
    </row>
    <row r="978" spans="1:15">
      <c r="A978" t="s">
        <v>2257</v>
      </c>
      <c r="B978" s="2">
        <v>45384.785891203705</v>
      </c>
      <c r="C978" s="2">
        <v>45384.813159722224</v>
      </c>
      <c r="D978" t="s">
        <v>301</v>
      </c>
      <c r="E978" t="s">
        <v>2194</v>
      </c>
      <c r="F978" t="s">
        <v>2195</v>
      </c>
      <c r="G978" t="s">
        <v>1093</v>
      </c>
      <c r="H978" t="s">
        <v>1020</v>
      </c>
      <c r="I978">
        <v>162673000</v>
      </c>
      <c r="J978" t="s">
        <v>1021</v>
      </c>
      <c r="K978">
        <v>136.80000000000001</v>
      </c>
      <c r="L978">
        <v>1353.37</v>
      </c>
      <c r="M978">
        <v>1253.3699999999999</v>
      </c>
      <c r="O978" t="s">
        <v>34</v>
      </c>
    </row>
    <row r="979" spans="1:15">
      <c r="A979" t="s">
        <v>2258</v>
      </c>
      <c r="B979" s="2">
        <v>45398.785891203705</v>
      </c>
      <c r="C979" s="2">
        <v>45398.900914351849</v>
      </c>
      <c r="D979" t="s">
        <v>301</v>
      </c>
      <c r="E979" t="s">
        <v>2199</v>
      </c>
      <c r="F979" t="s">
        <v>2200</v>
      </c>
      <c r="G979" t="s">
        <v>1093</v>
      </c>
      <c r="H979" t="s">
        <v>1031</v>
      </c>
      <c r="I979">
        <v>185349003</v>
      </c>
      <c r="J979" t="s">
        <v>1038</v>
      </c>
      <c r="K979">
        <v>85.55</v>
      </c>
      <c r="L979">
        <v>2673.95</v>
      </c>
      <c r="M979">
        <v>2623.95</v>
      </c>
      <c r="N979">
        <v>66383009</v>
      </c>
      <c r="O979" t="s">
        <v>1209</v>
      </c>
    </row>
    <row r="980" spans="1:15">
      <c r="A980" t="s">
        <v>2259</v>
      </c>
      <c r="B980" s="2">
        <v>45443.090555555558</v>
      </c>
      <c r="C980" s="2">
        <v>45443.124363425923</v>
      </c>
      <c r="D980" t="s">
        <v>301</v>
      </c>
      <c r="E980" t="s">
        <v>2199</v>
      </c>
      <c r="F980" t="s">
        <v>2200</v>
      </c>
      <c r="G980" t="s">
        <v>1093</v>
      </c>
      <c r="H980" t="s">
        <v>1031</v>
      </c>
      <c r="I980">
        <v>36228007</v>
      </c>
      <c r="J980" t="s">
        <v>1705</v>
      </c>
      <c r="K980">
        <v>142.58000000000001</v>
      </c>
      <c r="L980">
        <v>3236.96</v>
      </c>
      <c r="M980">
        <v>3186.96</v>
      </c>
      <c r="O980" t="s">
        <v>34</v>
      </c>
    </row>
    <row r="981" spans="1:15">
      <c r="A981" t="s">
        <v>2260</v>
      </c>
      <c r="B981" s="2">
        <v>45653.061863425923</v>
      </c>
      <c r="C981" s="2">
        <v>45653.094236111108</v>
      </c>
      <c r="D981" t="s">
        <v>301</v>
      </c>
      <c r="E981" t="s">
        <v>2199</v>
      </c>
      <c r="F981" t="s">
        <v>2200</v>
      </c>
      <c r="G981" t="s">
        <v>1093</v>
      </c>
      <c r="H981" t="s">
        <v>1031</v>
      </c>
      <c r="I981">
        <v>36228007</v>
      </c>
      <c r="J981" t="s">
        <v>1705</v>
      </c>
      <c r="K981">
        <v>142.58000000000001</v>
      </c>
      <c r="L981">
        <v>3236.96</v>
      </c>
      <c r="M981">
        <v>3166.9</v>
      </c>
      <c r="O981" t="s">
        <v>34</v>
      </c>
    </row>
    <row r="982" spans="1:15">
      <c r="A982" t="s">
        <v>2261</v>
      </c>
      <c r="B982" s="2">
        <v>45755.785891203705</v>
      </c>
      <c r="C982" s="2">
        <v>45755.815462962964</v>
      </c>
      <c r="D982" t="s">
        <v>301</v>
      </c>
      <c r="E982" t="s">
        <v>2194</v>
      </c>
      <c r="F982" t="s">
        <v>2195</v>
      </c>
      <c r="G982" t="s">
        <v>1093</v>
      </c>
      <c r="H982" t="s">
        <v>1020</v>
      </c>
      <c r="I982">
        <v>162673000</v>
      </c>
      <c r="J982" t="s">
        <v>1021</v>
      </c>
      <c r="K982">
        <v>136.80000000000001</v>
      </c>
      <c r="L982">
        <v>853.36</v>
      </c>
      <c r="M982">
        <v>853.36</v>
      </c>
      <c r="O982" t="s">
        <v>34</v>
      </c>
    </row>
    <row r="983" spans="1:15">
      <c r="A983" t="s">
        <v>2262</v>
      </c>
      <c r="B983" s="2">
        <v>45953.115069444444</v>
      </c>
      <c r="C983" s="2">
        <v>45953.149085648147</v>
      </c>
      <c r="D983" t="s">
        <v>301</v>
      </c>
      <c r="E983" t="s">
        <v>2199</v>
      </c>
      <c r="F983" t="s">
        <v>2200</v>
      </c>
      <c r="G983" t="s">
        <v>1093</v>
      </c>
      <c r="H983" t="s">
        <v>1031</v>
      </c>
      <c r="I983">
        <v>36228007</v>
      </c>
      <c r="J983" t="s">
        <v>1705</v>
      </c>
      <c r="K983">
        <v>142.58000000000001</v>
      </c>
      <c r="L983">
        <v>3236.96</v>
      </c>
      <c r="M983">
        <v>3186.96</v>
      </c>
      <c r="O983" t="s">
        <v>34</v>
      </c>
    </row>
    <row r="984" spans="1:15">
      <c r="A984" t="s">
        <v>2263</v>
      </c>
      <c r="B984" s="2">
        <v>45969.821319444447</v>
      </c>
      <c r="C984" s="2">
        <v>45969.840057870373</v>
      </c>
      <c r="D984" t="s">
        <v>301</v>
      </c>
      <c r="E984" t="s">
        <v>2199</v>
      </c>
      <c r="F984" t="s">
        <v>2200</v>
      </c>
      <c r="G984" t="s">
        <v>1093</v>
      </c>
      <c r="H984" t="s">
        <v>1031</v>
      </c>
      <c r="I984">
        <v>185349003</v>
      </c>
      <c r="J984" t="s">
        <v>1038</v>
      </c>
      <c r="K984">
        <v>85.55</v>
      </c>
      <c r="L984">
        <v>5138.45</v>
      </c>
      <c r="M984">
        <v>5088.45</v>
      </c>
      <c r="N984">
        <v>275978004</v>
      </c>
      <c r="O984" t="s">
        <v>1449</v>
      </c>
    </row>
    <row r="985" spans="1:15">
      <c r="A985" t="s">
        <v>2264</v>
      </c>
      <c r="B985" s="2">
        <v>45972.74422453704</v>
      </c>
      <c r="C985" s="2">
        <v>46036.754641203705</v>
      </c>
      <c r="D985" t="s">
        <v>301</v>
      </c>
      <c r="E985" t="s">
        <v>2265</v>
      </c>
      <c r="F985" t="s">
        <v>2266</v>
      </c>
      <c r="G985" t="s">
        <v>1974</v>
      </c>
      <c r="H985" t="s">
        <v>1263</v>
      </c>
      <c r="I985">
        <v>305336008</v>
      </c>
      <c r="J985" t="s">
        <v>1264</v>
      </c>
      <c r="K985">
        <v>137.53</v>
      </c>
      <c r="L985">
        <v>29904.13</v>
      </c>
      <c r="M985">
        <v>29869.13</v>
      </c>
      <c r="N985">
        <v>26929004</v>
      </c>
      <c r="O985" t="s">
        <v>1265</v>
      </c>
    </row>
    <row r="986" spans="1:15">
      <c r="A986" t="s">
        <v>2267</v>
      </c>
      <c r="B986" s="2">
        <v>46126.785891203705</v>
      </c>
      <c r="C986" s="2">
        <v>46126.826412037037</v>
      </c>
      <c r="D986" t="s">
        <v>301</v>
      </c>
      <c r="E986" t="s">
        <v>2194</v>
      </c>
      <c r="F986" t="s">
        <v>2195</v>
      </c>
      <c r="G986" t="s">
        <v>1974</v>
      </c>
      <c r="H986" t="s">
        <v>1020</v>
      </c>
      <c r="I986">
        <v>162673000</v>
      </c>
      <c r="J986" t="s">
        <v>1021</v>
      </c>
      <c r="K986">
        <v>136.80000000000001</v>
      </c>
      <c r="L986">
        <v>1293.24</v>
      </c>
      <c r="M986">
        <v>1293.24</v>
      </c>
      <c r="O986" t="s">
        <v>34</v>
      </c>
    </row>
    <row r="987" spans="1:15">
      <c r="A987" t="s">
        <v>2268</v>
      </c>
      <c r="B987" s="2">
        <v>46140.785891203705</v>
      </c>
      <c r="C987" s="2">
        <v>46140.930590277778</v>
      </c>
      <c r="D987" t="s">
        <v>301</v>
      </c>
      <c r="E987" t="s">
        <v>2199</v>
      </c>
      <c r="F987" t="s">
        <v>2200</v>
      </c>
      <c r="G987" t="s">
        <v>1974</v>
      </c>
      <c r="H987" t="s">
        <v>1031</v>
      </c>
      <c r="I987">
        <v>185349003</v>
      </c>
      <c r="J987" t="s">
        <v>1038</v>
      </c>
      <c r="K987">
        <v>85.55</v>
      </c>
      <c r="L987">
        <v>3105.35</v>
      </c>
      <c r="M987">
        <v>3070.35</v>
      </c>
      <c r="N987">
        <v>103697008</v>
      </c>
      <c r="O987" t="s">
        <v>1039</v>
      </c>
    </row>
    <row r="988" spans="1:15">
      <c r="A988" t="s">
        <v>2269</v>
      </c>
      <c r="B988" s="2">
        <v>34081.296539351853</v>
      </c>
      <c r="C988" s="2">
        <v>34081.306956018518</v>
      </c>
      <c r="D988" t="s">
        <v>311</v>
      </c>
      <c r="E988" t="s">
        <v>2270</v>
      </c>
      <c r="F988" t="s">
        <v>2271</v>
      </c>
      <c r="G988" t="s">
        <v>1325</v>
      </c>
      <c r="H988" t="s">
        <v>1031</v>
      </c>
      <c r="I988">
        <v>185347001</v>
      </c>
      <c r="J988" t="s">
        <v>1124</v>
      </c>
      <c r="K988">
        <v>85.55</v>
      </c>
      <c r="L988">
        <v>85.55</v>
      </c>
      <c r="M988">
        <v>0</v>
      </c>
      <c r="N988">
        <v>102263004</v>
      </c>
      <c r="O988" t="s">
        <v>2272</v>
      </c>
    </row>
    <row r="989" spans="1:15">
      <c r="A989" t="s">
        <v>2273</v>
      </c>
      <c r="B989" s="2">
        <v>34092.002789351849</v>
      </c>
      <c r="C989" s="2">
        <v>34092.027118055557</v>
      </c>
      <c r="D989" t="s">
        <v>311</v>
      </c>
      <c r="E989" t="s">
        <v>2270</v>
      </c>
      <c r="F989" t="s">
        <v>2271</v>
      </c>
      <c r="G989" t="s">
        <v>1325</v>
      </c>
      <c r="H989" t="s">
        <v>1031</v>
      </c>
      <c r="I989">
        <v>185347001</v>
      </c>
      <c r="J989" t="s">
        <v>1124</v>
      </c>
      <c r="K989">
        <v>85.55</v>
      </c>
      <c r="L989">
        <v>516.95000000000005</v>
      </c>
      <c r="M989">
        <v>0</v>
      </c>
      <c r="N989">
        <v>609328004</v>
      </c>
      <c r="O989" t="s">
        <v>1137</v>
      </c>
    </row>
    <row r="990" spans="1:15">
      <c r="A990" t="s">
        <v>2274</v>
      </c>
      <c r="B990" s="2">
        <v>40207.336122685185</v>
      </c>
      <c r="C990" s="2">
        <v>40207.367986111109</v>
      </c>
      <c r="D990" t="s">
        <v>311</v>
      </c>
      <c r="E990" t="s">
        <v>2275</v>
      </c>
      <c r="F990" t="s">
        <v>2276</v>
      </c>
      <c r="G990" t="s">
        <v>1325</v>
      </c>
      <c r="H990" t="s">
        <v>1020</v>
      </c>
      <c r="I990">
        <v>162673000</v>
      </c>
      <c r="J990" t="s">
        <v>1021</v>
      </c>
      <c r="K990">
        <v>136.80000000000001</v>
      </c>
      <c r="L990">
        <v>704.2</v>
      </c>
      <c r="M990">
        <v>0</v>
      </c>
      <c r="O990" t="s">
        <v>34</v>
      </c>
    </row>
    <row r="991" spans="1:15">
      <c r="A991" t="s">
        <v>2277</v>
      </c>
      <c r="B991" s="2">
        <v>40578.336122685185</v>
      </c>
      <c r="C991" s="2">
        <v>40578.361157407409</v>
      </c>
      <c r="D991" t="s">
        <v>311</v>
      </c>
      <c r="E991" t="s">
        <v>2275</v>
      </c>
      <c r="F991" t="s">
        <v>2276</v>
      </c>
      <c r="G991" t="s">
        <v>1325</v>
      </c>
      <c r="H991" t="s">
        <v>1020</v>
      </c>
      <c r="I991">
        <v>162673000</v>
      </c>
      <c r="J991" t="s">
        <v>1021</v>
      </c>
      <c r="K991">
        <v>136.80000000000001</v>
      </c>
      <c r="L991">
        <v>704.2</v>
      </c>
      <c r="M991">
        <v>0</v>
      </c>
      <c r="O991" t="s">
        <v>34</v>
      </c>
    </row>
    <row r="992" spans="1:15">
      <c r="A992" t="s">
        <v>2278</v>
      </c>
      <c r="B992" s="2">
        <v>42048.336122685185</v>
      </c>
      <c r="C992" s="2">
        <v>42048.357060185182</v>
      </c>
      <c r="D992" t="s">
        <v>311</v>
      </c>
      <c r="E992" t="s">
        <v>2275</v>
      </c>
      <c r="F992" t="s">
        <v>2276</v>
      </c>
      <c r="G992" t="s">
        <v>1325</v>
      </c>
      <c r="H992" t="s">
        <v>1020</v>
      </c>
      <c r="I992">
        <v>162673000</v>
      </c>
      <c r="J992" t="s">
        <v>1021</v>
      </c>
      <c r="K992">
        <v>136.80000000000001</v>
      </c>
      <c r="L992">
        <v>1186.78</v>
      </c>
      <c r="M992">
        <v>0</v>
      </c>
      <c r="O992" t="s">
        <v>34</v>
      </c>
    </row>
    <row r="993" spans="1:15">
      <c r="A993" t="s">
        <v>2279</v>
      </c>
      <c r="B993" s="2">
        <v>42829.377789351849</v>
      </c>
      <c r="C993" s="2">
        <v>42829.419456018521</v>
      </c>
      <c r="D993" t="s">
        <v>311</v>
      </c>
      <c r="E993" t="s">
        <v>2280</v>
      </c>
      <c r="F993" t="s">
        <v>2281</v>
      </c>
      <c r="G993" t="s">
        <v>1325</v>
      </c>
      <c r="H993" t="s">
        <v>1076</v>
      </c>
      <c r="I993">
        <v>50849002</v>
      </c>
      <c r="J993" t="s">
        <v>1163</v>
      </c>
      <c r="K993">
        <v>146.18</v>
      </c>
      <c r="L993">
        <v>4140.8900000000003</v>
      </c>
      <c r="M993">
        <v>0</v>
      </c>
      <c r="N993">
        <v>312608009</v>
      </c>
      <c r="O993" t="s">
        <v>1249</v>
      </c>
    </row>
    <row r="994" spans="1:15">
      <c r="A994" t="s">
        <v>2282</v>
      </c>
      <c r="B994" s="2">
        <v>43147.336122685185</v>
      </c>
      <c r="C994" s="2">
        <v>43147.358310185184</v>
      </c>
      <c r="D994" t="s">
        <v>311</v>
      </c>
      <c r="E994" t="s">
        <v>2275</v>
      </c>
      <c r="F994" t="s">
        <v>2276</v>
      </c>
      <c r="G994" t="s">
        <v>1325</v>
      </c>
      <c r="H994" t="s">
        <v>1020</v>
      </c>
      <c r="I994">
        <v>162673000</v>
      </c>
      <c r="J994" t="s">
        <v>1021</v>
      </c>
      <c r="K994">
        <v>136.80000000000001</v>
      </c>
      <c r="L994">
        <v>1024.6600000000001</v>
      </c>
      <c r="M994">
        <v>0</v>
      </c>
      <c r="O994" t="s">
        <v>34</v>
      </c>
    </row>
    <row r="995" spans="1:15">
      <c r="A995" t="s">
        <v>2283</v>
      </c>
      <c r="B995" s="2">
        <v>44246.336122685185</v>
      </c>
      <c r="C995" s="2">
        <v>44246.371111111112</v>
      </c>
      <c r="D995" t="s">
        <v>311</v>
      </c>
      <c r="E995" t="s">
        <v>2275</v>
      </c>
      <c r="F995" t="s">
        <v>2276</v>
      </c>
      <c r="G995" t="s">
        <v>1325</v>
      </c>
      <c r="H995" t="s">
        <v>1020</v>
      </c>
      <c r="I995">
        <v>162673000</v>
      </c>
      <c r="J995" t="s">
        <v>1021</v>
      </c>
      <c r="K995">
        <v>136.80000000000001</v>
      </c>
      <c r="L995">
        <v>994.48</v>
      </c>
      <c r="M995">
        <v>0</v>
      </c>
      <c r="O995" t="s">
        <v>34</v>
      </c>
    </row>
    <row r="996" spans="1:15">
      <c r="A996" t="s">
        <v>2284</v>
      </c>
      <c r="B996" s="2">
        <v>44484.377789351849</v>
      </c>
      <c r="C996" s="2">
        <v>44484.388206018521</v>
      </c>
      <c r="D996" t="s">
        <v>311</v>
      </c>
      <c r="E996" t="s">
        <v>2270</v>
      </c>
      <c r="F996" t="s">
        <v>2271</v>
      </c>
      <c r="G996" t="s">
        <v>1325</v>
      </c>
      <c r="H996" t="s">
        <v>1043</v>
      </c>
      <c r="I996">
        <v>33879002</v>
      </c>
      <c r="J996" t="s">
        <v>1044</v>
      </c>
      <c r="K996">
        <v>142.58000000000001</v>
      </c>
      <c r="L996">
        <v>278.58</v>
      </c>
      <c r="M996">
        <v>0</v>
      </c>
      <c r="O996" t="s">
        <v>34</v>
      </c>
    </row>
    <row r="997" spans="1:15">
      <c r="A997" t="s">
        <v>2285</v>
      </c>
      <c r="B997" s="2">
        <v>44505.377789351849</v>
      </c>
      <c r="C997" s="2">
        <v>44505.388206018521</v>
      </c>
      <c r="D997" t="s">
        <v>311</v>
      </c>
      <c r="E997" t="s">
        <v>2270</v>
      </c>
      <c r="F997" t="s">
        <v>2271</v>
      </c>
      <c r="G997" t="s">
        <v>1325</v>
      </c>
      <c r="H997" t="s">
        <v>1043</v>
      </c>
      <c r="I997">
        <v>33879002</v>
      </c>
      <c r="J997" t="s">
        <v>1044</v>
      </c>
      <c r="K997">
        <v>142.58000000000001</v>
      </c>
      <c r="L997">
        <v>278.58</v>
      </c>
      <c r="M997">
        <v>0</v>
      </c>
      <c r="O997" t="s">
        <v>34</v>
      </c>
    </row>
    <row r="998" spans="1:15">
      <c r="A998" t="s">
        <v>2286</v>
      </c>
      <c r="B998" s="2">
        <v>45345.336122685185</v>
      </c>
      <c r="C998" s="2">
        <v>45345.367395833331</v>
      </c>
      <c r="D998" t="s">
        <v>311</v>
      </c>
      <c r="E998" t="s">
        <v>2275</v>
      </c>
      <c r="F998" t="s">
        <v>2276</v>
      </c>
      <c r="G998" t="s">
        <v>1325</v>
      </c>
      <c r="H998" t="s">
        <v>1020</v>
      </c>
      <c r="I998">
        <v>162673000</v>
      </c>
      <c r="J998" t="s">
        <v>1021</v>
      </c>
      <c r="K998">
        <v>136.80000000000001</v>
      </c>
      <c r="L998">
        <v>914.78</v>
      </c>
      <c r="M998">
        <v>0</v>
      </c>
      <c r="O998" t="s">
        <v>34</v>
      </c>
    </row>
    <row r="999" spans="1:15">
      <c r="A999" t="s">
        <v>2287</v>
      </c>
      <c r="B999" s="2">
        <v>46131.377789351849</v>
      </c>
      <c r="C999" s="2">
        <v>46131.388206018521</v>
      </c>
      <c r="D999" t="s">
        <v>311</v>
      </c>
      <c r="E999" t="s">
        <v>2270</v>
      </c>
      <c r="F999" t="s">
        <v>2271</v>
      </c>
      <c r="G999" t="s">
        <v>1325</v>
      </c>
      <c r="H999" t="s">
        <v>1031</v>
      </c>
      <c r="I999">
        <v>185345009</v>
      </c>
      <c r="J999" t="s">
        <v>1032</v>
      </c>
      <c r="K999">
        <v>85.55</v>
      </c>
      <c r="L999">
        <v>85.55</v>
      </c>
      <c r="M999">
        <v>0</v>
      </c>
      <c r="N999">
        <v>75498004</v>
      </c>
      <c r="O999" t="s">
        <v>1174</v>
      </c>
    </row>
    <row r="1000" spans="1:15">
      <c r="A1000" t="s">
        <v>2288</v>
      </c>
      <c r="B1000" s="2">
        <v>46152.377789351849</v>
      </c>
      <c r="C1000" s="2">
        <v>46152.388206018521</v>
      </c>
      <c r="D1000" t="s">
        <v>311</v>
      </c>
      <c r="E1000" t="s">
        <v>2270</v>
      </c>
      <c r="F1000" t="s">
        <v>2271</v>
      </c>
      <c r="G1000" t="s">
        <v>1325</v>
      </c>
      <c r="H1000" t="s">
        <v>1031</v>
      </c>
      <c r="I1000">
        <v>185345009</v>
      </c>
      <c r="J1000" t="s">
        <v>1032</v>
      </c>
      <c r="K1000">
        <v>85.55</v>
      </c>
      <c r="L1000">
        <v>92.93</v>
      </c>
      <c r="M1000">
        <v>0</v>
      </c>
      <c r="N1000">
        <v>75498004</v>
      </c>
      <c r="O1000" t="s">
        <v>1174</v>
      </c>
    </row>
    <row r="1001" spans="1:15">
      <c r="A1001" t="s">
        <v>2289</v>
      </c>
      <c r="B1001" s="2">
        <v>46164.377789351849</v>
      </c>
      <c r="C1001" s="2">
        <v>46164.419456018521</v>
      </c>
      <c r="D1001" t="s">
        <v>311</v>
      </c>
      <c r="E1001" t="s">
        <v>2280</v>
      </c>
      <c r="F1001" t="s">
        <v>2281</v>
      </c>
      <c r="G1001" t="s">
        <v>1325</v>
      </c>
      <c r="H1001" t="s">
        <v>1076</v>
      </c>
      <c r="I1001">
        <v>50849002</v>
      </c>
      <c r="J1001" t="s">
        <v>1163</v>
      </c>
      <c r="K1001">
        <v>146.18</v>
      </c>
      <c r="L1001">
        <v>1003.86</v>
      </c>
      <c r="M1001">
        <v>0</v>
      </c>
      <c r="O1001" t="s">
        <v>34</v>
      </c>
    </row>
    <row r="1002" spans="1:15">
      <c r="A1002" t="s">
        <v>2290</v>
      </c>
      <c r="B1002" s="2">
        <v>46171.377789351849</v>
      </c>
      <c r="C1002" s="2">
        <v>46171.388206018521</v>
      </c>
      <c r="D1002" t="s">
        <v>311</v>
      </c>
      <c r="E1002" t="s">
        <v>2270</v>
      </c>
      <c r="F1002" t="s">
        <v>2271</v>
      </c>
      <c r="G1002" t="s">
        <v>1325</v>
      </c>
      <c r="H1002" t="s">
        <v>1031</v>
      </c>
      <c r="I1002">
        <v>185345009</v>
      </c>
      <c r="J1002" t="s">
        <v>1032</v>
      </c>
      <c r="K1002">
        <v>85.55</v>
      </c>
      <c r="L1002">
        <v>3536.75</v>
      </c>
      <c r="M1002">
        <v>0</v>
      </c>
      <c r="N1002">
        <v>195662009</v>
      </c>
      <c r="O1002" t="s">
        <v>1130</v>
      </c>
    </row>
    <row r="1003" spans="1:15">
      <c r="A1003" t="s">
        <v>2291</v>
      </c>
      <c r="B1003" s="2">
        <v>46178.377789351849</v>
      </c>
      <c r="C1003" s="2">
        <v>46178.491446759261</v>
      </c>
      <c r="D1003" t="s">
        <v>311</v>
      </c>
      <c r="E1003" t="s">
        <v>2270</v>
      </c>
      <c r="F1003" t="s">
        <v>2271</v>
      </c>
      <c r="G1003" t="s">
        <v>1325</v>
      </c>
      <c r="H1003" t="s">
        <v>1031</v>
      </c>
      <c r="I1003">
        <v>185349003</v>
      </c>
      <c r="J1003" t="s">
        <v>1038</v>
      </c>
      <c r="K1003">
        <v>85.55</v>
      </c>
      <c r="L1003">
        <v>3105.35</v>
      </c>
      <c r="M1003">
        <v>1116.23</v>
      </c>
      <c r="N1003">
        <v>103697008</v>
      </c>
      <c r="O1003" t="s">
        <v>1039</v>
      </c>
    </row>
    <row r="1004" spans="1:15">
      <c r="A1004" t="s">
        <v>2292</v>
      </c>
      <c r="B1004" s="2">
        <v>42565.922696759262</v>
      </c>
      <c r="C1004" s="2">
        <v>42565.933113425926</v>
      </c>
      <c r="D1004" t="s">
        <v>321</v>
      </c>
      <c r="E1004" t="s">
        <v>2293</v>
      </c>
      <c r="F1004" t="s">
        <v>2294</v>
      </c>
      <c r="G1004" t="s">
        <v>1561</v>
      </c>
      <c r="H1004" t="s">
        <v>1020</v>
      </c>
      <c r="I1004">
        <v>410620009</v>
      </c>
      <c r="J1004" t="s">
        <v>1054</v>
      </c>
      <c r="K1004">
        <v>136.80000000000001</v>
      </c>
      <c r="L1004">
        <v>272.8</v>
      </c>
      <c r="M1004">
        <v>190.96</v>
      </c>
      <c r="O1004" t="s">
        <v>34</v>
      </c>
    </row>
    <row r="1005" spans="1:15">
      <c r="A1005" t="s">
        <v>2295</v>
      </c>
      <c r="B1005" s="2">
        <v>42747.881030092591</v>
      </c>
      <c r="C1005" s="2">
        <v>42747.891446759262</v>
      </c>
      <c r="D1005" t="s">
        <v>321</v>
      </c>
      <c r="E1005" t="s">
        <v>2293</v>
      </c>
      <c r="F1005" t="s">
        <v>2294</v>
      </c>
      <c r="G1005" t="s">
        <v>1561</v>
      </c>
      <c r="H1005" t="s">
        <v>1020</v>
      </c>
      <c r="I1005">
        <v>410620009</v>
      </c>
      <c r="J1005" t="s">
        <v>1054</v>
      </c>
      <c r="K1005">
        <v>136.80000000000001</v>
      </c>
      <c r="L1005">
        <v>1135.5999999999999</v>
      </c>
      <c r="M1005">
        <v>794.92</v>
      </c>
      <c r="O1005" t="s">
        <v>34</v>
      </c>
    </row>
    <row r="1006" spans="1:15">
      <c r="A1006" t="s">
        <v>2296</v>
      </c>
      <c r="B1006" s="2">
        <v>42810.922696759262</v>
      </c>
      <c r="C1006" s="2">
        <v>42810.933113425926</v>
      </c>
      <c r="D1006" t="s">
        <v>321</v>
      </c>
      <c r="E1006" t="s">
        <v>2297</v>
      </c>
      <c r="F1006" t="s">
        <v>2298</v>
      </c>
      <c r="G1006" t="s">
        <v>1561</v>
      </c>
      <c r="H1006" t="s">
        <v>1043</v>
      </c>
      <c r="I1006">
        <v>185349003</v>
      </c>
      <c r="J1006" t="s">
        <v>1038</v>
      </c>
      <c r="K1006">
        <v>85.55</v>
      </c>
      <c r="L1006">
        <v>437.25</v>
      </c>
      <c r="M1006">
        <v>0</v>
      </c>
      <c r="O1006" t="s">
        <v>34</v>
      </c>
    </row>
    <row r="1007" spans="1:15">
      <c r="A1007" t="s">
        <v>2299</v>
      </c>
      <c r="B1007" s="2">
        <v>42817.922696759262</v>
      </c>
      <c r="C1007" s="2">
        <v>42817.933113425926</v>
      </c>
      <c r="D1007" t="s">
        <v>321</v>
      </c>
      <c r="E1007" t="s">
        <v>2297</v>
      </c>
      <c r="F1007" t="s">
        <v>2298</v>
      </c>
      <c r="G1007" t="s">
        <v>1561</v>
      </c>
      <c r="H1007" t="s">
        <v>1031</v>
      </c>
      <c r="I1007">
        <v>185345009</v>
      </c>
      <c r="J1007" t="s">
        <v>1032</v>
      </c>
      <c r="K1007">
        <v>85.55</v>
      </c>
      <c r="L1007">
        <v>948.35</v>
      </c>
      <c r="M1007">
        <v>0</v>
      </c>
      <c r="N1007">
        <v>43878008</v>
      </c>
      <c r="O1007" t="s">
        <v>1217</v>
      </c>
    </row>
    <row r="1008" spans="1:15">
      <c r="A1008" t="s">
        <v>2300</v>
      </c>
      <c r="B1008" s="2">
        <v>42929.922696759262</v>
      </c>
      <c r="C1008" s="2">
        <v>42929.933113425926</v>
      </c>
      <c r="D1008" t="s">
        <v>321</v>
      </c>
      <c r="E1008" t="s">
        <v>2293</v>
      </c>
      <c r="F1008" t="s">
        <v>2294</v>
      </c>
      <c r="G1008" t="s">
        <v>1561</v>
      </c>
      <c r="H1008" t="s">
        <v>1020</v>
      </c>
      <c r="I1008">
        <v>410620009</v>
      </c>
      <c r="J1008" t="s">
        <v>1054</v>
      </c>
      <c r="K1008">
        <v>136.80000000000001</v>
      </c>
      <c r="L1008">
        <v>489.11</v>
      </c>
      <c r="M1008">
        <v>0</v>
      </c>
      <c r="O1008" t="s">
        <v>34</v>
      </c>
    </row>
    <row r="1009" spans="1:15">
      <c r="A1009" t="s">
        <v>2301</v>
      </c>
      <c r="B1009" s="2">
        <v>43000.922696759262</v>
      </c>
      <c r="C1009" s="2">
        <v>43000.933113425926</v>
      </c>
      <c r="D1009" t="s">
        <v>321</v>
      </c>
      <c r="E1009" t="s">
        <v>2297</v>
      </c>
      <c r="F1009" t="s">
        <v>2298</v>
      </c>
      <c r="G1009" t="s">
        <v>1561</v>
      </c>
      <c r="H1009" t="s">
        <v>1043</v>
      </c>
      <c r="I1009">
        <v>185345009</v>
      </c>
      <c r="J1009" t="s">
        <v>1032</v>
      </c>
      <c r="K1009">
        <v>85.55</v>
      </c>
      <c r="L1009">
        <v>85.55</v>
      </c>
      <c r="M1009">
        <v>0</v>
      </c>
      <c r="N1009">
        <v>65363002</v>
      </c>
      <c r="O1009" t="s">
        <v>1335</v>
      </c>
    </row>
    <row r="1010" spans="1:15">
      <c r="A1010" t="s">
        <v>2302</v>
      </c>
      <c r="B1010" s="2">
        <v>43044.631030092591</v>
      </c>
      <c r="C1010" s="2">
        <v>43044.641446759262</v>
      </c>
      <c r="D1010" t="s">
        <v>321</v>
      </c>
      <c r="E1010" t="s">
        <v>2297</v>
      </c>
      <c r="F1010" t="s">
        <v>2298</v>
      </c>
      <c r="G1010" t="s">
        <v>1561</v>
      </c>
      <c r="H1010" t="s">
        <v>1031</v>
      </c>
      <c r="I1010">
        <v>185345009</v>
      </c>
      <c r="J1010" t="s">
        <v>1032</v>
      </c>
      <c r="K1010">
        <v>85.55</v>
      </c>
      <c r="L1010">
        <v>85.55</v>
      </c>
      <c r="M1010">
        <v>0</v>
      </c>
      <c r="N1010">
        <v>43878008</v>
      </c>
      <c r="O1010" t="s">
        <v>1217</v>
      </c>
    </row>
    <row r="1011" spans="1:15">
      <c r="A1011" t="s">
        <v>2303</v>
      </c>
      <c r="B1011" s="2">
        <v>43111.881030092591</v>
      </c>
      <c r="C1011" s="2">
        <v>43111.891446759262</v>
      </c>
      <c r="D1011" t="s">
        <v>321</v>
      </c>
      <c r="E1011" t="s">
        <v>2293</v>
      </c>
      <c r="F1011" t="s">
        <v>2294</v>
      </c>
      <c r="G1011" t="s">
        <v>1561</v>
      </c>
      <c r="H1011" t="s">
        <v>1020</v>
      </c>
      <c r="I1011">
        <v>410620009</v>
      </c>
      <c r="J1011" t="s">
        <v>1054</v>
      </c>
      <c r="K1011">
        <v>136.80000000000001</v>
      </c>
      <c r="L1011">
        <v>704.2</v>
      </c>
      <c r="M1011">
        <v>0</v>
      </c>
      <c r="O1011" t="s">
        <v>34</v>
      </c>
    </row>
    <row r="1012" spans="1:15">
      <c r="A1012" t="s">
        <v>2304</v>
      </c>
      <c r="B1012" s="2">
        <v>43118.881030092591</v>
      </c>
      <c r="C1012" s="2">
        <v>43119.020995370367</v>
      </c>
      <c r="D1012" t="s">
        <v>321</v>
      </c>
      <c r="E1012" t="s">
        <v>2297</v>
      </c>
      <c r="F1012" t="s">
        <v>2298</v>
      </c>
      <c r="G1012" t="s">
        <v>1561</v>
      </c>
      <c r="H1012" t="s">
        <v>1031</v>
      </c>
      <c r="I1012">
        <v>185349003</v>
      </c>
      <c r="J1012" t="s">
        <v>1038</v>
      </c>
      <c r="K1012">
        <v>85.55</v>
      </c>
      <c r="L1012">
        <v>3105.35</v>
      </c>
      <c r="M1012">
        <v>1235.2</v>
      </c>
      <c r="N1012">
        <v>103697008</v>
      </c>
      <c r="O1012" t="s">
        <v>1039</v>
      </c>
    </row>
    <row r="1013" spans="1:15">
      <c r="A1013" t="s">
        <v>2305</v>
      </c>
      <c r="B1013" s="2">
        <v>43293.922696759262</v>
      </c>
      <c r="C1013" s="2">
        <v>43293.933113425926</v>
      </c>
      <c r="D1013" t="s">
        <v>321</v>
      </c>
      <c r="E1013" t="s">
        <v>2293</v>
      </c>
      <c r="F1013" t="s">
        <v>2294</v>
      </c>
      <c r="G1013" t="s">
        <v>1561</v>
      </c>
      <c r="H1013" t="s">
        <v>1020</v>
      </c>
      <c r="I1013">
        <v>410620009</v>
      </c>
      <c r="J1013" t="s">
        <v>1054</v>
      </c>
      <c r="K1013">
        <v>136.80000000000001</v>
      </c>
      <c r="L1013">
        <v>368.47</v>
      </c>
      <c r="M1013">
        <v>0</v>
      </c>
      <c r="O1013" t="s">
        <v>34</v>
      </c>
    </row>
    <row r="1014" spans="1:15">
      <c r="A1014" t="s">
        <v>2306</v>
      </c>
      <c r="B1014" s="2">
        <v>43427.881030092591</v>
      </c>
      <c r="C1014" s="2">
        <v>43427.891446759262</v>
      </c>
      <c r="D1014" t="s">
        <v>321</v>
      </c>
      <c r="E1014" t="s">
        <v>2297</v>
      </c>
      <c r="F1014" t="s">
        <v>2298</v>
      </c>
      <c r="G1014" t="s">
        <v>1561</v>
      </c>
      <c r="H1014" t="s">
        <v>1031</v>
      </c>
      <c r="I1014">
        <v>185345009</v>
      </c>
      <c r="J1014" t="s">
        <v>1032</v>
      </c>
      <c r="K1014">
        <v>85.55</v>
      </c>
      <c r="L1014">
        <v>85.55</v>
      </c>
      <c r="M1014">
        <v>0</v>
      </c>
      <c r="N1014">
        <v>444814009</v>
      </c>
      <c r="O1014" t="s">
        <v>1035</v>
      </c>
    </row>
    <row r="1015" spans="1:15">
      <c r="A1015" t="s">
        <v>2307</v>
      </c>
      <c r="B1015" s="2">
        <v>43475.881030092591</v>
      </c>
      <c r="C1015" s="2">
        <v>43475.891446759262</v>
      </c>
      <c r="D1015" t="s">
        <v>321</v>
      </c>
      <c r="E1015" t="s">
        <v>2293</v>
      </c>
      <c r="F1015" t="s">
        <v>2294</v>
      </c>
      <c r="G1015" t="s">
        <v>1561</v>
      </c>
      <c r="H1015" t="s">
        <v>1020</v>
      </c>
      <c r="I1015">
        <v>410620009</v>
      </c>
      <c r="J1015" t="s">
        <v>1054</v>
      </c>
      <c r="K1015">
        <v>136.80000000000001</v>
      </c>
      <c r="L1015">
        <v>704.2</v>
      </c>
      <c r="M1015">
        <v>0</v>
      </c>
      <c r="O1015" t="s">
        <v>34</v>
      </c>
    </row>
    <row r="1016" spans="1:15">
      <c r="A1016" t="s">
        <v>2308</v>
      </c>
      <c r="B1016" s="2">
        <v>43482.881030092591</v>
      </c>
      <c r="C1016" s="2">
        <v>43483.000613425924</v>
      </c>
      <c r="D1016" t="s">
        <v>321</v>
      </c>
      <c r="E1016" t="s">
        <v>2297</v>
      </c>
      <c r="F1016" t="s">
        <v>2298</v>
      </c>
      <c r="G1016" t="s">
        <v>1561</v>
      </c>
      <c r="H1016" t="s">
        <v>1031</v>
      </c>
      <c r="I1016">
        <v>185349003</v>
      </c>
      <c r="J1016" t="s">
        <v>1038</v>
      </c>
      <c r="K1016">
        <v>85.55</v>
      </c>
      <c r="L1016">
        <v>2673.95</v>
      </c>
      <c r="M1016">
        <v>0</v>
      </c>
      <c r="N1016">
        <v>103697008</v>
      </c>
      <c r="O1016" t="s">
        <v>1039</v>
      </c>
    </row>
    <row r="1017" spans="1:15">
      <c r="A1017" t="s">
        <v>2309</v>
      </c>
      <c r="B1017" s="2">
        <v>43846.881030092591</v>
      </c>
      <c r="C1017" s="2">
        <v>43846.891446759262</v>
      </c>
      <c r="D1017" t="s">
        <v>321</v>
      </c>
      <c r="E1017" t="s">
        <v>2293</v>
      </c>
      <c r="F1017" t="s">
        <v>2294</v>
      </c>
      <c r="G1017" t="s">
        <v>1561</v>
      </c>
      <c r="H1017" t="s">
        <v>1020</v>
      </c>
      <c r="I1017">
        <v>410620009</v>
      </c>
      <c r="J1017" t="s">
        <v>1054</v>
      </c>
      <c r="K1017">
        <v>136.80000000000001</v>
      </c>
      <c r="L1017">
        <v>816.8</v>
      </c>
      <c r="M1017">
        <v>0</v>
      </c>
      <c r="O1017" t="s">
        <v>34</v>
      </c>
    </row>
    <row r="1018" spans="1:15">
      <c r="A1018" t="s">
        <v>2310</v>
      </c>
      <c r="B1018" s="2">
        <v>43891.881030092591</v>
      </c>
      <c r="C1018" s="2">
        <v>43891.891446759262</v>
      </c>
      <c r="D1018" t="s">
        <v>321</v>
      </c>
      <c r="E1018" t="s">
        <v>2297</v>
      </c>
      <c r="F1018" t="s">
        <v>2298</v>
      </c>
      <c r="G1018" t="s">
        <v>1561</v>
      </c>
      <c r="H1018" t="s">
        <v>1043</v>
      </c>
      <c r="I1018">
        <v>185345009</v>
      </c>
      <c r="J1018" t="s">
        <v>1032</v>
      </c>
      <c r="K1018">
        <v>85.55</v>
      </c>
      <c r="L1018">
        <v>85.55</v>
      </c>
      <c r="M1018">
        <v>0</v>
      </c>
      <c r="N1018">
        <v>65363002</v>
      </c>
      <c r="O1018" t="s">
        <v>1335</v>
      </c>
    </row>
    <row r="1019" spans="1:15">
      <c r="A1019" t="s">
        <v>2311</v>
      </c>
      <c r="B1019" s="2">
        <v>44217.881030092591</v>
      </c>
      <c r="C1019" s="2">
        <v>44217.891446759262</v>
      </c>
      <c r="D1019" t="s">
        <v>321</v>
      </c>
      <c r="E1019" t="s">
        <v>2293</v>
      </c>
      <c r="F1019" t="s">
        <v>2294</v>
      </c>
      <c r="G1019" t="s">
        <v>1561</v>
      </c>
      <c r="H1019" t="s">
        <v>1020</v>
      </c>
      <c r="I1019">
        <v>410620009</v>
      </c>
      <c r="J1019" t="s">
        <v>1054</v>
      </c>
      <c r="K1019">
        <v>136.80000000000001</v>
      </c>
      <c r="L1019">
        <v>563.08000000000004</v>
      </c>
      <c r="M1019">
        <v>0</v>
      </c>
      <c r="O1019" t="s">
        <v>34</v>
      </c>
    </row>
    <row r="1020" spans="1:15">
      <c r="A1020" t="s">
        <v>2312</v>
      </c>
      <c r="B1020" s="2">
        <v>44588.881030092591</v>
      </c>
      <c r="C1020" s="2">
        <v>44588.891446759262</v>
      </c>
      <c r="D1020" t="s">
        <v>321</v>
      </c>
      <c r="E1020" t="s">
        <v>2293</v>
      </c>
      <c r="F1020" t="s">
        <v>2294</v>
      </c>
      <c r="G1020" t="s">
        <v>1561</v>
      </c>
      <c r="H1020" t="s">
        <v>1020</v>
      </c>
      <c r="I1020">
        <v>410620009</v>
      </c>
      <c r="J1020" t="s">
        <v>1054</v>
      </c>
      <c r="K1020">
        <v>136.80000000000001</v>
      </c>
      <c r="L1020">
        <v>488.5</v>
      </c>
      <c r="M1020">
        <v>0</v>
      </c>
      <c r="O1020" t="s">
        <v>34</v>
      </c>
    </row>
    <row r="1021" spans="1:15">
      <c r="A1021" t="s">
        <v>2313</v>
      </c>
      <c r="B1021" s="2">
        <v>44864.922696759262</v>
      </c>
      <c r="C1021" s="2">
        <v>44864.964363425926</v>
      </c>
      <c r="D1021" t="s">
        <v>321</v>
      </c>
      <c r="E1021" t="s">
        <v>2314</v>
      </c>
      <c r="F1021" t="s">
        <v>2315</v>
      </c>
      <c r="G1021" t="s">
        <v>1561</v>
      </c>
      <c r="H1021" t="s">
        <v>1076</v>
      </c>
      <c r="I1021">
        <v>50849002</v>
      </c>
      <c r="J1021" t="s">
        <v>1163</v>
      </c>
      <c r="K1021">
        <v>146.18</v>
      </c>
      <c r="L1021">
        <v>146.18</v>
      </c>
      <c r="M1021">
        <v>0</v>
      </c>
      <c r="N1021">
        <v>384709000</v>
      </c>
      <c r="O1021" t="s">
        <v>1164</v>
      </c>
    </row>
    <row r="1022" spans="1:15">
      <c r="A1022" t="s">
        <v>2316</v>
      </c>
      <c r="B1022" s="2">
        <v>44959.881030092591</v>
      </c>
      <c r="C1022" s="2">
        <v>44959.891446759262</v>
      </c>
      <c r="D1022" t="s">
        <v>321</v>
      </c>
      <c r="E1022" t="s">
        <v>2293</v>
      </c>
      <c r="F1022" t="s">
        <v>2294</v>
      </c>
      <c r="G1022" t="s">
        <v>1561</v>
      </c>
      <c r="H1022" t="s">
        <v>1020</v>
      </c>
      <c r="I1022">
        <v>410620009</v>
      </c>
      <c r="J1022" t="s">
        <v>1054</v>
      </c>
      <c r="K1022">
        <v>136.80000000000001</v>
      </c>
      <c r="L1022">
        <v>704.2</v>
      </c>
      <c r="M1022">
        <v>0</v>
      </c>
      <c r="O1022" t="s">
        <v>34</v>
      </c>
    </row>
    <row r="1023" spans="1:15">
      <c r="A1023" t="s">
        <v>2317</v>
      </c>
      <c r="B1023" s="2">
        <v>44966.881030092591</v>
      </c>
      <c r="C1023" s="2">
        <v>44967.024548611109</v>
      </c>
      <c r="D1023" t="s">
        <v>321</v>
      </c>
      <c r="E1023" t="s">
        <v>2297</v>
      </c>
      <c r="F1023" t="s">
        <v>2298</v>
      </c>
      <c r="G1023" t="s">
        <v>1561</v>
      </c>
      <c r="H1023" t="s">
        <v>1031</v>
      </c>
      <c r="I1023">
        <v>185349003</v>
      </c>
      <c r="J1023" t="s">
        <v>1038</v>
      </c>
      <c r="K1023">
        <v>85.55</v>
      </c>
      <c r="L1023">
        <v>3105.35</v>
      </c>
      <c r="M1023">
        <v>0</v>
      </c>
      <c r="N1023">
        <v>66383009</v>
      </c>
      <c r="O1023" t="s">
        <v>1209</v>
      </c>
    </row>
    <row r="1024" spans="1:15">
      <c r="A1024" t="s">
        <v>2318</v>
      </c>
      <c r="B1024" s="2">
        <v>45010.297696759262</v>
      </c>
      <c r="C1024" s="2">
        <v>45010.308113425926</v>
      </c>
      <c r="D1024" t="s">
        <v>321</v>
      </c>
      <c r="E1024" t="s">
        <v>2297</v>
      </c>
      <c r="F1024" t="s">
        <v>2298</v>
      </c>
      <c r="G1024" t="s">
        <v>1561</v>
      </c>
      <c r="H1024" t="s">
        <v>1031</v>
      </c>
      <c r="I1024">
        <v>185345009</v>
      </c>
      <c r="J1024" t="s">
        <v>1032</v>
      </c>
      <c r="K1024">
        <v>85.55</v>
      </c>
      <c r="L1024">
        <v>85.55</v>
      </c>
      <c r="M1024">
        <v>0</v>
      </c>
      <c r="N1024">
        <v>444814009</v>
      </c>
      <c r="O1024" t="s">
        <v>1035</v>
      </c>
    </row>
    <row r="1025" spans="1:15">
      <c r="A1025" t="s">
        <v>2319</v>
      </c>
      <c r="B1025" s="2">
        <v>45163.047696759262</v>
      </c>
      <c r="C1025" s="2">
        <v>45163.058113425926</v>
      </c>
      <c r="D1025" t="s">
        <v>321</v>
      </c>
      <c r="E1025" t="s">
        <v>2297</v>
      </c>
      <c r="F1025" t="s">
        <v>2298</v>
      </c>
      <c r="G1025" t="s">
        <v>1561</v>
      </c>
      <c r="H1025" t="s">
        <v>1031</v>
      </c>
      <c r="I1025">
        <v>185345009</v>
      </c>
      <c r="J1025" t="s">
        <v>1032</v>
      </c>
      <c r="K1025">
        <v>85.55</v>
      </c>
      <c r="L1025">
        <v>85.55</v>
      </c>
      <c r="M1025">
        <v>0</v>
      </c>
      <c r="N1025">
        <v>43878008</v>
      </c>
      <c r="O1025" t="s">
        <v>1217</v>
      </c>
    </row>
    <row r="1026" spans="1:15">
      <c r="A1026" t="s">
        <v>2320</v>
      </c>
      <c r="B1026" s="2">
        <v>45296.922696759262</v>
      </c>
      <c r="C1026" s="2">
        <v>45296.933113425926</v>
      </c>
      <c r="D1026" t="s">
        <v>321</v>
      </c>
      <c r="E1026" t="s">
        <v>2297</v>
      </c>
      <c r="F1026" t="s">
        <v>2298</v>
      </c>
      <c r="G1026" t="s">
        <v>1561</v>
      </c>
      <c r="H1026" t="s">
        <v>1031</v>
      </c>
      <c r="I1026">
        <v>185345009</v>
      </c>
      <c r="J1026" t="s">
        <v>1032</v>
      </c>
      <c r="K1026">
        <v>85.55</v>
      </c>
      <c r="L1026">
        <v>85.55</v>
      </c>
      <c r="M1026">
        <v>0</v>
      </c>
      <c r="N1026">
        <v>43878008</v>
      </c>
      <c r="O1026" t="s">
        <v>1217</v>
      </c>
    </row>
    <row r="1027" spans="1:15">
      <c r="A1027" t="s">
        <v>2321</v>
      </c>
      <c r="B1027" s="2">
        <v>45330.881030092591</v>
      </c>
      <c r="C1027" s="2">
        <v>45330.891446759262</v>
      </c>
      <c r="D1027" t="s">
        <v>321</v>
      </c>
      <c r="E1027" t="s">
        <v>2293</v>
      </c>
      <c r="F1027" t="s">
        <v>2294</v>
      </c>
      <c r="G1027" t="s">
        <v>1561</v>
      </c>
      <c r="H1027" t="s">
        <v>1020</v>
      </c>
      <c r="I1027">
        <v>410620009</v>
      </c>
      <c r="J1027" t="s">
        <v>1054</v>
      </c>
      <c r="K1027">
        <v>136.80000000000001</v>
      </c>
      <c r="L1027">
        <v>272.8</v>
      </c>
      <c r="M1027">
        <v>0</v>
      </c>
      <c r="O1027" t="s">
        <v>34</v>
      </c>
    </row>
    <row r="1028" spans="1:15">
      <c r="A1028" t="s">
        <v>2322</v>
      </c>
      <c r="B1028" s="2">
        <v>45689.881030092591</v>
      </c>
      <c r="C1028" s="2">
        <v>45689.922696759262</v>
      </c>
      <c r="D1028" t="s">
        <v>321</v>
      </c>
      <c r="E1028" t="s">
        <v>2314</v>
      </c>
      <c r="F1028" t="s">
        <v>2315</v>
      </c>
      <c r="G1028" t="s">
        <v>1561</v>
      </c>
      <c r="H1028" t="s">
        <v>1076</v>
      </c>
      <c r="I1028">
        <v>50849002</v>
      </c>
      <c r="J1028" t="s">
        <v>1163</v>
      </c>
      <c r="K1028">
        <v>146.18</v>
      </c>
      <c r="L1028">
        <v>146.18</v>
      </c>
      <c r="M1028">
        <v>0</v>
      </c>
      <c r="N1028">
        <v>384709000</v>
      </c>
      <c r="O1028" t="s">
        <v>1164</v>
      </c>
    </row>
    <row r="1029" spans="1:15">
      <c r="A1029" t="s">
        <v>2323</v>
      </c>
      <c r="B1029" s="2">
        <v>45701.881030092591</v>
      </c>
      <c r="C1029" s="2">
        <v>45701.891446759262</v>
      </c>
      <c r="D1029" t="s">
        <v>321</v>
      </c>
      <c r="E1029" t="s">
        <v>2293</v>
      </c>
      <c r="F1029" t="s">
        <v>2294</v>
      </c>
      <c r="G1029" t="s">
        <v>1561</v>
      </c>
      <c r="H1029" t="s">
        <v>1020</v>
      </c>
      <c r="I1029">
        <v>410620009</v>
      </c>
      <c r="J1029" t="s">
        <v>1054</v>
      </c>
      <c r="K1029">
        <v>136.80000000000001</v>
      </c>
      <c r="L1029">
        <v>704.2</v>
      </c>
      <c r="M1029">
        <v>0</v>
      </c>
      <c r="O1029" t="s">
        <v>34</v>
      </c>
    </row>
    <row r="1030" spans="1:15">
      <c r="A1030" t="s">
        <v>2324</v>
      </c>
      <c r="B1030" s="2">
        <v>45708.881030092591</v>
      </c>
      <c r="C1030" s="2">
        <v>45709.027349537035</v>
      </c>
      <c r="D1030" t="s">
        <v>321</v>
      </c>
      <c r="E1030" t="s">
        <v>2297</v>
      </c>
      <c r="F1030" t="s">
        <v>2298</v>
      </c>
      <c r="G1030" t="s">
        <v>1561</v>
      </c>
      <c r="H1030" t="s">
        <v>1031</v>
      </c>
      <c r="I1030">
        <v>185349003</v>
      </c>
      <c r="J1030" t="s">
        <v>1038</v>
      </c>
      <c r="K1030">
        <v>85.55</v>
      </c>
      <c r="L1030">
        <v>3105.35</v>
      </c>
      <c r="M1030">
        <v>0</v>
      </c>
      <c r="N1030">
        <v>66383009</v>
      </c>
      <c r="O1030" t="s">
        <v>1209</v>
      </c>
    </row>
    <row r="1031" spans="1:15">
      <c r="A1031" t="s">
        <v>2325</v>
      </c>
      <c r="B1031" s="2">
        <v>46072.881030092591</v>
      </c>
      <c r="C1031" s="2">
        <v>46072.891446759262</v>
      </c>
      <c r="D1031" t="s">
        <v>321</v>
      </c>
      <c r="E1031" t="s">
        <v>2293</v>
      </c>
      <c r="F1031" t="s">
        <v>2294</v>
      </c>
      <c r="G1031" t="s">
        <v>1561</v>
      </c>
      <c r="H1031" t="s">
        <v>1020</v>
      </c>
      <c r="I1031">
        <v>410620009</v>
      </c>
      <c r="J1031" t="s">
        <v>1054</v>
      </c>
      <c r="K1031">
        <v>136.80000000000001</v>
      </c>
      <c r="L1031">
        <v>1560.71</v>
      </c>
      <c r="M1031">
        <v>0</v>
      </c>
      <c r="O1031" t="s">
        <v>34</v>
      </c>
    </row>
    <row r="1032" spans="1:15">
      <c r="A1032" t="s">
        <v>2326</v>
      </c>
      <c r="B1032" s="2">
        <v>28653.695185185185</v>
      </c>
      <c r="C1032" s="2">
        <v>28653.705601851852</v>
      </c>
      <c r="D1032" t="s">
        <v>329</v>
      </c>
      <c r="E1032" t="s">
        <v>2327</v>
      </c>
      <c r="F1032" t="s">
        <v>2328</v>
      </c>
      <c r="G1032" t="s">
        <v>1093</v>
      </c>
      <c r="H1032" t="s">
        <v>1031</v>
      </c>
      <c r="I1032">
        <v>185345009</v>
      </c>
      <c r="J1032" t="s">
        <v>1032</v>
      </c>
      <c r="K1032">
        <v>85.55</v>
      </c>
      <c r="L1032">
        <v>92.93</v>
      </c>
      <c r="M1032">
        <v>42.93</v>
      </c>
      <c r="N1032">
        <v>75498004</v>
      </c>
      <c r="O1032" t="s">
        <v>1174</v>
      </c>
    </row>
    <row r="1033" spans="1:15">
      <c r="A1033" t="s">
        <v>2329</v>
      </c>
      <c r="B1033" s="2">
        <v>29155.27851851852</v>
      </c>
      <c r="C1033" s="2">
        <v>29155.290891203702</v>
      </c>
      <c r="D1033" t="s">
        <v>329</v>
      </c>
      <c r="E1033" t="s">
        <v>2330</v>
      </c>
      <c r="F1033" t="s">
        <v>2331</v>
      </c>
      <c r="G1033" t="s">
        <v>1093</v>
      </c>
      <c r="H1033" t="s">
        <v>1020</v>
      </c>
      <c r="I1033">
        <v>410620009</v>
      </c>
      <c r="J1033" t="s">
        <v>1054</v>
      </c>
      <c r="K1033">
        <v>136.80000000000001</v>
      </c>
      <c r="L1033">
        <v>568.20000000000005</v>
      </c>
      <c r="M1033">
        <v>418.2</v>
      </c>
      <c r="O1033" t="s">
        <v>34</v>
      </c>
    </row>
    <row r="1034" spans="1:15">
      <c r="A1034" t="s">
        <v>2332</v>
      </c>
      <c r="B1034" s="2">
        <v>29897.236851851852</v>
      </c>
      <c r="C1034" s="2">
        <v>29897.256226851852</v>
      </c>
      <c r="D1034" t="s">
        <v>329</v>
      </c>
      <c r="E1034" t="s">
        <v>2330</v>
      </c>
      <c r="F1034" t="s">
        <v>2331</v>
      </c>
      <c r="G1034" t="s">
        <v>1093</v>
      </c>
      <c r="H1034" t="s">
        <v>1020</v>
      </c>
      <c r="I1034">
        <v>410620009</v>
      </c>
      <c r="J1034" t="s">
        <v>1054</v>
      </c>
      <c r="K1034">
        <v>136.80000000000001</v>
      </c>
      <c r="L1034">
        <v>919.9</v>
      </c>
      <c r="M1034">
        <v>769.9</v>
      </c>
      <c r="O1034" t="s">
        <v>34</v>
      </c>
    </row>
    <row r="1035" spans="1:15">
      <c r="A1035" t="s">
        <v>2333</v>
      </c>
      <c r="B1035" s="2">
        <v>30164.27851851852</v>
      </c>
      <c r="C1035" s="2">
        <v>30164.320185185185</v>
      </c>
      <c r="D1035" t="s">
        <v>329</v>
      </c>
      <c r="E1035" t="s">
        <v>2334</v>
      </c>
      <c r="F1035" t="s">
        <v>2335</v>
      </c>
      <c r="G1035" t="s">
        <v>1093</v>
      </c>
      <c r="H1035" t="s">
        <v>1076</v>
      </c>
      <c r="I1035">
        <v>50849002</v>
      </c>
      <c r="J1035" t="s">
        <v>1163</v>
      </c>
      <c r="K1035">
        <v>146.18</v>
      </c>
      <c r="L1035">
        <v>1008.98</v>
      </c>
      <c r="M1035">
        <v>958.98</v>
      </c>
      <c r="N1035">
        <v>125605004</v>
      </c>
      <c r="O1035" t="s">
        <v>1644</v>
      </c>
    </row>
    <row r="1036" spans="1:15">
      <c r="A1036" t="s">
        <v>2336</v>
      </c>
      <c r="B1036" s="2">
        <v>30205.308634259258</v>
      </c>
      <c r="C1036" s="2">
        <v>30205.319050925926</v>
      </c>
      <c r="D1036" t="s">
        <v>329</v>
      </c>
      <c r="E1036" t="s">
        <v>2327</v>
      </c>
      <c r="F1036" t="s">
        <v>2328</v>
      </c>
      <c r="G1036" t="s">
        <v>1093</v>
      </c>
      <c r="H1036" t="s">
        <v>1031</v>
      </c>
      <c r="I1036">
        <v>185349003</v>
      </c>
      <c r="J1036" t="s">
        <v>1038</v>
      </c>
      <c r="K1036">
        <v>85.55</v>
      </c>
      <c r="L1036">
        <v>85.55</v>
      </c>
      <c r="M1036">
        <v>35.549999999999997</v>
      </c>
      <c r="N1036">
        <v>263102004</v>
      </c>
      <c r="O1036" t="s">
        <v>2337</v>
      </c>
    </row>
    <row r="1037" spans="1:15">
      <c r="A1037" t="s">
        <v>2338</v>
      </c>
      <c r="B1037" s="2">
        <v>30225.27851851852</v>
      </c>
      <c r="C1037" s="2">
        <v>30225.288935185185</v>
      </c>
      <c r="D1037" t="s">
        <v>329</v>
      </c>
      <c r="E1037" t="s">
        <v>2327</v>
      </c>
      <c r="F1037" t="s">
        <v>2328</v>
      </c>
      <c r="G1037" t="s">
        <v>1093</v>
      </c>
      <c r="H1037" t="s">
        <v>1043</v>
      </c>
      <c r="I1037">
        <v>698314001</v>
      </c>
      <c r="J1037" t="s">
        <v>1190</v>
      </c>
      <c r="K1037">
        <v>142.58000000000001</v>
      </c>
      <c r="L1037">
        <v>142.58000000000001</v>
      </c>
      <c r="M1037">
        <v>92.58</v>
      </c>
      <c r="N1037">
        <v>389095005</v>
      </c>
      <c r="O1037" t="s">
        <v>1191</v>
      </c>
    </row>
    <row r="1038" spans="1:15">
      <c r="A1038" t="s">
        <v>2339</v>
      </c>
      <c r="B1038" s="2">
        <v>30268.236851851852</v>
      </c>
      <c r="C1038" s="2">
        <v>30268.24726851852</v>
      </c>
      <c r="D1038" t="s">
        <v>329</v>
      </c>
      <c r="E1038" t="s">
        <v>2330</v>
      </c>
      <c r="F1038" t="s">
        <v>2331</v>
      </c>
      <c r="G1038" t="s">
        <v>1093</v>
      </c>
      <c r="H1038" t="s">
        <v>1020</v>
      </c>
      <c r="I1038">
        <v>410620009</v>
      </c>
      <c r="J1038" t="s">
        <v>1054</v>
      </c>
      <c r="K1038">
        <v>136.80000000000001</v>
      </c>
      <c r="L1038">
        <v>704.2</v>
      </c>
      <c r="M1038">
        <v>554.20000000000005</v>
      </c>
      <c r="O1038" t="s">
        <v>34</v>
      </c>
    </row>
    <row r="1039" spans="1:15">
      <c r="A1039" t="s">
        <v>2340</v>
      </c>
      <c r="B1039" s="2">
        <v>30282.236851851852</v>
      </c>
      <c r="C1039" s="2">
        <v>30282.369374999998</v>
      </c>
      <c r="D1039" t="s">
        <v>329</v>
      </c>
      <c r="E1039" t="s">
        <v>2327</v>
      </c>
      <c r="F1039" t="s">
        <v>2328</v>
      </c>
      <c r="G1039" t="s">
        <v>1093</v>
      </c>
      <c r="H1039" t="s">
        <v>1031</v>
      </c>
      <c r="I1039">
        <v>185349003</v>
      </c>
      <c r="J1039" t="s">
        <v>1038</v>
      </c>
      <c r="K1039">
        <v>85.55</v>
      </c>
      <c r="L1039">
        <v>3105.35</v>
      </c>
      <c r="M1039">
        <v>3055.35</v>
      </c>
      <c r="N1039">
        <v>103697008</v>
      </c>
      <c r="O1039" t="s">
        <v>1039</v>
      </c>
    </row>
    <row r="1040" spans="1:15">
      <c r="A1040" t="s">
        <v>2341</v>
      </c>
      <c r="B1040" s="2">
        <v>30587.695185185185</v>
      </c>
      <c r="C1040" s="2">
        <v>30587.705601851852</v>
      </c>
      <c r="D1040" t="s">
        <v>329</v>
      </c>
      <c r="E1040" t="s">
        <v>2327</v>
      </c>
      <c r="F1040" t="s">
        <v>2328</v>
      </c>
      <c r="G1040" t="s">
        <v>1093</v>
      </c>
      <c r="H1040" t="s">
        <v>1031</v>
      </c>
      <c r="I1040">
        <v>185345009</v>
      </c>
      <c r="J1040" t="s">
        <v>1032</v>
      </c>
      <c r="K1040">
        <v>85.55</v>
      </c>
      <c r="L1040">
        <v>948.35</v>
      </c>
      <c r="M1040">
        <v>898.35</v>
      </c>
      <c r="N1040">
        <v>195662009</v>
      </c>
      <c r="O1040" t="s">
        <v>1130</v>
      </c>
    </row>
    <row r="1041" spans="1:15">
      <c r="A1041" t="s">
        <v>2342</v>
      </c>
      <c r="B1041" s="2">
        <v>30639.236851851852</v>
      </c>
      <c r="C1041" s="2">
        <v>30639.248854166668</v>
      </c>
      <c r="D1041" t="s">
        <v>329</v>
      </c>
      <c r="E1041" t="s">
        <v>2330</v>
      </c>
      <c r="F1041" t="s">
        <v>2331</v>
      </c>
      <c r="G1041" t="s">
        <v>1093</v>
      </c>
      <c r="H1041" t="s">
        <v>1020</v>
      </c>
      <c r="I1041">
        <v>410620009</v>
      </c>
      <c r="J1041" t="s">
        <v>1054</v>
      </c>
      <c r="K1041">
        <v>136.80000000000001</v>
      </c>
      <c r="L1041">
        <v>1108.76</v>
      </c>
      <c r="M1041">
        <v>958.76</v>
      </c>
      <c r="O1041" t="s">
        <v>34</v>
      </c>
    </row>
    <row r="1042" spans="1:15">
      <c r="A1042" t="s">
        <v>2343</v>
      </c>
      <c r="B1042" s="2">
        <v>30653.236851851852</v>
      </c>
      <c r="C1042" s="2">
        <v>30653.389502314814</v>
      </c>
      <c r="D1042" t="s">
        <v>329</v>
      </c>
      <c r="E1042" t="s">
        <v>2327</v>
      </c>
      <c r="F1042" t="s">
        <v>2328</v>
      </c>
      <c r="G1042" t="s">
        <v>1093</v>
      </c>
      <c r="H1042" t="s">
        <v>1031</v>
      </c>
      <c r="I1042">
        <v>185349003</v>
      </c>
      <c r="J1042" t="s">
        <v>1038</v>
      </c>
      <c r="K1042">
        <v>85.55</v>
      </c>
      <c r="L1042">
        <v>3968.15</v>
      </c>
      <c r="M1042">
        <v>3918.15</v>
      </c>
      <c r="N1042">
        <v>66383009</v>
      </c>
      <c r="O1042" t="s">
        <v>1209</v>
      </c>
    </row>
    <row r="1043" spans="1:15">
      <c r="A1043" t="s">
        <v>2344</v>
      </c>
      <c r="B1043" s="2">
        <v>30667.236851851852</v>
      </c>
      <c r="C1043" s="2">
        <v>30667.24726851852</v>
      </c>
      <c r="D1043" t="s">
        <v>329</v>
      </c>
      <c r="E1043" t="s">
        <v>2327</v>
      </c>
      <c r="F1043" t="s">
        <v>2328</v>
      </c>
      <c r="G1043" t="s">
        <v>1093</v>
      </c>
      <c r="H1043" t="s">
        <v>1031</v>
      </c>
      <c r="I1043">
        <v>424441002</v>
      </c>
      <c r="J1043" t="s">
        <v>1059</v>
      </c>
      <c r="K1043">
        <v>142.58000000000001</v>
      </c>
      <c r="L1043">
        <v>36299.01</v>
      </c>
      <c r="M1043">
        <v>36249.01</v>
      </c>
      <c r="N1043">
        <v>72892002</v>
      </c>
      <c r="O1043" t="s">
        <v>1060</v>
      </c>
    </row>
    <row r="1044" spans="1:15">
      <c r="A1044" t="s">
        <v>2345</v>
      </c>
      <c r="B1044" s="2">
        <v>30695.236851851852</v>
      </c>
      <c r="C1044" s="2">
        <v>30695.24726851852</v>
      </c>
      <c r="D1044" t="s">
        <v>329</v>
      </c>
      <c r="E1044" t="s">
        <v>2327</v>
      </c>
      <c r="F1044" t="s">
        <v>2328</v>
      </c>
      <c r="G1044" t="s">
        <v>1093</v>
      </c>
      <c r="H1044" t="s">
        <v>1031</v>
      </c>
      <c r="I1044">
        <v>424619006</v>
      </c>
      <c r="J1044" t="s">
        <v>1062</v>
      </c>
      <c r="K1044">
        <v>142.58000000000001</v>
      </c>
      <c r="L1044">
        <v>5528.76</v>
      </c>
      <c r="M1044">
        <v>5478.76</v>
      </c>
      <c r="N1044">
        <v>72892002</v>
      </c>
      <c r="O1044" t="s">
        <v>1060</v>
      </c>
    </row>
    <row r="1045" spans="1:15">
      <c r="A1045" t="s">
        <v>2346</v>
      </c>
      <c r="B1045" s="2">
        <v>30723.236851851852</v>
      </c>
      <c r="C1045" s="2">
        <v>30723.24726851852</v>
      </c>
      <c r="D1045" t="s">
        <v>329</v>
      </c>
      <c r="E1045" t="s">
        <v>2327</v>
      </c>
      <c r="F1045" t="s">
        <v>2328</v>
      </c>
      <c r="G1045" t="s">
        <v>1093</v>
      </c>
      <c r="H1045" t="s">
        <v>1031</v>
      </c>
      <c r="I1045">
        <v>424619006</v>
      </c>
      <c r="J1045" t="s">
        <v>1062</v>
      </c>
      <c r="K1045">
        <v>142.58000000000001</v>
      </c>
      <c r="L1045">
        <v>7977.18</v>
      </c>
      <c r="M1045">
        <v>7927.18</v>
      </c>
      <c r="N1045">
        <v>72892002</v>
      </c>
      <c r="O1045" t="s">
        <v>1060</v>
      </c>
    </row>
    <row r="1046" spans="1:15">
      <c r="A1046" t="s">
        <v>2347</v>
      </c>
      <c r="B1046" s="2">
        <v>30751.236851851852</v>
      </c>
      <c r="C1046" s="2">
        <v>30751.24726851852</v>
      </c>
      <c r="D1046" t="s">
        <v>329</v>
      </c>
      <c r="E1046" t="s">
        <v>2327</v>
      </c>
      <c r="F1046" t="s">
        <v>2328</v>
      </c>
      <c r="G1046" t="s">
        <v>1093</v>
      </c>
      <c r="H1046" t="s">
        <v>1031</v>
      </c>
      <c r="I1046">
        <v>424619006</v>
      </c>
      <c r="J1046" t="s">
        <v>1062</v>
      </c>
      <c r="K1046">
        <v>142.58000000000001</v>
      </c>
      <c r="L1046">
        <v>8469.09</v>
      </c>
      <c r="M1046">
        <v>8419.09</v>
      </c>
      <c r="N1046">
        <v>72892002</v>
      </c>
      <c r="O1046" t="s">
        <v>1060</v>
      </c>
    </row>
    <row r="1047" spans="1:15">
      <c r="A1047" t="s">
        <v>2348</v>
      </c>
      <c r="B1047" s="2">
        <v>30779.27851851852</v>
      </c>
      <c r="C1047" s="2">
        <v>30779.288935185185</v>
      </c>
      <c r="D1047" t="s">
        <v>329</v>
      </c>
      <c r="E1047" t="s">
        <v>2327</v>
      </c>
      <c r="F1047" t="s">
        <v>2328</v>
      </c>
      <c r="G1047" t="s">
        <v>1093</v>
      </c>
      <c r="H1047" t="s">
        <v>1031</v>
      </c>
      <c r="I1047">
        <v>424619006</v>
      </c>
      <c r="J1047" t="s">
        <v>1062</v>
      </c>
      <c r="K1047">
        <v>142.58000000000001</v>
      </c>
      <c r="L1047">
        <v>7431.32</v>
      </c>
      <c r="M1047">
        <v>7381.32</v>
      </c>
      <c r="N1047">
        <v>72892002</v>
      </c>
      <c r="O1047" t="s">
        <v>1060</v>
      </c>
    </row>
    <row r="1048" spans="1:15">
      <c r="A1048" t="s">
        <v>2349</v>
      </c>
      <c r="B1048" s="2">
        <v>30807.27851851852</v>
      </c>
      <c r="C1048" s="2">
        <v>30807.288935185185</v>
      </c>
      <c r="D1048" t="s">
        <v>329</v>
      </c>
      <c r="E1048" t="s">
        <v>2327</v>
      </c>
      <c r="F1048" t="s">
        <v>2328</v>
      </c>
      <c r="G1048" t="s">
        <v>1093</v>
      </c>
      <c r="H1048" t="s">
        <v>1031</v>
      </c>
      <c r="I1048">
        <v>424619006</v>
      </c>
      <c r="J1048" t="s">
        <v>1062</v>
      </c>
      <c r="K1048">
        <v>142.58000000000001</v>
      </c>
      <c r="L1048">
        <v>16884.439999999999</v>
      </c>
      <c r="M1048">
        <v>16834.439999999999</v>
      </c>
      <c r="N1048">
        <v>72892002</v>
      </c>
      <c r="O1048" t="s">
        <v>1060</v>
      </c>
    </row>
    <row r="1049" spans="1:15">
      <c r="A1049" t="s">
        <v>2350</v>
      </c>
      <c r="B1049" s="2">
        <v>30835.27851851852</v>
      </c>
      <c r="C1049" s="2">
        <v>30835.288935185185</v>
      </c>
      <c r="D1049" t="s">
        <v>329</v>
      </c>
      <c r="E1049" t="s">
        <v>2327</v>
      </c>
      <c r="F1049" t="s">
        <v>2328</v>
      </c>
      <c r="G1049" t="s">
        <v>1093</v>
      </c>
      <c r="H1049" t="s">
        <v>1031</v>
      </c>
      <c r="I1049">
        <v>424619006</v>
      </c>
      <c r="J1049" t="s">
        <v>1062</v>
      </c>
      <c r="K1049">
        <v>142.58000000000001</v>
      </c>
      <c r="L1049">
        <v>4665.96</v>
      </c>
      <c r="M1049">
        <v>4615.96</v>
      </c>
      <c r="N1049">
        <v>72892002</v>
      </c>
      <c r="O1049" t="s">
        <v>1060</v>
      </c>
    </row>
    <row r="1050" spans="1:15">
      <c r="A1050" t="s">
        <v>2351</v>
      </c>
      <c r="B1050" s="2">
        <v>30863.27851851852</v>
      </c>
      <c r="C1050" s="2">
        <v>30863.288935185185</v>
      </c>
      <c r="D1050" t="s">
        <v>329</v>
      </c>
      <c r="E1050" t="s">
        <v>2327</v>
      </c>
      <c r="F1050" t="s">
        <v>2328</v>
      </c>
      <c r="G1050" t="s">
        <v>1093</v>
      </c>
      <c r="H1050" t="s">
        <v>1031</v>
      </c>
      <c r="I1050">
        <v>424619006</v>
      </c>
      <c r="J1050" t="s">
        <v>1062</v>
      </c>
      <c r="K1050">
        <v>142.58000000000001</v>
      </c>
      <c r="L1050">
        <v>7640.91</v>
      </c>
      <c r="M1050">
        <v>7590.91</v>
      </c>
      <c r="N1050">
        <v>72892002</v>
      </c>
      <c r="O1050" t="s">
        <v>1060</v>
      </c>
    </row>
    <row r="1051" spans="1:15">
      <c r="A1051" t="s">
        <v>2352</v>
      </c>
      <c r="B1051" s="2">
        <v>30877.27851851852</v>
      </c>
      <c r="C1051" s="2">
        <v>30877.320185185185</v>
      </c>
      <c r="D1051" t="s">
        <v>329</v>
      </c>
      <c r="E1051" t="s">
        <v>2334</v>
      </c>
      <c r="F1051" t="s">
        <v>2335</v>
      </c>
      <c r="G1051" t="s">
        <v>1093</v>
      </c>
      <c r="H1051" t="s">
        <v>1076</v>
      </c>
      <c r="I1051">
        <v>183460006</v>
      </c>
      <c r="J1051" t="s">
        <v>1077</v>
      </c>
      <c r="K1051">
        <v>146.18</v>
      </c>
      <c r="L1051">
        <v>9969.67</v>
      </c>
      <c r="M1051">
        <v>9919.67</v>
      </c>
      <c r="N1051">
        <v>72892002</v>
      </c>
      <c r="O1051" t="s">
        <v>1060</v>
      </c>
    </row>
    <row r="1052" spans="1:15">
      <c r="A1052" t="s">
        <v>2353</v>
      </c>
      <c r="B1052" s="2">
        <v>30919.27851851852</v>
      </c>
      <c r="C1052" s="2">
        <v>30919.288935185185</v>
      </c>
      <c r="D1052" t="s">
        <v>329</v>
      </c>
      <c r="E1052" t="s">
        <v>2327</v>
      </c>
      <c r="F1052" t="s">
        <v>2328</v>
      </c>
      <c r="G1052" t="s">
        <v>1093</v>
      </c>
      <c r="H1052" t="s">
        <v>1031</v>
      </c>
      <c r="I1052">
        <v>169762003</v>
      </c>
      <c r="J1052" t="s">
        <v>1079</v>
      </c>
      <c r="K1052">
        <v>142.58000000000001</v>
      </c>
      <c r="L1052">
        <v>1005.38</v>
      </c>
      <c r="M1052">
        <v>955.38</v>
      </c>
      <c r="O1052" t="s">
        <v>34</v>
      </c>
    </row>
    <row r="1053" spans="1:15">
      <c r="A1053" t="s">
        <v>2354</v>
      </c>
      <c r="B1053" s="2">
        <v>30945.27851851852</v>
      </c>
      <c r="C1053" s="2">
        <v>30945.288935185185</v>
      </c>
      <c r="D1053" t="s">
        <v>329</v>
      </c>
      <c r="E1053" t="s">
        <v>2327</v>
      </c>
      <c r="F1053" t="s">
        <v>2328</v>
      </c>
      <c r="G1053" t="s">
        <v>1093</v>
      </c>
      <c r="H1053" t="s">
        <v>1043</v>
      </c>
      <c r="I1053">
        <v>698314001</v>
      </c>
      <c r="J1053" t="s">
        <v>1190</v>
      </c>
      <c r="K1053">
        <v>142.58000000000001</v>
      </c>
      <c r="L1053">
        <v>142.58000000000001</v>
      </c>
      <c r="M1053">
        <v>92.58</v>
      </c>
      <c r="N1053">
        <v>389095005</v>
      </c>
      <c r="O1053" t="s">
        <v>1191</v>
      </c>
    </row>
    <row r="1054" spans="1:15">
      <c r="A1054" t="s">
        <v>2355</v>
      </c>
      <c r="B1054" s="2">
        <v>31010.236851851852</v>
      </c>
      <c r="C1054" s="2">
        <v>31010.249826388888</v>
      </c>
      <c r="D1054" t="s">
        <v>329</v>
      </c>
      <c r="E1054" t="s">
        <v>2330</v>
      </c>
      <c r="F1054" t="s">
        <v>2331</v>
      </c>
      <c r="G1054" t="s">
        <v>1093</v>
      </c>
      <c r="H1054" t="s">
        <v>1020</v>
      </c>
      <c r="I1054">
        <v>410620009</v>
      </c>
      <c r="J1054" t="s">
        <v>1054</v>
      </c>
      <c r="K1054">
        <v>136.80000000000001</v>
      </c>
      <c r="L1054">
        <v>1186.3</v>
      </c>
      <c r="M1054">
        <v>1036.3</v>
      </c>
      <c r="O1054" t="s">
        <v>34</v>
      </c>
    </row>
    <row r="1055" spans="1:15">
      <c r="A1055" t="s">
        <v>2356</v>
      </c>
      <c r="B1055" s="2">
        <v>31024.236851851852</v>
      </c>
      <c r="C1055" s="2">
        <v>31024.386631944446</v>
      </c>
      <c r="D1055" t="s">
        <v>329</v>
      </c>
      <c r="E1055" t="s">
        <v>2327</v>
      </c>
      <c r="F1055" t="s">
        <v>2328</v>
      </c>
      <c r="G1055" t="s">
        <v>1093</v>
      </c>
      <c r="H1055" t="s">
        <v>1031</v>
      </c>
      <c r="I1055">
        <v>185349003</v>
      </c>
      <c r="J1055" t="s">
        <v>1038</v>
      </c>
      <c r="K1055">
        <v>85.55</v>
      </c>
      <c r="L1055">
        <v>3105.35</v>
      </c>
      <c r="M1055">
        <v>3055.35</v>
      </c>
      <c r="N1055">
        <v>103697008</v>
      </c>
      <c r="O1055" t="s">
        <v>1039</v>
      </c>
    </row>
    <row r="1056" spans="1:15">
      <c r="A1056" t="s">
        <v>2357</v>
      </c>
      <c r="B1056" s="2">
        <v>31381.236851851852</v>
      </c>
      <c r="C1056" s="2">
        <v>31381.25818287037</v>
      </c>
      <c r="D1056" t="s">
        <v>329</v>
      </c>
      <c r="E1056" t="s">
        <v>2330</v>
      </c>
      <c r="F1056" t="s">
        <v>2331</v>
      </c>
      <c r="G1056" t="s">
        <v>1093</v>
      </c>
      <c r="H1056" t="s">
        <v>1020</v>
      </c>
      <c r="I1056">
        <v>162673000</v>
      </c>
      <c r="J1056" t="s">
        <v>1021</v>
      </c>
      <c r="K1056">
        <v>136.80000000000001</v>
      </c>
      <c r="L1056">
        <v>1100.5899999999999</v>
      </c>
      <c r="M1056">
        <v>950.59</v>
      </c>
      <c r="O1056" t="s">
        <v>34</v>
      </c>
    </row>
    <row r="1057" spans="1:15">
      <c r="A1057" t="s">
        <v>2358</v>
      </c>
      <c r="B1057" s="2">
        <v>31395.236851851852</v>
      </c>
      <c r="C1057" s="2">
        <v>31395.350787037038</v>
      </c>
      <c r="D1057" t="s">
        <v>329</v>
      </c>
      <c r="E1057" t="s">
        <v>2327</v>
      </c>
      <c r="F1057" t="s">
        <v>2328</v>
      </c>
      <c r="G1057" t="s">
        <v>1093</v>
      </c>
      <c r="H1057" t="s">
        <v>1031</v>
      </c>
      <c r="I1057">
        <v>185349003</v>
      </c>
      <c r="J1057" t="s">
        <v>1038</v>
      </c>
      <c r="K1057">
        <v>85.55</v>
      </c>
      <c r="L1057">
        <v>3105.35</v>
      </c>
      <c r="M1057">
        <v>3055.35</v>
      </c>
      <c r="N1057">
        <v>103697008</v>
      </c>
      <c r="O1057" t="s">
        <v>1039</v>
      </c>
    </row>
    <row r="1058" spans="1:15">
      <c r="A1058" t="s">
        <v>2359</v>
      </c>
      <c r="B1058" s="2">
        <v>31752.236851851852</v>
      </c>
      <c r="C1058" s="2">
        <v>31752.275555555556</v>
      </c>
      <c r="D1058" t="s">
        <v>329</v>
      </c>
      <c r="E1058" t="s">
        <v>2330</v>
      </c>
      <c r="F1058" t="s">
        <v>2331</v>
      </c>
      <c r="G1058" t="s">
        <v>1093</v>
      </c>
      <c r="H1058" t="s">
        <v>1020</v>
      </c>
      <c r="I1058">
        <v>162673000</v>
      </c>
      <c r="J1058" t="s">
        <v>1021</v>
      </c>
      <c r="K1058">
        <v>136.80000000000001</v>
      </c>
      <c r="L1058">
        <v>919.9</v>
      </c>
      <c r="M1058">
        <v>769.9</v>
      </c>
      <c r="O1058" t="s">
        <v>34</v>
      </c>
    </row>
    <row r="1059" spans="1:15">
      <c r="A1059" t="s">
        <v>2360</v>
      </c>
      <c r="B1059" s="2">
        <v>32165.236851851852</v>
      </c>
      <c r="C1059" s="2">
        <v>32165.24726851852</v>
      </c>
      <c r="D1059" t="s">
        <v>329</v>
      </c>
      <c r="E1059" t="s">
        <v>2327</v>
      </c>
      <c r="F1059" t="s">
        <v>2328</v>
      </c>
      <c r="G1059" t="s">
        <v>1093</v>
      </c>
      <c r="H1059" t="s">
        <v>1031</v>
      </c>
      <c r="I1059">
        <v>424441002</v>
      </c>
      <c r="J1059" t="s">
        <v>1059</v>
      </c>
      <c r="K1059">
        <v>142.58000000000001</v>
      </c>
      <c r="L1059">
        <v>8285.2900000000009</v>
      </c>
      <c r="M1059">
        <v>8135.29</v>
      </c>
      <c r="N1059">
        <v>72892002</v>
      </c>
      <c r="O1059" t="s">
        <v>1060</v>
      </c>
    </row>
    <row r="1060" spans="1:15">
      <c r="A1060" t="s">
        <v>2361</v>
      </c>
      <c r="B1060" s="2">
        <v>32177.236851851852</v>
      </c>
      <c r="C1060" s="2">
        <v>32177.24726851852</v>
      </c>
      <c r="D1060" t="s">
        <v>329</v>
      </c>
      <c r="E1060" t="s">
        <v>2327</v>
      </c>
      <c r="F1060" t="s">
        <v>2328</v>
      </c>
      <c r="G1060" t="s">
        <v>1093</v>
      </c>
      <c r="H1060" t="s">
        <v>1031</v>
      </c>
      <c r="I1060">
        <v>270427003</v>
      </c>
      <c r="J1060" t="s">
        <v>1179</v>
      </c>
      <c r="K1060">
        <v>85.55</v>
      </c>
      <c r="L1060">
        <v>4444.9799999999996</v>
      </c>
      <c r="M1060">
        <v>4394.9799999999996</v>
      </c>
      <c r="N1060">
        <v>72892002</v>
      </c>
      <c r="O1060" t="s">
        <v>1060</v>
      </c>
    </row>
    <row r="1061" spans="1:15">
      <c r="A1061" t="s">
        <v>2362</v>
      </c>
      <c r="B1061" s="2">
        <v>32191.236851851852</v>
      </c>
      <c r="C1061" s="2">
        <v>32191.24726851852</v>
      </c>
      <c r="D1061" t="s">
        <v>329</v>
      </c>
      <c r="E1061" t="s">
        <v>2327</v>
      </c>
      <c r="F1061" t="s">
        <v>2328</v>
      </c>
      <c r="G1061" t="s">
        <v>1093</v>
      </c>
      <c r="H1061" t="s">
        <v>1031</v>
      </c>
      <c r="I1061">
        <v>424619006</v>
      </c>
      <c r="J1061" t="s">
        <v>1062</v>
      </c>
      <c r="K1061">
        <v>142.58000000000001</v>
      </c>
      <c r="L1061">
        <v>1868.18</v>
      </c>
      <c r="M1061">
        <v>1818.18</v>
      </c>
      <c r="N1061">
        <v>72892002</v>
      </c>
      <c r="O1061" t="s">
        <v>1060</v>
      </c>
    </row>
    <row r="1062" spans="1:15">
      <c r="A1062" t="s">
        <v>2363</v>
      </c>
      <c r="B1062" s="2">
        <v>32417.27851851852</v>
      </c>
      <c r="C1062" s="2">
        <v>32417.288935185185</v>
      </c>
      <c r="D1062" t="s">
        <v>329</v>
      </c>
      <c r="E1062" t="s">
        <v>2327</v>
      </c>
      <c r="F1062" t="s">
        <v>2328</v>
      </c>
      <c r="G1062" t="s">
        <v>1093</v>
      </c>
      <c r="H1062" t="s">
        <v>1031</v>
      </c>
      <c r="I1062">
        <v>424441002</v>
      </c>
      <c r="J1062" t="s">
        <v>1059</v>
      </c>
      <c r="K1062">
        <v>142.58000000000001</v>
      </c>
      <c r="L1062">
        <v>41778.74</v>
      </c>
      <c r="M1062">
        <v>41728.74</v>
      </c>
      <c r="N1062">
        <v>72892002</v>
      </c>
      <c r="O1062" t="s">
        <v>1060</v>
      </c>
    </row>
    <row r="1063" spans="1:15">
      <c r="A1063" t="s">
        <v>2364</v>
      </c>
      <c r="B1063" s="2">
        <v>32445.27851851852</v>
      </c>
      <c r="C1063" s="2">
        <v>32445.288935185185</v>
      </c>
      <c r="D1063" t="s">
        <v>329</v>
      </c>
      <c r="E1063" t="s">
        <v>2327</v>
      </c>
      <c r="F1063" t="s">
        <v>2328</v>
      </c>
      <c r="G1063" t="s">
        <v>1093</v>
      </c>
      <c r="H1063" t="s">
        <v>1031</v>
      </c>
      <c r="I1063">
        <v>424619006</v>
      </c>
      <c r="J1063" t="s">
        <v>1062</v>
      </c>
      <c r="K1063">
        <v>142.58000000000001</v>
      </c>
      <c r="L1063">
        <v>8693.61</v>
      </c>
      <c r="M1063">
        <v>8543.61</v>
      </c>
      <c r="N1063">
        <v>72892002</v>
      </c>
      <c r="O1063" t="s">
        <v>1060</v>
      </c>
    </row>
    <row r="1064" spans="1:15">
      <c r="A1064" t="s">
        <v>2365</v>
      </c>
      <c r="B1064" s="2">
        <v>32473.236851851852</v>
      </c>
      <c r="C1064" s="2">
        <v>32473.24726851852</v>
      </c>
      <c r="D1064" t="s">
        <v>329</v>
      </c>
      <c r="E1064" t="s">
        <v>2327</v>
      </c>
      <c r="F1064" t="s">
        <v>2328</v>
      </c>
      <c r="G1064" t="s">
        <v>1093</v>
      </c>
      <c r="H1064" t="s">
        <v>1031</v>
      </c>
      <c r="I1064">
        <v>424619006</v>
      </c>
      <c r="J1064" t="s">
        <v>1062</v>
      </c>
      <c r="K1064">
        <v>142.58000000000001</v>
      </c>
      <c r="L1064">
        <v>5960.16</v>
      </c>
      <c r="M1064">
        <v>5910.16</v>
      </c>
      <c r="N1064">
        <v>72892002</v>
      </c>
      <c r="O1064" t="s">
        <v>1060</v>
      </c>
    </row>
    <row r="1065" spans="1:15">
      <c r="A1065" t="s">
        <v>2366</v>
      </c>
      <c r="B1065" s="2">
        <v>32501.236851851852</v>
      </c>
      <c r="C1065" s="2">
        <v>32501.24726851852</v>
      </c>
      <c r="D1065" t="s">
        <v>329</v>
      </c>
      <c r="E1065" t="s">
        <v>2327</v>
      </c>
      <c r="F1065" t="s">
        <v>2328</v>
      </c>
      <c r="G1065" t="s">
        <v>1093</v>
      </c>
      <c r="H1065" t="s">
        <v>1031</v>
      </c>
      <c r="I1065">
        <v>424619006</v>
      </c>
      <c r="J1065" t="s">
        <v>1062</v>
      </c>
      <c r="K1065">
        <v>142.58000000000001</v>
      </c>
      <c r="L1065">
        <v>15429.32</v>
      </c>
      <c r="M1065">
        <v>15379.32</v>
      </c>
      <c r="N1065">
        <v>72892002</v>
      </c>
      <c r="O1065" t="s">
        <v>1060</v>
      </c>
    </row>
    <row r="1066" spans="1:15">
      <c r="A1066" t="s">
        <v>2367</v>
      </c>
      <c r="B1066" s="2">
        <v>32529.236851851852</v>
      </c>
      <c r="C1066" s="2">
        <v>32529.24726851852</v>
      </c>
      <c r="D1066" t="s">
        <v>329</v>
      </c>
      <c r="E1066" t="s">
        <v>2327</v>
      </c>
      <c r="F1066" t="s">
        <v>2328</v>
      </c>
      <c r="G1066" t="s">
        <v>1093</v>
      </c>
      <c r="H1066" t="s">
        <v>1031</v>
      </c>
      <c r="I1066">
        <v>424619006</v>
      </c>
      <c r="J1066" t="s">
        <v>1062</v>
      </c>
      <c r="K1066">
        <v>142.58000000000001</v>
      </c>
      <c r="L1066">
        <v>4665.96</v>
      </c>
      <c r="M1066">
        <v>4615.96</v>
      </c>
      <c r="N1066">
        <v>72892002</v>
      </c>
      <c r="O1066" t="s">
        <v>1060</v>
      </c>
    </row>
    <row r="1067" spans="1:15">
      <c r="A1067" t="s">
        <v>2368</v>
      </c>
      <c r="B1067" s="2">
        <v>32555.15351851852</v>
      </c>
      <c r="C1067" s="2">
        <v>32555.16912037037</v>
      </c>
      <c r="D1067" t="s">
        <v>329</v>
      </c>
      <c r="E1067" t="s">
        <v>2327</v>
      </c>
      <c r="F1067" t="s">
        <v>2328</v>
      </c>
      <c r="G1067" t="s">
        <v>1093</v>
      </c>
      <c r="H1067" t="s">
        <v>1031</v>
      </c>
      <c r="I1067">
        <v>185345009</v>
      </c>
      <c r="J1067" t="s">
        <v>1032</v>
      </c>
      <c r="K1067">
        <v>85.55</v>
      </c>
      <c r="L1067">
        <v>142.57</v>
      </c>
      <c r="M1067">
        <v>92.57</v>
      </c>
      <c r="N1067">
        <v>10509002</v>
      </c>
      <c r="O1067" t="s">
        <v>1033</v>
      </c>
    </row>
    <row r="1068" spans="1:15">
      <c r="A1068" t="s">
        <v>2369</v>
      </c>
      <c r="B1068" s="2">
        <v>32557.236851851852</v>
      </c>
      <c r="C1068" s="2">
        <v>32557.24726851852</v>
      </c>
      <c r="D1068" t="s">
        <v>329</v>
      </c>
      <c r="E1068" t="s">
        <v>2327</v>
      </c>
      <c r="F1068" t="s">
        <v>2328</v>
      </c>
      <c r="G1068" t="s">
        <v>1093</v>
      </c>
      <c r="H1068" t="s">
        <v>1031</v>
      </c>
      <c r="I1068">
        <v>424619006</v>
      </c>
      <c r="J1068" t="s">
        <v>1062</v>
      </c>
      <c r="K1068">
        <v>142.58000000000001</v>
      </c>
      <c r="L1068">
        <v>14970.14</v>
      </c>
      <c r="M1068">
        <v>14920.14</v>
      </c>
      <c r="N1068">
        <v>72892002</v>
      </c>
      <c r="O1068" t="s">
        <v>1060</v>
      </c>
    </row>
    <row r="1069" spans="1:15">
      <c r="A1069" t="s">
        <v>2370</v>
      </c>
      <c r="B1069" s="2">
        <v>32564.236851851852</v>
      </c>
      <c r="C1069" s="2">
        <v>32564.267118055555</v>
      </c>
      <c r="D1069" t="s">
        <v>329</v>
      </c>
      <c r="E1069" t="s">
        <v>2327</v>
      </c>
      <c r="F1069" t="s">
        <v>2328</v>
      </c>
      <c r="G1069" t="s">
        <v>1093</v>
      </c>
      <c r="H1069" t="s">
        <v>1043</v>
      </c>
      <c r="I1069">
        <v>185349003</v>
      </c>
      <c r="J1069" t="s">
        <v>1038</v>
      </c>
      <c r="K1069">
        <v>85.55</v>
      </c>
      <c r="L1069">
        <v>863.53</v>
      </c>
      <c r="M1069">
        <v>813.53</v>
      </c>
      <c r="O1069" t="s">
        <v>34</v>
      </c>
    </row>
    <row r="1070" spans="1:15">
      <c r="A1070" t="s">
        <v>2371</v>
      </c>
      <c r="B1070" s="2">
        <v>32578.236851851852</v>
      </c>
      <c r="C1070" s="2">
        <v>32578.338912037038</v>
      </c>
      <c r="D1070" t="s">
        <v>329</v>
      </c>
      <c r="E1070" t="s">
        <v>2327</v>
      </c>
      <c r="F1070" t="s">
        <v>2328</v>
      </c>
      <c r="G1070" t="s">
        <v>1093</v>
      </c>
      <c r="H1070" t="s">
        <v>1031</v>
      </c>
      <c r="I1070">
        <v>185349003</v>
      </c>
      <c r="J1070" t="s">
        <v>1038</v>
      </c>
      <c r="K1070">
        <v>85.55</v>
      </c>
      <c r="L1070">
        <v>3105.35</v>
      </c>
      <c r="M1070">
        <v>3055.35</v>
      </c>
      <c r="N1070">
        <v>103697008</v>
      </c>
      <c r="O1070" t="s">
        <v>1039</v>
      </c>
    </row>
    <row r="1071" spans="1:15">
      <c r="A1071" t="s">
        <v>2372</v>
      </c>
      <c r="B1071" s="2">
        <v>32585.236851851852</v>
      </c>
      <c r="C1071" s="2">
        <v>32585.24726851852</v>
      </c>
      <c r="D1071" t="s">
        <v>329</v>
      </c>
      <c r="E1071" t="s">
        <v>2327</v>
      </c>
      <c r="F1071" t="s">
        <v>2328</v>
      </c>
      <c r="G1071" t="s">
        <v>1093</v>
      </c>
      <c r="H1071" t="s">
        <v>1031</v>
      </c>
      <c r="I1071">
        <v>424619006</v>
      </c>
      <c r="J1071" t="s">
        <v>1062</v>
      </c>
      <c r="K1071">
        <v>142.58000000000001</v>
      </c>
      <c r="L1071">
        <v>12981.15</v>
      </c>
      <c r="M1071">
        <v>12931.15</v>
      </c>
      <c r="N1071">
        <v>72892002</v>
      </c>
      <c r="O1071" t="s">
        <v>1060</v>
      </c>
    </row>
    <row r="1072" spans="1:15">
      <c r="A1072" t="s">
        <v>2373</v>
      </c>
      <c r="B1072" s="2">
        <v>32613.27851851852</v>
      </c>
      <c r="C1072" s="2">
        <v>32613.288935185185</v>
      </c>
      <c r="D1072" t="s">
        <v>329</v>
      </c>
      <c r="E1072" t="s">
        <v>2327</v>
      </c>
      <c r="F1072" t="s">
        <v>2328</v>
      </c>
      <c r="G1072" t="s">
        <v>1093</v>
      </c>
      <c r="H1072" t="s">
        <v>1031</v>
      </c>
      <c r="I1072">
        <v>424619006</v>
      </c>
      <c r="J1072" t="s">
        <v>1062</v>
      </c>
      <c r="K1072">
        <v>142.58000000000001</v>
      </c>
      <c r="L1072">
        <v>6350.89</v>
      </c>
      <c r="M1072">
        <v>6300.89</v>
      </c>
      <c r="N1072">
        <v>72892002</v>
      </c>
      <c r="O1072" t="s">
        <v>1060</v>
      </c>
    </row>
    <row r="1073" spans="1:15">
      <c r="A1073" t="s">
        <v>2374</v>
      </c>
      <c r="B1073" s="2">
        <v>32627.27851851852</v>
      </c>
      <c r="C1073" s="2">
        <v>32627.288935185185</v>
      </c>
      <c r="D1073" t="s">
        <v>329</v>
      </c>
      <c r="E1073" t="s">
        <v>2327</v>
      </c>
      <c r="F1073" t="s">
        <v>2328</v>
      </c>
      <c r="G1073" t="s">
        <v>1093</v>
      </c>
      <c r="H1073" t="s">
        <v>1031</v>
      </c>
      <c r="I1073">
        <v>424619006</v>
      </c>
      <c r="J1073" t="s">
        <v>1062</v>
      </c>
      <c r="K1073">
        <v>142.58000000000001</v>
      </c>
      <c r="L1073">
        <v>4665.96</v>
      </c>
      <c r="M1073">
        <v>4615.96</v>
      </c>
      <c r="N1073">
        <v>72892002</v>
      </c>
      <c r="O1073" t="s">
        <v>1060</v>
      </c>
    </row>
    <row r="1074" spans="1:15">
      <c r="A1074" t="s">
        <v>2375</v>
      </c>
      <c r="B1074" s="2">
        <v>32634.27851851852</v>
      </c>
      <c r="C1074" s="2">
        <v>32634.320185185185</v>
      </c>
      <c r="D1074" t="s">
        <v>329</v>
      </c>
      <c r="E1074" t="s">
        <v>2334</v>
      </c>
      <c r="F1074" t="s">
        <v>2335</v>
      </c>
      <c r="G1074" t="s">
        <v>1093</v>
      </c>
      <c r="H1074" t="s">
        <v>1076</v>
      </c>
      <c r="I1074">
        <v>183460006</v>
      </c>
      <c r="J1074" t="s">
        <v>1077</v>
      </c>
      <c r="K1074">
        <v>146.18</v>
      </c>
      <c r="L1074">
        <v>5176.6099999999997</v>
      </c>
      <c r="M1074">
        <v>5126.6099999999997</v>
      </c>
      <c r="N1074">
        <v>72892002</v>
      </c>
      <c r="O1074" t="s">
        <v>1060</v>
      </c>
    </row>
    <row r="1075" spans="1:15">
      <c r="A1075" t="s">
        <v>2376</v>
      </c>
      <c r="B1075" s="2">
        <v>32676.27851851852</v>
      </c>
      <c r="C1075" s="2">
        <v>32676.288935185185</v>
      </c>
      <c r="D1075" t="s">
        <v>329</v>
      </c>
      <c r="E1075" t="s">
        <v>2327</v>
      </c>
      <c r="F1075" t="s">
        <v>2328</v>
      </c>
      <c r="G1075" t="s">
        <v>1093</v>
      </c>
      <c r="H1075" t="s">
        <v>1031</v>
      </c>
      <c r="I1075">
        <v>169762003</v>
      </c>
      <c r="J1075" t="s">
        <v>1079</v>
      </c>
      <c r="K1075">
        <v>142.58000000000001</v>
      </c>
      <c r="L1075">
        <v>1005.38</v>
      </c>
      <c r="M1075">
        <v>955.38</v>
      </c>
      <c r="O1075" t="s">
        <v>34</v>
      </c>
    </row>
    <row r="1076" spans="1:15">
      <c r="A1076" t="s">
        <v>2377</v>
      </c>
      <c r="B1076" s="2">
        <v>32703.27851851852</v>
      </c>
      <c r="C1076" s="2">
        <v>32703.305729166666</v>
      </c>
      <c r="D1076" t="s">
        <v>329</v>
      </c>
      <c r="E1076" t="s">
        <v>1226</v>
      </c>
      <c r="F1076" t="s">
        <v>1227</v>
      </c>
      <c r="G1076" t="s">
        <v>1093</v>
      </c>
      <c r="H1076" t="s">
        <v>1031</v>
      </c>
      <c r="I1076">
        <v>185347001</v>
      </c>
      <c r="J1076" t="s">
        <v>1124</v>
      </c>
      <c r="K1076">
        <v>85.55</v>
      </c>
      <c r="L1076">
        <v>14649.46</v>
      </c>
      <c r="M1076">
        <v>14599.46</v>
      </c>
      <c r="N1076">
        <v>88805009</v>
      </c>
      <c r="O1076" t="s">
        <v>2378</v>
      </c>
    </row>
    <row r="1077" spans="1:15">
      <c r="A1077" t="s">
        <v>2379</v>
      </c>
      <c r="B1077" s="2">
        <v>32721.29894675926</v>
      </c>
      <c r="C1077" s="2">
        <v>32721.319780092592</v>
      </c>
      <c r="D1077" t="s">
        <v>329</v>
      </c>
      <c r="E1077" t="s">
        <v>1226</v>
      </c>
      <c r="F1077" t="s">
        <v>1227</v>
      </c>
      <c r="G1077" t="s">
        <v>1093</v>
      </c>
      <c r="H1077" t="s">
        <v>1031</v>
      </c>
      <c r="I1077">
        <v>185347001</v>
      </c>
      <c r="J1077" t="s">
        <v>1124</v>
      </c>
      <c r="K1077">
        <v>85.55</v>
      </c>
      <c r="L1077">
        <v>795.53</v>
      </c>
      <c r="M1077">
        <v>745.53</v>
      </c>
      <c r="N1077">
        <v>88805009</v>
      </c>
      <c r="O1077" t="s">
        <v>2378</v>
      </c>
    </row>
    <row r="1078" spans="1:15">
      <c r="A1078" t="s">
        <v>2380</v>
      </c>
      <c r="B1078" s="2">
        <v>32723.27851851852</v>
      </c>
      <c r="C1078" s="2">
        <v>32723.337384259259</v>
      </c>
      <c r="D1078" t="s">
        <v>329</v>
      </c>
      <c r="E1078" t="s">
        <v>2327</v>
      </c>
      <c r="F1078" t="s">
        <v>2328</v>
      </c>
      <c r="G1078" t="s">
        <v>1093</v>
      </c>
      <c r="H1078" t="s">
        <v>1031</v>
      </c>
      <c r="I1078">
        <v>185345009</v>
      </c>
      <c r="J1078" t="s">
        <v>1032</v>
      </c>
      <c r="K1078">
        <v>85.55</v>
      </c>
      <c r="L1078">
        <v>3611.33</v>
      </c>
      <c r="M1078">
        <v>3561.33</v>
      </c>
      <c r="N1078">
        <v>307426000</v>
      </c>
      <c r="O1078" t="s">
        <v>1097</v>
      </c>
    </row>
    <row r="1079" spans="1:15">
      <c r="A1079" t="s">
        <v>2381</v>
      </c>
      <c r="B1079" s="2">
        <v>32732.27851851852</v>
      </c>
      <c r="C1079" s="2">
        <v>32732.319131944445</v>
      </c>
      <c r="D1079" t="s">
        <v>329</v>
      </c>
      <c r="E1079" t="s">
        <v>2330</v>
      </c>
      <c r="F1079" t="s">
        <v>2331</v>
      </c>
      <c r="G1079" t="s">
        <v>1093</v>
      </c>
      <c r="H1079" t="s">
        <v>1020</v>
      </c>
      <c r="I1079">
        <v>162673000</v>
      </c>
      <c r="J1079" t="s">
        <v>1021</v>
      </c>
      <c r="K1079">
        <v>136.80000000000001</v>
      </c>
      <c r="L1079">
        <v>1055.9000000000001</v>
      </c>
      <c r="M1079">
        <v>1005.9</v>
      </c>
      <c r="O1079" t="s">
        <v>34</v>
      </c>
    </row>
    <row r="1080" spans="1:15">
      <c r="A1080" t="s">
        <v>2382</v>
      </c>
      <c r="B1080" s="2">
        <v>32746.27851851852</v>
      </c>
      <c r="C1080" s="2">
        <v>32746.434444444443</v>
      </c>
      <c r="D1080" t="s">
        <v>329</v>
      </c>
      <c r="E1080" t="s">
        <v>2327</v>
      </c>
      <c r="F1080" t="s">
        <v>2328</v>
      </c>
      <c r="G1080" t="s">
        <v>1093</v>
      </c>
      <c r="H1080" t="s">
        <v>1031</v>
      </c>
      <c r="I1080">
        <v>185349003</v>
      </c>
      <c r="J1080" t="s">
        <v>1038</v>
      </c>
      <c r="K1080">
        <v>85.55</v>
      </c>
      <c r="L1080">
        <v>3536.75</v>
      </c>
      <c r="M1080">
        <v>3486.75</v>
      </c>
      <c r="N1080">
        <v>66383009</v>
      </c>
      <c r="O1080" t="s">
        <v>1209</v>
      </c>
    </row>
    <row r="1081" spans="1:15">
      <c r="A1081" t="s">
        <v>2383</v>
      </c>
      <c r="B1081" s="2">
        <v>32901.257280092592</v>
      </c>
      <c r="C1081" s="2">
        <v>32901.278113425928</v>
      </c>
      <c r="D1081" t="s">
        <v>329</v>
      </c>
      <c r="E1081" t="s">
        <v>1226</v>
      </c>
      <c r="F1081" t="s">
        <v>1227</v>
      </c>
      <c r="G1081" t="s">
        <v>1122</v>
      </c>
      <c r="H1081" t="s">
        <v>1031</v>
      </c>
      <c r="I1081">
        <v>185347001</v>
      </c>
      <c r="J1081" t="s">
        <v>1124</v>
      </c>
      <c r="K1081">
        <v>85.55</v>
      </c>
      <c r="L1081">
        <v>1434.48</v>
      </c>
      <c r="M1081">
        <v>1065.1300000000001</v>
      </c>
      <c r="N1081">
        <v>88805009</v>
      </c>
      <c r="O1081" t="s">
        <v>2378</v>
      </c>
    </row>
    <row r="1082" spans="1:15">
      <c r="A1082" t="s">
        <v>2384</v>
      </c>
      <c r="B1082" s="2">
        <v>33043.27851851852</v>
      </c>
      <c r="C1082" s="2">
        <v>33043.288935185185</v>
      </c>
      <c r="D1082" t="s">
        <v>329</v>
      </c>
      <c r="E1082" t="s">
        <v>2327</v>
      </c>
      <c r="F1082" t="s">
        <v>2328</v>
      </c>
      <c r="G1082" t="s">
        <v>1122</v>
      </c>
      <c r="H1082" t="s">
        <v>1043</v>
      </c>
      <c r="I1082">
        <v>698314001</v>
      </c>
      <c r="J1082" t="s">
        <v>1190</v>
      </c>
      <c r="K1082">
        <v>142.58000000000001</v>
      </c>
      <c r="L1082">
        <v>142.58000000000001</v>
      </c>
      <c r="M1082">
        <v>114.06</v>
      </c>
      <c r="N1082">
        <v>389095005</v>
      </c>
      <c r="O1082" t="s">
        <v>1191</v>
      </c>
    </row>
    <row r="1083" spans="1:15">
      <c r="A1083" t="s">
        <v>2385</v>
      </c>
      <c r="B1083" s="2">
        <v>33081.298946759256</v>
      </c>
      <c r="C1083" s="2">
        <v>33081.340613425928</v>
      </c>
      <c r="D1083" t="s">
        <v>329</v>
      </c>
      <c r="E1083" t="s">
        <v>1226</v>
      </c>
      <c r="F1083" t="s">
        <v>1227</v>
      </c>
      <c r="G1083" t="s">
        <v>1122</v>
      </c>
      <c r="H1083" t="s">
        <v>1076</v>
      </c>
      <c r="I1083">
        <v>185347001</v>
      </c>
      <c r="J1083" t="s">
        <v>1124</v>
      </c>
      <c r="K1083">
        <v>87.71</v>
      </c>
      <c r="L1083">
        <v>4681.1899999999996</v>
      </c>
      <c r="M1083">
        <v>3744.93</v>
      </c>
      <c r="N1083">
        <v>88805009</v>
      </c>
      <c r="O1083" t="s">
        <v>2378</v>
      </c>
    </row>
    <row r="1084" spans="1:15">
      <c r="A1084" t="s">
        <v>2386</v>
      </c>
      <c r="B1084" s="2">
        <v>33081.298946759256</v>
      </c>
      <c r="C1084" s="2">
        <v>33099.326828703706</v>
      </c>
      <c r="D1084" t="s">
        <v>329</v>
      </c>
      <c r="E1084" t="s">
        <v>1226</v>
      </c>
      <c r="F1084" t="s">
        <v>1227</v>
      </c>
      <c r="G1084" t="s">
        <v>1122</v>
      </c>
      <c r="H1084" t="s">
        <v>1431</v>
      </c>
      <c r="I1084">
        <v>305351004</v>
      </c>
      <c r="J1084" t="s">
        <v>2387</v>
      </c>
      <c r="K1084">
        <v>146.18</v>
      </c>
      <c r="L1084">
        <v>24809.72</v>
      </c>
      <c r="M1084">
        <v>19847.34</v>
      </c>
      <c r="N1084">
        <v>88805009</v>
      </c>
      <c r="O1084" t="s">
        <v>2378</v>
      </c>
    </row>
    <row r="1085" spans="1:15">
      <c r="A1085" t="s">
        <v>2388</v>
      </c>
      <c r="B1085" s="2">
        <v>33110.27851851852</v>
      </c>
      <c r="C1085" s="2">
        <v>33110.302951388891</v>
      </c>
      <c r="D1085" t="s">
        <v>329</v>
      </c>
      <c r="E1085" t="s">
        <v>2330</v>
      </c>
      <c r="F1085" t="s">
        <v>2331</v>
      </c>
      <c r="G1085" t="s">
        <v>1122</v>
      </c>
      <c r="H1085" t="s">
        <v>1020</v>
      </c>
      <c r="I1085">
        <v>162673000</v>
      </c>
      <c r="J1085" t="s">
        <v>1021</v>
      </c>
      <c r="K1085">
        <v>136.80000000000001</v>
      </c>
      <c r="L1085">
        <v>1055.9000000000001</v>
      </c>
      <c r="M1085">
        <v>844.72</v>
      </c>
      <c r="O1085" t="s">
        <v>34</v>
      </c>
    </row>
    <row r="1086" spans="1:15">
      <c r="A1086" t="s">
        <v>2389</v>
      </c>
      <c r="B1086" s="2">
        <v>33279.285162037035</v>
      </c>
      <c r="C1086" s="2">
        <v>33279.305995370371</v>
      </c>
      <c r="D1086" t="s">
        <v>329</v>
      </c>
      <c r="E1086" t="s">
        <v>1226</v>
      </c>
      <c r="F1086" t="s">
        <v>1227</v>
      </c>
      <c r="G1086" t="s">
        <v>1974</v>
      </c>
      <c r="H1086" t="s">
        <v>1031</v>
      </c>
      <c r="I1086">
        <v>185347001</v>
      </c>
      <c r="J1086" t="s">
        <v>1124</v>
      </c>
      <c r="K1086">
        <v>85.55</v>
      </c>
      <c r="L1086">
        <v>797.05</v>
      </c>
      <c r="M1086">
        <v>762.05</v>
      </c>
      <c r="N1086">
        <v>88805009</v>
      </c>
      <c r="O1086" t="s">
        <v>2378</v>
      </c>
    </row>
    <row r="1087" spans="1:15">
      <c r="A1087" t="s">
        <v>2390</v>
      </c>
      <c r="B1087" s="2">
        <v>33369.27851851852</v>
      </c>
      <c r="C1087" s="2">
        <v>33395.576828703706</v>
      </c>
      <c r="D1087" t="s">
        <v>329</v>
      </c>
      <c r="E1087" t="s">
        <v>2391</v>
      </c>
      <c r="F1087" t="s">
        <v>2392</v>
      </c>
      <c r="G1087" t="s">
        <v>1974</v>
      </c>
      <c r="H1087" t="s">
        <v>1263</v>
      </c>
      <c r="I1087">
        <v>305336008</v>
      </c>
      <c r="J1087" t="s">
        <v>1264</v>
      </c>
      <c r="K1087">
        <v>137.53</v>
      </c>
      <c r="L1087">
        <v>11353.93</v>
      </c>
      <c r="M1087">
        <v>11318.93</v>
      </c>
      <c r="N1087">
        <v>88805009</v>
      </c>
      <c r="O1087" t="s">
        <v>2378</v>
      </c>
    </row>
    <row r="1088" spans="1:15">
      <c r="A1088" t="s">
        <v>2393</v>
      </c>
      <c r="B1088" s="2">
        <v>33397.27851851852</v>
      </c>
      <c r="C1088" s="2">
        <v>33397.288935185185</v>
      </c>
      <c r="D1088" t="s">
        <v>329</v>
      </c>
      <c r="E1088" t="s">
        <v>2330</v>
      </c>
      <c r="F1088" t="s">
        <v>2331</v>
      </c>
      <c r="G1088" t="s">
        <v>1974</v>
      </c>
      <c r="H1088" t="s">
        <v>1020</v>
      </c>
      <c r="I1088">
        <v>308646001</v>
      </c>
      <c r="J1088" t="s">
        <v>1708</v>
      </c>
      <c r="K1088">
        <v>136.80000000000001</v>
      </c>
      <c r="L1088">
        <v>211.38</v>
      </c>
      <c r="M1088">
        <v>176.38</v>
      </c>
      <c r="N1088">
        <v>88805009</v>
      </c>
      <c r="O1088" t="s">
        <v>2378</v>
      </c>
    </row>
    <row r="1089" spans="1:15">
      <c r="A1089" t="s">
        <v>2394</v>
      </c>
      <c r="B1089" s="2">
        <v>35232.914513888885</v>
      </c>
      <c r="C1089" s="2">
        <v>35233.017858796295</v>
      </c>
      <c r="D1089" t="s">
        <v>337</v>
      </c>
      <c r="E1089" t="s">
        <v>2395</v>
      </c>
      <c r="F1089" t="s">
        <v>2396</v>
      </c>
      <c r="G1089" t="s">
        <v>1093</v>
      </c>
      <c r="H1089" t="s">
        <v>1076</v>
      </c>
      <c r="I1089">
        <v>185345009</v>
      </c>
      <c r="J1089" t="s">
        <v>1032</v>
      </c>
      <c r="K1089">
        <v>87.71</v>
      </c>
      <c r="L1089">
        <v>4476.29</v>
      </c>
      <c r="M1089">
        <v>4426.29</v>
      </c>
      <c r="N1089">
        <v>307426000</v>
      </c>
      <c r="O1089" t="s">
        <v>1097</v>
      </c>
    </row>
    <row r="1090" spans="1:15">
      <c r="A1090" t="s">
        <v>2397</v>
      </c>
      <c r="B1090" s="2">
        <v>35840.872847222221</v>
      </c>
      <c r="C1090" s="2">
        <v>35840.913981481484</v>
      </c>
      <c r="D1090" t="s">
        <v>337</v>
      </c>
      <c r="E1090" t="s">
        <v>2398</v>
      </c>
      <c r="F1090" t="s">
        <v>2399</v>
      </c>
      <c r="G1090" t="s">
        <v>1093</v>
      </c>
      <c r="H1090" t="s">
        <v>1020</v>
      </c>
      <c r="I1090">
        <v>162673000</v>
      </c>
      <c r="J1090" t="s">
        <v>1021</v>
      </c>
      <c r="K1090">
        <v>136.80000000000001</v>
      </c>
      <c r="L1090">
        <v>992.82</v>
      </c>
      <c r="M1090">
        <v>842.82</v>
      </c>
      <c r="O1090" t="s">
        <v>34</v>
      </c>
    </row>
    <row r="1091" spans="1:15">
      <c r="A1091" t="s">
        <v>2400</v>
      </c>
      <c r="B1091" s="2">
        <v>38697.91033564815</v>
      </c>
      <c r="C1091" s="2">
        <v>38698.91033564815</v>
      </c>
      <c r="D1091" t="s">
        <v>337</v>
      </c>
      <c r="E1091" t="s">
        <v>1912</v>
      </c>
      <c r="F1091" t="s">
        <v>1913</v>
      </c>
      <c r="G1091" t="s">
        <v>1023</v>
      </c>
      <c r="H1091" t="s">
        <v>1431</v>
      </c>
      <c r="I1091">
        <v>305408004</v>
      </c>
      <c r="J1091" t="s">
        <v>1626</v>
      </c>
      <c r="K1091">
        <v>146.18</v>
      </c>
      <c r="L1091">
        <v>13537.81</v>
      </c>
      <c r="M1091">
        <v>10830.24</v>
      </c>
      <c r="N1091">
        <v>183996000</v>
      </c>
      <c r="O1091" t="s">
        <v>1622</v>
      </c>
    </row>
    <row r="1092" spans="1:15">
      <c r="A1092" t="s">
        <v>2401</v>
      </c>
      <c r="B1092" s="2">
        <v>41673.872847222221</v>
      </c>
      <c r="C1092" s="2">
        <v>41673.883263888885</v>
      </c>
      <c r="D1092" t="s">
        <v>337</v>
      </c>
      <c r="E1092" t="s">
        <v>1912</v>
      </c>
      <c r="F1092" t="s">
        <v>1913</v>
      </c>
      <c r="G1092" t="s">
        <v>1023</v>
      </c>
      <c r="H1092" t="s">
        <v>1043</v>
      </c>
      <c r="I1092">
        <v>185347001</v>
      </c>
      <c r="J1092" t="s">
        <v>1124</v>
      </c>
      <c r="K1092">
        <v>85.55</v>
      </c>
      <c r="L1092">
        <v>85.55</v>
      </c>
      <c r="M1092">
        <v>0</v>
      </c>
      <c r="N1092">
        <v>82423001</v>
      </c>
      <c r="O1092" t="s">
        <v>1542</v>
      </c>
    </row>
    <row r="1093" spans="1:15">
      <c r="A1093" t="s">
        <v>2402</v>
      </c>
      <c r="B1093" s="2">
        <v>41685.872847222221</v>
      </c>
      <c r="C1093" s="2">
        <v>41685.898993055554</v>
      </c>
      <c r="D1093" t="s">
        <v>337</v>
      </c>
      <c r="E1093" t="s">
        <v>2398</v>
      </c>
      <c r="F1093" t="s">
        <v>2399</v>
      </c>
      <c r="G1093" t="s">
        <v>1023</v>
      </c>
      <c r="H1093" t="s">
        <v>1020</v>
      </c>
      <c r="I1093">
        <v>162673000</v>
      </c>
      <c r="J1093" t="s">
        <v>1021</v>
      </c>
      <c r="K1093">
        <v>136.80000000000001</v>
      </c>
      <c r="L1093">
        <v>778.78</v>
      </c>
      <c r="M1093">
        <v>0</v>
      </c>
      <c r="O1093" t="s">
        <v>34</v>
      </c>
    </row>
    <row r="1094" spans="1:15">
      <c r="A1094" t="s">
        <v>2403</v>
      </c>
      <c r="B1094" s="2">
        <v>42427.872847222221</v>
      </c>
      <c r="C1094" s="2">
        <v>42427.89775462963</v>
      </c>
      <c r="D1094" t="s">
        <v>337</v>
      </c>
      <c r="E1094" t="s">
        <v>2398</v>
      </c>
      <c r="F1094" t="s">
        <v>2399</v>
      </c>
      <c r="G1094" t="s">
        <v>1023</v>
      </c>
      <c r="H1094" t="s">
        <v>1020</v>
      </c>
      <c r="I1094">
        <v>162673000</v>
      </c>
      <c r="J1094" t="s">
        <v>1021</v>
      </c>
      <c r="K1094">
        <v>136.80000000000001</v>
      </c>
      <c r="L1094">
        <v>704.2</v>
      </c>
      <c r="M1094">
        <v>0</v>
      </c>
      <c r="O1094" t="s">
        <v>34</v>
      </c>
    </row>
    <row r="1095" spans="1:15">
      <c r="A1095" t="s">
        <v>2404</v>
      </c>
      <c r="B1095" s="2">
        <v>42798.872847222221</v>
      </c>
      <c r="C1095" s="2">
        <v>42798.903784722221</v>
      </c>
      <c r="D1095" t="s">
        <v>337</v>
      </c>
      <c r="E1095" t="s">
        <v>2398</v>
      </c>
      <c r="F1095" t="s">
        <v>2399</v>
      </c>
      <c r="G1095" t="s">
        <v>1023</v>
      </c>
      <c r="H1095" t="s">
        <v>1020</v>
      </c>
      <c r="I1095">
        <v>162673000</v>
      </c>
      <c r="J1095" t="s">
        <v>1021</v>
      </c>
      <c r="K1095">
        <v>136.80000000000001</v>
      </c>
      <c r="L1095">
        <v>919.9</v>
      </c>
      <c r="M1095">
        <v>0</v>
      </c>
      <c r="O1095" t="s">
        <v>34</v>
      </c>
    </row>
    <row r="1096" spans="1:15">
      <c r="A1096" t="s">
        <v>2405</v>
      </c>
      <c r="B1096" s="2">
        <v>43169.872847222221</v>
      </c>
      <c r="C1096" s="2">
        <v>43169.901909722219</v>
      </c>
      <c r="D1096" t="s">
        <v>337</v>
      </c>
      <c r="E1096" t="s">
        <v>2398</v>
      </c>
      <c r="F1096" t="s">
        <v>2399</v>
      </c>
      <c r="G1096" t="s">
        <v>1023</v>
      </c>
      <c r="H1096" t="s">
        <v>1020</v>
      </c>
      <c r="I1096">
        <v>162673000</v>
      </c>
      <c r="J1096" t="s">
        <v>1021</v>
      </c>
      <c r="K1096">
        <v>136.80000000000001</v>
      </c>
      <c r="L1096">
        <v>778.78</v>
      </c>
      <c r="M1096">
        <v>0</v>
      </c>
      <c r="O1096" t="s">
        <v>34</v>
      </c>
    </row>
    <row r="1097" spans="1:15">
      <c r="A1097" t="s">
        <v>2406</v>
      </c>
      <c r="B1097" s="2">
        <v>43540.914513888885</v>
      </c>
      <c r="C1097" s="2">
        <v>43540.947858796295</v>
      </c>
      <c r="D1097" t="s">
        <v>337</v>
      </c>
      <c r="E1097" t="s">
        <v>2398</v>
      </c>
      <c r="F1097" t="s">
        <v>2399</v>
      </c>
      <c r="G1097" t="s">
        <v>1023</v>
      </c>
      <c r="H1097" t="s">
        <v>1020</v>
      </c>
      <c r="I1097">
        <v>162673000</v>
      </c>
      <c r="J1097" t="s">
        <v>1021</v>
      </c>
      <c r="K1097">
        <v>136.80000000000001</v>
      </c>
      <c r="L1097">
        <v>778.78</v>
      </c>
      <c r="M1097">
        <v>0</v>
      </c>
      <c r="O1097" t="s">
        <v>34</v>
      </c>
    </row>
    <row r="1098" spans="1:15">
      <c r="A1098" t="s">
        <v>2407</v>
      </c>
      <c r="B1098" s="2">
        <v>43554.914513888885</v>
      </c>
      <c r="C1098" s="2">
        <v>43555.075057870374</v>
      </c>
      <c r="D1098" t="s">
        <v>337</v>
      </c>
      <c r="E1098" t="s">
        <v>1912</v>
      </c>
      <c r="F1098" t="s">
        <v>1913</v>
      </c>
      <c r="G1098" t="s">
        <v>1023</v>
      </c>
      <c r="H1098" t="s">
        <v>1031</v>
      </c>
      <c r="I1098">
        <v>185349003</v>
      </c>
      <c r="J1098" t="s">
        <v>1038</v>
      </c>
      <c r="K1098">
        <v>85.55</v>
      </c>
      <c r="L1098">
        <v>3105.35</v>
      </c>
      <c r="M1098">
        <v>2148.81</v>
      </c>
      <c r="N1098">
        <v>103697008</v>
      </c>
      <c r="O1098" t="s">
        <v>1039</v>
      </c>
    </row>
    <row r="1099" spans="1:15">
      <c r="A1099" t="s">
        <v>2408</v>
      </c>
      <c r="B1099" s="2">
        <v>43911.914513888885</v>
      </c>
      <c r="C1099" s="2">
        <v>43911.943182870367</v>
      </c>
      <c r="D1099" t="s">
        <v>337</v>
      </c>
      <c r="E1099" t="s">
        <v>2398</v>
      </c>
      <c r="F1099" t="s">
        <v>2399</v>
      </c>
      <c r="G1099" t="s">
        <v>1023</v>
      </c>
      <c r="H1099" t="s">
        <v>1020</v>
      </c>
      <c r="I1099">
        <v>162673000</v>
      </c>
      <c r="J1099" t="s">
        <v>1021</v>
      </c>
      <c r="K1099">
        <v>136.80000000000001</v>
      </c>
      <c r="L1099">
        <v>1055.9000000000001</v>
      </c>
      <c r="M1099">
        <v>0</v>
      </c>
      <c r="O1099" t="s">
        <v>34</v>
      </c>
    </row>
    <row r="1100" spans="1:15">
      <c r="A1100" t="s">
        <v>2409</v>
      </c>
      <c r="B1100" s="2">
        <v>43925.914513888885</v>
      </c>
      <c r="C1100" s="2">
        <v>43926.092662037037</v>
      </c>
      <c r="D1100" t="s">
        <v>337</v>
      </c>
      <c r="E1100" t="s">
        <v>1912</v>
      </c>
      <c r="F1100" t="s">
        <v>1913</v>
      </c>
      <c r="G1100" t="s">
        <v>1023</v>
      </c>
      <c r="H1100" t="s">
        <v>1031</v>
      </c>
      <c r="I1100">
        <v>185349003</v>
      </c>
      <c r="J1100" t="s">
        <v>1038</v>
      </c>
      <c r="K1100">
        <v>85.55</v>
      </c>
      <c r="L1100">
        <v>3536.75</v>
      </c>
      <c r="M1100">
        <v>2715.62</v>
      </c>
      <c r="N1100">
        <v>66383009</v>
      </c>
      <c r="O1100" t="s">
        <v>1209</v>
      </c>
    </row>
    <row r="1101" spans="1:15">
      <c r="A1101" t="s">
        <v>2410</v>
      </c>
      <c r="B1101" s="2">
        <v>44282.914513888885</v>
      </c>
      <c r="C1101" s="2">
        <v>44282.94189814815</v>
      </c>
      <c r="D1101" t="s">
        <v>337</v>
      </c>
      <c r="E1101" t="s">
        <v>2398</v>
      </c>
      <c r="F1101" t="s">
        <v>2399</v>
      </c>
      <c r="G1101" t="s">
        <v>1023</v>
      </c>
      <c r="H1101" t="s">
        <v>1020</v>
      </c>
      <c r="I1101">
        <v>162673000</v>
      </c>
      <c r="J1101" t="s">
        <v>1021</v>
      </c>
      <c r="K1101">
        <v>136.80000000000001</v>
      </c>
      <c r="L1101">
        <v>1050.78</v>
      </c>
      <c r="M1101">
        <v>0</v>
      </c>
      <c r="O1101" t="s">
        <v>34</v>
      </c>
    </row>
    <row r="1102" spans="1:15">
      <c r="A1102" t="s">
        <v>2411</v>
      </c>
      <c r="B1102" s="2">
        <v>44296.914513888885</v>
      </c>
      <c r="C1102" s="2">
        <v>44297.058680555558</v>
      </c>
      <c r="D1102" t="s">
        <v>337</v>
      </c>
      <c r="E1102" t="s">
        <v>1912</v>
      </c>
      <c r="F1102" t="s">
        <v>1913</v>
      </c>
      <c r="G1102" t="s">
        <v>1023</v>
      </c>
      <c r="H1102" t="s">
        <v>1031</v>
      </c>
      <c r="I1102">
        <v>185349003</v>
      </c>
      <c r="J1102" t="s">
        <v>1038</v>
      </c>
      <c r="K1102">
        <v>85.55</v>
      </c>
      <c r="L1102">
        <v>3536.75</v>
      </c>
      <c r="M1102">
        <v>2607.58</v>
      </c>
      <c r="N1102">
        <v>103697008</v>
      </c>
      <c r="O1102" t="s">
        <v>1039</v>
      </c>
    </row>
    <row r="1103" spans="1:15">
      <c r="A1103" t="s">
        <v>2412</v>
      </c>
      <c r="B1103" s="2">
        <v>44450.914513888885</v>
      </c>
      <c r="C1103" s="2">
        <v>44450.924930555557</v>
      </c>
      <c r="D1103" t="s">
        <v>337</v>
      </c>
      <c r="E1103" t="s">
        <v>1912</v>
      </c>
      <c r="F1103" t="s">
        <v>1913</v>
      </c>
      <c r="G1103" t="s">
        <v>1023</v>
      </c>
      <c r="H1103" t="s">
        <v>1043</v>
      </c>
      <c r="I1103">
        <v>33879002</v>
      </c>
      <c r="J1103" t="s">
        <v>1044</v>
      </c>
      <c r="K1103">
        <v>142.58000000000001</v>
      </c>
      <c r="L1103">
        <v>278.58</v>
      </c>
      <c r="M1103">
        <v>222.86</v>
      </c>
      <c r="O1103" t="s">
        <v>34</v>
      </c>
    </row>
    <row r="1104" spans="1:15">
      <c r="A1104" t="s">
        <v>2413</v>
      </c>
      <c r="B1104" s="2">
        <v>44478.914513888885</v>
      </c>
      <c r="C1104" s="2">
        <v>44478.924930555557</v>
      </c>
      <c r="D1104" t="s">
        <v>337</v>
      </c>
      <c r="E1104" t="s">
        <v>1912</v>
      </c>
      <c r="F1104" t="s">
        <v>1913</v>
      </c>
      <c r="G1104" t="s">
        <v>1023</v>
      </c>
      <c r="H1104" t="s">
        <v>1043</v>
      </c>
      <c r="I1104">
        <v>33879002</v>
      </c>
      <c r="J1104" t="s">
        <v>1044</v>
      </c>
      <c r="K1104">
        <v>142.58000000000001</v>
      </c>
      <c r="L1104">
        <v>278.58</v>
      </c>
      <c r="M1104">
        <v>222.86</v>
      </c>
      <c r="O1104" t="s">
        <v>34</v>
      </c>
    </row>
    <row r="1105" spans="1:15">
      <c r="A1105" t="s">
        <v>2414</v>
      </c>
      <c r="B1105" s="2">
        <v>44653.914513888885</v>
      </c>
      <c r="C1105" s="2">
        <v>44653.946539351855</v>
      </c>
      <c r="D1105" t="s">
        <v>337</v>
      </c>
      <c r="E1105" t="s">
        <v>2398</v>
      </c>
      <c r="F1105" t="s">
        <v>2399</v>
      </c>
      <c r="G1105" t="s">
        <v>1023</v>
      </c>
      <c r="H1105" t="s">
        <v>1020</v>
      </c>
      <c r="I1105">
        <v>162673000</v>
      </c>
      <c r="J1105" t="s">
        <v>1021</v>
      </c>
      <c r="K1105">
        <v>136.80000000000001</v>
      </c>
      <c r="L1105">
        <v>704.2</v>
      </c>
      <c r="M1105">
        <v>0</v>
      </c>
      <c r="O1105" t="s">
        <v>34</v>
      </c>
    </row>
    <row r="1106" spans="1:15">
      <c r="A1106" t="s">
        <v>2415</v>
      </c>
      <c r="B1106" s="2">
        <v>44667.914513888885</v>
      </c>
      <c r="C1106" s="2">
        <v>44668.067152777781</v>
      </c>
      <c r="D1106" t="s">
        <v>337</v>
      </c>
      <c r="E1106" t="s">
        <v>1912</v>
      </c>
      <c r="F1106" t="s">
        <v>1913</v>
      </c>
      <c r="G1106" t="s">
        <v>1023</v>
      </c>
      <c r="H1106" t="s">
        <v>1031</v>
      </c>
      <c r="I1106">
        <v>185349003</v>
      </c>
      <c r="J1106" t="s">
        <v>1038</v>
      </c>
      <c r="K1106">
        <v>85.55</v>
      </c>
      <c r="L1106">
        <v>3536.75</v>
      </c>
      <c r="M1106">
        <v>2434.2600000000002</v>
      </c>
      <c r="N1106">
        <v>66383009</v>
      </c>
      <c r="O1106" t="s">
        <v>1209</v>
      </c>
    </row>
    <row r="1107" spans="1:15">
      <c r="A1107" t="s">
        <v>2416</v>
      </c>
      <c r="B1107" s="2">
        <v>44721.622847222221</v>
      </c>
      <c r="C1107" s="2">
        <v>44721.633263888885</v>
      </c>
      <c r="D1107" t="s">
        <v>337</v>
      </c>
      <c r="E1107" t="s">
        <v>1912</v>
      </c>
      <c r="F1107" t="s">
        <v>1913</v>
      </c>
      <c r="G1107" t="s">
        <v>1023</v>
      </c>
      <c r="H1107" t="s">
        <v>1031</v>
      </c>
      <c r="I1107">
        <v>185345009</v>
      </c>
      <c r="J1107" t="s">
        <v>1032</v>
      </c>
      <c r="K1107">
        <v>85.55</v>
      </c>
      <c r="L1107">
        <v>948.35</v>
      </c>
      <c r="M1107">
        <v>758.68</v>
      </c>
      <c r="N1107">
        <v>195662009</v>
      </c>
      <c r="O1107" t="s">
        <v>1130</v>
      </c>
    </row>
    <row r="1108" spans="1:15">
      <c r="A1108" t="s">
        <v>2417</v>
      </c>
      <c r="B1108" s="2">
        <v>44737.914513888885</v>
      </c>
      <c r="C1108" s="2">
        <v>44737.948009259257</v>
      </c>
      <c r="D1108" t="s">
        <v>337</v>
      </c>
      <c r="E1108" t="s">
        <v>2418</v>
      </c>
      <c r="F1108" t="s">
        <v>2419</v>
      </c>
      <c r="G1108" t="s">
        <v>1023</v>
      </c>
      <c r="H1108" t="s">
        <v>1159</v>
      </c>
      <c r="I1108">
        <v>702927004</v>
      </c>
      <c r="J1108" t="s">
        <v>1160</v>
      </c>
      <c r="K1108">
        <v>142.58000000000001</v>
      </c>
      <c r="L1108">
        <v>1208.93</v>
      </c>
      <c r="M1108">
        <v>967.14</v>
      </c>
      <c r="O1108" t="s">
        <v>34</v>
      </c>
    </row>
    <row r="1109" spans="1:15">
      <c r="A1109" t="s">
        <v>2420</v>
      </c>
      <c r="B1109" s="2">
        <v>44744.914513888885</v>
      </c>
      <c r="C1109" s="2">
        <v>44744.924930555557</v>
      </c>
      <c r="D1109" t="s">
        <v>337</v>
      </c>
      <c r="E1109" t="s">
        <v>1912</v>
      </c>
      <c r="F1109" t="s">
        <v>1913</v>
      </c>
      <c r="G1109" t="s">
        <v>1023</v>
      </c>
      <c r="H1109" t="s">
        <v>1031</v>
      </c>
      <c r="I1109">
        <v>185345009</v>
      </c>
      <c r="J1109" t="s">
        <v>1032</v>
      </c>
      <c r="K1109">
        <v>85.55</v>
      </c>
      <c r="L1109">
        <v>85.55</v>
      </c>
      <c r="M1109">
        <v>68.44</v>
      </c>
      <c r="N1109">
        <v>444814009</v>
      </c>
      <c r="O1109" t="s">
        <v>1035</v>
      </c>
    </row>
    <row r="1110" spans="1:15">
      <c r="A1110" t="s">
        <v>2421</v>
      </c>
      <c r="B1110" s="2">
        <v>44751.914513888885</v>
      </c>
      <c r="C1110" s="2">
        <v>44752.19667824074</v>
      </c>
      <c r="D1110" t="s">
        <v>337</v>
      </c>
      <c r="E1110" t="s">
        <v>1912</v>
      </c>
      <c r="F1110" t="s">
        <v>1913</v>
      </c>
      <c r="G1110" t="s">
        <v>1023</v>
      </c>
      <c r="H1110" t="s">
        <v>1031</v>
      </c>
      <c r="I1110">
        <v>185349003</v>
      </c>
      <c r="J1110" t="s">
        <v>1038</v>
      </c>
      <c r="K1110">
        <v>85.55</v>
      </c>
      <c r="L1110">
        <v>5262.35</v>
      </c>
      <c r="M1110">
        <v>4209.88</v>
      </c>
      <c r="N1110">
        <v>66383009</v>
      </c>
      <c r="O1110" t="s">
        <v>1209</v>
      </c>
    </row>
    <row r="1111" spans="1:15">
      <c r="A1111" t="s">
        <v>2422</v>
      </c>
      <c r="B1111" s="2">
        <v>45024.914513888885</v>
      </c>
      <c r="C1111" s="2">
        <v>45024.941516203704</v>
      </c>
      <c r="D1111" t="s">
        <v>337</v>
      </c>
      <c r="E1111" t="s">
        <v>2398</v>
      </c>
      <c r="F1111" t="s">
        <v>2399</v>
      </c>
      <c r="G1111" t="s">
        <v>1023</v>
      </c>
      <c r="H1111" t="s">
        <v>1020</v>
      </c>
      <c r="I1111">
        <v>162673000</v>
      </c>
      <c r="J1111" t="s">
        <v>1021</v>
      </c>
      <c r="K1111">
        <v>136.80000000000001</v>
      </c>
      <c r="L1111">
        <v>568.20000000000005</v>
      </c>
      <c r="M1111">
        <v>0</v>
      </c>
      <c r="O1111" t="s">
        <v>34</v>
      </c>
    </row>
    <row r="1112" spans="1:15">
      <c r="A1112" t="s">
        <v>2423</v>
      </c>
      <c r="B1112" s="2">
        <v>45395.914513888885</v>
      </c>
      <c r="C1112" s="2">
        <v>45395.953553240739</v>
      </c>
      <c r="D1112" t="s">
        <v>337</v>
      </c>
      <c r="E1112" t="s">
        <v>2398</v>
      </c>
      <c r="F1112" t="s">
        <v>2399</v>
      </c>
      <c r="G1112" t="s">
        <v>1023</v>
      </c>
      <c r="H1112" t="s">
        <v>1020</v>
      </c>
      <c r="I1112">
        <v>162673000</v>
      </c>
      <c r="J1112" t="s">
        <v>1021</v>
      </c>
      <c r="K1112">
        <v>136.80000000000001</v>
      </c>
      <c r="L1112">
        <v>853.36</v>
      </c>
      <c r="M1112">
        <v>0</v>
      </c>
      <c r="O1112" t="s">
        <v>34</v>
      </c>
    </row>
    <row r="1113" spans="1:15">
      <c r="A1113" t="s">
        <v>2424</v>
      </c>
      <c r="B1113" s="2">
        <v>45766.914513888885</v>
      </c>
      <c r="C1113" s="2">
        <v>45766.950949074075</v>
      </c>
      <c r="D1113" t="s">
        <v>337</v>
      </c>
      <c r="E1113" t="s">
        <v>2398</v>
      </c>
      <c r="F1113" t="s">
        <v>2399</v>
      </c>
      <c r="G1113" t="s">
        <v>1023</v>
      </c>
      <c r="H1113" t="s">
        <v>1020</v>
      </c>
      <c r="I1113">
        <v>162673000</v>
      </c>
      <c r="J1113" t="s">
        <v>1021</v>
      </c>
      <c r="K1113">
        <v>136.80000000000001</v>
      </c>
      <c r="L1113">
        <v>704.2</v>
      </c>
      <c r="M1113">
        <v>0</v>
      </c>
      <c r="O1113" t="s">
        <v>34</v>
      </c>
    </row>
    <row r="1114" spans="1:15">
      <c r="A1114" t="s">
        <v>2425</v>
      </c>
      <c r="B1114" s="2">
        <v>45919.372847222221</v>
      </c>
      <c r="C1114" s="2">
        <v>45919.383263888885</v>
      </c>
      <c r="D1114" t="s">
        <v>337</v>
      </c>
      <c r="E1114" t="s">
        <v>1912</v>
      </c>
      <c r="F1114" t="s">
        <v>1913</v>
      </c>
      <c r="G1114" t="s">
        <v>1023</v>
      </c>
      <c r="H1114" t="s">
        <v>1031</v>
      </c>
      <c r="I1114">
        <v>185345009</v>
      </c>
      <c r="J1114" t="s">
        <v>1032</v>
      </c>
      <c r="K1114">
        <v>85.55</v>
      </c>
      <c r="L1114">
        <v>85.55</v>
      </c>
      <c r="M1114">
        <v>0</v>
      </c>
      <c r="N1114">
        <v>10509002</v>
      </c>
      <c r="O1114" t="s">
        <v>1033</v>
      </c>
    </row>
    <row r="1115" spans="1:15">
      <c r="A1115" t="s">
        <v>2426</v>
      </c>
      <c r="B1115" s="2">
        <v>45927.914513888885</v>
      </c>
      <c r="C1115" s="2">
        <v>45927.954606481479</v>
      </c>
      <c r="D1115" t="s">
        <v>337</v>
      </c>
      <c r="E1115" t="s">
        <v>1912</v>
      </c>
      <c r="F1115" t="s">
        <v>1913</v>
      </c>
      <c r="G1115" t="s">
        <v>1023</v>
      </c>
      <c r="H1115" t="s">
        <v>1043</v>
      </c>
      <c r="I1115">
        <v>185349003</v>
      </c>
      <c r="J1115" t="s">
        <v>1038</v>
      </c>
      <c r="K1115">
        <v>85.55</v>
      </c>
      <c r="L1115">
        <v>1515.75</v>
      </c>
      <c r="M1115">
        <v>922.59</v>
      </c>
      <c r="O1115" t="s">
        <v>34</v>
      </c>
    </row>
    <row r="1116" spans="1:15">
      <c r="A1116" t="s">
        <v>2427</v>
      </c>
      <c r="B1116" s="2">
        <v>45941.914513888885</v>
      </c>
      <c r="C1116" s="2">
        <v>45942.158495370371</v>
      </c>
      <c r="D1116" t="s">
        <v>337</v>
      </c>
      <c r="E1116" t="s">
        <v>1912</v>
      </c>
      <c r="F1116" t="s">
        <v>1913</v>
      </c>
      <c r="G1116" t="s">
        <v>1023</v>
      </c>
      <c r="H1116" t="s">
        <v>1031</v>
      </c>
      <c r="I1116">
        <v>185349003</v>
      </c>
      <c r="J1116" t="s">
        <v>1038</v>
      </c>
      <c r="K1116">
        <v>85.55</v>
      </c>
      <c r="L1116">
        <v>4830.95</v>
      </c>
      <c r="M1116">
        <v>3864.76</v>
      </c>
      <c r="N1116">
        <v>103697008</v>
      </c>
      <c r="O1116" t="s">
        <v>1039</v>
      </c>
    </row>
    <row r="1117" spans="1:15">
      <c r="A1117" t="s">
        <v>2428</v>
      </c>
      <c r="B1117" s="2">
        <v>46137.914513888885</v>
      </c>
      <c r="C1117" s="2">
        <v>46137.954699074071</v>
      </c>
      <c r="D1117" t="s">
        <v>337</v>
      </c>
      <c r="E1117" t="s">
        <v>2398</v>
      </c>
      <c r="F1117" t="s">
        <v>2399</v>
      </c>
      <c r="G1117" t="s">
        <v>1023</v>
      </c>
      <c r="H1117" t="s">
        <v>1020</v>
      </c>
      <c r="I1117">
        <v>162673000</v>
      </c>
      <c r="J1117" t="s">
        <v>1021</v>
      </c>
      <c r="K1117">
        <v>136.80000000000001</v>
      </c>
      <c r="L1117">
        <v>783.9</v>
      </c>
      <c r="M1117">
        <v>0</v>
      </c>
      <c r="O1117" t="s">
        <v>34</v>
      </c>
    </row>
    <row r="1118" spans="1:15">
      <c r="A1118" t="s">
        <v>2429</v>
      </c>
      <c r="B1118" s="2">
        <v>31381.236851851852</v>
      </c>
      <c r="C1118" s="2">
        <v>31381.264178240741</v>
      </c>
      <c r="D1118" t="s">
        <v>348</v>
      </c>
      <c r="E1118" t="s">
        <v>2430</v>
      </c>
      <c r="F1118" t="s">
        <v>2431</v>
      </c>
      <c r="G1118" t="s">
        <v>1093</v>
      </c>
      <c r="H1118" t="s">
        <v>1020</v>
      </c>
      <c r="I1118">
        <v>162673000</v>
      </c>
      <c r="J1118" t="s">
        <v>1021</v>
      </c>
      <c r="K1118">
        <v>136.80000000000001</v>
      </c>
      <c r="L1118">
        <v>919.9</v>
      </c>
      <c r="M1118">
        <v>769.9</v>
      </c>
      <c r="O1118" t="s">
        <v>34</v>
      </c>
    </row>
    <row r="1119" spans="1:15">
      <c r="A1119" t="s">
        <v>2432</v>
      </c>
      <c r="B1119" s="2">
        <v>34192.31144675926</v>
      </c>
      <c r="C1119" s="2">
        <v>34193.31144675926</v>
      </c>
      <c r="D1119" t="s">
        <v>348</v>
      </c>
      <c r="E1119" t="s">
        <v>2327</v>
      </c>
      <c r="F1119" t="s">
        <v>2328</v>
      </c>
      <c r="G1119" t="s">
        <v>1093</v>
      </c>
      <c r="H1119" t="s">
        <v>1431</v>
      </c>
      <c r="I1119">
        <v>305408004</v>
      </c>
      <c r="J1119" t="s">
        <v>1626</v>
      </c>
      <c r="K1119">
        <v>146.18</v>
      </c>
      <c r="L1119">
        <v>13537.81</v>
      </c>
      <c r="M1119">
        <v>13487.81</v>
      </c>
      <c r="N1119">
        <v>183996000</v>
      </c>
      <c r="O1119" t="s">
        <v>1622</v>
      </c>
    </row>
    <row r="1120" spans="1:15">
      <c r="A1120" t="s">
        <v>2433</v>
      </c>
      <c r="B1120" s="2">
        <v>36148.236851851849</v>
      </c>
      <c r="C1120" s="2">
        <v>36148.260983796295</v>
      </c>
      <c r="D1120" t="s">
        <v>348</v>
      </c>
      <c r="E1120" t="s">
        <v>2430</v>
      </c>
      <c r="F1120" t="s">
        <v>2431</v>
      </c>
      <c r="G1120" t="s">
        <v>1093</v>
      </c>
      <c r="H1120" t="s">
        <v>1020</v>
      </c>
      <c r="I1120">
        <v>162673000</v>
      </c>
      <c r="J1120" t="s">
        <v>1021</v>
      </c>
      <c r="K1120">
        <v>136.80000000000001</v>
      </c>
      <c r="L1120">
        <v>1130.48</v>
      </c>
      <c r="M1120">
        <v>980.48</v>
      </c>
      <c r="O1120" t="s">
        <v>34</v>
      </c>
    </row>
    <row r="1121" spans="1:15">
      <c r="A1121" t="s">
        <v>2434</v>
      </c>
      <c r="B1121" s="2">
        <v>40971.236851851849</v>
      </c>
      <c r="C1121" s="2">
        <v>40971.266064814816</v>
      </c>
      <c r="D1121" t="s">
        <v>348</v>
      </c>
      <c r="E1121" t="s">
        <v>2430</v>
      </c>
      <c r="F1121" t="s">
        <v>2431</v>
      </c>
      <c r="G1121" t="s">
        <v>1093</v>
      </c>
      <c r="H1121" t="s">
        <v>1020</v>
      </c>
      <c r="I1121">
        <v>162673000</v>
      </c>
      <c r="J1121" t="s">
        <v>1021</v>
      </c>
      <c r="K1121">
        <v>136.80000000000001</v>
      </c>
      <c r="L1121">
        <v>919.9</v>
      </c>
      <c r="M1121">
        <v>819.9</v>
      </c>
      <c r="O1121" t="s">
        <v>34</v>
      </c>
    </row>
    <row r="1122" spans="1:15">
      <c r="A1122" t="s">
        <v>2435</v>
      </c>
      <c r="B1122" s="2">
        <v>41342.236851851849</v>
      </c>
      <c r="C1122" s="2">
        <v>41342.271608796298</v>
      </c>
      <c r="D1122" t="s">
        <v>348</v>
      </c>
      <c r="E1122" t="s">
        <v>2430</v>
      </c>
      <c r="F1122" t="s">
        <v>2431</v>
      </c>
      <c r="G1122" t="s">
        <v>1093</v>
      </c>
      <c r="H1122" t="s">
        <v>1020</v>
      </c>
      <c r="I1122">
        <v>162673000</v>
      </c>
      <c r="J1122" t="s">
        <v>1021</v>
      </c>
      <c r="K1122">
        <v>136.80000000000001</v>
      </c>
      <c r="L1122">
        <v>704.2</v>
      </c>
      <c r="M1122">
        <v>604.20000000000005</v>
      </c>
      <c r="O1122" t="s">
        <v>34</v>
      </c>
    </row>
    <row r="1123" spans="1:15">
      <c r="A1123" t="s">
        <v>2436</v>
      </c>
      <c r="B1123" s="2">
        <v>41673.236851851849</v>
      </c>
      <c r="C1123" s="2">
        <v>41673.24726851852</v>
      </c>
      <c r="D1123" t="s">
        <v>348</v>
      </c>
      <c r="E1123" t="s">
        <v>2327</v>
      </c>
      <c r="F1123" t="s">
        <v>2328</v>
      </c>
      <c r="G1123" t="s">
        <v>1093</v>
      </c>
      <c r="H1123" t="s">
        <v>1043</v>
      </c>
      <c r="I1123">
        <v>185347001</v>
      </c>
      <c r="J1123" t="s">
        <v>1124</v>
      </c>
      <c r="K1123">
        <v>85.55</v>
      </c>
      <c r="L1123">
        <v>85.55</v>
      </c>
      <c r="M1123">
        <v>15.49</v>
      </c>
      <c r="N1123">
        <v>82423001</v>
      </c>
      <c r="O1123" t="s">
        <v>1542</v>
      </c>
    </row>
    <row r="1124" spans="1:15">
      <c r="A1124" t="s">
        <v>2437</v>
      </c>
      <c r="B1124" s="2">
        <v>42455.27851851852</v>
      </c>
      <c r="C1124" s="2">
        <v>42455.308530092596</v>
      </c>
      <c r="D1124" t="s">
        <v>348</v>
      </c>
      <c r="E1124" t="s">
        <v>2430</v>
      </c>
      <c r="F1124" t="s">
        <v>2431</v>
      </c>
      <c r="G1124" t="s">
        <v>1093</v>
      </c>
      <c r="H1124" t="s">
        <v>1020</v>
      </c>
      <c r="I1124">
        <v>162673000</v>
      </c>
      <c r="J1124" t="s">
        <v>1021</v>
      </c>
      <c r="K1124">
        <v>136.80000000000001</v>
      </c>
      <c r="L1124">
        <v>1031.68</v>
      </c>
      <c r="M1124">
        <v>1011.62</v>
      </c>
      <c r="O1124" t="s">
        <v>34</v>
      </c>
    </row>
    <row r="1125" spans="1:15">
      <c r="A1125" t="s">
        <v>2438</v>
      </c>
      <c r="B1125" s="2">
        <v>42826.27851851852</v>
      </c>
      <c r="C1125" s="2">
        <v>42826.318020833336</v>
      </c>
      <c r="D1125" t="s">
        <v>348</v>
      </c>
      <c r="E1125" t="s">
        <v>2430</v>
      </c>
      <c r="F1125" t="s">
        <v>2431</v>
      </c>
      <c r="G1125" t="s">
        <v>1093</v>
      </c>
      <c r="H1125" t="s">
        <v>1020</v>
      </c>
      <c r="I1125">
        <v>162673000</v>
      </c>
      <c r="J1125" t="s">
        <v>1021</v>
      </c>
      <c r="K1125">
        <v>136.80000000000001</v>
      </c>
      <c r="L1125">
        <v>1144.71</v>
      </c>
      <c r="M1125">
        <v>1124.6500000000001</v>
      </c>
      <c r="O1125" t="s">
        <v>34</v>
      </c>
    </row>
    <row r="1126" spans="1:15">
      <c r="A1126" t="s">
        <v>2439</v>
      </c>
      <c r="B1126" s="2">
        <v>42840.27851851852</v>
      </c>
      <c r="C1126" s="2">
        <v>42840.408472222225</v>
      </c>
      <c r="D1126" t="s">
        <v>348</v>
      </c>
      <c r="E1126" t="s">
        <v>2327</v>
      </c>
      <c r="F1126" t="s">
        <v>2328</v>
      </c>
      <c r="G1126" t="s">
        <v>1093</v>
      </c>
      <c r="H1126" t="s">
        <v>1031</v>
      </c>
      <c r="I1126">
        <v>185349003</v>
      </c>
      <c r="J1126" t="s">
        <v>1038</v>
      </c>
      <c r="K1126">
        <v>85.55</v>
      </c>
      <c r="L1126">
        <v>3105.35</v>
      </c>
      <c r="M1126">
        <v>3055.35</v>
      </c>
      <c r="N1126">
        <v>66383009</v>
      </c>
      <c r="O1126" t="s">
        <v>1209</v>
      </c>
    </row>
    <row r="1127" spans="1:15">
      <c r="A1127" t="s">
        <v>2440</v>
      </c>
      <c r="B1127" s="2">
        <v>43015.27851851852</v>
      </c>
      <c r="C1127" s="2">
        <v>43015.297129629631</v>
      </c>
      <c r="D1127" t="s">
        <v>348</v>
      </c>
      <c r="E1127" t="s">
        <v>2327</v>
      </c>
      <c r="F1127" t="s">
        <v>2328</v>
      </c>
      <c r="G1127" t="s">
        <v>1093</v>
      </c>
      <c r="H1127" t="s">
        <v>1031</v>
      </c>
      <c r="I1127">
        <v>185349003</v>
      </c>
      <c r="J1127" t="s">
        <v>1038</v>
      </c>
      <c r="K1127">
        <v>85.55</v>
      </c>
      <c r="L1127">
        <v>5138.45</v>
      </c>
      <c r="M1127">
        <v>4988.45</v>
      </c>
      <c r="N1127">
        <v>275978004</v>
      </c>
      <c r="O1127" t="s">
        <v>1449</v>
      </c>
    </row>
    <row r="1128" spans="1:15">
      <c r="A1128" t="s">
        <v>2441</v>
      </c>
      <c r="B1128" s="2">
        <v>43197.27851851852</v>
      </c>
      <c r="C1128" s="2">
        <v>43197.31045138889</v>
      </c>
      <c r="D1128" t="s">
        <v>348</v>
      </c>
      <c r="E1128" t="s">
        <v>2430</v>
      </c>
      <c r="F1128" t="s">
        <v>2431</v>
      </c>
      <c r="G1128" t="s">
        <v>1093</v>
      </c>
      <c r="H1128" t="s">
        <v>1020</v>
      </c>
      <c r="I1128">
        <v>162673000</v>
      </c>
      <c r="J1128" t="s">
        <v>1021</v>
      </c>
      <c r="K1128">
        <v>136.80000000000001</v>
      </c>
      <c r="L1128">
        <v>840.2</v>
      </c>
      <c r="M1128">
        <v>840.2</v>
      </c>
      <c r="O1128" t="s">
        <v>34</v>
      </c>
    </row>
    <row r="1129" spans="1:15">
      <c r="A1129" t="s">
        <v>2442</v>
      </c>
      <c r="B1129" s="2">
        <v>43211.27851851852</v>
      </c>
      <c r="C1129" s="2">
        <v>43211.441307870373</v>
      </c>
      <c r="D1129" t="s">
        <v>348</v>
      </c>
      <c r="E1129" t="s">
        <v>2327</v>
      </c>
      <c r="F1129" t="s">
        <v>2328</v>
      </c>
      <c r="G1129" t="s">
        <v>1093</v>
      </c>
      <c r="H1129" t="s">
        <v>1031</v>
      </c>
      <c r="I1129">
        <v>185349003</v>
      </c>
      <c r="J1129" t="s">
        <v>1038</v>
      </c>
      <c r="K1129">
        <v>85.55</v>
      </c>
      <c r="L1129">
        <v>3536.75</v>
      </c>
      <c r="M1129">
        <v>3486.75</v>
      </c>
      <c r="N1129">
        <v>66383009</v>
      </c>
      <c r="O1129" t="s">
        <v>1209</v>
      </c>
    </row>
    <row r="1130" spans="1:15">
      <c r="A1130" t="s">
        <v>2443</v>
      </c>
      <c r="B1130" s="2">
        <v>43372.27851851852</v>
      </c>
      <c r="C1130" s="2">
        <v>43372.303657407407</v>
      </c>
      <c r="D1130" t="s">
        <v>348</v>
      </c>
      <c r="E1130" t="s">
        <v>2327</v>
      </c>
      <c r="F1130" t="s">
        <v>2328</v>
      </c>
      <c r="G1130" t="s">
        <v>1093</v>
      </c>
      <c r="H1130" t="s">
        <v>1043</v>
      </c>
      <c r="I1130">
        <v>185349003</v>
      </c>
      <c r="J1130" t="s">
        <v>1038</v>
      </c>
      <c r="K1130">
        <v>85.55</v>
      </c>
      <c r="L1130">
        <v>1004.65</v>
      </c>
      <c r="M1130">
        <v>954.65</v>
      </c>
      <c r="O1130" t="s">
        <v>34</v>
      </c>
    </row>
    <row r="1131" spans="1:15">
      <c r="A1131" t="s">
        <v>2444</v>
      </c>
      <c r="B1131" s="2">
        <v>43379.27851851852</v>
      </c>
      <c r="C1131" s="2">
        <v>43379.288935185185</v>
      </c>
      <c r="D1131" t="s">
        <v>348</v>
      </c>
      <c r="E1131" t="s">
        <v>2327</v>
      </c>
      <c r="F1131" t="s">
        <v>2328</v>
      </c>
      <c r="G1131" t="s">
        <v>1093</v>
      </c>
      <c r="H1131" t="s">
        <v>1031</v>
      </c>
      <c r="I1131">
        <v>185345009</v>
      </c>
      <c r="J1131" t="s">
        <v>1032</v>
      </c>
      <c r="K1131">
        <v>85.55</v>
      </c>
      <c r="L1131">
        <v>85.55</v>
      </c>
      <c r="M1131">
        <v>35.549999999999997</v>
      </c>
      <c r="N1131">
        <v>444814009</v>
      </c>
      <c r="O1131" t="s">
        <v>1035</v>
      </c>
    </row>
    <row r="1132" spans="1:15">
      <c r="A1132" t="s">
        <v>2445</v>
      </c>
      <c r="B1132" s="2">
        <v>43386.27851851852</v>
      </c>
      <c r="C1132" s="2">
        <v>43386.402430555558</v>
      </c>
      <c r="D1132" t="s">
        <v>348</v>
      </c>
      <c r="E1132" t="s">
        <v>2327</v>
      </c>
      <c r="F1132" t="s">
        <v>2328</v>
      </c>
      <c r="G1132" t="s">
        <v>1093</v>
      </c>
      <c r="H1132" t="s">
        <v>1031</v>
      </c>
      <c r="I1132">
        <v>185349003</v>
      </c>
      <c r="J1132" t="s">
        <v>1038</v>
      </c>
      <c r="K1132">
        <v>85.55</v>
      </c>
      <c r="L1132">
        <v>3536.75</v>
      </c>
      <c r="M1132">
        <v>3466.69</v>
      </c>
      <c r="N1132">
        <v>66383009</v>
      </c>
      <c r="O1132" t="s">
        <v>1209</v>
      </c>
    </row>
    <row r="1133" spans="1:15">
      <c r="A1133" t="s">
        <v>2446</v>
      </c>
      <c r="B1133" s="2">
        <v>43568.27851851852</v>
      </c>
      <c r="C1133" s="2">
        <v>43568.318483796298</v>
      </c>
      <c r="D1133" t="s">
        <v>348</v>
      </c>
      <c r="E1133" t="s">
        <v>2430</v>
      </c>
      <c r="F1133" t="s">
        <v>2431</v>
      </c>
      <c r="G1133" t="s">
        <v>1093</v>
      </c>
      <c r="H1133" t="s">
        <v>1020</v>
      </c>
      <c r="I1133">
        <v>162673000</v>
      </c>
      <c r="J1133" t="s">
        <v>1021</v>
      </c>
      <c r="K1133">
        <v>136.80000000000001</v>
      </c>
      <c r="L1133">
        <v>1126.93</v>
      </c>
      <c r="M1133">
        <v>1126.93</v>
      </c>
      <c r="O1133" t="s">
        <v>34</v>
      </c>
    </row>
    <row r="1134" spans="1:15">
      <c r="A1134" t="s">
        <v>2447</v>
      </c>
      <c r="B1134" s="2">
        <v>43582.27851851852</v>
      </c>
      <c r="C1134" s="2">
        <v>43582.430289351854</v>
      </c>
      <c r="D1134" t="s">
        <v>348</v>
      </c>
      <c r="E1134" t="s">
        <v>2327</v>
      </c>
      <c r="F1134" t="s">
        <v>2328</v>
      </c>
      <c r="G1134" t="s">
        <v>1093</v>
      </c>
      <c r="H1134" t="s">
        <v>1031</v>
      </c>
      <c r="I1134">
        <v>185349003</v>
      </c>
      <c r="J1134" t="s">
        <v>1038</v>
      </c>
      <c r="K1134">
        <v>85.55</v>
      </c>
      <c r="L1134">
        <v>3105.35</v>
      </c>
      <c r="M1134">
        <v>3055.35</v>
      </c>
      <c r="N1134">
        <v>103697008</v>
      </c>
      <c r="O1134" t="s">
        <v>1039</v>
      </c>
    </row>
    <row r="1135" spans="1:15">
      <c r="A1135" t="s">
        <v>2448</v>
      </c>
      <c r="B1135" s="2">
        <v>43939.27851851852</v>
      </c>
      <c r="C1135" s="2">
        <v>43939.304259259261</v>
      </c>
      <c r="D1135" t="s">
        <v>348</v>
      </c>
      <c r="E1135" t="s">
        <v>2430</v>
      </c>
      <c r="F1135" t="s">
        <v>2431</v>
      </c>
      <c r="G1135" t="s">
        <v>1093</v>
      </c>
      <c r="H1135" t="s">
        <v>1020</v>
      </c>
      <c r="I1135">
        <v>162673000</v>
      </c>
      <c r="J1135" t="s">
        <v>1021</v>
      </c>
      <c r="K1135">
        <v>136.80000000000001</v>
      </c>
      <c r="L1135">
        <v>778.78</v>
      </c>
      <c r="M1135">
        <v>758.72</v>
      </c>
      <c r="O1135" t="s">
        <v>34</v>
      </c>
    </row>
    <row r="1136" spans="1:15">
      <c r="A1136" t="s">
        <v>2449</v>
      </c>
      <c r="B1136" s="2">
        <v>44247.236851851849</v>
      </c>
      <c r="C1136" s="2">
        <v>44247.24726851852</v>
      </c>
      <c r="D1136" t="s">
        <v>348</v>
      </c>
      <c r="E1136" t="s">
        <v>2327</v>
      </c>
      <c r="F1136" t="s">
        <v>2328</v>
      </c>
      <c r="G1136" t="s">
        <v>1093</v>
      </c>
      <c r="H1136" t="s">
        <v>1043</v>
      </c>
      <c r="I1136">
        <v>33879002</v>
      </c>
      <c r="J1136" t="s">
        <v>1044</v>
      </c>
      <c r="K1136">
        <v>142.58000000000001</v>
      </c>
      <c r="L1136">
        <v>278.58</v>
      </c>
      <c r="M1136">
        <v>128.58000000000001</v>
      </c>
      <c r="O1136" t="s">
        <v>34</v>
      </c>
    </row>
    <row r="1137" spans="1:15">
      <c r="A1137" t="s">
        <v>2450</v>
      </c>
      <c r="B1137" s="2">
        <v>44275.27851851852</v>
      </c>
      <c r="C1137" s="2">
        <v>44275.288935185185</v>
      </c>
      <c r="D1137" t="s">
        <v>348</v>
      </c>
      <c r="E1137" t="s">
        <v>2327</v>
      </c>
      <c r="F1137" t="s">
        <v>2328</v>
      </c>
      <c r="G1137" t="s">
        <v>1093</v>
      </c>
      <c r="H1137" t="s">
        <v>1043</v>
      </c>
      <c r="I1137">
        <v>33879002</v>
      </c>
      <c r="J1137" t="s">
        <v>1044</v>
      </c>
      <c r="K1137">
        <v>142.58000000000001</v>
      </c>
      <c r="L1137">
        <v>278.58</v>
      </c>
      <c r="M1137">
        <v>228.58</v>
      </c>
      <c r="O1137" t="s">
        <v>34</v>
      </c>
    </row>
    <row r="1138" spans="1:15">
      <c r="A1138" t="s">
        <v>2451</v>
      </c>
      <c r="B1138" s="2">
        <v>44310.27851851852</v>
      </c>
      <c r="C1138" s="2">
        <v>44310.313761574071</v>
      </c>
      <c r="D1138" t="s">
        <v>348</v>
      </c>
      <c r="E1138" t="s">
        <v>2430</v>
      </c>
      <c r="F1138" t="s">
        <v>2431</v>
      </c>
      <c r="G1138" t="s">
        <v>1093</v>
      </c>
      <c r="H1138" t="s">
        <v>1020</v>
      </c>
      <c r="I1138">
        <v>162673000</v>
      </c>
      <c r="J1138" t="s">
        <v>1021</v>
      </c>
      <c r="K1138">
        <v>136.80000000000001</v>
      </c>
      <c r="L1138">
        <v>778.78</v>
      </c>
      <c r="M1138">
        <v>778.78</v>
      </c>
      <c r="O1138" t="s">
        <v>34</v>
      </c>
    </row>
    <row r="1139" spans="1:15">
      <c r="A1139" t="s">
        <v>2452</v>
      </c>
      <c r="B1139" s="2">
        <v>44681.27851851852</v>
      </c>
      <c r="C1139" s="2">
        <v>44681.309259259258</v>
      </c>
      <c r="D1139" t="s">
        <v>348</v>
      </c>
      <c r="E1139" t="s">
        <v>2430</v>
      </c>
      <c r="F1139" t="s">
        <v>2431</v>
      </c>
      <c r="G1139" t="s">
        <v>1093</v>
      </c>
      <c r="H1139" t="s">
        <v>1020</v>
      </c>
      <c r="I1139">
        <v>162673000</v>
      </c>
      <c r="J1139" t="s">
        <v>1021</v>
      </c>
      <c r="K1139">
        <v>136.80000000000001</v>
      </c>
      <c r="L1139">
        <v>704.2</v>
      </c>
      <c r="M1139">
        <v>684.14</v>
      </c>
      <c r="O1139" t="s">
        <v>34</v>
      </c>
    </row>
    <row r="1140" spans="1:15">
      <c r="A1140" t="s">
        <v>2453</v>
      </c>
      <c r="B1140" s="2">
        <v>44695.27851851852</v>
      </c>
      <c r="C1140" s="2">
        <v>44695.412719907406</v>
      </c>
      <c r="D1140" t="s">
        <v>348</v>
      </c>
      <c r="E1140" t="s">
        <v>2327</v>
      </c>
      <c r="F1140" t="s">
        <v>2328</v>
      </c>
      <c r="G1140" t="s">
        <v>1093</v>
      </c>
      <c r="H1140" t="s">
        <v>1031</v>
      </c>
      <c r="I1140">
        <v>185349003</v>
      </c>
      <c r="J1140" t="s">
        <v>1038</v>
      </c>
      <c r="K1140">
        <v>85.55</v>
      </c>
      <c r="L1140">
        <v>3105.35</v>
      </c>
      <c r="M1140">
        <v>3055.35</v>
      </c>
      <c r="N1140">
        <v>103697008</v>
      </c>
      <c r="O1140" t="s">
        <v>1039</v>
      </c>
    </row>
    <row r="1141" spans="1:15">
      <c r="A1141" t="s">
        <v>2454</v>
      </c>
      <c r="B1141" s="2">
        <v>44841.297129629631</v>
      </c>
      <c r="C1141" s="2">
        <v>44841.314837962964</v>
      </c>
      <c r="D1141" t="s">
        <v>348</v>
      </c>
      <c r="E1141" t="s">
        <v>2327</v>
      </c>
      <c r="F1141" t="s">
        <v>2328</v>
      </c>
      <c r="G1141" t="s">
        <v>1093</v>
      </c>
      <c r="H1141" t="s">
        <v>1031</v>
      </c>
      <c r="I1141">
        <v>185349003</v>
      </c>
      <c r="J1141" t="s">
        <v>1038</v>
      </c>
      <c r="K1141">
        <v>85.55</v>
      </c>
      <c r="L1141">
        <v>9603.02</v>
      </c>
      <c r="M1141">
        <v>9553.02</v>
      </c>
      <c r="N1141">
        <v>275978004</v>
      </c>
      <c r="O1141" t="s">
        <v>1449</v>
      </c>
    </row>
    <row r="1142" spans="1:15">
      <c r="A1142" t="s">
        <v>2455</v>
      </c>
      <c r="B1142" s="2">
        <v>45052.27851851852</v>
      </c>
      <c r="C1142" s="2">
        <v>45052.305555555555</v>
      </c>
      <c r="D1142" t="s">
        <v>348</v>
      </c>
      <c r="E1142" t="s">
        <v>2430</v>
      </c>
      <c r="F1142" t="s">
        <v>2431</v>
      </c>
      <c r="G1142" t="s">
        <v>1093</v>
      </c>
      <c r="H1142" t="s">
        <v>1020</v>
      </c>
      <c r="I1142">
        <v>162673000</v>
      </c>
      <c r="J1142" t="s">
        <v>1021</v>
      </c>
      <c r="K1142">
        <v>136.80000000000001</v>
      </c>
      <c r="L1142">
        <v>778.78</v>
      </c>
      <c r="M1142">
        <v>758.72</v>
      </c>
      <c r="O1142" t="s">
        <v>34</v>
      </c>
    </row>
    <row r="1143" spans="1:15">
      <c r="A1143" t="s">
        <v>2456</v>
      </c>
      <c r="B1143" s="2">
        <v>45423.27851851852</v>
      </c>
      <c r="C1143" s="2">
        <v>45423.309907407405</v>
      </c>
      <c r="D1143" t="s">
        <v>348</v>
      </c>
      <c r="E1143" t="s">
        <v>2430</v>
      </c>
      <c r="F1143" t="s">
        <v>2431</v>
      </c>
      <c r="G1143" t="s">
        <v>1093</v>
      </c>
      <c r="H1143" t="s">
        <v>1020</v>
      </c>
      <c r="I1143">
        <v>162673000</v>
      </c>
      <c r="J1143" t="s">
        <v>1021</v>
      </c>
      <c r="K1143">
        <v>136.80000000000001</v>
      </c>
      <c r="L1143">
        <v>919.9</v>
      </c>
      <c r="M1143">
        <v>899.84</v>
      </c>
      <c r="O1143" t="s">
        <v>34</v>
      </c>
    </row>
    <row r="1144" spans="1:15">
      <c r="A1144" t="s">
        <v>2457</v>
      </c>
      <c r="B1144" s="2">
        <v>45794.27851851852</v>
      </c>
      <c r="C1144" s="2">
        <v>45794.309282407405</v>
      </c>
      <c r="D1144" t="s">
        <v>348</v>
      </c>
      <c r="E1144" t="s">
        <v>2430</v>
      </c>
      <c r="F1144" t="s">
        <v>2431</v>
      </c>
      <c r="G1144" t="s">
        <v>1093</v>
      </c>
      <c r="H1144" t="s">
        <v>1020</v>
      </c>
      <c r="I1144">
        <v>162673000</v>
      </c>
      <c r="J1144" t="s">
        <v>1021</v>
      </c>
      <c r="K1144">
        <v>136.80000000000001</v>
      </c>
      <c r="L1144">
        <v>704.2</v>
      </c>
      <c r="M1144">
        <v>684.14</v>
      </c>
      <c r="O1144" t="s">
        <v>34</v>
      </c>
    </row>
    <row r="1145" spans="1:15">
      <c r="A1145" t="s">
        <v>2458</v>
      </c>
      <c r="B1145" s="2">
        <v>46165.27851851852</v>
      </c>
      <c r="C1145" s="2">
        <v>46165.300787037035</v>
      </c>
      <c r="D1145" t="s">
        <v>348</v>
      </c>
      <c r="E1145" t="s">
        <v>2430</v>
      </c>
      <c r="F1145" t="s">
        <v>2431</v>
      </c>
      <c r="G1145" t="s">
        <v>1093</v>
      </c>
      <c r="H1145" t="s">
        <v>1020</v>
      </c>
      <c r="I1145">
        <v>162673000</v>
      </c>
      <c r="J1145" t="s">
        <v>1021</v>
      </c>
      <c r="K1145">
        <v>136.80000000000001</v>
      </c>
      <c r="L1145">
        <v>853.36</v>
      </c>
      <c r="M1145">
        <v>833.3</v>
      </c>
      <c r="O1145" t="s">
        <v>34</v>
      </c>
    </row>
    <row r="1146" spans="1:15">
      <c r="A1146" t="s">
        <v>2459</v>
      </c>
      <c r="B1146" s="2">
        <v>33233.492384259262</v>
      </c>
      <c r="C1146" s="2">
        <v>33233.514444444445</v>
      </c>
      <c r="D1146" t="s">
        <v>358</v>
      </c>
      <c r="E1146" t="s">
        <v>2460</v>
      </c>
      <c r="F1146" t="s">
        <v>2461</v>
      </c>
      <c r="G1146" t="s">
        <v>1019</v>
      </c>
      <c r="H1146" t="s">
        <v>1020</v>
      </c>
      <c r="I1146">
        <v>162673000</v>
      </c>
      <c r="J1146" t="s">
        <v>1021</v>
      </c>
      <c r="K1146">
        <v>136.80000000000001</v>
      </c>
      <c r="L1146">
        <v>1567</v>
      </c>
      <c r="M1146">
        <v>0</v>
      </c>
      <c r="O1146" t="s">
        <v>34</v>
      </c>
    </row>
    <row r="1147" spans="1:15">
      <c r="A1147" t="s">
        <v>2462</v>
      </c>
      <c r="B1147" s="2">
        <v>33902.534050925926</v>
      </c>
      <c r="C1147" s="2">
        <v>33902.54446759259</v>
      </c>
      <c r="D1147" t="s">
        <v>358</v>
      </c>
      <c r="E1147" t="s">
        <v>1762</v>
      </c>
      <c r="F1147" t="s">
        <v>1763</v>
      </c>
      <c r="G1147" t="s">
        <v>1019</v>
      </c>
      <c r="H1147" t="s">
        <v>1031</v>
      </c>
      <c r="I1147">
        <v>424619006</v>
      </c>
      <c r="J1147" t="s">
        <v>1062</v>
      </c>
      <c r="K1147">
        <v>142.58000000000001</v>
      </c>
      <c r="L1147">
        <v>1005.38</v>
      </c>
      <c r="M1147">
        <v>0</v>
      </c>
      <c r="N1147">
        <v>79586000</v>
      </c>
      <c r="O1147" t="s">
        <v>1780</v>
      </c>
    </row>
    <row r="1148" spans="1:15">
      <c r="A1148" t="s">
        <v>2463</v>
      </c>
      <c r="B1148" s="2">
        <v>34703.492384259262</v>
      </c>
      <c r="C1148" s="2">
        <v>34703.532754629632</v>
      </c>
      <c r="D1148" t="s">
        <v>358</v>
      </c>
      <c r="E1148" t="s">
        <v>2460</v>
      </c>
      <c r="F1148" t="s">
        <v>2461</v>
      </c>
      <c r="G1148" t="s">
        <v>1019</v>
      </c>
      <c r="H1148" t="s">
        <v>1020</v>
      </c>
      <c r="I1148">
        <v>162673000</v>
      </c>
      <c r="J1148" t="s">
        <v>1021</v>
      </c>
      <c r="K1148">
        <v>136.80000000000001</v>
      </c>
      <c r="L1148">
        <v>1195.8</v>
      </c>
      <c r="M1148">
        <v>0</v>
      </c>
      <c r="O1148" t="s">
        <v>34</v>
      </c>
    </row>
    <row r="1149" spans="1:15">
      <c r="A1149" t="s">
        <v>2464</v>
      </c>
      <c r="B1149" s="2">
        <v>35802.492384259262</v>
      </c>
      <c r="C1149" s="2">
        <v>35802.530648148146</v>
      </c>
      <c r="D1149" t="s">
        <v>358</v>
      </c>
      <c r="E1149" t="s">
        <v>2460</v>
      </c>
      <c r="F1149" t="s">
        <v>2461</v>
      </c>
      <c r="G1149" t="s">
        <v>1019</v>
      </c>
      <c r="H1149" t="s">
        <v>1020</v>
      </c>
      <c r="I1149">
        <v>162673000</v>
      </c>
      <c r="J1149" t="s">
        <v>1021</v>
      </c>
      <c r="K1149">
        <v>136.80000000000001</v>
      </c>
      <c r="L1149">
        <v>785.58</v>
      </c>
      <c r="M1149">
        <v>0</v>
      </c>
      <c r="O1149" t="s">
        <v>34</v>
      </c>
    </row>
    <row r="1150" spans="1:15">
      <c r="A1150" t="s">
        <v>2465</v>
      </c>
      <c r="B1150" s="2">
        <v>36901.492384259262</v>
      </c>
      <c r="C1150" s="2">
        <v>36901.533194444448</v>
      </c>
      <c r="D1150" t="s">
        <v>358</v>
      </c>
      <c r="E1150" t="s">
        <v>2460</v>
      </c>
      <c r="F1150" t="s">
        <v>2461</v>
      </c>
      <c r="G1150" t="s">
        <v>1019</v>
      </c>
      <c r="H1150" t="s">
        <v>1020</v>
      </c>
      <c r="I1150">
        <v>162673000</v>
      </c>
      <c r="J1150" t="s">
        <v>1021</v>
      </c>
      <c r="K1150">
        <v>136.80000000000001</v>
      </c>
      <c r="L1150">
        <v>853.36</v>
      </c>
      <c r="M1150">
        <v>0</v>
      </c>
      <c r="O1150" t="s">
        <v>34</v>
      </c>
    </row>
    <row r="1151" spans="1:15">
      <c r="A1151" t="s">
        <v>2466</v>
      </c>
      <c r="B1151" s="2">
        <v>41670.492384259262</v>
      </c>
      <c r="C1151" s="2">
        <v>41670.502800925926</v>
      </c>
      <c r="D1151" t="s">
        <v>358</v>
      </c>
      <c r="E1151" t="s">
        <v>1762</v>
      </c>
      <c r="F1151" t="s">
        <v>1763</v>
      </c>
      <c r="G1151" t="s">
        <v>1023</v>
      </c>
      <c r="H1151" t="s">
        <v>1043</v>
      </c>
      <c r="I1151">
        <v>185347001</v>
      </c>
      <c r="J1151" t="s">
        <v>1124</v>
      </c>
      <c r="K1151">
        <v>85.55</v>
      </c>
      <c r="L1151">
        <v>85.55</v>
      </c>
      <c r="M1151">
        <v>85.55</v>
      </c>
      <c r="N1151">
        <v>82423001</v>
      </c>
      <c r="O1151" t="s">
        <v>1542</v>
      </c>
    </row>
    <row r="1152" spans="1:15">
      <c r="A1152" t="s">
        <v>2467</v>
      </c>
      <c r="B1152" s="2">
        <v>41682.492384259262</v>
      </c>
      <c r="C1152" s="2">
        <v>41682.528773148151</v>
      </c>
      <c r="D1152" t="s">
        <v>358</v>
      </c>
      <c r="E1152" t="s">
        <v>2460</v>
      </c>
      <c r="F1152" t="s">
        <v>2461</v>
      </c>
      <c r="G1152" t="s">
        <v>1023</v>
      </c>
      <c r="H1152" t="s">
        <v>1020</v>
      </c>
      <c r="I1152">
        <v>162673000</v>
      </c>
      <c r="J1152" t="s">
        <v>1021</v>
      </c>
      <c r="K1152">
        <v>136.80000000000001</v>
      </c>
      <c r="L1152">
        <v>1125.3599999999999</v>
      </c>
      <c r="M1152">
        <v>1125.3599999999999</v>
      </c>
      <c r="O1152" t="s">
        <v>34</v>
      </c>
    </row>
    <row r="1153" spans="1:15">
      <c r="A1153" t="s">
        <v>2468</v>
      </c>
      <c r="B1153" s="2">
        <v>42252.534050925926</v>
      </c>
      <c r="C1153" s="2">
        <v>42252.54446759259</v>
      </c>
      <c r="D1153" t="s">
        <v>358</v>
      </c>
      <c r="E1153" t="s">
        <v>1762</v>
      </c>
      <c r="F1153" t="s">
        <v>1763</v>
      </c>
      <c r="G1153" t="s">
        <v>1026</v>
      </c>
      <c r="H1153" t="s">
        <v>1043</v>
      </c>
      <c r="I1153">
        <v>698314001</v>
      </c>
      <c r="J1153" t="s">
        <v>1190</v>
      </c>
      <c r="K1153">
        <v>142.58000000000001</v>
      </c>
      <c r="L1153">
        <v>142.58000000000001</v>
      </c>
      <c r="M1153">
        <v>0</v>
      </c>
      <c r="N1153">
        <v>389095005</v>
      </c>
      <c r="O1153" t="s">
        <v>1191</v>
      </c>
    </row>
    <row r="1154" spans="1:15">
      <c r="A1154" t="s">
        <v>2469</v>
      </c>
      <c r="B1154" s="2">
        <v>42424.492384259262</v>
      </c>
      <c r="C1154" s="2">
        <v>42424.533101851855</v>
      </c>
      <c r="D1154" t="s">
        <v>358</v>
      </c>
      <c r="E1154" t="s">
        <v>2460</v>
      </c>
      <c r="F1154" t="s">
        <v>2461</v>
      </c>
      <c r="G1154" t="s">
        <v>1026</v>
      </c>
      <c r="H1154" t="s">
        <v>1020</v>
      </c>
      <c r="I1154">
        <v>162673000</v>
      </c>
      <c r="J1154" t="s">
        <v>1021</v>
      </c>
      <c r="K1154">
        <v>136.80000000000001</v>
      </c>
      <c r="L1154">
        <v>785.58</v>
      </c>
      <c r="M1154">
        <v>0</v>
      </c>
      <c r="O1154" t="s">
        <v>34</v>
      </c>
    </row>
    <row r="1155" spans="1:15">
      <c r="A1155" t="s">
        <v>2470</v>
      </c>
      <c r="B1155" s="2">
        <v>42648.534050925926</v>
      </c>
      <c r="C1155" s="2">
        <v>42648.56144675926</v>
      </c>
      <c r="D1155" t="s">
        <v>358</v>
      </c>
      <c r="E1155" t="s">
        <v>1762</v>
      </c>
      <c r="F1155" t="s">
        <v>1763</v>
      </c>
      <c r="G1155" t="s">
        <v>1026</v>
      </c>
      <c r="H1155" t="s">
        <v>1043</v>
      </c>
      <c r="I1155">
        <v>185349003</v>
      </c>
      <c r="J1155" t="s">
        <v>1038</v>
      </c>
      <c r="K1155">
        <v>85.55</v>
      </c>
      <c r="L1155">
        <v>727.53</v>
      </c>
      <c r="M1155">
        <v>0</v>
      </c>
      <c r="O1155" t="s">
        <v>34</v>
      </c>
    </row>
    <row r="1156" spans="1:15">
      <c r="A1156" t="s">
        <v>2471</v>
      </c>
      <c r="B1156" s="2">
        <v>42649.20071759259</v>
      </c>
      <c r="C1156" s="2">
        <v>42649.211134259262</v>
      </c>
      <c r="D1156" t="s">
        <v>358</v>
      </c>
      <c r="E1156" t="s">
        <v>1762</v>
      </c>
      <c r="F1156" t="s">
        <v>1763</v>
      </c>
      <c r="G1156" t="s">
        <v>1026</v>
      </c>
      <c r="H1156" t="s">
        <v>1031</v>
      </c>
      <c r="I1156">
        <v>185345009</v>
      </c>
      <c r="J1156" t="s">
        <v>1032</v>
      </c>
      <c r="K1156">
        <v>85.55</v>
      </c>
      <c r="L1156">
        <v>85.55</v>
      </c>
      <c r="M1156">
        <v>0</v>
      </c>
      <c r="N1156">
        <v>444814009</v>
      </c>
      <c r="O1156" t="s">
        <v>1035</v>
      </c>
    </row>
    <row r="1157" spans="1:15">
      <c r="A1157" t="s">
        <v>2472</v>
      </c>
      <c r="B1157" s="2">
        <v>42795.492384259262</v>
      </c>
      <c r="C1157" s="2">
        <v>42795.531863425924</v>
      </c>
      <c r="D1157" t="s">
        <v>358</v>
      </c>
      <c r="E1157" t="s">
        <v>2460</v>
      </c>
      <c r="F1157" t="s">
        <v>2461</v>
      </c>
      <c r="G1157" t="s">
        <v>1026</v>
      </c>
      <c r="H1157" t="s">
        <v>1020</v>
      </c>
      <c r="I1157">
        <v>162673000</v>
      </c>
      <c r="J1157" t="s">
        <v>1021</v>
      </c>
      <c r="K1157">
        <v>136.80000000000001</v>
      </c>
      <c r="L1157">
        <v>724.16</v>
      </c>
      <c r="M1157">
        <v>0</v>
      </c>
      <c r="O1157" t="s">
        <v>34</v>
      </c>
    </row>
    <row r="1158" spans="1:15">
      <c r="A1158" t="s">
        <v>2473</v>
      </c>
      <c r="B1158" s="2">
        <v>42972.534050925926</v>
      </c>
      <c r="C1158" s="2">
        <v>42972.544548611113</v>
      </c>
      <c r="D1158" t="s">
        <v>358</v>
      </c>
      <c r="E1158" t="s">
        <v>1762</v>
      </c>
      <c r="F1158" t="s">
        <v>1763</v>
      </c>
      <c r="G1158" t="s">
        <v>1026</v>
      </c>
      <c r="H1158" t="s">
        <v>1043</v>
      </c>
      <c r="I1158">
        <v>698314001</v>
      </c>
      <c r="J1158" t="s">
        <v>1190</v>
      </c>
      <c r="K1158">
        <v>142.58000000000001</v>
      </c>
      <c r="L1158">
        <v>4575.68</v>
      </c>
      <c r="M1158">
        <v>0</v>
      </c>
      <c r="N1158">
        <v>389095005</v>
      </c>
      <c r="O1158" t="s">
        <v>1191</v>
      </c>
    </row>
    <row r="1159" spans="1:15">
      <c r="A1159" t="s">
        <v>2474</v>
      </c>
      <c r="B1159" s="2">
        <v>43075.492384259262</v>
      </c>
      <c r="C1159" s="2">
        <v>43075.505636574075</v>
      </c>
      <c r="D1159" t="s">
        <v>358</v>
      </c>
      <c r="E1159" t="s">
        <v>1762</v>
      </c>
      <c r="F1159" t="s">
        <v>1763</v>
      </c>
      <c r="G1159" t="s">
        <v>1026</v>
      </c>
      <c r="H1159" t="s">
        <v>1043</v>
      </c>
      <c r="I1159">
        <v>308335008</v>
      </c>
      <c r="J1159" t="s">
        <v>1194</v>
      </c>
      <c r="K1159">
        <v>142.58000000000001</v>
      </c>
      <c r="L1159">
        <v>1322.84</v>
      </c>
      <c r="M1159">
        <v>0</v>
      </c>
      <c r="N1159">
        <v>389095005</v>
      </c>
      <c r="O1159" t="s">
        <v>1191</v>
      </c>
    </row>
    <row r="1160" spans="1:15">
      <c r="A1160" t="s">
        <v>2475</v>
      </c>
      <c r="B1160" s="2">
        <v>43166.492384259262</v>
      </c>
      <c r="C1160" s="2">
        <v>43166.532025462962</v>
      </c>
      <c r="D1160" t="s">
        <v>358</v>
      </c>
      <c r="E1160" t="s">
        <v>2460</v>
      </c>
      <c r="F1160" t="s">
        <v>2461</v>
      </c>
      <c r="G1160" t="s">
        <v>1026</v>
      </c>
      <c r="H1160" t="s">
        <v>1020</v>
      </c>
      <c r="I1160">
        <v>162673000</v>
      </c>
      <c r="J1160" t="s">
        <v>1021</v>
      </c>
      <c r="K1160">
        <v>136.80000000000001</v>
      </c>
      <c r="L1160">
        <v>860.16</v>
      </c>
      <c r="M1160">
        <v>0</v>
      </c>
      <c r="O1160" t="s">
        <v>34</v>
      </c>
    </row>
    <row r="1161" spans="1:15">
      <c r="A1161" t="s">
        <v>2476</v>
      </c>
      <c r="B1161" s="2">
        <v>43173.534050925926</v>
      </c>
      <c r="C1161" s="2">
        <v>43173.54446759259</v>
      </c>
      <c r="D1161" t="s">
        <v>358</v>
      </c>
      <c r="E1161" t="s">
        <v>1762</v>
      </c>
      <c r="F1161" t="s">
        <v>1763</v>
      </c>
      <c r="G1161" t="s">
        <v>1026</v>
      </c>
      <c r="H1161" t="s">
        <v>1043</v>
      </c>
      <c r="I1161">
        <v>308335008</v>
      </c>
      <c r="J1161" t="s">
        <v>1194</v>
      </c>
      <c r="K1161">
        <v>142.58000000000001</v>
      </c>
      <c r="L1161">
        <v>1250.8499999999999</v>
      </c>
      <c r="M1161">
        <v>0</v>
      </c>
      <c r="N1161">
        <v>389095005</v>
      </c>
      <c r="O1161" t="s">
        <v>1191</v>
      </c>
    </row>
    <row r="1162" spans="1:15">
      <c r="A1162" t="s">
        <v>2477</v>
      </c>
      <c r="B1162" s="2">
        <v>43264.534050925926</v>
      </c>
      <c r="C1162" s="2">
        <v>43264.54446759259</v>
      </c>
      <c r="D1162" t="s">
        <v>358</v>
      </c>
      <c r="E1162" t="s">
        <v>1762</v>
      </c>
      <c r="F1162" t="s">
        <v>1763</v>
      </c>
      <c r="G1162" t="s">
        <v>1026</v>
      </c>
      <c r="H1162" t="s">
        <v>1043</v>
      </c>
      <c r="I1162">
        <v>308335008</v>
      </c>
      <c r="J1162" t="s">
        <v>1194</v>
      </c>
      <c r="K1162">
        <v>142.58000000000001</v>
      </c>
      <c r="L1162">
        <v>4575.68</v>
      </c>
      <c r="M1162">
        <v>1227.28</v>
      </c>
      <c r="N1162">
        <v>389095005</v>
      </c>
      <c r="O1162" t="s">
        <v>1191</v>
      </c>
    </row>
    <row r="1163" spans="1:15">
      <c r="A1163" t="s">
        <v>2478</v>
      </c>
      <c r="B1163" s="2">
        <v>43332.544548611113</v>
      </c>
      <c r="C1163" s="2">
        <v>43332.554965277777</v>
      </c>
      <c r="D1163" t="s">
        <v>358</v>
      </c>
      <c r="E1163" t="s">
        <v>1762</v>
      </c>
      <c r="F1163" t="s">
        <v>1763</v>
      </c>
      <c r="G1163" t="s">
        <v>1026</v>
      </c>
      <c r="H1163" t="s">
        <v>1043</v>
      </c>
      <c r="I1163">
        <v>698314001</v>
      </c>
      <c r="J1163" t="s">
        <v>1190</v>
      </c>
      <c r="K1163">
        <v>142.58000000000001</v>
      </c>
      <c r="L1163">
        <v>142.58000000000001</v>
      </c>
      <c r="M1163">
        <v>85.55</v>
      </c>
      <c r="N1163">
        <v>389095005</v>
      </c>
      <c r="O1163" t="s">
        <v>1191</v>
      </c>
    </row>
    <row r="1164" spans="1:15">
      <c r="A1164" t="s">
        <v>2479</v>
      </c>
      <c r="B1164" s="2">
        <v>41208.499050925922</v>
      </c>
      <c r="C1164" s="2">
        <v>41208.509467592594</v>
      </c>
      <c r="D1164" t="s">
        <v>369</v>
      </c>
      <c r="E1164" t="s">
        <v>1157</v>
      </c>
      <c r="F1164" t="s">
        <v>1158</v>
      </c>
      <c r="G1164" t="s">
        <v>1561</v>
      </c>
      <c r="H1164" t="s">
        <v>1159</v>
      </c>
      <c r="I1164">
        <v>702927004</v>
      </c>
      <c r="J1164" t="s">
        <v>1160</v>
      </c>
      <c r="K1164">
        <v>142.58000000000001</v>
      </c>
      <c r="L1164">
        <v>573.98</v>
      </c>
      <c r="M1164">
        <v>0</v>
      </c>
      <c r="O1164" t="s">
        <v>34</v>
      </c>
    </row>
    <row r="1165" spans="1:15">
      <c r="A1165" t="s">
        <v>2480</v>
      </c>
      <c r="B1165" s="2">
        <v>42944.499050925922</v>
      </c>
      <c r="C1165" s="2">
        <v>42944.513495370367</v>
      </c>
      <c r="D1165" t="s">
        <v>369</v>
      </c>
      <c r="E1165" t="s">
        <v>2481</v>
      </c>
      <c r="F1165" t="s">
        <v>2482</v>
      </c>
      <c r="G1165" t="s">
        <v>1561</v>
      </c>
      <c r="H1165" t="s">
        <v>1020</v>
      </c>
      <c r="I1165">
        <v>410620009</v>
      </c>
      <c r="J1165" t="s">
        <v>1054</v>
      </c>
      <c r="K1165">
        <v>136.80000000000001</v>
      </c>
      <c r="L1165">
        <v>1077.53</v>
      </c>
      <c r="M1165">
        <v>0</v>
      </c>
      <c r="O1165" t="s">
        <v>34</v>
      </c>
    </row>
    <row r="1166" spans="1:15">
      <c r="A1166" t="s">
        <v>2483</v>
      </c>
      <c r="B1166" s="2">
        <v>43315.499050925922</v>
      </c>
      <c r="C1166" s="2">
        <v>43315.514143518521</v>
      </c>
      <c r="D1166" t="s">
        <v>369</v>
      </c>
      <c r="E1166" t="s">
        <v>2481</v>
      </c>
      <c r="F1166" t="s">
        <v>2482</v>
      </c>
      <c r="G1166" t="s">
        <v>1561</v>
      </c>
      <c r="H1166" t="s">
        <v>1020</v>
      </c>
      <c r="I1166">
        <v>410620009</v>
      </c>
      <c r="J1166" t="s">
        <v>1054</v>
      </c>
      <c r="K1166">
        <v>136.80000000000001</v>
      </c>
      <c r="L1166">
        <v>704.2</v>
      </c>
      <c r="M1166">
        <v>0</v>
      </c>
      <c r="O1166" t="s">
        <v>34</v>
      </c>
    </row>
    <row r="1167" spans="1:15">
      <c r="A1167" t="s">
        <v>2484</v>
      </c>
      <c r="B1167" s="2">
        <v>43329.499050925922</v>
      </c>
      <c r="C1167" s="2">
        <v>43329.787372685183</v>
      </c>
      <c r="D1167" t="s">
        <v>369</v>
      </c>
      <c r="E1167" t="s">
        <v>1132</v>
      </c>
      <c r="F1167" t="s">
        <v>1133</v>
      </c>
      <c r="G1167" t="s">
        <v>1561</v>
      </c>
      <c r="H1167" t="s">
        <v>1031</v>
      </c>
      <c r="I1167">
        <v>185349003</v>
      </c>
      <c r="J1167" t="s">
        <v>1038</v>
      </c>
      <c r="K1167">
        <v>85.55</v>
      </c>
      <c r="L1167">
        <v>5262.35</v>
      </c>
      <c r="M1167">
        <v>1117.54</v>
      </c>
      <c r="N1167">
        <v>66383009</v>
      </c>
      <c r="O1167" t="s">
        <v>1209</v>
      </c>
    </row>
    <row r="1168" spans="1:15">
      <c r="A1168" t="s">
        <v>2485</v>
      </c>
      <c r="B1168" s="2">
        <v>43686.499050925922</v>
      </c>
      <c r="C1168" s="2">
        <v>43686.517210648148</v>
      </c>
      <c r="D1168" t="s">
        <v>369</v>
      </c>
      <c r="E1168" t="s">
        <v>2481</v>
      </c>
      <c r="F1168" t="s">
        <v>2482</v>
      </c>
      <c r="G1168" t="s">
        <v>1561</v>
      </c>
      <c r="H1168" t="s">
        <v>1020</v>
      </c>
      <c r="I1168">
        <v>410620009</v>
      </c>
      <c r="J1168" t="s">
        <v>1054</v>
      </c>
      <c r="K1168">
        <v>136.80000000000001</v>
      </c>
      <c r="L1168">
        <v>704.2</v>
      </c>
      <c r="M1168">
        <v>0</v>
      </c>
      <c r="O1168" t="s">
        <v>34</v>
      </c>
    </row>
    <row r="1169" spans="1:15">
      <c r="A1169" t="s">
        <v>2486</v>
      </c>
      <c r="B1169" s="2">
        <v>44003.499050925922</v>
      </c>
      <c r="C1169" s="2">
        <v>44003.509467592594</v>
      </c>
      <c r="D1169" t="s">
        <v>369</v>
      </c>
      <c r="E1169" t="s">
        <v>1132</v>
      </c>
      <c r="F1169" t="s">
        <v>1133</v>
      </c>
      <c r="G1169" t="s">
        <v>1561</v>
      </c>
      <c r="H1169" t="s">
        <v>1043</v>
      </c>
      <c r="I1169">
        <v>698314001</v>
      </c>
      <c r="J1169" t="s">
        <v>1190</v>
      </c>
      <c r="K1169">
        <v>142.58000000000001</v>
      </c>
      <c r="L1169">
        <v>142.58000000000001</v>
      </c>
      <c r="M1169">
        <v>0</v>
      </c>
      <c r="N1169">
        <v>389095005</v>
      </c>
      <c r="O1169" t="s">
        <v>1191</v>
      </c>
    </row>
    <row r="1170" spans="1:15">
      <c r="A1170" t="s">
        <v>2487</v>
      </c>
      <c r="B1170" s="2">
        <v>44057.499050925922</v>
      </c>
      <c r="C1170" s="2">
        <v>44057.513599537036</v>
      </c>
      <c r="D1170" t="s">
        <v>369</v>
      </c>
      <c r="E1170" t="s">
        <v>2481</v>
      </c>
      <c r="F1170" t="s">
        <v>2482</v>
      </c>
      <c r="G1170" t="s">
        <v>1561</v>
      </c>
      <c r="H1170" t="s">
        <v>1020</v>
      </c>
      <c r="I1170">
        <v>410620009</v>
      </c>
      <c r="J1170" t="s">
        <v>1054</v>
      </c>
      <c r="K1170">
        <v>136.80000000000001</v>
      </c>
      <c r="L1170">
        <v>1237.1199999999999</v>
      </c>
      <c r="M1170">
        <v>0</v>
      </c>
      <c r="O1170" t="s">
        <v>34</v>
      </c>
    </row>
    <row r="1171" spans="1:15">
      <c r="A1171" t="s">
        <v>2488</v>
      </c>
      <c r="B1171" s="2">
        <v>44295.499050925922</v>
      </c>
      <c r="C1171" s="2">
        <v>44295.509467592594</v>
      </c>
      <c r="D1171" t="s">
        <v>369</v>
      </c>
      <c r="E1171" t="s">
        <v>1132</v>
      </c>
      <c r="F1171" t="s">
        <v>1133</v>
      </c>
      <c r="G1171" t="s">
        <v>1561</v>
      </c>
      <c r="H1171" t="s">
        <v>1031</v>
      </c>
      <c r="I1171">
        <v>424441002</v>
      </c>
      <c r="J1171" t="s">
        <v>1059</v>
      </c>
      <c r="K1171">
        <v>142.58000000000001</v>
      </c>
      <c r="L1171">
        <v>20838.96</v>
      </c>
      <c r="M1171">
        <v>12303.25</v>
      </c>
      <c r="N1171">
        <v>72892002</v>
      </c>
      <c r="O1171" t="s">
        <v>1060</v>
      </c>
    </row>
    <row r="1172" spans="1:15">
      <c r="A1172" t="s">
        <v>2489</v>
      </c>
      <c r="B1172" s="2">
        <v>44310.499050925922</v>
      </c>
      <c r="C1172" s="2">
        <v>44310.509467592594</v>
      </c>
      <c r="D1172" t="s">
        <v>369</v>
      </c>
      <c r="E1172" t="s">
        <v>1132</v>
      </c>
      <c r="F1172" t="s">
        <v>1133</v>
      </c>
      <c r="G1172" t="s">
        <v>1561</v>
      </c>
      <c r="H1172" t="s">
        <v>1031</v>
      </c>
      <c r="I1172">
        <v>270427003</v>
      </c>
      <c r="J1172" t="s">
        <v>1179</v>
      </c>
      <c r="K1172">
        <v>85.55</v>
      </c>
      <c r="L1172">
        <v>8084.36</v>
      </c>
      <c r="M1172">
        <v>8084.36</v>
      </c>
      <c r="N1172">
        <v>72892002</v>
      </c>
      <c r="O1172" t="s">
        <v>1060</v>
      </c>
    </row>
    <row r="1173" spans="1:15">
      <c r="A1173" t="s">
        <v>2490</v>
      </c>
      <c r="B1173" s="2">
        <v>44329.499050925922</v>
      </c>
      <c r="C1173" s="2">
        <v>44329.509467592594</v>
      </c>
      <c r="D1173" t="s">
        <v>369</v>
      </c>
      <c r="E1173" t="s">
        <v>1132</v>
      </c>
      <c r="F1173" t="s">
        <v>1133</v>
      </c>
      <c r="G1173" t="s">
        <v>1561</v>
      </c>
      <c r="H1173" t="s">
        <v>1031</v>
      </c>
      <c r="I1173">
        <v>424619006</v>
      </c>
      <c r="J1173" t="s">
        <v>1062</v>
      </c>
      <c r="K1173">
        <v>142.58000000000001</v>
      </c>
      <c r="L1173">
        <v>1868.18</v>
      </c>
      <c r="M1173">
        <v>1868.18</v>
      </c>
      <c r="N1173">
        <v>72892002</v>
      </c>
      <c r="O1173" t="s">
        <v>1060</v>
      </c>
    </row>
    <row r="1174" spans="1:15">
      <c r="A1174" t="s">
        <v>2491</v>
      </c>
      <c r="B1174" s="2">
        <v>43336.211215277777</v>
      </c>
      <c r="C1174" s="2">
        <v>43336.241493055553</v>
      </c>
      <c r="D1174" t="s">
        <v>358</v>
      </c>
      <c r="E1174" t="s">
        <v>1762</v>
      </c>
      <c r="F1174" t="s">
        <v>1763</v>
      </c>
      <c r="G1174" t="s">
        <v>1026</v>
      </c>
      <c r="H1174" t="s">
        <v>1043</v>
      </c>
      <c r="I1174">
        <v>308335008</v>
      </c>
      <c r="J1174" t="s">
        <v>1194</v>
      </c>
      <c r="K1174">
        <v>142.58000000000001</v>
      </c>
      <c r="L1174">
        <v>4052.91</v>
      </c>
      <c r="M1174">
        <v>2431.75</v>
      </c>
      <c r="N1174">
        <v>389095005</v>
      </c>
      <c r="O1174" t="s">
        <v>1191</v>
      </c>
    </row>
    <row r="1175" spans="1:15">
      <c r="A1175" t="s">
        <v>2492</v>
      </c>
      <c r="B1175" s="2">
        <v>43355.534050925926</v>
      </c>
      <c r="C1175" s="2">
        <v>43355.54446759259</v>
      </c>
      <c r="D1175" t="s">
        <v>358</v>
      </c>
      <c r="E1175" t="s">
        <v>1762</v>
      </c>
      <c r="F1175" t="s">
        <v>1763</v>
      </c>
      <c r="G1175" t="s">
        <v>1026</v>
      </c>
      <c r="H1175" t="s">
        <v>1043</v>
      </c>
      <c r="I1175">
        <v>308335008</v>
      </c>
      <c r="J1175" t="s">
        <v>1194</v>
      </c>
      <c r="K1175">
        <v>142.58000000000001</v>
      </c>
      <c r="L1175">
        <v>1250.8499999999999</v>
      </c>
      <c r="M1175">
        <v>1250.8499999999999</v>
      </c>
      <c r="N1175">
        <v>389095005</v>
      </c>
      <c r="O1175" t="s">
        <v>1191</v>
      </c>
    </row>
    <row r="1176" spans="1:15">
      <c r="A1176" t="s">
        <v>2493</v>
      </c>
      <c r="B1176" s="2">
        <v>44428.499050925922</v>
      </c>
      <c r="C1176" s="2">
        <v>44428.516562500001</v>
      </c>
      <c r="D1176" t="s">
        <v>369</v>
      </c>
      <c r="E1176" t="s">
        <v>2481</v>
      </c>
      <c r="F1176" t="s">
        <v>2482</v>
      </c>
      <c r="G1176" t="s">
        <v>1561</v>
      </c>
      <c r="H1176" t="s">
        <v>1020</v>
      </c>
      <c r="I1176">
        <v>410620009</v>
      </c>
      <c r="J1176" t="s">
        <v>1054</v>
      </c>
      <c r="K1176">
        <v>136.80000000000001</v>
      </c>
      <c r="L1176">
        <v>1520.81</v>
      </c>
      <c r="M1176">
        <v>0</v>
      </c>
      <c r="O1176" t="s">
        <v>34</v>
      </c>
    </row>
    <row r="1177" spans="1:15">
      <c r="A1177" t="s">
        <v>2494</v>
      </c>
      <c r="B1177" s="2">
        <v>43446.492384259262</v>
      </c>
      <c r="C1177" s="2">
        <v>43446.505682870367</v>
      </c>
      <c r="D1177" t="s">
        <v>358</v>
      </c>
      <c r="E1177" t="s">
        <v>1762</v>
      </c>
      <c r="F1177" t="s">
        <v>1763</v>
      </c>
      <c r="G1177" t="s">
        <v>1026</v>
      </c>
      <c r="H1177" t="s">
        <v>1043</v>
      </c>
      <c r="I1177">
        <v>308335008</v>
      </c>
      <c r="J1177" t="s">
        <v>1194</v>
      </c>
      <c r="K1177">
        <v>142.58000000000001</v>
      </c>
      <c r="L1177">
        <v>1935.52</v>
      </c>
      <c r="M1177">
        <v>0</v>
      </c>
      <c r="N1177">
        <v>389095005</v>
      </c>
      <c r="O1177" t="s">
        <v>1191</v>
      </c>
    </row>
    <row r="1178" spans="1:15">
      <c r="A1178" t="s">
        <v>2495</v>
      </c>
      <c r="B1178" s="2">
        <v>43537.534050925926</v>
      </c>
      <c r="C1178" s="2">
        <v>43537.572442129633</v>
      </c>
      <c r="D1178" t="s">
        <v>358</v>
      </c>
      <c r="E1178" t="s">
        <v>2460</v>
      </c>
      <c r="F1178" t="s">
        <v>2461</v>
      </c>
      <c r="G1178" t="s">
        <v>1026</v>
      </c>
      <c r="H1178" t="s">
        <v>1020</v>
      </c>
      <c r="I1178">
        <v>162673000</v>
      </c>
      <c r="J1178" t="s">
        <v>1021</v>
      </c>
      <c r="K1178">
        <v>136.80000000000001</v>
      </c>
      <c r="L1178">
        <v>1001.28</v>
      </c>
      <c r="M1178">
        <v>0</v>
      </c>
      <c r="O1178" t="s">
        <v>34</v>
      </c>
    </row>
    <row r="1179" spans="1:15">
      <c r="A1179" t="s">
        <v>2496</v>
      </c>
      <c r="B1179" s="2">
        <v>44435.499050925922</v>
      </c>
      <c r="C1179" s="2">
        <v>44435.509467592594</v>
      </c>
      <c r="D1179" t="s">
        <v>369</v>
      </c>
      <c r="E1179" t="s">
        <v>1132</v>
      </c>
      <c r="F1179" t="s">
        <v>1133</v>
      </c>
      <c r="G1179" t="s">
        <v>1561</v>
      </c>
      <c r="H1179" t="s">
        <v>1043</v>
      </c>
      <c r="I1179">
        <v>33879002</v>
      </c>
      <c r="J1179" t="s">
        <v>1044</v>
      </c>
      <c r="K1179">
        <v>142.58000000000001</v>
      </c>
      <c r="L1179">
        <v>278.58</v>
      </c>
      <c r="M1179">
        <v>0</v>
      </c>
      <c r="O1179" t="s">
        <v>34</v>
      </c>
    </row>
    <row r="1180" spans="1:15">
      <c r="A1180" t="s">
        <v>2497</v>
      </c>
      <c r="B1180" s="2">
        <v>44442.499050925922</v>
      </c>
      <c r="C1180" s="2">
        <v>44442.646423611113</v>
      </c>
      <c r="D1180" t="s">
        <v>369</v>
      </c>
      <c r="E1180" t="s">
        <v>1132</v>
      </c>
      <c r="F1180" t="s">
        <v>1133</v>
      </c>
      <c r="G1180" t="s">
        <v>1561</v>
      </c>
      <c r="H1180" t="s">
        <v>1031</v>
      </c>
      <c r="I1180">
        <v>185349003</v>
      </c>
      <c r="J1180" t="s">
        <v>1038</v>
      </c>
      <c r="K1180">
        <v>85.55</v>
      </c>
      <c r="L1180">
        <v>3105.35</v>
      </c>
      <c r="M1180">
        <v>374.28</v>
      </c>
      <c r="N1180">
        <v>66383009</v>
      </c>
      <c r="O1180" t="s">
        <v>1209</v>
      </c>
    </row>
    <row r="1181" spans="1:15">
      <c r="A1181" t="s">
        <v>2498</v>
      </c>
      <c r="B1181" s="2">
        <v>43544.534050925926</v>
      </c>
      <c r="C1181" s="2">
        <v>43544.546909722223</v>
      </c>
      <c r="D1181" t="s">
        <v>358</v>
      </c>
      <c r="E1181" t="s">
        <v>1762</v>
      </c>
      <c r="F1181" t="s">
        <v>1763</v>
      </c>
      <c r="G1181" t="s">
        <v>1026</v>
      </c>
      <c r="H1181" t="s">
        <v>1043</v>
      </c>
      <c r="I1181">
        <v>308335008</v>
      </c>
      <c r="J1181" t="s">
        <v>1194</v>
      </c>
      <c r="K1181">
        <v>142.58000000000001</v>
      </c>
      <c r="L1181">
        <v>1250.8499999999999</v>
      </c>
      <c r="M1181">
        <v>0</v>
      </c>
      <c r="N1181">
        <v>389095005</v>
      </c>
      <c r="O1181" t="s">
        <v>1191</v>
      </c>
    </row>
    <row r="1182" spans="1:15">
      <c r="A1182" t="s">
        <v>2499</v>
      </c>
      <c r="B1182" s="2">
        <v>43551.534050925926</v>
      </c>
      <c r="C1182" s="2">
        <v>43551.65965277778</v>
      </c>
      <c r="D1182" t="s">
        <v>358</v>
      </c>
      <c r="E1182" t="s">
        <v>1762</v>
      </c>
      <c r="F1182" t="s">
        <v>1763</v>
      </c>
      <c r="G1182" t="s">
        <v>1026</v>
      </c>
      <c r="H1182" t="s">
        <v>1031</v>
      </c>
      <c r="I1182">
        <v>185349003</v>
      </c>
      <c r="J1182" t="s">
        <v>1038</v>
      </c>
      <c r="K1182">
        <v>85.55</v>
      </c>
      <c r="L1182">
        <v>2673.95</v>
      </c>
      <c r="M1182">
        <v>538.52</v>
      </c>
      <c r="N1182">
        <v>66383009</v>
      </c>
      <c r="O1182" t="s">
        <v>1209</v>
      </c>
    </row>
    <row r="1183" spans="1:15">
      <c r="A1183" t="s">
        <v>2500</v>
      </c>
      <c r="B1183" s="2">
        <v>44456.499050925922</v>
      </c>
      <c r="C1183" s="2">
        <v>44456.509467592594</v>
      </c>
      <c r="D1183" t="s">
        <v>369</v>
      </c>
      <c r="E1183" t="s">
        <v>1132</v>
      </c>
      <c r="F1183" t="s">
        <v>1133</v>
      </c>
      <c r="G1183" t="s">
        <v>1561</v>
      </c>
      <c r="H1183" t="s">
        <v>1043</v>
      </c>
      <c r="I1183">
        <v>33879002</v>
      </c>
      <c r="J1183" t="s">
        <v>1044</v>
      </c>
      <c r="K1183">
        <v>142.58000000000001</v>
      </c>
      <c r="L1183">
        <v>278.58</v>
      </c>
      <c r="M1183">
        <v>195.01</v>
      </c>
      <c r="O1183" t="s">
        <v>34</v>
      </c>
    </row>
    <row r="1184" spans="1:15">
      <c r="A1184" t="s">
        <v>2501</v>
      </c>
      <c r="B1184" s="2">
        <v>44456.499050925922</v>
      </c>
      <c r="C1184" s="2">
        <v>44456.560729166667</v>
      </c>
      <c r="D1184" t="s">
        <v>369</v>
      </c>
      <c r="E1184" t="s">
        <v>1132</v>
      </c>
      <c r="F1184" t="s">
        <v>1133</v>
      </c>
      <c r="G1184" t="s">
        <v>1561</v>
      </c>
      <c r="H1184" t="s">
        <v>1031</v>
      </c>
      <c r="I1184">
        <v>185345009</v>
      </c>
      <c r="J1184" t="s">
        <v>1032</v>
      </c>
      <c r="K1184">
        <v>85.55</v>
      </c>
      <c r="L1184">
        <v>239.25</v>
      </c>
      <c r="M1184">
        <v>167.48</v>
      </c>
      <c r="N1184">
        <v>840544004</v>
      </c>
      <c r="O1184" t="s">
        <v>1455</v>
      </c>
    </row>
    <row r="1185" spans="1:15">
      <c r="A1185" t="s">
        <v>2502</v>
      </c>
      <c r="B1185" s="2">
        <v>43635.534050925926</v>
      </c>
      <c r="C1185" s="2">
        <v>43635.547534722224</v>
      </c>
      <c r="D1185" t="s">
        <v>358</v>
      </c>
      <c r="E1185" t="s">
        <v>1762</v>
      </c>
      <c r="F1185" t="s">
        <v>1763</v>
      </c>
      <c r="G1185" t="s">
        <v>1026</v>
      </c>
      <c r="H1185" t="s">
        <v>1043</v>
      </c>
      <c r="I1185">
        <v>308335008</v>
      </c>
      <c r="J1185" t="s">
        <v>1194</v>
      </c>
      <c r="K1185">
        <v>142.58000000000001</v>
      </c>
      <c r="L1185">
        <v>2174.3000000000002</v>
      </c>
      <c r="M1185">
        <v>1304.58</v>
      </c>
      <c r="N1185">
        <v>389095005</v>
      </c>
      <c r="O1185" t="s">
        <v>1191</v>
      </c>
    </row>
    <row r="1186" spans="1:15">
      <c r="A1186" t="s">
        <v>2503</v>
      </c>
      <c r="B1186" s="2">
        <v>43726.534050925926</v>
      </c>
      <c r="C1186" s="2">
        <v>43726.54446759259</v>
      </c>
      <c r="D1186" t="s">
        <v>358</v>
      </c>
      <c r="E1186" t="s">
        <v>1762</v>
      </c>
      <c r="F1186" t="s">
        <v>1763</v>
      </c>
      <c r="G1186" t="s">
        <v>1026</v>
      </c>
      <c r="H1186" t="s">
        <v>1043</v>
      </c>
      <c r="I1186">
        <v>308335008</v>
      </c>
      <c r="J1186" t="s">
        <v>1194</v>
      </c>
      <c r="K1186">
        <v>142.58000000000001</v>
      </c>
      <c r="L1186">
        <v>1250.8499999999999</v>
      </c>
      <c r="M1186">
        <v>750.51</v>
      </c>
      <c r="N1186">
        <v>389095005</v>
      </c>
      <c r="O1186" t="s">
        <v>1191</v>
      </c>
    </row>
    <row r="1187" spans="1:15">
      <c r="A1187" t="s">
        <v>2504</v>
      </c>
      <c r="B1187" s="2">
        <v>44461.499050925922</v>
      </c>
      <c r="C1187" s="2">
        <v>44461.57366898148</v>
      </c>
      <c r="D1187" t="s">
        <v>369</v>
      </c>
      <c r="E1187" t="s">
        <v>1132</v>
      </c>
      <c r="F1187" t="s">
        <v>1133</v>
      </c>
      <c r="G1187" t="s">
        <v>1561</v>
      </c>
      <c r="H1187" t="s">
        <v>2173</v>
      </c>
      <c r="I1187">
        <v>453131000124105</v>
      </c>
      <c r="J1187" t="s">
        <v>2505</v>
      </c>
      <c r="K1187">
        <v>125</v>
      </c>
      <c r="L1187">
        <v>1918.76</v>
      </c>
      <c r="M1187">
        <v>1343.13</v>
      </c>
      <c r="O1187" t="s">
        <v>34</v>
      </c>
    </row>
    <row r="1188" spans="1:15">
      <c r="A1188" t="s">
        <v>2506</v>
      </c>
      <c r="B1188" s="2">
        <v>43796.492384259262</v>
      </c>
      <c r="C1188" s="2">
        <v>43796.502800925926</v>
      </c>
      <c r="D1188" t="s">
        <v>358</v>
      </c>
      <c r="E1188" t="s">
        <v>1762</v>
      </c>
      <c r="F1188" t="s">
        <v>1763</v>
      </c>
      <c r="G1188" t="s">
        <v>1026</v>
      </c>
      <c r="H1188" t="s">
        <v>1031</v>
      </c>
      <c r="I1188">
        <v>424441002</v>
      </c>
      <c r="J1188" t="s">
        <v>1059</v>
      </c>
      <c r="K1188">
        <v>142.58000000000001</v>
      </c>
      <c r="L1188">
        <v>9939.56</v>
      </c>
      <c r="M1188">
        <v>2307.34</v>
      </c>
      <c r="N1188">
        <v>72892002</v>
      </c>
      <c r="O1188" t="s">
        <v>1060</v>
      </c>
    </row>
    <row r="1189" spans="1:15">
      <c r="A1189" t="s">
        <v>2507</v>
      </c>
      <c r="B1189" s="2">
        <v>43808.492384259262</v>
      </c>
      <c r="C1189" s="2">
        <v>43808.502800925926</v>
      </c>
      <c r="D1189" t="s">
        <v>358</v>
      </c>
      <c r="E1189" t="s">
        <v>1762</v>
      </c>
      <c r="F1189" t="s">
        <v>1763</v>
      </c>
      <c r="G1189" t="s">
        <v>1026</v>
      </c>
      <c r="H1189" t="s">
        <v>1031</v>
      </c>
      <c r="I1189">
        <v>424619006</v>
      </c>
      <c r="J1189" t="s">
        <v>1062</v>
      </c>
      <c r="K1189">
        <v>142.58000000000001</v>
      </c>
      <c r="L1189">
        <v>1005.38</v>
      </c>
      <c r="M1189">
        <v>603.23</v>
      </c>
      <c r="N1189">
        <v>156073000</v>
      </c>
      <c r="O1189" t="s">
        <v>1397</v>
      </c>
    </row>
    <row r="1190" spans="1:15">
      <c r="A1190" t="s">
        <v>2508</v>
      </c>
      <c r="B1190" s="2">
        <v>44799.499050925922</v>
      </c>
      <c r="C1190" s="2">
        <v>44799.539861111109</v>
      </c>
      <c r="D1190" t="s">
        <v>369</v>
      </c>
      <c r="E1190" t="s">
        <v>2481</v>
      </c>
      <c r="F1190" t="s">
        <v>2482</v>
      </c>
      <c r="G1190" t="s">
        <v>1561</v>
      </c>
      <c r="H1190" t="s">
        <v>1020</v>
      </c>
      <c r="I1190">
        <v>162673000</v>
      </c>
      <c r="J1190" t="s">
        <v>1021</v>
      </c>
      <c r="K1190">
        <v>136.80000000000001</v>
      </c>
      <c r="L1190">
        <v>704.2</v>
      </c>
      <c r="M1190">
        <v>0</v>
      </c>
      <c r="O1190" t="s">
        <v>34</v>
      </c>
    </row>
    <row r="1191" spans="1:15">
      <c r="A1191" t="s">
        <v>2509</v>
      </c>
      <c r="B1191" s="2">
        <v>43908.534050925926</v>
      </c>
      <c r="C1191" s="2">
        <v>43908.569918981484</v>
      </c>
      <c r="D1191" t="s">
        <v>358</v>
      </c>
      <c r="E1191" t="s">
        <v>2460</v>
      </c>
      <c r="F1191" t="s">
        <v>2461</v>
      </c>
      <c r="G1191" t="s">
        <v>1026</v>
      </c>
      <c r="H1191" t="s">
        <v>1020</v>
      </c>
      <c r="I1191">
        <v>162673000</v>
      </c>
      <c r="J1191" t="s">
        <v>1021</v>
      </c>
      <c r="K1191">
        <v>136.80000000000001</v>
      </c>
      <c r="L1191">
        <v>860.16</v>
      </c>
      <c r="M1191">
        <v>516.1</v>
      </c>
      <c r="O1191" t="s">
        <v>34</v>
      </c>
    </row>
    <row r="1192" spans="1:15">
      <c r="A1192" t="s">
        <v>2510</v>
      </c>
      <c r="B1192" s="2">
        <v>44813.499050925922</v>
      </c>
      <c r="C1192" s="2">
        <v>44813.743171296293</v>
      </c>
      <c r="D1192" t="s">
        <v>369</v>
      </c>
      <c r="E1192" t="s">
        <v>1132</v>
      </c>
      <c r="F1192" t="s">
        <v>1133</v>
      </c>
      <c r="G1192" t="s">
        <v>1561</v>
      </c>
      <c r="H1192" t="s">
        <v>1031</v>
      </c>
      <c r="I1192">
        <v>185349003</v>
      </c>
      <c r="J1192" t="s">
        <v>1038</v>
      </c>
      <c r="K1192">
        <v>85.55</v>
      </c>
      <c r="L1192">
        <v>4399.55</v>
      </c>
      <c r="M1192">
        <v>422.62</v>
      </c>
      <c r="N1192">
        <v>66383009</v>
      </c>
      <c r="O1192" t="s">
        <v>1209</v>
      </c>
    </row>
    <row r="1193" spans="1:15">
      <c r="A1193" t="s">
        <v>2511</v>
      </c>
      <c r="B1193" s="2">
        <v>45083.499050925922</v>
      </c>
      <c r="C1193" s="2">
        <v>45083.509467592594</v>
      </c>
      <c r="D1193" t="s">
        <v>369</v>
      </c>
      <c r="E1193" t="s">
        <v>1132</v>
      </c>
      <c r="F1193" t="s">
        <v>1133</v>
      </c>
      <c r="G1193" t="s">
        <v>1561</v>
      </c>
      <c r="H1193" t="s">
        <v>1043</v>
      </c>
      <c r="I1193">
        <v>698314001</v>
      </c>
      <c r="J1193" t="s">
        <v>1190</v>
      </c>
      <c r="K1193">
        <v>142.58000000000001</v>
      </c>
      <c r="L1193">
        <v>142.58000000000001</v>
      </c>
      <c r="M1193">
        <v>99.81</v>
      </c>
      <c r="N1193">
        <v>389095005</v>
      </c>
      <c r="O1193" t="s">
        <v>1191</v>
      </c>
    </row>
    <row r="1194" spans="1:15">
      <c r="A1194" t="s">
        <v>2512</v>
      </c>
      <c r="B1194" s="2">
        <v>45170.499050925922</v>
      </c>
      <c r="C1194" s="2">
        <v>45170.529386574075</v>
      </c>
      <c r="D1194" t="s">
        <v>369</v>
      </c>
      <c r="E1194" t="s">
        <v>2481</v>
      </c>
      <c r="F1194" t="s">
        <v>2482</v>
      </c>
      <c r="G1194" t="s">
        <v>1561</v>
      </c>
      <c r="H1194" t="s">
        <v>1020</v>
      </c>
      <c r="I1194">
        <v>162673000</v>
      </c>
      <c r="J1194" t="s">
        <v>1021</v>
      </c>
      <c r="K1194">
        <v>136.80000000000001</v>
      </c>
      <c r="L1194">
        <v>704.2</v>
      </c>
      <c r="M1194">
        <v>0</v>
      </c>
      <c r="O1194" t="s">
        <v>34</v>
      </c>
    </row>
    <row r="1195" spans="1:15">
      <c r="A1195" t="s">
        <v>2513</v>
      </c>
      <c r="B1195" s="2">
        <v>45184.499050925922</v>
      </c>
      <c r="C1195" s="2">
        <v>45184.648981481485</v>
      </c>
      <c r="D1195" t="s">
        <v>369</v>
      </c>
      <c r="E1195" t="s">
        <v>1132</v>
      </c>
      <c r="F1195" t="s">
        <v>1133</v>
      </c>
      <c r="G1195" t="s">
        <v>1561</v>
      </c>
      <c r="H1195" t="s">
        <v>1031</v>
      </c>
      <c r="I1195">
        <v>185349003</v>
      </c>
      <c r="J1195" t="s">
        <v>1038</v>
      </c>
      <c r="K1195">
        <v>85.55</v>
      </c>
      <c r="L1195">
        <v>3105.35</v>
      </c>
      <c r="M1195">
        <v>0</v>
      </c>
      <c r="N1195">
        <v>103697008</v>
      </c>
      <c r="O1195" t="s">
        <v>1039</v>
      </c>
    </row>
    <row r="1196" spans="1:15">
      <c r="A1196" t="s">
        <v>2514</v>
      </c>
      <c r="B1196" s="2">
        <v>45351.999050925922</v>
      </c>
      <c r="C1196" s="2">
        <v>45352.009467592594</v>
      </c>
      <c r="D1196" t="s">
        <v>369</v>
      </c>
      <c r="E1196" t="s">
        <v>1132</v>
      </c>
      <c r="F1196" t="s">
        <v>1133</v>
      </c>
      <c r="G1196" t="s">
        <v>1561</v>
      </c>
      <c r="H1196" t="s">
        <v>1031</v>
      </c>
      <c r="I1196">
        <v>185345009</v>
      </c>
      <c r="J1196" t="s">
        <v>1032</v>
      </c>
      <c r="K1196">
        <v>85.55</v>
      </c>
      <c r="L1196">
        <v>85.55</v>
      </c>
      <c r="M1196">
        <v>59.88</v>
      </c>
      <c r="N1196">
        <v>444814009</v>
      </c>
      <c r="O1196" t="s">
        <v>1035</v>
      </c>
    </row>
    <row r="1197" spans="1:15">
      <c r="A1197" t="s">
        <v>2515</v>
      </c>
      <c r="B1197" s="2">
        <v>44056.241493055553</v>
      </c>
      <c r="C1197" s="2">
        <v>44056.251909722225</v>
      </c>
      <c r="D1197" t="s">
        <v>358</v>
      </c>
      <c r="E1197" t="s">
        <v>1762</v>
      </c>
      <c r="F1197" t="s">
        <v>1763</v>
      </c>
      <c r="G1197" t="s">
        <v>1026</v>
      </c>
      <c r="H1197" t="s">
        <v>1043</v>
      </c>
      <c r="I1197">
        <v>698314001</v>
      </c>
      <c r="J1197" t="s">
        <v>1190</v>
      </c>
      <c r="K1197">
        <v>142.58000000000001</v>
      </c>
      <c r="L1197">
        <v>142.58000000000001</v>
      </c>
      <c r="M1197">
        <v>85.55</v>
      </c>
      <c r="N1197">
        <v>389095005</v>
      </c>
      <c r="O1197" t="s">
        <v>1191</v>
      </c>
    </row>
    <row r="1198" spans="1:15">
      <c r="A1198" t="s">
        <v>2516</v>
      </c>
      <c r="B1198" s="2">
        <v>45443.499050925922</v>
      </c>
      <c r="C1198" s="2">
        <v>45443.509467592594</v>
      </c>
      <c r="D1198" t="s">
        <v>369</v>
      </c>
      <c r="E1198" t="s">
        <v>1132</v>
      </c>
      <c r="F1198" t="s">
        <v>1133</v>
      </c>
      <c r="G1198" t="s">
        <v>1561</v>
      </c>
      <c r="H1198" t="s">
        <v>1043</v>
      </c>
      <c r="I1198">
        <v>698314001</v>
      </c>
      <c r="J1198" t="s">
        <v>1190</v>
      </c>
      <c r="K1198">
        <v>142.58000000000001</v>
      </c>
      <c r="L1198">
        <v>142.58000000000001</v>
      </c>
      <c r="M1198">
        <v>99.81</v>
      </c>
      <c r="N1198">
        <v>389095005</v>
      </c>
      <c r="O1198" t="s">
        <v>1191</v>
      </c>
    </row>
    <row r="1199" spans="1:15">
      <c r="A1199" t="s">
        <v>2517</v>
      </c>
      <c r="B1199" s="2">
        <v>44279.534050925926</v>
      </c>
      <c r="C1199" s="2">
        <v>44279.566643518519</v>
      </c>
      <c r="D1199" t="s">
        <v>358</v>
      </c>
      <c r="E1199" t="s">
        <v>2460</v>
      </c>
      <c r="F1199" t="s">
        <v>2461</v>
      </c>
      <c r="G1199" t="s">
        <v>1026</v>
      </c>
      <c r="H1199" t="s">
        <v>1020</v>
      </c>
      <c r="I1199">
        <v>162673000</v>
      </c>
      <c r="J1199" t="s">
        <v>1021</v>
      </c>
      <c r="K1199">
        <v>136.80000000000001</v>
      </c>
      <c r="L1199">
        <v>785.58</v>
      </c>
      <c r="M1199">
        <v>0</v>
      </c>
      <c r="O1199" t="s">
        <v>34</v>
      </c>
    </row>
    <row r="1200" spans="1:15">
      <c r="A1200" t="s">
        <v>2518</v>
      </c>
      <c r="B1200" s="2">
        <v>45803.499050925922</v>
      </c>
      <c r="C1200" s="2">
        <v>45803.509467592594</v>
      </c>
      <c r="D1200" t="s">
        <v>369</v>
      </c>
      <c r="E1200" t="s">
        <v>1132</v>
      </c>
      <c r="F1200" t="s">
        <v>1133</v>
      </c>
      <c r="G1200" t="s">
        <v>1561</v>
      </c>
      <c r="H1200" t="s">
        <v>1043</v>
      </c>
      <c r="I1200">
        <v>698314001</v>
      </c>
      <c r="J1200" t="s">
        <v>1190</v>
      </c>
      <c r="K1200">
        <v>142.58000000000001</v>
      </c>
      <c r="L1200">
        <v>142.58000000000001</v>
      </c>
      <c r="M1200">
        <v>0</v>
      </c>
      <c r="N1200">
        <v>389095005</v>
      </c>
      <c r="O1200" t="s">
        <v>1191</v>
      </c>
    </row>
    <row r="1201" spans="1:15">
      <c r="A1201" t="s">
        <v>2519</v>
      </c>
      <c r="B1201" s="2">
        <v>45995.290717592594</v>
      </c>
      <c r="C1201" s="2">
        <v>45995.301134259258</v>
      </c>
      <c r="D1201" t="s">
        <v>369</v>
      </c>
      <c r="E1201" t="s">
        <v>1132</v>
      </c>
      <c r="F1201" t="s">
        <v>1133</v>
      </c>
      <c r="G1201" t="s">
        <v>1561</v>
      </c>
      <c r="H1201" t="s">
        <v>1031</v>
      </c>
      <c r="I1201">
        <v>185345009</v>
      </c>
      <c r="J1201" t="s">
        <v>1032</v>
      </c>
      <c r="K1201">
        <v>85.55</v>
      </c>
      <c r="L1201">
        <v>85.55</v>
      </c>
      <c r="M1201">
        <v>0</v>
      </c>
      <c r="N1201">
        <v>444814009</v>
      </c>
      <c r="O1201" t="s">
        <v>1035</v>
      </c>
    </row>
    <row r="1202" spans="1:15">
      <c r="A1202" t="s">
        <v>2520</v>
      </c>
      <c r="B1202" s="2">
        <v>46248.499050925922</v>
      </c>
      <c r="C1202" s="2">
        <v>46248.509467592594</v>
      </c>
      <c r="D1202" t="s">
        <v>369</v>
      </c>
      <c r="E1202" t="s">
        <v>1132</v>
      </c>
      <c r="F1202" t="s">
        <v>1133</v>
      </c>
      <c r="G1202" t="s">
        <v>1561</v>
      </c>
      <c r="H1202" t="s">
        <v>1031</v>
      </c>
      <c r="I1202">
        <v>424441002</v>
      </c>
      <c r="J1202" t="s">
        <v>1059</v>
      </c>
      <c r="K1202">
        <v>142.58000000000001</v>
      </c>
      <c r="L1202">
        <v>36756.870000000003</v>
      </c>
      <c r="M1202">
        <v>22579.81</v>
      </c>
      <c r="N1202">
        <v>72892002</v>
      </c>
      <c r="O1202" t="s">
        <v>1060</v>
      </c>
    </row>
    <row r="1203" spans="1:15">
      <c r="A1203" t="s">
        <v>2521</v>
      </c>
      <c r="B1203" s="2">
        <v>44363.534050925926</v>
      </c>
      <c r="C1203" s="2">
        <v>44363.54446759259</v>
      </c>
      <c r="D1203" t="s">
        <v>358</v>
      </c>
      <c r="E1203" t="s">
        <v>1762</v>
      </c>
      <c r="F1203" t="s">
        <v>1763</v>
      </c>
      <c r="G1203" t="s">
        <v>1026</v>
      </c>
      <c r="H1203" t="s">
        <v>1043</v>
      </c>
      <c r="I1203">
        <v>33879002</v>
      </c>
      <c r="J1203" t="s">
        <v>1044</v>
      </c>
      <c r="K1203">
        <v>142.58000000000001</v>
      </c>
      <c r="L1203">
        <v>278.58</v>
      </c>
      <c r="M1203">
        <v>0</v>
      </c>
      <c r="O1203" t="s">
        <v>34</v>
      </c>
    </row>
    <row r="1204" spans="1:15">
      <c r="A1204" t="s">
        <v>2522</v>
      </c>
      <c r="B1204" s="2">
        <v>44391.534050925926</v>
      </c>
      <c r="C1204" s="2">
        <v>44391.54446759259</v>
      </c>
      <c r="D1204" t="s">
        <v>358</v>
      </c>
      <c r="E1204" t="s">
        <v>1762</v>
      </c>
      <c r="F1204" t="s">
        <v>1763</v>
      </c>
      <c r="G1204" t="s">
        <v>1026</v>
      </c>
      <c r="H1204" t="s">
        <v>1043</v>
      </c>
      <c r="I1204">
        <v>33879002</v>
      </c>
      <c r="J1204" t="s">
        <v>1044</v>
      </c>
      <c r="K1204">
        <v>142.58000000000001</v>
      </c>
      <c r="L1204">
        <v>278.58</v>
      </c>
      <c r="M1204">
        <v>0</v>
      </c>
      <c r="O1204" t="s">
        <v>34</v>
      </c>
    </row>
    <row r="1205" spans="1:15">
      <c r="A1205" t="s">
        <v>2523</v>
      </c>
      <c r="B1205" s="2">
        <v>44650.534050925926</v>
      </c>
      <c r="C1205" s="2">
        <v>44650.56523148148</v>
      </c>
      <c r="D1205" t="s">
        <v>358</v>
      </c>
      <c r="E1205" t="s">
        <v>2460</v>
      </c>
      <c r="F1205" t="s">
        <v>2461</v>
      </c>
      <c r="G1205" t="s">
        <v>1026</v>
      </c>
      <c r="H1205" t="s">
        <v>1020</v>
      </c>
      <c r="I1205">
        <v>162673000</v>
      </c>
      <c r="J1205" t="s">
        <v>1021</v>
      </c>
      <c r="K1205">
        <v>136.80000000000001</v>
      </c>
      <c r="L1205">
        <v>994.48</v>
      </c>
      <c r="M1205">
        <v>0</v>
      </c>
      <c r="O1205" t="s">
        <v>34</v>
      </c>
    </row>
    <row r="1206" spans="1:15">
      <c r="A1206" t="s">
        <v>2524</v>
      </c>
      <c r="B1206" s="2">
        <v>44867.534050925926</v>
      </c>
      <c r="C1206" s="2">
        <v>44867.554930555554</v>
      </c>
      <c r="D1206" t="s">
        <v>358</v>
      </c>
      <c r="E1206" t="s">
        <v>1762</v>
      </c>
      <c r="F1206" t="s">
        <v>1763</v>
      </c>
      <c r="G1206" t="s">
        <v>1026</v>
      </c>
      <c r="H1206" t="s">
        <v>1031</v>
      </c>
      <c r="I1206">
        <v>185349003</v>
      </c>
      <c r="J1206" t="s">
        <v>1038</v>
      </c>
      <c r="K1206">
        <v>85.55</v>
      </c>
      <c r="L1206">
        <v>10894.8</v>
      </c>
      <c r="M1206">
        <v>2880.48</v>
      </c>
      <c r="N1206">
        <v>275978004</v>
      </c>
      <c r="O1206" t="s">
        <v>1449</v>
      </c>
    </row>
    <row r="1207" spans="1:15">
      <c r="A1207" t="s">
        <v>2525</v>
      </c>
      <c r="B1207" s="2">
        <v>45021.534050925926</v>
      </c>
      <c r="C1207" s="2">
        <v>45021.564143518517</v>
      </c>
      <c r="D1207" t="s">
        <v>358</v>
      </c>
      <c r="E1207" t="s">
        <v>2460</v>
      </c>
      <c r="F1207" t="s">
        <v>2461</v>
      </c>
      <c r="G1207" t="s">
        <v>1026</v>
      </c>
      <c r="H1207" t="s">
        <v>1020</v>
      </c>
      <c r="I1207">
        <v>162673000</v>
      </c>
      <c r="J1207" t="s">
        <v>1021</v>
      </c>
      <c r="K1207">
        <v>136.80000000000001</v>
      </c>
      <c r="L1207">
        <v>1070.74</v>
      </c>
      <c r="M1207">
        <v>642.45000000000005</v>
      </c>
      <c r="O1207" t="s">
        <v>34</v>
      </c>
    </row>
    <row r="1208" spans="1:15">
      <c r="A1208" t="s">
        <v>2526</v>
      </c>
      <c r="B1208" s="2">
        <v>45392.534050925926</v>
      </c>
      <c r="C1208" s="2">
        <v>45392.561956018515</v>
      </c>
      <c r="D1208" t="s">
        <v>358</v>
      </c>
      <c r="E1208" t="s">
        <v>2460</v>
      </c>
      <c r="F1208" t="s">
        <v>2461</v>
      </c>
      <c r="G1208" t="s">
        <v>1026</v>
      </c>
      <c r="H1208" t="s">
        <v>1020</v>
      </c>
      <c r="I1208">
        <v>162673000</v>
      </c>
      <c r="J1208" t="s">
        <v>1021</v>
      </c>
      <c r="K1208">
        <v>136.80000000000001</v>
      </c>
      <c r="L1208">
        <v>1374.57</v>
      </c>
      <c r="M1208">
        <v>0</v>
      </c>
      <c r="O1208" t="s">
        <v>34</v>
      </c>
    </row>
    <row r="1209" spans="1:15">
      <c r="A1209" t="s">
        <v>2527</v>
      </c>
      <c r="B1209" s="2">
        <v>45406.534050925926</v>
      </c>
      <c r="C1209" s="2">
        <v>45406.786249999997</v>
      </c>
      <c r="D1209" t="s">
        <v>358</v>
      </c>
      <c r="E1209" t="s">
        <v>1762</v>
      </c>
      <c r="F1209" t="s">
        <v>1763</v>
      </c>
      <c r="G1209" t="s">
        <v>1026</v>
      </c>
      <c r="H1209" t="s">
        <v>1031</v>
      </c>
      <c r="I1209">
        <v>185349003</v>
      </c>
      <c r="J1209" t="s">
        <v>1038</v>
      </c>
      <c r="K1209">
        <v>85.55</v>
      </c>
      <c r="L1209">
        <v>4830.95</v>
      </c>
      <c r="M1209">
        <v>222.84</v>
      </c>
      <c r="N1209">
        <v>103697008</v>
      </c>
      <c r="O1209" t="s">
        <v>1039</v>
      </c>
    </row>
    <row r="1210" spans="1:15">
      <c r="A1210" t="s">
        <v>2528</v>
      </c>
      <c r="B1210" s="2">
        <v>45460.534050925926</v>
      </c>
      <c r="C1210" s="2">
        <v>45460.57571759259</v>
      </c>
      <c r="D1210" t="s">
        <v>358</v>
      </c>
      <c r="E1210" t="s">
        <v>1754</v>
      </c>
      <c r="F1210" t="s">
        <v>1755</v>
      </c>
      <c r="G1210" t="s">
        <v>1026</v>
      </c>
      <c r="H1210" t="s">
        <v>1076</v>
      </c>
      <c r="I1210">
        <v>50849002</v>
      </c>
      <c r="J1210" t="s">
        <v>1163</v>
      </c>
      <c r="K1210">
        <v>146.18</v>
      </c>
      <c r="L1210">
        <v>146.18</v>
      </c>
      <c r="M1210">
        <v>87.71</v>
      </c>
      <c r="N1210">
        <v>48333001</v>
      </c>
      <c r="O1210" t="s">
        <v>2529</v>
      </c>
    </row>
    <row r="1211" spans="1:15">
      <c r="A1211" t="s">
        <v>2530</v>
      </c>
      <c r="B1211" s="2">
        <v>45460.534050925926</v>
      </c>
      <c r="C1211" s="2">
        <v>45492.54446759259</v>
      </c>
      <c r="D1211" t="s">
        <v>358</v>
      </c>
      <c r="E1211" t="s">
        <v>2531</v>
      </c>
      <c r="F1211" t="s">
        <v>2532</v>
      </c>
      <c r="G1211" t="s">
        <v>1026</v>
      </c>
      <c r="H1211" t="s">
        <v>1836</v>
      </c>
      <c r="I1211">
        <v>32485007</v>
      </c>
      <c r="J1211" t="s">
        <v>1837</v>
      </c>
      <c r="K1211">
        <v>110.92</v>
      </c>
      <c r="L1211">
        <v>24331.9</v>
      </c>
      <c r="M1211">
        <v>14599.14</v>
      </c>
      <c r="N1211">
        <v>25675004</v>
      </c>
      <c r="O1211" t="s">
        <v>1838</v>
      </c>
    </row>
    <row r="1212" spans="1:15">
      <c r="A1212" t="s">
        <v>2533</v>
      </c>
      <c r="B1212" s="2">
        <v>45521.534050925926</v>
      </c>
      <c r="C1212" s="2">
        <v>45521.54446759259</v>
      </c>
      <c r="D1212" t="s">
        <v>358</v>
      </c>
      <c r="E1212" t="s">
        <v>1762</v>
      </c>
      <c r="F1212" t="s">
        <v>1763</v>
      </c>
      <c r="G1212" t="s">
        <v>1026</v>
      </c>
      <c r="H1212" t="s">
        <v>1031</v>
      </c>
      <c r="I1212">
        <v>185349003</v>
      </c>
      <c r="J1212" t="s">
        <v>1038</v>
      </c>
      <c r="K1212">
        <v>85.55</v>
      </c>
      <c r="L1212">
        <v>85.55</v>
      </c>
      <c r="M1212">
        <v>85.55</v>
      </c>
      <c r="N1212">
        <v>403190006</v>
      </c>
      <c r="O1212" t="s">
        <v>2534</v>
      </c>
    </row>
    <row r="1213" spans="1:15">
      <c r="A1213" t="s">
        <v>2535</v>
      </c>
      <c r="B1213" s="2">
        <v>45763.534050925926</v>
      </c>
      <c r="C1213" s="2">
        <v>45763.567372685182</v>
      </c>
      <c r="D1213" t="s">
        <v>358</v>
      </c>
      <c r="E1213" t="s">
        <v>2460</v>
      </c>
      <c r="F1213" t="s">
        <v>2461</v>
      </c>
      <c r="G1213" t="s">
        <v>1026</v>
      </c>
      <c r="H1213" t="s">
        <v>1020</v>
      </c>
      <c r="I1213">
        <v>162673000</v>
      </c>
      <c r="J1213" t="s">
        <v>1021</v>
      </c>
      <c r="K1213">
        <v>136.80000000000001</v>
      </c>
      <c r="L1213">
        <v>1648.38</v>
      </c>
      <c r="M1213">
        <v>0</v>
      </c>
      <c r="O1213" t="s">
        <v>34</v>
      </c>
    </row>
    <row r="1214" spans="1:15">
      <c r="A1214" t="s">
        <v>2536</v>
      </c>
      <c r="B1214" s="2">
        <v>45777.534050925926</v>
      </c>
      <c r="C1214" s="2">
        <v>45777.663206018522</v>
      </c>
      <c r="D1214" t="s">
        <v>358</v>
      </c>
      <c r="E1214" t="s">
        <v>1762</v>
      </c>
      <c r="F1214" t="s">
        <v>1763</v>
      </c>
      <c r="G1214" t="s">
        <v>1026</v>
      </c>
      <c r="H1214" t="s">
        <v>1031</v>
      </c>
      <c r="I1214">
        <v>185349003</v>
      </c>
      <c r="J1214" t="s">
        <v>1038</v>
      </c>
      <c r="K1214">
        <v>85.55</v>
      </c>
      <c r="L1214">
        <v>3105.35</v>
      </c>
      <c r="M1214">
        <v>0</v>
      </c>
      <c r="N1214">
        <v>103697008</v>
      </c>
      <c r="O1214" t="s">
        <v>1039</v>
      </c>
    </row>
    <row r="1215" spans="1:15">
      <c r="A1215" t="s">
        <v>2537</v>
      </c>
      <c r="B1215" s="2">
        <v>45935.534050925926</v>
      </c>
      <c r="C1215" s="2">
        <v>45935.57571759259</v>
      </c>
      <c r="D1215" t="s">
        <v>358</v>
      </c>
      <c r="E1215" t="s">
        <v>1754</v>
      </c>
      <c r="F1215" t="s">
        <v>1755</v>
      </c>
      <c r="G1215" t="s">
        <v>1026</v>
      </c>
      <c r="H1215" t="s">
        <v>1076</v>
      </c>
      <c r="I1215">
        <v>50849002</v>
      </c>
      <c r="J1215" t="s">
        <v>1163</v>
      </c>
      <c r="K1215">
        <v>146.18</v>
      </c>
      <c r="L1215">
        <v>146.18</v>
      </c>
      <c r="M1215">
        <v>0</v>
      </c>
      <c r="N1215">
        <v>48333001</v>
      </c>
      <c r="O1215" t="s">
        <v>2529</v>
      </c>
    </row>
    <row r="1216" spans="1:15">
      <c r="A1216" t="s">
        <v>2538</v>
      </c>
      <c r="B1216" s="2">
        <v>45935.534050925926</v>
      </c>
      <c r="C1216" s="2">
        <v>45948.54446759259</v>
      </c>
      <c r="D1216" t="s">
        <v>358</v>
      </c>
      <c r="E1216" t="s">
        <v>2531</v>
      </c>
      <c r="F1216" t="s">
        <v>2532</v>
      </c>
      <c r="G1216" t="s">
        <v>1026</v>
      </c>
      <c r="H1216" t="s">
        <v>1836</v>
      </c>
      <c r="I1216">
        <v>32485007</v>
      </c>
      <c r="J1216" t="s">
        <v>1837</v>
      </c>
      <c r="K1216">
        <v>110.92</v>
      </c>
      <c r="L1216">
        <v>9937.1200000000008</v>
      </c>
      <c r="M1216">
        <v>5627.38</v>
      </c>
      <c r="N1216">
        <v>25675004</v>
      </c>
      <c r="O1216" t="s">
        <v>1838</v>
      </c>
    </row>
    <row r="1217" spans="1:15">
      <c r="A1217" t="s">
        <v>2539</v>
      </c>
      <c r="B1217" s="2">
        <v>45986.492384259262</v>
      </c>
      <c r="C1217" s="2">
        <v>45986.502800925926</v>
      </c>
      <c r="D1217" t="s">
        <v>358</v>
      </c>
      <c r="E1217" t="s">
        <v>1762</v>
      </c>
      <c r="F1217" t="s">
        <v>1763</v>
      </c>
      <c r="G1217" t="s">
        <v>1026</v>
      </c>
      <c r="H1217" t="s">
        <v>1031</v>
      </c>
      <c r="I1217">
        <v>185349003</v>
      </c>
      <c r="J1217" t="s">
        <v>1038</v>
      </c>
      <c r="K1217">
        <v>85.55</v>
      </c>
      <c r="L1217">
        <v>85.55</v>
      </c>
      <c r="M1217">
        <v>0</v>
      </c>
      <c r="N1217">
        <v>403190006</v>
      </c>
      <c r="O1217" t="s">
        <v>2534</v>
      </c>
    </row>
    <row r="1218" spans="1:15">
      <c r="A1218" t="s">
        <v>2540</v>
      </c>
      <c r="B1218" s="2">
        <v>46030.492384259262</v>
      </c>
      <c r="C1218" s="2">
        <v>46030.502800925926</v>
      </c>
      <c r="D1218" t="s">
        <v>358</v>
      </c>
      <c r="E1218" t="s">
        <v>1762</v>
      </c>
      <c r="F1218" t="s">
        <v>1763</v>
      </c>
      <c r="G1218" t="s">
        <v>1026</v>
      </c>
      <c r="H1218" t="s">
        <v>1031</v>
      </c>
      <c r="I1218">
        <v>185347001</v>
      </c>
      <c r="J1218" t="s">
        <v>1124</v>
      </c>
      <c r="K1218">
        <v>85.55</v>
      </c>
      <c r="L1218">
        <v>85.55</v>
      </c>
      <c r="M1218">
        <v>0</v>
      </c>
      <c r="N1218">
        <v>239872002</v>
      </c>
      <c r="O1218" t="s">
        <v>2541</v>
      </c>
    </row>
    <row r="1219" spans="1:15">
      <c r="A1219" t="s">
        <v>2542</v>
      </c>
      <c r="B1219" s="2">
        <v>46134.534050925926</v>
      </c>
      <c r="C1219" s="2">
        <v>46134.571631944447</v>
      </c>
      <c r="D1219" t="s">
        <v>358</v>
      </c>
      <c r="E1219" t="s">
        <v>2460</v>
      </c>
      <c r="F1219" t="s">
        <v>2461</v>
      </c>
      <c r="G1219" t="s">
        <v>1026</v>
      </c>
      <c r="H1219" t="s">
        <v>1020</v>
      </c>
      <c r="I1219">
        <v>162673000</v>
      </c>
      <c r="J1219" t="s">
        <v>1021</v>
      </c>
      <c r="K1219">
        <v>136.80000000000001</v>
      </c>
      <c r="L1219">
        <v>860.16</v>
      </c>
      <c r="M1219">
        <v>0</v>
      </c>
      <c r="O1219" t="s">
        <v>34</v>
      </c>
    </row>
    <row r="1220" spans="1:15">
      <c r="A1220" t="s">
        <v>2543</v>
      </c>
      <c r="B1220" s="2">
        <v>46148.534050925926</v>
      </c>
      <c r="C1220" s="2">
        <v>46148.674317129633</v>
      </c>
      <c r="D1220" t="s">
        <v>358</v>
      </c>
      <c r="E1220" t="s">
        <v>1762</v>
      </c>
      <c r="F1220" t="s">
        <v>1763</v>
      </c>
      <c r="G1220" t="s">
        <v>1026</v>
      </c>
      <c r="H1220" t="s">
        <v>1031</v>
      </c>
      <c r="I1220">
        <v>185349003</v>
      </c>
      <c r="J1220" t="s">
        <v>1038</v>
      </c>
      <c r="K1220">
        <v>85.55</v>
      </c>
      <c r="L1220">
        <v>3105.35</v>
      </c>
      <c r="M1220">
        <v>0</v>
      </c>
      <c r="N1220">
        <v>103697008</v>
      </c>
      <c r="O1220" t="s">
        <v>1039</v>
      </c>
    </row>
    <row r="1221" spans="1:15">
      <c r="A1221" t="s">
        <v>2544</v>
      </c>
      <c r="B1221" s="2">
        <v>46213.659050925926</v>
      </c>
      <c r="C1221" s="2">
        <v>46213.66946759259</v>
      </c>
      <c r="D1221" t="s">
        <v>358</v>
      </c>
      <c r="E1221" t="s">
        <v>1762</v>
      </c>
      <c r="F1221" t="s">
        <v>1763</v>
      </c>
      <c r="G1221" t="s">
        <v>1026</v>
      </c>
      <c r="H1221" t="s">
        <v>1031</v>
      </c>
      <c r="I1221">
        <v>185345009</v>
      </c>
      <c r="J1221" t="s">
        <v>1032</v>
      </c>
      <c r="K1221">
        <v>85.55</v>
      </c>
      <c r="L1221">
        <v>85.55</v>
      </c>
      <c r="M1221">
        <v>0</v>
      </c>
      <c r="N1221">
        <v>444814009</v>
      </c>
      <c r="O1221" t="s">
        <v>1035</v>
      </c>
    </row>
    <row r="1222" spans="1:15">
      <c r="A1222" t="s">
        <v>2545</v>
      </c>
      <c r="B1222" s="2">
        <v>45293.682800925926</v>
      </c>
      <c r="C1222" s="2">
        <v>45293.69321759259</v>
      </c>
      <c r="D1222" t="s">
        <v>378</v>
      </c>
      <c r="E1222" t="s">
        <v>1711</v>
      </c>
      <c r="F1222" t="s">
        <v>1712</v>
      </c>
      <c r="G1222" t="s">
        <v>1019</v>
      </c>
      <c r="H1222" t="s">
        <v>1020</v>
      </c>
      <c r="I1222">
        <v>410620009</v>
      </c>
      <c r="J1222" t="s">
        <v>1054</v>
      </c>
      <c r="K1222">
        <v>136.80000000000001</v>
      </c>
      <c r="L1222">
        <v>347.38</v>
      </c>
      <c r="M1222">
        <v>0</v>
      </c>
      <c r="O1222" t="s">
        <v>34</v>
      </c>
    </row>
    <row r="1223" spans="1:15">
      <c r="A1223" t="s">
        <v>2546</v>
      </c>
      <c r="B1223" s="2">
        <v>45328.682800925926</v>
      </c>
      <c r="C1223" s="2">
        <v>45328.69321759259</v>
      </c>
      <c r="D1223" t="s">
        <v>378</v>
      </c>
      <c r="E1223" t="s">
        <v>1711</v>
      </c>
      <c r="F1223" t="s">
        <v>1712</v>
      </c>
      <c r="G1223" t="s">
        <v>1019</v>
      </c>
      <c r="H1223" t="s">
        <v>1020</v>
      </c>
      <c r="I1223">
        <v>410620009</v>
      </c>
      <c r="J1223" t="s">
        <v>1054</v>
      </c>
      <c r="K1223">
        <v>136.80000000000001</v>
      </c>
      <c r="L1223">
        <v>272.8</v>
      </c>
      <c r="M1223">
        <v>0</v>
      </c>
      <c r="O1223" t="s">
        <v>34</v>
      </c>
    </row>
    <row r="1224" spans="1:15">
      <c r="A1224" t="s">
        <v>2547</v>
      </c>
      <c r="B1224" s="2">
        <v>45391.72446759259</v>
      </c>
      <c r="C1224" s="2">
        <v>45391.734884259262</v>
      </c>
      <c r="D1224" t="s">
        <v>378</v>
      </c>
      <c r="E1224" t="s">
        <v>1711</v>
      </c>
      <c r="F1224" t="s">
        <v>1712</v>
      </c>
      <c r="G1224" t="s">
        <v>1019</v>
      </c>
      <c r="H1224" t="s">
        <v>1020</v>
      </c>
      <c r="I1224">
        <v>410620009</v>
      </c>
      <c r="J1224" t="s">
        <v>1054</v>
      </c>
      <c r="K1224">
        <v>136.80000000000001</v>
      </c>
      <c r="L1224">
        <v>816.8</v>
      </c>
      <c r="M1224">
        <v>0</v>
      </c>
      <c r="O1224" t="s">
        <v>34</v>
      </c>
    </row>
    <row r="1225" spans="1:15">
      <c r="A1225" t="s">
        <v>2548</v>
      </c>
      <c r="B1225" s="2">
        <v>45454.72446759259</v>
      </c>
      <c r="C1225" s="2">
        <v>45454.734884259262</v>
      </c>
      <c r="D1225" t="s">
        <v>378</v>
      </c>
      <c r="E1225" t="s">
        <v>1711</v>
      </c>
      <c r="F1225" t="s">
        <v>1712</v>
      </c>
      <c r="G1225" t="s">
        <v>1019</v>
      </c>
      <c r="H1225" t="s">
        <v>1020</v>
      </c>
      <c r="I1225">
        <v>410620009</v>
      </c>
      <c r="J1225" t="s">
        <v>1054</v>
      </c>
      <c r="K1225">
        <v>136.80000000000001</v>
      </c>
      <c r="L1225">
        <v>816.8</v>
      </c>
      <c r="M1225">
        <v>0</v>
      </c>
      <c r="O1225" t="s">
        <v>34</v>
      </c>
    </row>
    <row r="1226" spans="1:15">
      <c r="A1226" t="s">
        <v>2549</v>
      </c>
      <c r="B1226" s="2">
        <v>45545.72446759259</v>
      </c>
      <c r="C1226" s="2">
        <v>45545.734884259262</v>
      </c>
      <c r="D1226" t="s">
        <v>378</v>
      </c>
      <c r="E1226" t="s">
        <v>1711</v>
      </c>
      <c r="F1226" t="s">
        <v>1712</v>
      </c>
      <c r="G1226" t="s">
        <v>1019</v>
      </c>
      <c r="H1226" t="s">
        <v>1020</v>
      </c>
      <c r="I1226">
        <v>410620009</v>
      </c>
      <c r="J1226" t="s">
        <v>1054</v>
      </c>
      <c r="K1226">
        <v>136.80000000000001</v>
      </c>
      <c r="L1226">
        <v>816.8</v>
      </c>
      <c r="M1226">
        <v>0</v>
      </c>
      <c r="O1226" t="s">
        <v>34</v>
      </c>
    </row>
    <row r="1227" spans="1:15">
      <c r="A1227" t="s">
        <v>2550</v>
      </c>
      <c r="B1227" s="2">
        <v>45636.682800925926</v>
      </c>
      <c r="C1227" s="2">
        <v>45636.69321759259</v>
      </c>
      <c r="D1227" t="s">
        <v>378</v>
      </c>
      <c r="E1227" t="s">
        <v>1711</v>
      </c>
      <c r="F1227" t="s">
        <v>1712</v>
      </c>
      <c r="G1227" t="s">
        <v>1019</v>
      </c>
      <c r="H1227" t="s">
        <v>1020</v>
      </c>
      <c r="I1227">
        <v>410620009</v>
      </c>
      <c r="J1227" t="s">
        <v>1054</v>
      </c>
      <c r="K1227">
        <v>136.80000000000001</v>
      </c>
      <c r="L1227">
        <v>136.80000000000001</v>
      </c>
      <c r="M1227">
        <v>0</v>
      </c>
      <c r="O1227" t="s">
        <v>34</v>
      </c>
    </row>
    <row r="1228" spans="1:15">
      <c r="A1228" t="s">
        <v>2551</v>
      </c>
      <c r="B1228" s="2">
        <v>45727.72446759259</v>
      </c>
      <c r="C1228" s="2">
        <v>45727.734884259262</v>
      </c>
      <c r="D1228" t="s">
        <v>378</v>
      </c>
      <c r="E1228" t="s">
        <v>1711</v>
      </c>
      <c r="F1228" t="s">
        <v>1712</v>
      </c>
      <c r="G1228" t="s">
        <v>1019</v>
      </c>
      <c r="H1228" t="s">
        <v>1020</v>
      </c>
      <c r="I1228">
        <v>410620009</v>
      </c>
      <c r="J1228" t="s">
        <v>1054</v>
      </c>
      <c r="K1228">
        <v>136.80000000000001</v>
      </c>
      <c r="L1228">
        <v>1154.3699999999999</v>
      </c>
      <c r="M1228">
        <v>0</v>
      </c>
      <c r="O1228" t="s">
        <v>34</v>
      </c>
    </row>
    <row r="1229" spans="1:15">
      <c r="A1229" t="s">
        <v>2552</v>
      </c>
      <c r="B1229" s="2">
        <v>45818.72446759259</v>
      </c>
      <c r="C1229" s="2">
        <v>45818.734884259262</v>
      </c>
      <c r="D1229" t="s">
        <v>378</v>
      </c>
      <c r="E1229" t="s">
        <v>1711</v>
      </c>
      <c r="F1229" t="s">
        <v>1712</v>
      </c>
      <c r="G1229" t="s">
        <v>1019</v>
      </c>
      <c r="H1229" t="s">
        <v>1020</v>
      </c>
      <c r="I1229">
        <v>410620009</v>
      </c>
      <c r="J1229" t="s">
        <v>1054</v>
      </c>
      <c r="K1229">
        <v>136.80000000000001</v>
      </c>
      <c r="L1229">
        <v>855.54</v>
      </c>
      <c r="M1229">
        <v>0</v>
      </c>
      <c r="O1229" t="s">
        <v>34</v>
      </c>
    </row>
    <row r="1230" spans="1:15">
      <c r="A1230" t="s">
        <v>2553</v>
      </c>
      <c r="B1230" s="2">
        <v>45930.72446759259</v>
      </c>
      <c r="C1230" s="2">
        <v>45930.734884259262</v>
      </c>
      <c r="D1230" t="s">
        <v>378</v>
      </c>
      <c r="E1230" t="s">
        <v>2554</v>
      </c>
      <c r="F1230" t="s">
        <v>2555</v>
      </c>
      <c r="G1230" t="s">
        <v>1019</v>
      </c>
      <c r="H1230" t="s">
        <v>1159</v>
      </c>
      <c r="I1230">
        <v>702927004</v>
      </c>
      <c r="J1230" t="s">
        <v>1160</v>
      </c>
      <c r="K1230">
        <v>142.58000000000001</v>
      </c>
      <c r="L1230">
        <v>501.36</v>
      </c>
      <c r="M1230">
        <v>0</v>
      </c>
      <c r="O1230" t="s">
        <v>34</v>
      </c>
    </row>
    <row r="1231" spans="1:15">
      <c r="A1231" t="s">
        <v>2556</v>
      </c>
      <c r="B1231" s="2">
        <v>45937.72446759259</v>
      </c>
      <c r="C1231" s="2">
        <v>45937.734884259262</v>
      </c>
      <c r="D1231" t="s">
        <v>378</v>
      </c>
      <c r="E1231" t="s">
        <v>1715</v>
      </c>
      <c r="F1231" t="s">
        <v>1716</v>
      </c>
      <c r="G1231" t="s">
        <v>1019</v>
      </c>
      <c r="H1231" t="s">
        <v>1043</v>
      </c>
      <c r="I1231">
        <v>185349003</v>
      </c>
      <c r="J1231" t="s">
        <v>1038</v>
      </c>
      <c r="K1231">
        <v>85.55</v>
      </c>
      <c r="L1231">
        <v>948.35</v>
      </c>
      <c r="M1231">
        <v>0</v>
      </c>
      <c r="O1231" t="s">
        <v>34</v>
      </c>
    </row>
    <row r="1232" spans="1:15">
      <c r="A1232" t="s">
        <v>2557</v>
      </c>
      <c r="B1232" s="2">
        <v>45944.72446759259</v>
      </c>
      <c r="C1232" s="2">
        <v>45944.734884259262</v>
      </c>
      <c r="D1232" t="s">
        <v>378</v>
      </c>
      <c r="E1232" t="s">
        <v>1715</v>
      </c>
      <c r="F1232" t="s">
        <v>1716</v>
      </c>
      <c r="G1232" t="s">
        <v>1019</v>
      </c>
      <c r="H1232" t="s">
        <v>1031</v>
      </c>
      <c r="I1232">
        <v>185345009</v>
      </c>
      <c r="J1232" t="s">
        <v>1032</v>
      </c>
      <c r="K1232">
        <v>85.55</v>
      </c>
      <c r="L1232">
        <v>6719.94</v>
      </c>
      <c r="M1232">
        <v>0</v>
      </c>
      <c r="N1232">
        <v>10509002</v>
      </c>
      <c r="O1232" t="s">
        <v>1033</v>
      </c>
    </row>
    <row r="1233" spans="1:15">
      <c r="A1233" t="s">
        <v>2558</v>
      </c>
      <c r="B1233" s="2">
        <v>46000.682800925926</v>
      </c>
      <c r="C1233" s="2">
        <v>46000.69321759259</v>
      </c>
      <c r="D1233" t="s">
        <v>378</v>
      </c>
      <c r="E1233" t="s">
        <v>1711</v>
      </c>
      <c r="F1233" t="s">
        <v>1712</v>
      </c>
      <c r="G1233" t="s">
        <v>1019</v>
      </c>
      <c r="H1233" t="s">
        <v>1020</v>
      </c>
      <c r="I1233">
        <v>410620009</v>
      </c>
      <c r="J1233" t="s">
        <v>1054</v>
      </c>
      <c r="K1233">
        <v>136.80000000000001</v>
      </c>
      <c r="L1233">
        <v>429.8</v>
      </c>
      <c r="M1233">
        <v>0</v>
      </c>
      <c r="O1233" t="s">
        <v>34</v>
      </c>
    </row>
    <row r="1234" spans="1:15">
      <c r="A1234" t="s">
        <v>2559</v>
      </c>
      <c r="B1234" s="2">
        <v>46182.72446759259</v>
      </c>
      <c r="C1234" s="2">
        <v>46182.734884259262</v>
      </c>
      <c r="D1234" t="s">
        <v>378</v>
      </c>
      <c r="E1234" t="s">
        <v>1711</v>
      </c>
      <c r="F1234" t="s">
        <v>1712</v>
      </c>
      <c r="G1234" t="s">
        <v>1019</v>
      </c>
      <c r="H1234" t="s">
        <v>1020</v>
      </c>
      <c r="I1234">
        <v>410620009</v>
      </c>
      <c r="J1234" t="s">
        <v>1054</v>
      </c>
      <c r="K1234">
        <v>136.80000000000001</v>
      </c>
      <c r="L1234">
        <v>505.91</v>
      </c>
      <c r="M1234">
        <v>0</v>
      </c>
      <c r="O1234" t="s">
        <v>34</v>
      </c>
    </row>
    <row r="1235" spans="1:15">
      <c r="A1235" t="s">
        <v>2560</v>
      </c>
      <c r="B1235" s="2">
        <v>42443.159259259257</v>
      </c>
      <c r="C1235" s="2">
        <v>42443.169675925928</v>
      </c>
      <c r="D1235" t="s">
        <v>385</v>
      </c>
      <c r="E1235" t="s">
        <v>2561</v>
      </c>
      <c r="F1235" t="s">
        <v>2562</v>
      </c>
      <c r="G1235" t="s">
        <v>1023</v>
      </c>
      <c r="H1235" t="s">
        <v>1020</v>
      </c>
      <c r="I1235">
        <v>410620009</v>
      </c>
      <c r="J1235" t="s">
        <v>1054</v>
      </c>
      <c r="K1235">
        <v>136.80000000000001</v>
      </c>
      <c r="L1235">
        <v>816.8</v>
      </c>
      <c r="M1235">
        <v>0</v>
      </c>
      <c r="O1235" t="s">
        <v>34</v>
      </c>
    </row>
    <row r="1236" spans="1:15">
      <c r="A1236" t="s">
        <v>2563</v>
      </c>
      <c r="B1236" s="2">
        <v>42679.159259259257</v>
      </c>
      <c r="C1236" s="2">
        <v>42679.216898148145</v>
      </c>
      <c r="D1236" t="s">
        <v>385</v>
      </c>
      <c r="E1236" t="s">
        <v>2564</v>
      </c>
      <c r="F1236" t="s">
        <v>2565</v>
      </c>
      <c r="G1236" t="s">
        <v>1023</v>
      </c>
      <c r="H1236" t="s">
        <v>1076</v>
      </c>
      <c r="I1236">
        <v>50849002</v>
      </c>
      <c r="J1236" t="s">
        <v>1163</v>
      </c>
      <c r="K1236">
        <v>146.18</v>
      </c>
      <c r="L1236">
        <v>1008.98</v>
      </c>
      <c r="M1236">
        <v>594.47</v>
      </c>
      <c r="N1236">
        <v>125605004</v>
      </c>
      <c r="O1236" t="s">
        <v>1644</v>
      </c>
    </row>
    <row r="1237" spans="1:15">
      <c r="A1237" t="s">
        <v>2566</v>
      </c>
      <c r="B1237" s="2">
        <v>42716.117592592593</v>
      </c>
      <c r="C1237" s="2">
        <v>42716.130428240744</v>
      </c>
      <c r="D1237" t="s">
        <v>385</v>
      </c>
      <c r="E1237" t="s">
        <v>2561</v>
      </c>
      <c r="F1237" t="s">
        <v>2562</v>
      </c>
      <c r="G1237" t="s">
        <v>1023</v>
      </c>
      <c r="H1237" t="s">
        <v>1020</v>
      </c>
      <c r="I1237">
        <v>410620009</v>
      </c>
      <c r="J1237" t="s">
        <v>1054</v>
      </c>
      <c r="K1237">
        <v>136.80000000000001</v>
      </c>
      <c r="L1237">
        <v>704.2</v>
      </c>
      <c r="M1237">
        <v>563.36</v>
      </c>
      <c r="O1237" t="s">
        <v>34</v>
      </c>
    </row>
    <row r="1238" spans="1:15">
      <c r="A1238" t="s">
        <v>2567</v>
      </c>
      <c r="B1238" s="2">
        <v>42786.17523148148</v>
      </c>
      <c r="C1238" s="2">
        <v>42786.185648148145</v>
      </c>
      <c r="D1238" t="s">
        <v>385</v>
      </c>
      <c r="E1238" t="s">
        <v>2568</v>
      </c>
      <c r="F1238" t="s">
        <v>2569</v>
      </c>
      <c r="G1238" t="s">
        <v>1023</v>
      </c>
      <c r="H1238" t="s">
        <v>1031</v>
      </c>
      <c r="I1238">
        <v>185349003</v>
      </c>
      <c r="J1238" t="s">
        <v>1038</v>
      </c>
      <c r="K1238">
        <v>85.55</v>
      </c>
      <c r="L1238">
        <v>85.55</v>
      </c>
      <c r="M1238">
        <v>0</v>
      </c>
      <c r="N1238">
        <v>58150001</v>
      </c>
      <c r="O1238" t="s">
        <v>1680</v>
      </c>
    </row>
    <row r="1239" spans="1:15">
      <c r="A1239" t="s">
        <v>2570</v>
      </c>
      <c r="B1239" s="2">
        <v>42898.159259259257</v>
      </c>
      <c r="C1239" s="2">
        <v>42898.169675925928</v>
      </c>
      <c r="D1239" t="s">
        <v>385</v>
      </c>
      <c r="E1239" t="s">
        <v>2561</v>
      </c>
      <c r="F1239" t="s">
        <v>2562</v>
      </c>
      <c r="G1239" t="s">
        <v>1023</v>
      </c>
      <c r="H1239" t="s">
        <v>1020</v>
      </c>
      <c r="I1239">
        <v>410620009</v>
      </c>
      <c r="J1239" t="s">
        <v>1054</v>
      </c>
      <c r="K1239">
        <v>136.80000000000001</v>
      </c>
      <c r="L1239">
        <v>488.5</v>
      </c>
      <c r="M1239">
        <v>0</v>
      </c>
      <c r="O1239" t="s">
        <v>34</v>
      </c>
    </row>
    <row r="1240" spans="1:15">
      <c r="A1240" t="s">
        <v>2571</v>
      </c>
      <c r="B1240" s="2">
        <v>42969.159259259257</v>
      </c>
      <c r="C1240" s="2">
        <v>42969.169675925928</v>
      </c>
      <c r="D1240" t="s">
        <v>385</v>
      </c>
      <c r="E1240" t="s">
        <v>2568</v>
      </c>
      <c r="F1240" t="s">
        <v>2569</v>
      </c>
      <c r="G1240" t="s">
        <v>1023</v>
      </c>
      <c r="H1240" t="s">
        <v>1043</v>
      </c>
      <c r="I1240">
        <v>185345009</v>
      </c>
      <c r="J1240" t="s">
        <v>1032</v>
      </c>
      <c r="K1240">
        <v>85.55</v>
      </c>
      <c r="L1240">
        <v>85.55</v>
      </c>
      <c r="M1240">
        <v>0</v>
      </c>
      <c r="N1240">
        <v>65363002</v>
      </c>
      <c r="O1240" t="s">
        <v>1335</v>
      </c>
    </row>
    <row r="1241" spans="1:15">
      <c r="A1241" t="s">
        <v>2572</v>
      </c>
      <c r="B1241" s="2">
        <v>43080.117592592593</v>
      </c>
      <c r="C1241" s="2">
        <v>43080.128009259257</v>
      </c>
      <c r="D1241" t="s">
        <v>385</v>
      </c>
      <c r="E1241" t="s">
        <v>2561</v>
      </c>
      <c r="F1241" t="s">
        <v>2562</v>
      </c>
      <c r="G1241" t="s">
        <v>1023</v>
      </c>
      <c r="H1241" t="s">
        <v>1020</v>
      </c>
      <c r="I1241">
        <v>410620009</v>
      </c>
      <c r="J1241" t="s">
        <v>1054</v>
      </c>
      <c r="K1241">
        <v>136.80000000000001</v>
      </c>
      <c r="L1241">
        <v>1007.01</v>
      </c>
      <c r="M1241">
        <v>312.24</v>
      </c>
      <c r="O1241" t="s">
        <v>34</v>
      </c>
    </row>
    <row r="1242" spans="1:15">
      <c r="A1242" t="s">
        <v>2573</v>
      </c>
      <c r="B1242" s="2">
        <v>43204.216898148145</v>
      </c>
      <c r="C1242" s="2">
        <v>43204.258564814816</v>
      </c>
      <c r="D1242" t="s">
        <v>385</v>
      </c>
      <c r="E1242" t="s">
        <v>2564</v>
      </c>
      <c r="F1242" t="s">
        <v>2565</v>
      </c>
      <c r="G1242" t="s">
        <v>1026</v>
      </c>
      <c r="H1242" t="s">
        <v>1076</v>
      </c>
      <c r="I1242">
        <v>50849002</v>
      </c>
      <c r="J1242" t="s">
        <v>1163</v>
      </c>
      <c r="K1242">
        <v>146.18</v>
      </c>
      <c r="L1242">
        <v>4140.8900000000003</v>
      </c>
      <c r="M1242">
        <v>0</v>
      </c>
      <c r="N1242">
        <v>312608009</v>
      </c>
      <c r="O1242" t="s">
        <v>1249</v>
      </c>
    </row>
    <row r="1243" spans="1:15">
      <c r="A1243" t="s">
        <v>2574</v>
      </c>
      <c r="B1243" s="2">
        <v>43262.159259259257</v>
      </c>
      <c r="C1243" s="2">
        <v>43262.170023148145</v>
      </c>
      <c r="D1243" t="s">
        <v>385</v>
      </c>
      <c r="E1243" t="s">
        <v>2561</v>
      </c>
      <c r="F1243" t="s">
        <v>2562</v>
      </c>
      <c r="G1243" t="s">
        <v>1026</v>
      </c>
      <c r="H1243" t="s">
        <v>1020</v>
      </c>
      <c r="I1243">
        <v>410620009</v>
      </c>
      <c r="J1243" t="s">
        <v>1054</v>
      </c>
      <c r="K1243">
        <v>136.80000000000001</v>
      </c>
      <c r="L1243">
        <v>568.20000000000005</v>
      </c>
      <c r="M1243">
        <v>0</v>
      </c>
      <c r="O1243" t="s">
        <v>34</v>
      </c>
    </row>
    <row r="1244" spans="1:15">
      <c r="A1244" t="s">
        <v>2575</v>
      </c>
      <c r="B1244" s="2">
        <v>43269.159259259257</v>
      </c>
      <c r="C1244" s="2">
        <v>43269.235949074071</v>
      </c>
      <c r="D1244" t="s">
        <v>385</v>
      </c>
      <c r="E1244" t="s">
        <v>2568</v>
      </c>
      <c r="F1244" t="s">
        <v>2569</v>
      </c>
      <c r="G1244" t="s">
        <v>1026</v>
      </c>
      <c r="H1244" t="s">
        <v>1031</v>
      </c>
      <c r="I1244">
        <v>185349003</v>
      </c>
      <c r="J1244" t="s">
        <v>1038</v>
      </c>
      <c r="K1244">
        <v>85.55</v>
      </c>
      <c r="L1244">
        <v>3105.35</v>
      </c>
      <c r="M1244">
        <v>1068.1500000000001</v>
      </c>
      <c r="N1244">
        <v>103697008</v>
      </c>
      <c r="O1244" t="s">
        <v>1039</v>
      </c>
    </row>
    <row r="1245" spans="1:15">
      <c r="A1245" t="s">
        <v>2576</v>
      </c>
      <c r="B1245" s="2">
        <v>43360.909259259257</v>
      </c>
      <c r="C1245" s="2">
        <v>43360.919675925928</v>
      </c>
      <c r="D1245" t="s">
        <v>385</v>
      </c>
      <c r="E1245" t="s">
        <v>2568</v>
      </c>
      <c r="F1245" t="s">
        <v>2569</v>
      </c>
      <c r="G1245" t="s">
        <v>1026</v>
      </c>
      <c r="H1245" t="s">
        <v>1031</v>
      </c>
      <c r="I1245">
        <v>185345009</v>
      </c>
      <c r="J1245" t="s">
        <v>1032</v>
      </c>
      <c r="K1245">
        <v>85.55</v>
      </c>
      <c r="L1245">
        <v>2715.8</v>
      </c>
      <c r="M1245">
        <v>1629.48</v>
      </c>
      <c r="N1245">
        <v>10509002</v>
      </c>
      <c r="O1245" t="s">
        <v>1033</v>
      </c>
    </row>
    <row r="1246" spans="1:15">
      <c r="A1246" t="s">
        <v>2577</v>
      </c>
      <c r="B1246" s="2">
        <v>43444.117592592593</v>
      </c>
      <c r="C1246" s="2">
        <v>43444.128009259257</v>
      </c>
      <c r="D1246" t="s">
        <v>385</v>
      </c>
      <c r="E1246" t="s">
        <v>2561</v>
      </c>
      <c r="F1246" t="s">
        <v>2562</v>
      </c>
      <c r="G1246" t="s">
        <v>1026</v>
      </c>
      <c r="H1246" t="s">
        <v>1020</v>
      </c>
      <c r="I1246">
        <v>410620009</v>
      </c>
      <c r="J1246" t="s">
        <v>1054</v>
      </c>
      <c r="K1246">
        <v>136.80000000000001</v>
      </c>
      <c r="L1246">
        <v>272.8</v>
      </c>
      <c r="M1246">
        <v>163.68</v>
      </c>
      <c r="O1246" t="s">
        <v>34</v>
      </c>
    </row>
    <row r="1247" spans="1:15">
      <c r="A1247" t="s">
        <v>2578</v>
      </c>
      <c r="B1247" s="2">
        <v>43815.117592592593</v>
      </c>
      <c r="C1247" s="2">
        <v>43815.128009259257</v>
      </c>
      <c r="D1247" t="s">
        <v>385</v>
      </c>
      <c r="E1247" t="s">
        <v>2561</v>
      </c>
      <c r="F1247" t="s">
        <v>2562</v>
      </c>
      <c r="G1247" t="s">
        <v>1026</v>
      </c>
      <c r="H1247" t="s">
        <v>1020</v>
      </c>
      <c r="I1247">
        <v>410620009</v>
      </c>
      <c r="J1247" t="s">
        <v>1054</v>
      </c>
      <c r="K1247">
        <v>136.80000000000001</v>
      </c>
      <c r="L1247">
        <v>816.8</v>
      </c>
      <c r="M1247">
        <v>0</v>
      </c>
      <c r="O1247" t="s">
        <v>34</v>
      </c>
    </row>
    <row r="1248" spans="1:15">
      <c r="A1248" t="s">
        <v>2579</v>
      </c>
      <c r="B1248" s="2">
        <v>43822.117592592593</v>
      </c>
      <c r="C1248" s="2">
        <v>43822.128009259257</v>
      </c>
      <c r="D1248" t="s">
        <v>385</v>
      </c>
      <c r="E1248" t="s">
        <v>2568</v>
      </c>
      <c r="F1248" t="s">
        <v>2569</v>
      </c>
      <c r="G1248" t="s">
        <v>1026</v>
      </c>
      <c r="H1248" t="s">
        <v>1043</v>
      </c>
      <c r="I1248">
        <v>185349003</v>
      </c>
      <c r="J1248" t="s">
        <v>1038</v>
      </c>
      <c r="K1248">
        <v>85.55</v>
      </c>
      <c r="L1248">
        <v>368.97</v>
      </c>
      <c r="M1248">
        <v>0</v>
      </c>
      <c r="O1248" t="s">
        <v>34</v>
      </c>
    </row>
    <row r="1249" spans="1:15">
      <c r="A1249" t="s">
        <v>2580</v>
      </c>
      <c r="B1249" s="2">
        <v>43829.117592592593</v>
      </c>
      <c r="C1249" s="2">
        <v>43829.128009259257</v>
      </c>
      <c r="D1249" t="s">
        <v>385</v>
      </c>
      <c r="E1249" t="s">
        <v>2568</v>
      </c>
      <c r="F1249" t="s">
        <v>2569</v>
      </c>
      <c r="G1249" t="s">
        <v>1026</v>
      </c>
      <c r="H1249" t="s">
        <v>1031</v>
      </c>
      <c r="I1249">
        <v>185345009</v>
      </c>
      <c r="J1249" t="s">
        <v>1032</v>
      </c>
      <c r="K1249">
        <v>85.55</v>
      </c>
      <c r="L1249">
        <v>1055.94</v>
      </c>
      <c r="M1249">
        <v>0</v>
      </c>
      <c r="N1249">
        <v>195662009</v>
      </c>
      <c r="O1249" t="s">
        <v>1130</v>
      </c>
    </row>
    <row r="1250" spans="1:15">
      <c r="A1250" t="s">
        <v>2581</v>
      </c>
      <c r="B1250" s="2">
        <v>43920.159259259257</v>
      </c>
      <c r="C1250" s="2">
        <v>43920.169675925928</v>
      </c>
      <c r="D1250" t="s">
        <v>385</v>
      </c>
      <c r="E1250" t="s">
        <v>2568</v>
      </c>
      <c r="F1250" t="s">
        <v>2569</v>
      </c>
      <c r="G1250" t="s">
        <v>1026</v>
      </c>
      <c r="H1250" t="s">
        <v>1043</v>
      </c>
      <c r="I1250">
        <v>185345009</v>
      </c>
      <c r="J1250" t="s">
        <v>1032</v>
      </c>
      <c r="K1250">
        <v>85.55</v>
      </c>
      <c r="L1250">
        <v>85.55</v>
      </c>
      <c r="M1250">
        <v>0</v>
      </c>
      <c r="N1250">
        <v>65363002</v>
      </c>
      <c r="O1250" t="s">
        <v>1335</v>
      </c>
    </row>
    <row r="1251" spans="1:15">
      <c r="A1251" t="s">
        <v>2582</v>
      </c>
      <c r="B1251" s="2">
        <v>43964.492592592593</v>
      </c>
      <c r="C1251" s="2">
        <v>43964.503009259257</v>
      </c>
      <c r="D1251" t="s">
        <v>385</v>
      </c>
      <c r="E1251" t="s">
        <v>2568</v>
      </c>
      <c r="F1251" t="s">
        <v>2569</v>
      </c>
      <c r="G1251" t="s">
        <v>1026</v>
      </c>
      <c r="H1251" t="s">
        <v>1031</v>
      </c>
      <c r="I1251">
        <v>185345009</v>
      </c>
      <c r="J1251" t="s">
        <v>1032</v>
      </c>
      <c r="K1251">
        <v>85.55</v>
      </c>
      <c r="L1251">
        <v>948.35</v>
      </c>
      <c r="M1251">
        <v>0</v>
      </c>
      <c r="N1251">
        <v>195662009</v>
      </c>
      <c r="O1251" t="s">
        <v>1130</v>
      </c>
    </row>
    <row r="1252" spans="1:15">
      <c r="A1252" t="s">
        <v>2583</v>
      </c>
      <c r="B1252" s="2">
        <v>44007.450925925928</v>
      </c>
      <c r="C1252" s="2">
        <v>44007.461342592593</v>
      </c>
      <c r="D1252" t="s">
        <v>385</v>
      </c>
      <c r="E1252" t="s">
        <v>2568</v>
      </c>
      <c r="F1252" t="s">
        <v>2569</v>
      </c>
      <c r="G1252" t="s">
        <v>1026</v>
      </c>
      <c r="H1252" t="s">
        <v>1031</v>
      </c>
      <c r="I1252">
        <v>185345009</v>
      </c>
      <c r="J1252" t="s">
        <v>1032</v>
      </c>
      <c r="K1252">
        <v>85.55</v>
      </c>
      <c r="L1252">
        <v>3536.75</v>
      </c>
      <c r="M1252">
        <v>0</v>
      </c>
      <c r="N1252">
        <v>195662009</v>
      </c>
      <c r="O1252" t="s">
        <v>1130</v>
      </c>
    </row>
    <row r="1253" spans="1:15">
      <c r="A1253" t="s">
        <v>2584</v>
      </c>
      <c r="B1253" s="2">
        <v>44186.117592592593</v>
      </c>
      <c r="C1253" s="2">
        <v>44186.128009259257</v>
      </c>
      <c r="D1253" t="s">
        <v>385</v>
      </c>
      <c r="E1253" t="s">
        <v>2561</v>
      </c>
      <c r="F1253" t="s">
        <v>2562</v>
      </c>
      <c r="G1253" t="s">
        <v>1026</v>
      </c>
      <c r="H1253" t="s">
        <v>1020</v>
      </c>
      <c r="I1253">
        <v>410620009</v>
      </c>
      <c r="J1253" t="s">
        <v>1054</v>
      </c>
      <c r="K1253">
        <v>136.80000000000001</v>
      </c>
      <c r="L1253">
        <v>347.38</v>
      </c>
      <c r="M1253">
        <v>0</v>
      </c>
      <c r="O1253" t="s">
        <v>34</v>
      </c>
    </row>
    <row r="1254" spans="1:15">
      <c r="A1254" t="s">
        <v>2585</v>
      </c>
      <c r="B1254" s="2">
        <v>44557.117592592593</v>
      </c>
      <c r="C1254" s="2">
        <v>44557.128009259257</v>
      </c>
      <c r="D1254" t="s">
        <v>385</v>
      </c>
      <c r="E1254" t="s">
        <v>2561</v>
      </c>
      <c r="F1254" t="s">
        <v>2562</v>
      </c>
      <c r="G1254" t="s">
        <v>1026</v>
      </c>
      <c r="H1254" t="s">
        <v>1020</v>
      </c>
      <c r="I1254">
        <v>410620009</v>
      </c>
      <c r="J1254" t="s">
        <v>1054</v>
      </c>
      <c r="K1254">
        <v>136.80000000000001</v>
      </c>
      <c r="L1254">
        <v>272.8</v>
      </c>
      <c r="M1254">
        <v>0</v>
      </c>
      <c r="O1254" t="s">
        <v>34</v>
      </c>
    </row>
    <row r="1255" spans="1:15">
      <c r="A1255" t="s">
        <v>2586</v>
      </c>
      <c r="B1255" s="2">
        <v>44928.117592592593</v>
      </c>
      <c r="C1255" s="2">
        <v>44928.128009259257</v>
      </c>
      <c r="D1255" t="s">
        <v>385</v>
      </c>
      <c r="E1255" t="s">
        <v>2561</v>
      </c>
      <c r="F1255" t="s">
        <v>2562</v>
      </c>
      <c r="G1255" t="s">
        <v>1026</v>
      </c>
      <c r="H1255" t="s">
        <v>1020</v>
      </c>
      <c r="I1255">
        <v>410620009</v>
      </c>
      <c r="J1255" t="s">
        <v>1054</v>
      </c>
      <c r="K1255">
        <v>136.80000000000001</v>
      </c>
      <c r="L1255">
        <v>777.53</v>
      </c>
      <c r="M1255">
        <v>0</v>
      </c>
      <c r="O1255" t="s">
        <v>34</v>
      </c>
    </row>
    <row r="1256" spans="1:15">
      <c r="A1256" t="s">
        <v>2587</v>
      </c>
      <c r="B1256" s="2">
        <v>45299.117592592593</v>
      </c>
      <c r="C1256" s="2">
        <v>45299.128009259257</v>
      </c>
      <c r="D1256" t="s">
        <v>385</v>
      </c>
      <c r="E1256" t="s">
        <v>2561</v>
      </c>
      <c r="F1256" t="s">
        <v>2562</v>
      </c>
      <c r="G1256" t="s">
        <v>1026</v>
      </c>
      <c r="H1256" t="s">
        <v>1020</v>
      </c>
      <c r="I1256">
        <v>410620009</v>
      </c>
      <c r="J1256" t="s">
        <v>1054</v>
      </c>
      <c r="K1256">
        <v>136.80000000000001</v>
      </c>
      <c r="L1256">
        <v>1340.27</v>
      </c>
      <c r="M1256">
        <v>0</v>
      </c>
      <c r="O1256" t="s">
        <v>34</v>
      </c>
    </row>
    <row r="1257" spans="1:15">
      <c r="A1257" t="s">
        <v>2588</v>
      </c>
      <c r="B1257" s="2">
        <v>45306.117592592593</v>
      </c>
      <c r="C1257" s="2">
        <v>45306.264976851853</v>
      </c>
      <c r="D1257" t="s">
        <v>385</v>
      </c>
      <c r="E1257" t="s">
        <v>2568</v>
      </c>
      <c r="F1257" t="s">
        <v>2569</v>
      </c>
      <c r="G1257" t="s">
        <v>1026</v>
      </c>
      <c r="H1257" t="s">
        <v>1031</v>
      </c>
      <c r="I1257">
        <v>185349003</v>
      </c>
      <c r="J1257" t="s">
        <v>1038</v>
      </c>
      <c r="K1257">
        <v>85.55</v>
      </c>
      <c r="L1257">
        <v>3536.75</v>
      </c>
      <c r="M1257">
        <v>0</v>
      </c>
      <c r="N1257">
        <v>103697008</v>
      </c>
      <c r="O1257" t="s">
        <v>1039</v>
      </c>
    </row>
    <row r="1258" spans="1:15">
      <c r="A1258" t="s">
        <v>2589</v>
      </c>
      <c r="B1258" s="2">
        <v>45670.117592592593</v>
      </c>
      <c r="C1258" s="2">
        <v>45670.128009259257</v>
      </c>
      <c r="D1258" t="s">
        <v>385</v>
      </c>
      <c r="E1258" t="s">
        <v>2561</v>
      </c>
      <c r="F1258" t="s">
        <v>2562</v>
      </c>
      <c r="G1258" t="s">
        <v>1026</v>
      </c>
      <c r="H1258" t="s">
        <v>1020</v>
      </c>
      <c r="I1258">
        <v>410620009</v>
      </c>
      <c r="J1258" t="s">
        <v>1054</v>
      </c>
      <c r="K1258">
        <v>136.80000000000001</v>
      </c>
      <c r="L1258">
        <v>272.8</v>
      </c>
      <c r="M1258">
        <v>0</v>
      </c>
      <c r="O1258" t="s">
        <v>34</v>
      </c>
    </row>
    <row r="1259" spans="1:15">
      <c r="A1259" t="s">
        <v>2590</v>
      </c>
      <c r="B1259" s="2">
        <v>45819.617592592593</v>
      </c>
      <c r="C1259" s="2">
        <v>45819.628009259257</v>
      </c>
      <c r="D1259" t="s">
        <v>385</v>
      </c>
      <c r="E1259" t="s">
        <v>2568</v>
      </c>
      <c r="F1259" t="s">
        <v>2569</v>
      </c>
      <c r="G1259" t="s">
        <v>1026</v>
      </c>
      <c r="H1259" t="s">
        <v>1031</v>
      </c>
      <c r="I1259">
        <v>185345009</v>
      </c>
      <c r="J1259" t="s">
        <v>1032</v>
      </c>
      <c r="K1259">
        <v>85.55</v>
      </c>
      <c r="L1259">
        <v>2149.73</v>
      </c>
      <c r="M1259">
        <v>0</v>
      </c>
      <c r="N1259">
        <v>195662009</v>
      </c>
      <c r="O1259" t="s">
        <v>1130</v>
      </c>
    </row>
    <row r="1260" spans="1:15">
      <c r="A1260" t="s">
        <v>2591</v>
      </c>
      <c r="B1260" s="2">
        <v>46041.117592592593</v>
      </c>
      <c r="C1260" s="2">
        <v>46041.128958333335</v>
      </c>
      <c r="D1260" t="s">
        <v>385</v>
      </c>
      <c r="E1260" t="s">
        <v>2561</v>
      </c>
      <c r="F1260" t="s">
        <v>2562</v>
      </c>
      <c r="G1260" t="s">
        <v>1026</v>
      </c>
      <c r="H1260" t="s">
        <v>1020</v>
      </c>
      <c r="I1260">
        <v>410620009</v>
      </c>
      <c r="J1260" t="s">
        <v>1054</v>
      </c>
      <c r="K1260">
        <v>136.80000000000001</v>
      </c>
      <c r="L1260">
        <v>1914.59</v>
      </c>
      <c r="M1260">
        <v>0</v>
      </c>
      <c r="O1260" t="s">
        <v>34</v>
      </c>
    </row>
    <row r="1261" spans="1:15">
      <c r="A1261" t="s">
        <v>2592</v>
      </c>
      <c r="B1261" s="2">
        <v>46048.117592592593</v>
      </c>
      <c r="C1261" s="2">
        <v>46048.264062499999</v>
      </c>
      <c r="D1261" t="s">
        <v>385</v>
      </c>
      <c r="E1261" t="s">
        <v>2568</v>
      </c>
      <c r="F1261" t="s">
        <v>2569</v>
      </c>
      <c r="G1261" t="s">
        <v>1026</v>
      </c>
      <c r="H1261" t="s">
        <v>1031</v>
      </c>
      <c r="I1261">
        <v>185349003</v>
      </c>
      <c r="J1261" t="s">
        <v>1038</v>
      </c>
      <c r="K1261">
        <v>85.55</v>
      </c>
      <c r="L1261">
        <v>3536.75</v>
      </c>
      <c r="M1261">
        <v>0</v>
      </c>
      <c r="N1261">
        <v>66383009</v>
      </c>
      <c r="O1261" t="s">
        <v>1209</v>
      </c>
    </row>
    <row r="1262" spans="1:15">
      <c r="A1262" t="s">
        <v>2593</v>
      </c>
      <c r="B1262" s="2">
        <v>26631.290312500001</v>
      </c>
      <c r="C1262" s="2">
        <v>26631.315300925926</v>
      </c>
      <c r="D1262" t="s">
        <v>393</v>
      </c>
      <c r="E1262" t="s">
        <v>2594</v>
      </c>
      <c r="F1262" t="s">
        <v>2595</v>
      </c>
      <c r="G1262" t="s">
        <v>1019</v>
      </c>
      <c r="H1262" t="s">
        <v>1020</v>
      </c>
      <c r="I1262">
        <v>162673000</v>
      </c>
      <c r="J1262" t="s">
        <v>1021</v>
      </c>
      <c r="K1262">
        <v>136.80000000000001</v>
      </c>
      <c r="L1262">
        <v>704.2</v>
      </c>
      <c r="M1262">
        <v>0</v>
      </c>
      <c r="O1262" t="s">
        <v>34</v>
      </c>
    </row>
    <row r="1263" spans="1:15">
      <c r="A1263" t="s">
        <v>2596</v>
      </c>
      <c r="B1263" s="2">
        <v>32497.290312500001</v>
      </c>
      <c r="C1263" s="2">
        <v>32497.316215277777</v>
      </c>
      <c r="D1263" t="s">
        <v>393</v>
      </c>
      <c r="E1263" t="s">
        <v>2594</v>
      </c>
      <c r="F1263" t="s">
        <v>2595</v>
      </c>
      <c r="G1263" t="s">
        <v>1019</v>
      </c>
      <c r="H1263" t="s">
        <v>1020</v>
      </c>
      <c r="I1263">
        <v>162673000</v>
      </c>
      <c r="J1263" t="s">
        <v>1021</v>
      </c>
      <c r="K1263">
        <v>136.80000000000001</v>
      </c>
      <c r="L1263">
        <v>853.36</v>
      </c>
      <c r="M1263">
        <v>0</v>
      </c>
      <c r="O1263" t="s">
        <v>34</v>
      </c>
    </row>
    <row r="1264" spans="1:15">
      <c r="A1264" t="s">
        <v>2597</v>
      </c>
      <c r="B1264" s="2">
        <v>35353.331979166665</v>
      </c>
      <c r="C1264" s="2">
        <v>35353.355185185188</v>
      </c>
      <c r="D1264" t="s">
        <v>393</v>
      </c>
      <c r="E1264" t="s">
        <v>2594</v>
      </c>
      <c r="F1264" t="s">
        <v>2595</v>
      </c>
      <c r="G1264" t="s">
        <v>1019</v>
      </c>
      <c r="H1264" t="s">
        <v>1020</v>
      </c>
      <c r="I1264">
        <v>162673000</v>
      </c>
      <c r="J1264" t="s">
        <v>1021</v>
      </c>
      <c r="K1264">
        <v>136.80000000000001</v>
      </c>
      <c r="L1264">
        <v>1988.16</v>
      </c>
      <c r="M1264">
        <v>0</v>
      </c>
      <c r="O1264" t="s">
        <v>34</v>
      </c>
    </row>
    <row r="1265" spans="1:15">
      <c r="A1265" t="s">
        <v>2598</v>
      </c>
      <c r="B1265" s="2">
        <v>35374.290312500001</v>
      </c>
      <c r="C1265" s="2">
        <v>35374.300729166665</v>
      </c>
      <c r="D1265" t="s">
        <v>393</v>
      </c>
      <c r="E1265" t="s">
        <v>2599</v>
      </c>
      <c r="F1265" t="s">
        <v>2600</v>
      </c>
      <c r="G1265" t="s">
        <v>1019</v>
      </c>
      <c r="H1265" t="s">
        <v>1031</v>
      </c>
      <c r="I1265">
        <v>390906007</v>
      </c>
      <c r="J1265" t="s">
        <v>1255</v>
      </c>
      <c r="K1265">
        <v>85.55</v>
      </c>
      <c r="L1265">
        <v>85.55</v>
      </c>
      <c r="M1265">
        <v>0</v>
      </c>
      <c r="N1265">
        <v>55822004</v>
      </c>
      <c r="O1265" t="s">
        <v>2010</v>
      </c>
    </row>
    <row r="1266" spans="1:15">
      <c r="A1266" t="s">
        <v>2601</v>
      </c>
      <c r="B1266" s="2">
        <v>38272.331979166665</v>
      </c>
      <c r="C1266" s="2">
        <v>38272.366400462961</v>
      </c>
      <c r="D1266" t="s">
        <v>393</v>
      </c>
      <c r="E1266" t="s">
        <v>2599</v>
      </c>
      <c r="F1266" t="s">
        <v>2600</v>
      </c>
      <c r="G1266" t="s">
        <v>1019</v>
      </c>
      <c r="H1266" t="s">
        <v>1031</v>
      </c>
      <c r="I1266">
        <v>185349003</v>
      </c>
      <c r="J1266" t="s">
        <v>1038</v>
      </c>
      <c r="K1266">
        <v>85.55</v>
      </c>
      <c r="L1266">
        <v>41050.36</v>
      </c>
      <c r="M1266">
        <v>0</v>
      </c>
      <c r="N1266">
        <v>275978004</v>
      </c>
      <c r="O1266" t="s">
        <v>1449</v>
      </c>
    </row>
    <row r="1267" spans="1:15">
      <c r="A1267" t="s">
        <v>2602</v>
      </c>
      <c r="B1267" s="2">
        <v>38680.314317129632</v>
      </c>
      <c r="C1267" s="2">
        <v>38680.34847222222</v>
      </c>
      <c r="D1267" t="s">
        <v>393</v>
      </c>
      <c r="E1267" t="s">
        <v>2599</v>
      </c>
      <c r="F1267" t="s">
        <v>2600</v>
      </c>
      <c r="G1267" t="s">
        <v>1019</v>
      </c>
      <c r="H1267" t="s">
        <v>1031</v>
      </c>
      <c r="I1267">
        <v>185349003</v>
      </c>
      <c r="J1267" t="s">
        <v>1038</v>
      </c>
      <c r="K1267">
        <v>85.55</v>
      </c>
      <c r="L1267">
        <v>33554.82</v>
      </c>
      <c r="M1267">
        <v>0</v>
      </c>
      <c r="N1267">
        <v>68496003</v>
      </c>
      <c r="O1267" t="s">
        <v>2188</v>
      </c>
    </row>
    <row r="1268" spans="1:15">
      <c r="A1268" t="s">
        <v>2603</v>
      </c>
      <c r="B1268" s="2">
        <v>39007.331979166665</v>
      </c>
      <c r="C1268" s="2">
        <v>39007.364282407405</v>
      </c>
      <c r="D1268" t="s">
        <v>393</v>
      </c>
      <c r="E1268" t="s">
        <v>2594</v>
      </c>
      <c r="F1268" t="s">
        <v>2595</v>
      </c>
      <c r="G1268" t="s">
        <v>1974</v>
      </c>
      <c r="H1268" t="s">
        <v>1020</v>
      </c>
      <c r="I1268">
        <v>162673000</v>
      </c>
      <c r="J1268" t="s">
        <v>1021</v>
      </c>
      <c r="K1268">
        <v>136.80000000000001</v>
      </c>
      <c r="L1268">
        <v>989.36</v>
      </c>
      <c r="M1268">
        <v>989.36</v>
      </c>
      <c r="O1268" t="s">
        <v>34</v>
      </c>
    </row>
    <row r="1269" spans="1:15">
      <c r="A1269" t="s">
        <v>2604</v>
      </c>
      <c r="B1269" s="2">
        <v>39267.331979166665</v>
      </c>
      <c r="C1269" s="2">
        <v>39267.342395833337</v>
      </c>
      <c r="D1269" t="s">
        <v>393</v>
      </c>
      <c r="E1269" t="s">
        <v>2599</v>
      </c>
      <c r="F1269" t="s">
        <v>2600</v>
      </c>
      <c r="G1269" t="s">
        <v>1974</v>
      </c>
      <c r="H1269" t="s">
        <v>1031</v>
      </c>
      <c r="I1269">
        <v>185347001</v>
      </c>
      <c r="J1269" t="s">
        <v>1124</v>
      </c>
      <c r="K1269">
        <v>85.55</v>
      </c>
      <c r="L1269">
        <v>85.55</v>
      </c>
      <c r="M1269">
        <v>50.55</v>
      </c>
      <c r="N1269">
        <v>239873007</v>
      </c>
      <c r="O1269" t="s">
        <v>2007</v>
      </c>
    </row>
    <row r="1270" spans="1:15">
      <c r="A1270" t="s">
        <v>2605</v>
      </c>
      <c r="B1270" s="2">
        <v>39378.331979166665</v>
      </c>
      <c r="C1270" s="2">
        <v>39378.369340277779</v>
      </c>
      <c r="D1270" t="s">
        <v>393</v>
      </c>
      <c r="E1270" t="s">
        <v>2594</v>
      </c>
      <c r="F1270" t="s">
        <v>2595</v>
      </c>
      <c r="G1270" t="s">
        <v>1325</v>
      </c>
      <c r="H1270" t="s">
        <v>1020</v>
      </c>
      <c r="I1270">
        <v>162673000</v>
      </c>
      <c r="J1270" t="s">
        <v>1021</v>
      </c>
      <c r="K1270">
        <v>136.80000000000001</v>
      </c>
      <c r="L1270">
        <v>1324.11</v>
      </c>
      <c r="M1270">
        <v>0</v>
      </c>
      <c r="O1270" t="s">
        <v>34</v>
      </c>
    </row>
    <row r="1271" spans="1:15">
      <c r="A1271" t="s">
        <v>2606</v>
      </c>
      <c r="B1271" s="2">
        <v>40491.290312500001</v>
      </c>
      <c r="C1271" s="2">
        <v>40491.319490740738</v>
      </c>
      <c r="D1271" t="s">
        <v>393</v>
      </c>
      <c r="E1271" t="s">
        <v>2594</v>
      </c>
      <c r="F1271" t="s">
        <v>2595</v>
      </c>
      <c r="G1271" t="s">
        <v>1325</v>
      </c>
      <c r="H1271" t="s">
        <v>1020</v>
      </c>
      <c r="I1271">
        <v>162673000</v>
      </c>
      <c r="J1271" t="s">
        <v>1021</v>
      </c>
      <c r="K1271">
        <v>136.80000000000001</v>
      </c>
      <c r="L1271">
        <v>704.2</v>
      </c>
      <c r="M1271">
        <v>0</v>
      </c>
      <c r="O1271" t="s">
        <v>34</v>
      </c>
    </row>
    <row r="1272" spans="1:15">
      <c r="A1272" t="s">
        <v>2607</v>
      </c>
      <c r="B1272" s="2">
        <v>40504.574583333335</v>
      </c>
      <c r="C1272" s="2">
        <v>40504.77140046296</v>
      </c>
      <c r="D1272" t="s">
        <v>393</v>
      </c>
      <c r="E1272" t="s">
        <v>1226</v>
      </c>
      <c r="F1272" t="s">
        <v>1227</v>
      </c>
      <c r="G1272" t="s">
        <v>1325</v>
      </c>
      <c r="H1272" t="s">
        <v>1031</v>
      </c>
      <c r="I1272">
        <v>185347001</v>
      </c>
      <c r="J1272" t="s">
        <v>1124</v>
      </c>
      <c r="K1272">
        <v>85.55</v>
      </c>
      <c r="L1272">
        <v>1444.46</v>
      </c>
      <c r="M1272">
        <v>0</v>
      </c>
      <c r="N1272">
        <v>414545008</v>
      </c>
      <c r="O1272" t="s">
        <v>1228</v>
      </c>
    </row>
    <row r="1273" spans="1:15">
      <c r="A1273" t="s">
        <v>2608</v>
      </c>
      <c r="B1273" s="2">
        <v>41975.290312500001</v>
      </c>
      <c r="C1273" s="2">
        <v>41975.330821759257</v>
      </c>
      <c r="D1273" t="s">
        <v>393</v>
      </c>
      <c r="E1273" t="s">
        <v>2594</v>
      </c>
      <c r="F1273" t="s">
        <v>2595</v>
      </c>
      <c r="G1273" t="s">
        <v>1325</v>
      </c>
      <c r="H1273" t="s">
        <v>1020</v>
      </c>
      <c r="I1273">
        <v>162673000</v>
      </c>
      <c r="J1273" t="s">
        <v>1021</v>
      </c>
      <c r="K1273">
        <v>136.80000000000001</v>
      </c>
      <c r="L1273">
        <v>704.2</v>
      </c>
      <c r="M1273">
        <v>0</v>
      </c>
      <c r="O1273" t="s">
        <v>34</v>
      </c>
    </row>
    <row r="1274" spans="1:15">
      <c r="A1274" t="s">
        <v>2609</v>
      </c>
      <c r="B1274" s="2">
        <v>42353.290312500001</v>
      </c>
      <c r="C1274" s="2">
        <v>42353.300729166665</v>
      </c>
      <c r="D1274" t="s">
        <v>393</v>
      </c>
      <c r="E1274" t="s">
        <v>2599</v>
      </c>
      <c r="F1274" t="s">
        <v>2600</v>
      </c>
      <c r="G1274" t="s">
        <v>1325</v>
      </c>
      <c r="H1274" t="s">
        <v>1031</v>
      </c>
      <c r="I1274">
        <v>390906007</v>
      </c>
      <c r="J1274" t="s">
        <v>1255</v>
      </c>
      <c r="K1274">
        <v>85.55</v>
      </c>
      <c r="L1274">
        <v>234.71</v>
      </c>
      <c r="M1274">
        <v>0</v>
      </c>
      <c r="N1274">
        <v>55822004</v>
      </c>
      <c r="O1274" t="s">
        <v>2010</v>
      </c>
    </row>
    <row r="1275" spans="1:15">
      <c r="A1275" t="s">
        <v>2610</v>
      </c>
      <c r="B1275" s="2">
        <v>42717.290312500001</v>
      </c>
      <c r="C1275" s="2">
        <v>42717.31658564815</v>
      </c>
      <c r="D1275" t="s">
        <v>393</v>
      </c>
      <c r="E1275" t="s">
        <v>2594</v>
      </c>
      <c r="F1275" t="s">
        <v>2595</v>
      </c>
      <c r="G1275" t="s">
        <v>1325</v>
      </c>
      <c r="H1275" t="s">
        <v>1020</v>
      </c>
      <c r="I1275">
        <v>162673000</v>
      </c>
      <c r="J1275" t="s">
        <v>1021</v>
      </c>
      <c r="K1275">
        <v>136.80000000000001</v>
      </c>
      <c r="L1275">
        <v>1265</v>
      </c>
      <c r="M1275">
        <v>0</v>
      </c>
      <c r="O1275" t="s">
        <v>34</v>
      </c>
    </row>
    <row r="1276" spans="1:15">
      <c r="A1276" t="s">
        <v>2611</v>
      </c>
      <c r="B1276" s="2">
        <v>42718.290312500001</v>
      </c>
      <c r="C1276" s="2">
        <v>42718.300729166665</v>
      </c>
      <c r="D1276" t="s">
        <v>393</v>
      </c>
      <c r="E1276" t="s">
        <v>2599</v>
      </c>
      <c r="F1276" t="s">
        <v>2600</v>
      </c>
      <c r="G1276" t="s">
        <v>1325</v>
      </c>
      <c r="H1276" t="s">
        <v>1031</v>
      </c>
      <c r="I1276">
        <v>390906007</v>
      </c>
      <c r="J1276" t="s">
        <v>1255</v>
      </c>
      <c r="K1276">
        <v>85.55</v>
      </c>
      <c r="L1276">
        <v>234.71</v>
      </c>
      <c r="M1276">
        <v>0</v>
      </c>
      <c r="N1276">
        <v>55822004</v>
      </c>
      <c r="O1276" t="s">
        <v>2010</v>
      </c>
    </row>
    <row r="1277" spans="1:15">
      <c r="A1277" t="s">
        <v>2612</v>
      </c>
      <c r="B1277" s="2">
        <v>42731.290312500001</v>
      </c>
      <c r="C1277" s="2">
        <v>42731.455081018517</v>
      </c>
      <c r="D1277" t="s">
        <v>393</v>
      </c>
      <c r="E1277" t="s">
        <v>2599</v>
      </c>
      <c r="F1277" t="s">
        <v>2600</v>
      </c>
      <c r="G1277" t="s">
        <v>1325</v>
      </c>
      <c r="H1277" t="s">
        <v>1031</v>
      </c>
      <c r="I1277">
        <v>185349003</v>
      </c>
      <c r="J1277" t="s">
        <v>1038</v>
      </c>
      <c r="K1277">
        <v>85.55</v>
      </c>
      <c r="L1277">
        <v>3536.75</v>
      </c>
      <c r="M1277">
        <v>0</v>
      </c>
      <c r="N1277">
        <v>103697008</v>
      </c>
      <c r="O1277" t="s">
        <v>1039</v>
      </c>
    </row>
    <row r="1278" spans="1:15">
      <c r="A1278" t="s">
        <v>2613</v>
      </c>
      <c r="B1278" s="2">
        <v>43088.290312500001</v>
      </c>
      <c r="C1278" s="2">
        <v>43088.312291666669</v>
      </c>
      <c r="D1278" t="s">
        <v>393</v>
      </c>
      <c r="E1278" t="s">
        <v>2594</v>
      </c>
      <c r="F1278" t="s">
        <v>2595</v>
      </c>
      <c r="G1278" t="s">
        <v>1325</v>
      </c>
      <c r="H1278" t="s">
        <v>1020</v>
      </c>
      <c r="I1278">
        <v>162673000</v>
      </c>
      <c r="J1278" t="s">
        <v>1021</v>
      </c>
      <c r="K1278">
        <v>136.80000000000001</v>
      </c>
      <c r="L1278">
        <v>919.9</v>
      </c>
      <c r="M1278">
        <v>0</v>
      </c>
      <c r="O1278" t="s">
        <v>34</v>
      </c>
    </row>
    <row r="1279" spans="1:15">
      <c r="A1279" t="s">
        <v>2614</v>
      </c>
      <c r="B1279" s="2">
        <v>43095.290312500001</v>
      </c>
      <c r="C1279" s="2">
        <v>43095.300729166665</v>
      </c>
      <c r="D1279" t="s">
        <v>393</v>
      </c>
      <c r="E1279" t="s">
        <v>2599</v>
      </c>
      <c r="F1279" t="s">
        <v>2600</v>
      </c>
      <c r="G1279" t="s">
        <v>1325</v>
      </c>
      <c r="H1279" t="s">
        <v>1031</v>
      </c>
      <c r="I1279">
        <v>390906007</v>
      </c>
      <c r="J1279" t="s">
        <v>1255</v>
      </c>
      <c r="K1279">
        <v>85.55</v>
      </c>
      <c r="L1279">
        <v>234.71</v>
      </c>
      <c r="M1279">
        <v>0</v>
      </c>
      <c r="N1279">
        <v>55822004</v>
      </c>
      <c r="O1279" t="s">
        <v>2010</v>
      </c>
    </row>
    <row r="1280" spans="1:15">
      <c r="A1280" t="s">
        <v>2615</v>
      </c>
      <c r="B1280" s="2">
        <v>43459.290312500001</v>
      </c>
      <c r="C1280" s="2">
        <v>43459.311678240738</v>
      </c>
      <c r="D1280" t="s">
        <v>393</v>
      </c>
      <c r="E1280" t="s">
        <v>2594</v>
      </c>
      <c r="F1280" t="s">
        <v>2595</v>
      </c>
      <c r="G1280" t="s">
        <v>1325</v>
      </c>
      <c r="H1280" t="s">
        <v>1020</v>
      </c>
      <c r="I1280">
        <v>162673000</v>
      </c>
      <c r="J1280" t="s">
        <v>1021</v>
      </c>
      <c r="K1280">
        <v>136.80000000000001</v>
      </c>
      <c r="L1280">
        <v>778.78</v>
      </c>
      <c r="M1280">
        <v>0</v>
      </c>
      <c r="O1280" t="s">
        <v>34</v>
      </c>
    </row>
    <row r="1281" spans="1:15">
      <c r="A1281" t="s">
        <v>2616</v>
      </c>
      <c r="B1281" s="2">
        <v>43460.290312500001</v>
      </c>
      <c r="C1281" s="2">
        <v>43460.300729166665</v>
      </c>
      <c r="D1281" t="s">
        <v>393</v>
      </c>
      <c r="E1281" t="s">
        <v>2599</v>
      </c>
      <c r="F1281" t="s">
        <v>2600</v>
      </c>
      <c r="G1281" t="s">
        <v>1325</v>
      </c>
      <c r="H1281" t="s">
        <v>1031</v>
      </c>
      <c r="I1281">
        <v>390906007</v>
      </c>
      <c r="J1281" t="s">
        <v>1255</v>
      </c>
      <c r="K1281">
        <v>85.55</v>
      </c>
      <c r="L1281">
        <v>234.71</v>
      </c>
      <c r="M1281">
        <v>0</v>
      </c>
      <c r="N1281">
        <v>55822004</v>
      </c>
      <c r="O1281" t="s">
        <v>2010</v>
      </c>
    </row>
    <row r="1282" spans="1:15">
      <c r="A1282" t="s">
        <v>2617</v>
      </c>
      <c r="B1282" s="2">
        <v>43473.290312500001</v>
      </c>
      <c r="C1282" s="2">
        <v>43473.420520833337</v>
      </c>
      <c r="D1282" t="s">
        <v>393</v>
      </c>
      <c r="E1282" t="s">
        <v>2599</v>
      </c>
      <c r="F1282" t="s">
        <v>2600</v>
      </c>
      <c r="G1282" t="s">
        <v>1325</v>
      </c>
      <c r="H1282" t="s">
        <v>1031</v>
      </c>
      <c r="I1282">
        <v>185349003</v>
      </c>
      <c r="J1282" t="s">
        <v>1038</v>
      </c>
      <c r="K1282">
        <v>85.55</v>
      </c>
      <c r="L1282">
        <v>3105.35</v>
      </c>
      <c r="M1282">
        <v>0</v>
      </c>
      <c r="N1282">
        <v>103697008</v>
      </c>
      <c r="O1282" t="s">
        <v>1039</v>
      </c>
    </row>
    <row r="1283" spans="1:15">
      <c r="A1283" t="s">
        <v>2618</v>
      </c>
      <c r="B1283" s="2">
        <v>43746.331979166665</v>
      </c>
      <c r="C1283" s="2">
        <v>43752.342395833337</v>
      </c>
      <c r="D1283" t="s">
        <v>393</v>
      </c>
      <c r="E1283" t="s">
        <v>2619</v>
      </c>
      <c r="F1283" t="s">
        <v>2620</v>
      </c>
      <c r="G1283" t="s">
        <v>1122</v>
      </c>
      <c r="H1283" t="s">
        <v>1263</v>
      </c>
      <c r="I1283">
        <v>305336008</v>
      </c>
      <c r="J1283" t="s">
        <v>1264</v>
      </c>
      <c r="K1283">
        <v>137.53</v>
      </c>
      <c r="L1283">
        <v>4882.93</v>
      </c>
      <c r="M1283">
        <v>3719.94</v>
      </c>
      <c r="N1283">
        <v>363406005</v>
      </c>
      <c r="O1283" t="s">
        <v>2621</v>
      </c>
    </row>
    <row r="1284" spans="1:15">
      <c r="A1284" t="s">
        <v>2622</v>
      </c>
      <c r="B1284" s="2">
        <v>43830.290312500001</v>
      </c>
      <c r="C1284" s="2">
        <v>43830.320729166669</v>
      </c>
      <c r="D1284" t="s">
        <v>393</v>
      </c>
      <c r="E1284" t="s">
        <v>2594</v>
      </c>
      <c r="F1284" t="s">
        <v>2595</v>
      </c>
      <c r="G1284" t="s">
        <v>1122</v>
      </c>
      <c r="H1284" t="s">
        <v>1020</v>
      </c>
      <c r="I1284">
        <v>162673000</v>
      </c>
      <c r="J1284" t="s">
        <v>1021</v>
      </c>
      <c r="K1284">
        <v>136.80000000000001</v>
      </c>
      <c r="L1284">
        <v>840.2</v>
      </c>
      <c r="M1284">
        <v>672.16</v>
      </c>
      <c r="O1284" t="s">
        <v>34</v>
      </c>
    </row>
    <row r="1285" spans="1:15">
      <c r="A1285" t="s">
        <v>2623</v>
      </c>
      <c r="B1285" s="2">
        <v>43837.290312500001</v>
      </c>
      <c r="C1285" s="2">
        <v>43837.300729166665</v>
      </c>
      <c r="D1285" t="s">
        <v>393</v>
      </c>
      <c r="E1285" t="s">
        <v>2599</v>
      </c>
      <c r="F1285" t="s">
        <v>2600</v>
      </c>
      <c r="G1285" t="s">
        <v>1122</v>
      </c>
      <c r="H1285" t="s">
        <v>1031</v>
      </c>
      <c r="I1285">
        <v>390906007</v>
      </c>
      <c r="J1285" t="s">
        <v>1255</v>
      </c>
      <c r="K1285">
        <v>85.55</v>
      </c>
      <c r="L1285">
        <v>234.71</v>
      </c>
      <c r="M1285">
        <v>187.76</v>
      </c>
      <c r="N1285">
        <v>55822004</v>
      </c>
      <c r="O1285" t="s">
        <v>2010</v>
      </c>
    </row>
    <row r="1286" spans="1:15">
      <c r="A1286" t="s">
        <v>2624</v>
      </c>
      <c r="B1286" s="2">
        <v>43844.290312500001</v>
      </c>
      <c r="C1286" s="2">
        <v>43844.432546296295</v>
      </c>
      <c r="D1286" t="s">
        <v>393</v>
      </c>
      <c r="E1286" t="s">
        <v>2599</v>
      </c>
      <c r="F1286" t="s">
        <v>2600</v>
      </c>
      <c r="G1286" t="s">
        <v>1122</v>
      </c>
      <c r="H1286" t="s">
        <v>1031</v>
      </c>
      <c r="I1286">
        <v>185349003</v>
      </c>
      <c r="J1286" t="s">
        <v>1038</v>
      </c>
      <c r="K1286">
        <v>85.55</v>
      </c>
      <c r="L1286">
        <v>3536.75</v>
      </c>
      <c r="M1286">
        <v>2829.4</v>
      </c>
      <c r="N1286">
        <v>103697008</v>
      </c>
      <c r="O1286" t="s">
        <v>1039</v>
      </c>
    </row>
    <row r="1287" spans="1:15">
      <c r="A1287" t="s">
        <v>2625</v>
      </c>
      <c r="B1287" s="2">
        <v>43986.33971064815</v>
      </c>
      <c r="C1287" s="2">
        <v>43986.381377314814</v>
      </c>
      <c r="D1287" t="s">
        <v>393</v>
      </c>
      <c r="E1287" t="s">
        <v>2626</v>
      </c>
      <c r="F1287" t="s">
        <v>2627</v>
      </c>
      <c r="G1287" t="s">
        <v>1122</v>
      </c>
      <c r="H1287" t="s">
        <v>1076</v>
      </c>
      <c r="I1287">
        <v>50849002</v>
      </c>
      <c r="J1287" t="s">
        <v>1163</v>
      </c>
      <c r="K1287">
        <v>146.18</v>
      </c>
      <c r="L1287">
        <v>146.18</v>
      </c>
      <c r="M1287">
        <v>116.94</v>
      </c>
      <c r="N1287">
        <v>110030002</v>
      </c>
      <c r="O1287" t="s">
        <v>2628</v>
      </c>
    </row>
    <row r="1288" spans="1:15">
      <c r="A1288" t="s">
        <v>2629</v>
      </c>
      <c r="B1288" s="2">
        <v>44027.33971064815</v>
      </c>
      <c r="C1288" s="2">
        <v>44027.350127314814</v>
      </c>
      <c r="D1288" t="s">
        <v>393</v>
      </c>
      <c r="E1288" t="s">
        <v>2599</v>
      </c>
      <c r="F1288" t="s">
        <v>2600</v>
      </c>
      <c r="G1288" t="s">
        <v>1122</v>
      </c>
      <c r="H1288" t="s">
        <v>1031</v>
      </c>
      <c r="I1288">
        <v>185349003</v>
      </c>
      <c r="J1288" t="s">
        <v>1038</v>
      </c>
      <c r="K1288">
        <v>85.55</v>
      </c>
      <c r="L1288">
        <v>85.55</v>
      </c>
      <c r="M1288">
        <v>68.44</v>
      </c>
      <c r="N1288">
        <v>62564004</v>
      </c>
      <c r="O1288" t="s">
        <v>2630</v>
      </c>
    </row>
    <row r="1289" spans="1:15">
      <c r="A1289" t="s">
        <v>2631</v>
      </c>
      <c r="B1289" s="2">
        <v>44201.290312500001</v>
      </c>
      <c r="C1289" s="2">
        <v>44201.322372685187</v>
      </c>
      <c r="D1289" t="s">
        <v>393</v>
      </c>
      <c r="E1289" t="s">
        <v>2594</v>
      </c>
      <c r="F1289" t="s">
        <v>2595</v>
      </c>
      <c r="G1289" t="s">
        <v>1122</v>
      </c>
      <c r="H1289" t="s">
        <v>1020</v>
      </c>
      <c r="I1289">
        <v>162673000</v>
      </c>
      <c r="J1289" t="s">
        <v>1021</v>
      </c>
      <c r="K1289">
        <v>136.80000000000001</v>
      </c>
      <c r="L1289">
        <v>840.2</v>
      </c>
      <c r="M1289">
        <v>485.76</v>
      </c>
      <c r="O1289" t="s">
        <v>34</v>
      </c>
    </row>
    <row r="1290" spans="1:15">
      <c r="A1290" t="s">
        <v>2632</v>
      </c>
      <c r="B1290" s="2">
        <v>44202.290312500001</v>
      </c>
      <c r="C1290" s="2">
        <v>44202.300729166665</v>
      </c>
      <c r="D1290" t="s">
        <v>393</v>
      </c>
      <c r="E1290" t="s">
        <v>2599</v>
      </c>
      <c r="F1290" t="s">
        <v>2600</v>
      </c>
      <c r="G1290" t="s">
        <v>1122</v>
      </c>
      <c r="H1290" t="s">
        <v>1031</v>
      </c>
      <c r="I1290">
        <v>390906007</v>
      </c>
      <c r="J1290" t="s">
        <v>1255</v>
      </c>
      <c r="K1290">
        <v>85.55</v>
      </c>
      <c r="L1290">
        <v>234.71</v>
      </c>
      <c r="M1290">
        <v>187.76</v>
      </c>
      <c r="N1290">
        <v>55822004</v>
      </c>
      <c r="O1290" t="s">
        <v>2010</v>
      </c>
    </row>
    <row r="1291" spans="1:15">
      <c r="A1291" t="s">
        <v>2633</v>
      </c>
      <c r="B1291" s="2">
        <v>44215.290312500001</v>
      </c>
      <c r="C1291" s="2">
        <v>44215.300729166665</v>
      </c>
      <c r="D1291" t="s">
        <v>393</v>
      </c>
      <c r="E1291" t="s">
        <v>2599</v>
      </c>
      <c r="F1291" t="s">
        <v>2600</v>
      </c>
      <c r="G1291" t="s">
        <v>1122</v>
      </c>
      <c r="H1291" t="s">
        <v>1043</v>
      </c>
      <c r="I1291">
        <v>33879002</v>
      </c>
      <c r="J1291" t="s">
        <v>1044</v>
      </c>
      <c r="K1291">
        <v>142.58000000000001</v>
      </c>
      <c r="L1291">
        <v>278.58</v>
      </c>
      <c r="M1291">
        <v>222.86</v>
      </c>
      <c r="O1291" t="s">
        <v>34</v>
      </c>
    </row>
    <row r="1292" spans="1:15">
      <c r="A1292" t="s">
        <v>2634</v>
      </c>
      <c r="B1292" s="2">
        <v>44243.290312500001</v>
      </c>
      <c r="C1292" s="2">
        <v>44243.300729166665</v>
      </c>
      <c r="D1292" t="s">
        <v>393</v>
      </c>
      <c r="E1292" t="s">
        <v>2599</v>
      </c>
      <c r="F1292" t="s">
        <v>2600</v>
      </c>
      <c r="G1292" t="s">
        <v>1122</v>
      </c>
      <c r="H1292" t="s">
        <v>1043</v>
      </c>
      <c r="I1292">
        <v>33879002</v>
      </c>
      <c r="J1292" t="s">
        <v>1044</v>
      </c>
      <c r="K1292">
        <v>142.58000000000001</v>
      </c>
      <c r="L1292">
        <v>278.58</v>
      </c>
      <c r="M1292">
        <v>222.86</v>
      </c>
      <c r="O1292" t="s">
        <v>34</v>
      </c>
    </row>
    <row r="1293" spans="1:15">
      <c r="A1293" t="s">
        <v>2635</v>
      </c>
      <c r="B1293" s="2">
        <v>44572.290312500001</v>
      </c>
      <c r="C1293" s="2">
        <v>44572.326192129629</v>
      </c>
      <c r="D1293" t="s">
        <v>393</v>
      </c>
      <c r="E1293" t="s">
        <v>2594</v>
      </c>
      <c r="F1293" t="s">
        <v>2595</v>
      </c>
      <c r="G1293" t="s">
        <v>1122</v>
      </c>
      <c r="H1293" t="s">
        <v>1020</v>
      </c>
      <c r="I1293">
        <v>162673000</v>
      </c>
      <c r="J1293" t="s">
        <v>1021</v>
      </c>
      <c r="K1293">
        <v>136.80000000000001</v>
      </c>
      <c r="L1293">
        <v>1069.06</v>
      </c>
      <c r="M1293">
        <v>668.84</v>
      </c>
      <c r="O1293" t="s">
        <v>34</v>
      </c>
    </row>
    <row r="1294" spans="1:15">
      <c r="A1294" t="s">
        <v>2636</v>
      </c>
      <c r="B1294" s="2">
        <v>44579.290312500001</v>
      </c>
      <c r="C1294" s="2">
        <v>44579.300729166665</v>
      </c>
      <c r="D1294" t="s">
        <v>393</v>
      </c>
      <c r="E1294" t="s">
        <v>2599</v>
      </c>
      <c r="F1294" t="s">
        <v>2600</v>
      </c>
      <c r="G1294" t="s">
        <v>1122</v>
      </c>
      <c r="H1294" t="s">
        <v>1031</v>
      </c>
      <c r="I1294">
        <v>390906007</v>
      </c>
      <c r="J1294" t="s">
        <v>1255</v>
      </c>
      <c r="K1294">
        <v>85.55</v>
      </c>
      <c r="L1294">
        <v>234.71</v>
      </c>
      <c r="M1294">
        <v>187.76</v>
      </c>
      <c r="N1294">
        <v>55822004</v>
      </c>
      <c r="O1294" t="s">
        <v>2010</v>
      </c>
    </row>
    <row r="1295" spans="1:15">
      <c r="A1295" t="s">
        <v>2637</v>
      </c>
      <c r="B1295" s="2">
        <v>44586.290312500001</v>
      </c>
      <c r="C1295" s="2">
        <v>44586.442349537036</v>
      </c>
      <c r="D1295" t="s">
        <v>393</v>
      </c>
      <c r="E1295" t="s">
        <v>2599</v>
      </c>
      <c r="F1295" t="s">
        <v>2600</v>
      </c>
      <c r="G1295" t="s">
        <v>1122</v>
      </c>
      <c r="H1295" t="s">
        <v>1031</v>
      </c>
      <c r="I1295">
        <v>185349003</v>
      </c>
      <c r="J1295" t="s">
        <v>1038</v>
      </c>
      <c r="K1295">
        <v>85.55</v>
      </c>
      <c r="L1295">
        <v>3536.75</v>
      </c>
      <c r="M1295">
        <v>2829.4</v>
      </c>
      <c r="N1295">
        <v>103697008</v>
      </c>
      <c r="O1295" t="s">
        <v>1039</v>
      </c>
    </row>
    <row r="1296" spans="1:15">
      <c r="A1296" t="s">
        <v>2638</v>
      </c>
      <c r="B1296" s="2">
        <v>44753.831979166665</v>
      </c>
      <c r="C1296" s="2">
        <v>44753.842395833337</v>
      </c>
      <c r="D1296" t="s">
        <v>393</v>
      </c>
      <c r="E1296" t="s">
        <v>2599</v>
      </c>
      <c r="F1296" t="s">
        <v>2600</v>
      </c>
      <c r="G1296" t="s">
        <v>1122</v>
      </c>
      <c r="H1296" t="s">
        <v>1031</v>
      </c>
      <c r="I1296">
        <v>185345009</v>
      </c>
      <c r="J1296" t="s">
        <v>1032</v>
      </c>
      <c r="K1296">
        <v>85.55</v>
      </c>
      <c r="L1296">
        <v>85.55</v>
      </c>
      <c r="M1296">
        <v>68.44</v>
      </c>
      <c r="N1296">
        <v>75498004</v>
      </c>
      <c r="O1296" t="s">
        <v>1174</v>
      </c>
    </row>
    <row r="1297" spans="1:15">
      <c r="A1297" t="s">
        <v>2639</v>
      </c>
      <c r="B1297" s="2">
        <v>44770.831979166665</v>
      </c>
      <c r="C1297" s="2">
        <v>44770.842395833337</v>
      </c>
      <c r="D1297" t="s">
        <v>393</v>
      </c>
      <c r="E1297" t="s">
        <v>2599</v>
      </c>
      <c r="F1297" t="s">
        <v>2600</v>
      </c>
      <c r="G1297" t="s">
        <v>1122</v>
      </c>
      <c r="H1297" t="s">
        <v>1031</v>
      </c>
      <c r="I1297">
        <v>185345009</v>
      </c>
      <c r="J1297" t="s">
        <v>1032</v>
      </c>
      <c r="K1297">
        <v>85.55</v>
      </c>
      <c r="L1297">
        <v>92.93</v>
      </c>
      <c r="M1297">
        <v>74.34</v>
      </c>
      <c r="N1297">
        <v>75498004</v>
      </c>
      <c r="O1297" t="s">
        <v>1174</v>
      </c>
    </row>
    <row r="1298" spans="1:15">
      <c r="A1298" t="s">
        <v>2640</v>
      </c>
      <c r="B1298" s="2">
        <v>44840.831979166665</v>
      </c>
      <c r="C1298" s="2">
        <v>44840.842395833337</v>
      </c>
      <c r="D1298" t="s">
        <v>393</v>
      </c>
      <c r="E1298" t="s">
        <v>2599</v>
      </c>
      <c r="F1298" t="s">
        <v>2600</v>
      </c>
      <c r="G1298" t="s">
        <v>1122</v>
      </c>
      <c r="H1298" t="s">
        <v>1031</v>
      </c>
      <c r="I1298">
        <v>185345009</v>
      </c>
      <c r="J1298" t="s">
        <v>1032</v>
      </c>
      <c r="K1298">
        <v>85.55</v>
      </c>
      <c r="L1298">
        <v>85.55</v>
      </c>
      <c r="M1298">
        <v>68.44</v>
      </c>
      <c r="N1298">
        <v>75498004</v>
      </c>
      <c r="O1298" t="s">
        <v>1174</v>
      </c>
    </row>
    <row r="1299" spans="1:15">
      <c r="A1299" t="s">
        <v>2641</v>
      </c>
      <c r="B1299" s="2">
        <v>44882.790312500001</v>
      </c>
      <c r="C1299" s="2">
        <v>44882.800729166665</v>
      </c>
      <c r="D1299" t="s">
        <v>393</v>
      </c>
      <c r="E1299" t="s">
        <v>2599</v>
      </c>
      <c r="F1299" t="s">
        <v>2600</v>
      </c>
      <c r="G1299" t="s">
        <v>1122</v>
      </c>
      <c r="H1299" t="s">
        <v>1031</v>
      </c>
      <c r="I1299">
        <v>185345009</v>
      </c>
      <c r="J1299" t="s">
        <v>1032</v>
      </c>
      <c r="K1299">
        <v>85.55</v>
      </c>
      <c r="L1299">
        <v>85.55</v>
      </c>
      <c r="M1299">
        <v>0</v>
      </c>
      <c r="N1299">
        <v>75498004</v>
      </c>
      <c r="O1299" t="s">
        <v>1174</v>
      </c>
    </row>
    <row r="1300" spans="1:15">
      <c r="A1300" t="s">
        <v>2642</v>
      </c>
      <c r="B1300" s="2">
        <v>44903.790312500001</v>
      </c>
      <c r="C1300" s="2">
        <v>44903.800729166665</v>
      </c>
      <c r="D1300" t="s">
        <v>393</v>
      </c>
      <c r="E1300" t="s">
        <v>2599</v>
      </c>
      <c r="F1300" t="s">
        <v>2600</v>
      </c>
      <c r="G1300" t="s">
        <v>1122</v>
      </c>
      <c r="H1300" t="s">
        <v>1031</v>
      </c>
      <c r="I1300">
        <v>185345009</v>
      </c>
      <c r="J1300" t="s">
        <v>1032</v>
      </c>
      <c r="K1300">
        <v>85.55</v>
      </c>
      <c r="L1300">
        <v>85.55</v>
      </c>
      <c r="M1300">
        <v>0</v>
      </c>
      <c r="N1300">
        <v>75498004</v>
      </c>
      <c r="O1300" t="s">
        <v>1174</v>
      </c>
    </row>
    <row r="1301" spans="1:15">
      <c r="A1301" t="s">
        <v>2643</v>
      </c>
      <c r="B1301" s="2">
        <v>44915.290312500001</v>
      </c>
      <c r="C1301" s="2">
        <v>44915.326689814814</v>
      </c>
      <c r="D1301" t="s">
        <v>393</v>
      </c>
      <c r="E1301" t="s">
        <v>2599</v>
      </c>
      <c r="F1301" t="s">
        <v>2600</v>
      </c>
      <c r="G1301" t="s">
        <v>1122</v>
      </c>
      <c r="H1301" t="s">
        <v>1043</v>
      </c>
      <c r="I1301">
        <v>185349003</v>
      </c>
      <c r="J1301" t="s">
        <v>1038</v>
      </c>
      <c r="K1301">
        <v>85.55</v>
      </c>
      <c r="L1301">
        <v>652.95000000000005</v>
      </c>
      <c r="M1301">
        <v>472.84</v>
      </c>
      <c r="O1301" t="s">
        <v>34</v>
      </c>
    </row>
    <row r="1302" spans="1:15">
      <c r="A1302" t="s">
        <v>2644</v>
      </c>
      <c r="B1302" s="2">
        <v>44929.290312500001</v>
      </c>
      <c r="C1302" s="2">
        <v>44929.45784722222</v>
      </c>
      <c r="D1302" t="s">
        <v>393</v>
      </c>
      <c r="E1302" t="s">
        <v>2599</v>
      </c>
      <c r="F1302" t="s">
        <v>2600</v>
      </c>
      <c r="G1302" t="s">
        <v>1122</v>
      </c>
      <c r="H1302" t="s">
        <v>1031</v>
      </c>
      <c r="I1302">
        <v>185349003</v>
      </c>
      <c r="J1302" t="s">
        <v>1038</v>
      </c>
      <c r="K1302">
        <v>85.55</v>
      </c>
      <c r="L1302">
        <v>3536.75</v>
      </c>
      <c r="M1302">
        <v>2829.4</v>
      </c>
      <c r="N1302">
        <v>103697008</v>
      </c>
      <c r="O1302" t="s">
        <v>1039</v>
      </c>
    </row>
    <row r="1303" spans="1:15">
      <c r="A1303" t="s">
        <v>2645</v>
      </c>
      <c r="B1303" s="2">
        <v>44943.290312500001</v>
      </c>
      <c r="C1303" s="2">
        <v>44943.3128125</v>
      </c>
      <c r="D1303" t="s">
        <v>393</v>
      </c>
      <c r="E1303" t="s">
        <v>2594</v>
      </c>
      <c r="F1303" t="s">
        <v>2595</v>
      </c>
      <c r="G1303" t="s">
        <v>1122</v>
      </c>
      <c r="H1303" t="s">
        <v>1020</v>
      </c>
      <c r="I1303">
        <v>162673000</v>
      </c>
      <c r="J1303" t="s">
        <v>1021</v>
      </c>
      <c r="K1303">
        <v>136.80000000000001</v>
      </c>
      <c r="L1303">
        <v>893.96</v>
      </c>
      <c r="M1303">
        <v>715.17</v>
      </c>
      <c r="O1303" t="s">
        <v>34</v>
      </c>
    </row>
    <row r="1304" spans="1:15">
      <c r="A1304" t="s">
        <v>2646</v>
      </c>
      <c r="B1304" s="2">
        <v>44944.290312500001</v>
      </c>
      <c r="C1304" s="2">
        <v>44944.300729166665</v>
      </c>
      <c r="D1304" t="s">
        <v>393</v>
      </c>
      <c r="E1304" t="s">
        <v>2599</v>
      </c>
      <c r="F1304" t="s">
        <v>2600</v>
      </c>
      <c r="G1304" t="s">
        <v>1122</v>
      </c>
      <c r="H1304" t="s">
        <v>1031</v>
      </c>
      <c r="I1304">
        <v>390906007</v>
      </c>
      <c r="J1304" t="s">
        <v>1255</v>
      </c>
      <c r="K1304">
        <v>85.55</v>
      </c>
      <c r="L1304">
        <v>234.71</v>
      </c>
      <c r="M1304">
        <v>187.76</v>
      </c>
      <c r="N1304">
        <v>55822004</v>
      </c>
      <c r="O1304" t="s">
        <v>2010</v>
      </c>
    </row>
    <row r="1305" spans="1:15">
      <c r="A1305" t="s">
        <v>2647</v>
      </c>
      <c r="B1305" s="2">
        <v>45232.331979166665</v>
      </c>
      <c r="C1305" s="2">
        <v>45232.373645833337</v>
      </c>
      <c r="D1305" t="s">
        <v>393</v>
      </c>
      <c r="E1305" t="s">
        <v>1226</v>
      </c>
      <c r="F1305" t="s">
        <v>1227</v>
      </c>
      <c r="G1305" t="s">
        <v>1122</v>
      </c>
      <c r="H1305" t="s">
        <v>1076</v>
      </c>
      <c r="I1305">
        <v>50849002</v>
      </c>
      <c r="J1305" t="s">
        <v>1163</v>
      </c>
      <c r="K1305">
        <v>146.18</v>
      </c>
      <c r="L1305">
        <v>6241.52</v>
      </c>
      <c r="M1305">
        <v>4993.2</v>
      </c>
      <c r="N1305">
        <v>22298006</v>
      </c>
      <c r="O1305" t="s">
        <v>2648</v>
      </c>
    </row>
    <row r="1306" spans="1:15">
      <c r="A1306" t="s">
        <v>2649</v>
      </c>
      <c r="B1306" s="2">
        <v>45232.371458333335</v>
      </c>
      <c r="C1306" s="2">
        <v>45233.371458333335</v>
      </c>
      <c r="D1306" t="s">
        <v>393</v>
      </c>
      <c r="E1306" t="s">
        <v>1226</v>
      </c>
      <c r="F1306" t="s">
        <v>1227</v>
      </c>
      <c r="G1306" t="s">
        <v>1122</v>
      </c>
      <c r="H1306" t="s">
        <v>1431</v>
      </c>
      <c r="I1306">
        <v>32485007</v>
      </c>
      <c r="J1306" t="s">
        <v>1837</v>
      </c>
      <c r="K1306">
        <v>146.18</v>
      </c>
      <c r="L1306">
        <v>577.58000000000004</v>
      </c>
      <c r="M1306">
        <v>462.06</v>
      </c>
      <c r="N1306">
        <v>401314000</v>
      </c>
      <c r="O1306" t="s">
        <v>2650</v>
      </c>
    </row>
    <row r="1307" spans="1:15">
      <c r="A1307" t="s">
        <v>2651</v>
      </c>
      <c r="B1307" s="2">
        <v>45232.392291666663</v>
      </c>
      <c r="C1307" s="2">
        <v>45232.42769675926</v>
      </c>
      <c r="D1307" t="s">
        <v>393</v>
      </c>
      <c r="E1307" t="s">
        <v>1226</v>
      </c>
      <c r="F1307" t="s">
        <v>1227</v>
      </c>
      <c r="G1307" t="s">
        <v>1122</v>
      </c>
      <c r="H1307" t="s">
        <v>1031</v>
      </c>
      <c r="I1307">
        <v>185347001</v>
      </c>
      <c r="J1307" t="s">
        <v>1124</v>
      </c>
      <c r="K1307">
        <v>85.55</v>
      </c>
      <c r="L1307">
        <v>516.95000000000005</v>
      </c>
      <c r="M1307">
        <v>413.56</v>
      </c>
      <c r="N1307">
        <v>401314000</v>
      </c>
      <c r="O1307" t="s">
        <v>2650</v>
      </c>
    </row>
    <row r="1308" spans="1:15">
      <c r="A1308" t="s">
        <v>2652</v>
      </c>
      <c r="B1308" s="2">
        <v>45236.55269675926</v>
      </c>
      <c r="C1308" s="2">
        <v>45236.75141203704</v>
      </c>
      <c r="D1308" t="s">
        <v>393</v>
      </c>
      <c r="E1308" t="s">
        <v>1226</v>
      </c>
      <c r="F1308" t="s">
        <v>1227</v>
      </c>
      <c r="G1308" t="s">
        <v>1122</v>
      </c>
      <c r="H1308" t="s">
        <v>1031</v>
      </c>
      <c r="I1308">
        <v>185347001</v>
      </c>
      <c r="J1308" t="s">
        <v>1124</v>
      </c>
      <c r="K1308">
        <v>85.55</v>
      </c>
      <c r="L1308">
        <v>1444.46</v>
      </c>
      <c r="M1308">
        <v>1155.57</v>
      </c>
      <c r="N1308">
        <v>401314000</v>
      </c>
      <c r="O1308" t="s">
        <v>2650</v>
      </c>
    </row>
    <row r="1309" spans="1:15">
      <c r="A1309" t="s">
        <v>2653</v>
      </c>
      <c r="B1309" s="2">
        <v>45238.793078703704</v>
      </c>
      <c r="C1309" s="2">
        <v>45238.829641203702</v>
      </c>
      <c r="D1309" t="s">
        <v>393</v>
      </c>
      <c r="E1309" t="s">
        <v>1226</v>
      </c>
      <c r="F1309" t="s">
        <v>1227</v>
      </c>
      <c r="G1309" t="s">
        <v>1122</v>
      </c>
      <c r="H1309" t="s">
        <v>1031</v>
      </c>
      <c r="I1309">
        <v>185347001</v>
      </c>
      <c r="J1309" t="s">
        <v>1124</v>
      </c>
      <c r="K1309">
        <v>85.55</v>
      </c>
      <c r="L1309">
        <v>10393.379999999999</v>
      </c>
      <c r="M1309">
        <v>8314.7000000000007</v>
      </c>
      <c r="N1309">
        <v>401314000</v>
      </c>
      <c r="O1309" t="s">
        <v>2650</v>
      </c>
    </row>
    <row r="1310" spans="1:15">
      <c r="A1310" t="s">
        <v>2654</v>
      </c>
      <c r="B1310" s="2">
        <v>45314.290312500001</v>
      </c>
      <c r="C1310" s="2">
        <v>45314.315706018519</v>
      </c>
      <c r="D1310" t="s">
        <v>393</v>
      </c>
      <c r="E1310" t="s">
        <v>2594</v>
      </c>
      <c r="F1310" t="s">
        <v>2595</v>
      </c>
      <c r="G1310" t="s">
        <v>1122</v>
      </c>
      <c r="H1310" t="s">
        <v>1020</v>
      </c>
      <c r="I1310">
        <v>162673000</v>
      </c>
      <c r="J1310" t="s">
        <v>1021</v>
      </c>
      <c r="K1310">
        <v>136.80000000000001</v>
      </c>
      <c r="L1310">
        <v>704.2</v>
      </c>
      <c r="M1310">
        <v>563.36</v>
      </c>
      <c r="O1310" t="s">
        <v>34</v>
      </c>
    </row>
    <row r="1311" spans="1:15">
      <c r="A1311" t="s">
        <v>2655</v>
      </c>
      <c r="B1311" s="2">
        <v>45321.290312500001</v>
      </c>
      <c r="C1311" s="2">
        <v>45321.300729166665</v>
      </c>
      <c r="D1311" t="s">
        <v>393</v>
      </c>
      <c r="E1311" t="s">
        <v>2599</v>
      </c>
      <c r="F1311" t="s">
        <v>2600</v>
      </c>
      <c r="G1311" t="s">
        <v>1122</v>
      </c>
      <c r="H1311" t="s">
        <v>1031</v>
      </c>
      <c r="I1311">
        <v>390906007</v>
      </c>
      <c r="J1311" t="s">
        <v>1255</v>
      </c>
      <c r="K1311">
        <v>85.55</v>
      </c>
      <c r="L1311">
        <v>234.71</v>
      </c>
      <c r="M1311">
        <v>187.76</v>
      </c>
      <c r="N1311">
        <v>55822004</v>
      </c>
      <c r="O1311" t="s">
        <v>2010</v>
      </c>
    </row>
    <row r="1312" spans="1:15">
      <c r="A1312" t="s">
        <v>2656</v>
      </c>
      <c r="B1312" s="2">
        <v>45478.33971064815</v>
      </c>
      <c r="C1312" s="2">
        <v>45478.381377314814</v>
      </c>
      <c r="D1312" t="s">
        <v>393</v>
      </c>
      <c r="E1312" t="s">
        <v>2626</v>
      </c>
      <c r="F1312" t="s">
        <v>2627</v>
      </c>
      <c r="G1312" t="s">
        <v>1122</v>
      </c>
      <c r="H1312" t="s">
        <v>1076</v>
      </c>
      <c r="I1312">
        <v>50849002</v>
      </c>
      <c r="J1312" t="s">
        <v>1163</v>
      </c>
      <c r="K1312">
        <v>146.18</v>
      </c>
      <c r="L1312">
        <v>4140.8900000000003</v>
      </c>
      <c r="M1312">
        <v>3312.71</v>
      </c>
      <c r="N1312">
        <v>312608009</v>
      </c>
      <c r="O1312" t="s">
        <v>1249</v>
      </c>
    </row>
    <row r="1313" spans="1:15">
      <c r="A1313" t="s">
        <v>2657</v>
      </c>
      <c r="B1313" s="2">
        <v>45685.290312500001</v>
      </c>
      <c r="C1313" s="2">
        <v>45685.315798611111</v>
      </c>
      <c r="D1313" t="s">
        <v>393</v>
      </c>
      <c r="E1313" t="s">
        <v>2594</v>
      </c>
      <c r="F1313" t="s">
        <v>2595</v>
      </c>
      <c r="G1313" t="s">
        <v>1122</v>
      </c>
      <c r="H1313" t="s">
        <v>1020</v>
      </c>
      <c r="I1313">
        <v>162673000</v>
      </c>
      <c r="J1313" t="s">
        <v>1021</v>
      </c>
      <c r="K1313">
        <v>136.80000000000001</v>
      </c>
      <c r="L1313">
        <v>778.78</v>
      </c>
      <c r="M1313">
        <v>436.62</v>
      </c>
      <c r="O1313" t="s">
        <v>34</v>
      </c>
    </row>
    <row r="1314" spans="1:15">
      <c r="A1314" t="s">
        <v>2658</v>
      </c>
      <c r="B1314" s="2">
        <v>45686.290312500001</v>
      </c>
      <c r="C1314" s="2">
        <v>45686.300729166665</v>
      </c>
      <c r="D1314" t="s">
        <v>393</v>
      </c>
      <c r="E1314" t="s">
        <v>2599</v>
      </c>
      <c r="F1314" t="s">
        <v>2600</v>
      </c>
      <c r="G1314" t="s">
        <v>1122</v>
      </c>
      <c r="H1314" t="s">
        <v>1031</v>
      </c>
      <c r="I1314">
        <v>390906007</v>
      </c>
      <c r="J1314" t="s">
        <v>1255</v>
      </c>
      <c r="K1314">
        <v>85.55</v>
      </c>
      <c r="L1314">
        <v>234.71</v>
      </c>
      <c r="M1314">
        <v>187.76</v>
      </c>
      <c r="N1314">
        <v>55822004</v>
      </c>
      <c r="O1314" t="s">
        <v>2010</v>
      </c>
    </row>
    <row r="1315" spans="1:15">
      <c r="A1315" t="s">
        <v>2659</v>
      </c>
      <c r="B1315" s="2">
        <v>46056.290312500001</v>
      </c>
      <c r="C1315" s="2">
        <v>46056.331319444442</v>
      </c>
      <c r="D1315" t="s">
        <v>393</v>
      </c>
      <c r="E1315" t="s">
        <v>2594</v>
      </c>
      <c r="F1315" t="s">
        <v>2595</v>
      </c>
      <c r="G1315" t="s">
        <v>1122</v>
      </c>
      <c r="H1315" t="s">
        <v>1020</v>
      </c>
      <c r="I1315">
        <v>162673000</v>
      </c>
      <c r="J1315" t="s">
        <v>1021</v>
      </c>
      <c r="K1315">
        <v>136.80000000000001</v>
      </c>
      <c r="L1315">
        <v>840.2</v>
      </c>
      <c r="M1315">
        <v>485.76</v>
      </c>
      <c r="O1315" t="s">
        <v>34</v>
      </c>
    </row>
    <row r="1316" spans="1:15">
      <c r="A1316" t="s">
        <v>2660</v>
      </c>
      <c r="B1316" s="2">
        <v>46059.248645833337</v>
      </c>
      <c r="C1316" s="2">
        <v>46059.259062500001</v>
      </c>
      <c r="D1316" t="s">
        <v>393</v>
      </c>
      <c r="E1316" t="s">
        <v>2599</v>
      </c>
      <c r="F1316" t="s">
        <v>2600</v>
      </c>
      <c r="G1316" t="s">
        <v>1122</v>
      </c>
      <c r="H1316" t="s">
        <v>1031</v>
      </c>
      <c r="I1316">
        <v>185345009</v>
      </c>
      <c r="J1316" t="s">
        <v>1032</v>
      </c>
      <c r="K1316">
        <v>85.55</v>
      </c>
      <c r="L1316">
        <v>85.55</v>
      </c>
      <c r="M1316">
        <v>68.44</v>
      </c>
      <c r="N1316">
        <v>195662009</v>
      </c>
      <c r="O1316" t="s">
        <v>1130</v>
      </c>
    </row>
    <row r="1317" spans="1:15">
      <c r="A1317" t="s">
        <v>2661</v>
      </c>
      <c r="B1317" s="2">
        <v>46063.290312500001</v>
      </c>
      <c r="C1317" s="2">
        <v>46063.300729166665</v>
      </c>
      <c r="D1317" t="s">
        <v>393</v>
      </c>
      <c r="E1317" t="s">
        <v>2599</v>
      </c>
      <c r="F1317" t="s">
        <v>2600</v>
      </c>
      <c r="G1317" t="s">
        <v>1122</v>
      </c>
      <c r="H1317" t="s">
        <v>1031</v>
      </c>
      <c r="I1317">
        <v>390906007</v>
      </c>
      <c r="J1317" t="s">
        <v>1255</v>
      </c>
      <c r="K1317">
        <v>85.55</v>
      </c>
      <c r="L1317">
        <v>234.71</v>
      </c>
      <c r="M1317">
        <v>187.76</v>
      </c>
      <c r="N1317">
        <v>55822004</v>
      </c>
      <c r="O1317" t="s">
        <v>2010</v>
      </c>
    </row>
    <row r="1318" spans="1:15">
      <c r="A1318" t="s">
        <v>2662</v>
      </c>
      <c r="B1318" s="2">
        <v>20788.628368055557</v>
      </c>
      <c r="C1318" s="2">
        <v>20788.732534722221</v>
      </c>
      <c r="D1318" t="s">
        <v>402</v>
      </c>
      <c r="E1318" t="s">
        <v>1114</v>
      </c>
      <c r="F1318" t="s">
        <v>1115</v>
      </c>
      <c r="G1318" t="s">
        <v>1019</v>
      </c>
      <c r="H1318" t="s">
        <v>1031</v>
      </c>
      <c r="I1318">
        <v>108219001</v>
      </c>
      <c r="J1318" t="s">
        <v>2663</v>
      </c>
      <c r="K1318">
        <v>142.58000000000001</v>
      </c>
      <c r="L1318">
        <v>2299.58</v>
      </c>
      <c r="M1318">
        <v>0</v>
      </c>
      <c r="N1318">
        <v>128188000</v>
      </c>
      <c r="O1318" t="s">
        <v>2664</v>
      </c>
    </row>
    <row r="1319" spans="1:15">
      <c r="A1319" t="s">
        <v>2665</v>
      </c>
      <c r="B1319" s="2">
        <v>26633.628368055557</v>
      </c>
      <c r="C1319" s="2">
        <v>26633.646134259259</v>
      </c>
      <c r="D1319" t="s">
        <v>402</v>
      </c>
      <c r="E1319" t="s">
        <v>2666</v>
      </c>
      <c r="F1319" t="s">
        <v>2667</v>
      </c>
      <c r="G1319" t="s">
        <v>1122</v>
      </c>
      <c r="H1319" t="s">
        <v>1020</v>
      </c>
      <c r="I1319">
        <v>410620009</v>
      </c>
      <c r="J1319" t="s">
        <v>1054</v>
      </c>
      <c r="K1319">
        <v>136.80000000000001</v>
      </c>
      <c r="L1319">
        <v>778.78</v>
      </c>
      <c r="M1319">
        <v>436.62</v>
      </c>
      <c r="O1319" t="s">
        <v>34</v>
      </c>
    </row>
    <row r="1320" spans="1:15">
      <c r="A1320" t="s">
        <v>2668</v>
      </c>
      <c r="B1320" s="2">
        <v>27375.628368055557</v>
      </c>
      <c r="C1320" s="2">
        <v>27375.651840277777</v>
      </c>
      <c r="D1320" t="s">
        <v>402</v>
      </c>
      <c r="E1320" t="s">
        <v>2666</v>
      </c>
      <c r="F1320" t="s">
        <v>2667</v>
      </c>
      <c r="G1320" t="s">
        <v>1122</v>
      </c>
      <c r="H1320" t="s">
        <v>1020</v>
      </c>
      <c r="I1320">
        <v>162673000</v>
      </c>
      <c r="J1320" t="s">
        <v>1021</v>
      </c>
      <c r="K1320">
        <v>136.80000000000001</v>
      </c>
      <c r="L1320">
        <v>568.20000000000005</v>
      </c>
      <c r="M1320">
        <v>454.56</v>
      </c>
      <c r="O1320" t="s">
        <v>34</v>
      </c>
    </row>
    <row r="1321" spans="1:15">
      <c r="A1321" t="s">
        <v>2669</v>
      </c>
      <c r="B1321" s="2">
        <v>37350.628368055557</v>
      </c>
      <c r="C1321" s="2">
        <v>37350.638784722221</v>
      </c>
      <c r="D1321" t="s">
        <v>402</v>
      </c>
      <c r="E1321" t="s">
        <v>1114</v>
      </c>
      <c r="F1321" t="s">
        <v>1115</v>
      </c>
      <c r="G1321" t="s">
        <v>1122</v>
      </c>
      <c r="H1321" t="s">
        <v>1031</v>
      </c>
      <c r="I1321">
        <v>185347001</v>
      </c>
      <c r="J1321" t="s">
        <v>1124</v>
      </c>
      <c r="K1321">
        <v>85.55</v>
      </c>
      <c r="L1321">
        <v>85.55</v>
      </c>
      <c r="M1321">
        <v>68.44</v>
      </c>
      <c r="N1321">
        <v>201834006</v>
      </c>
      <c r="O1321" t="s">
        <v>1311</v>
      </c>
    </row>
    <row r="1322" spans="1:15">
      <c r="A1322" t="s">
        <v>2670</v>
      </c>
      <c r="B1322" s="2">
        <v>38326.628368055557</v>
      </c>
      <c r="C1322" s="2">
        <v>38326.670034722221</v>
      </c>
      <c r="D1322" t="s">
        <v>402</v>
      </c>
      <c r="E1322" t="s">
        <v>1226</v>
      </c>
      <c r="F1322" t="s">
        <v>1227</v>
      </c>
      <c r="G1322" t="s">
        <v>1122</v>
      </c>
      <c r="H1322" t="s">
        <v>1076</v>
      </c>
      <c r="I1322">
        <v>50849002</v>
      </c>
      <c r="J1322" t="s">
        <v>1163</v>
      </c>
      <c r="K1322">
        <v>146.18</v>
      </c>
      <c r="L1322">
        <v>7758.5</v>
      </c>
      <c r="M1322">
        <v>6206.78</v>
      </c>
      <c r="N1322">
        <v>22298006</v>
      </c>
      <c r="O1322" t="s">
        <v>2648</v>
      </c>
    </row>
    <row r="1323" spans="1:15">
      <c r="A1323" t="s">
        <v>2671</v>
      </c>
      <c r="B1323" s="2">
        <v>38326.646921296298</v>
      </c>
      <c r="C1323" s="2">
        <v>38327.646921296298</v>
      </c>
      <c r="D1323" t="s">
        <v>402</v>
      </c>
      <c r="E1323" t="s">
        <v>1226</v>
      </c>
      <c r="F1323" t="s">
        <v>1227</v>
      </c>
      <c r="G1323" t="s">
        <v>1122</v>
      </c>
      <c r="H1323" t="s">
        <v>1431</v>
      </c>
      <c r="I1323">
        <v>32485007</v>
      </c>
      <c r="J1323" t="s">
        <v>1837</v>
      </c>
      <c r="K1323">
        <v>146.18</v>
      </c>
      <c r="L1323">
        <v>14325.91</v>
      </c>
      <c r="M1323">
        <v>11460.73</v>
      </c>
      <c r="N1323">
        <v>401303003</v>
      </c>
      <c r="O1323" t="s">
        <v>1709</v>
      </c>
    </row>
    <row r="1324" spans="1:15">
      <c r="A1324" t="s">
        <v>2672</v>
      </c>
      <c r="B1324" s="2">
        <v>39009.670034722221</v>
      </c>
      <c r="C1324" s="2">
        <v>39009.706469907411</v>
      </c>
      <c r="D1324" t="s">
        <v>402</v>
      </c>
      <c r="E1324" t="s">
        <v>2666</v>
      </c>
      <c r="F1324" t="s">
        <v>2667</v>
      </c>
      <c r="G1324" t="s">
        <v>1122</v>
      </c>
      <c r="H1324" t="s">
        <v>1020</v>
      </c>
      <c r="I1324">
        <v>162673000</v>
      </c>
      <c r="J1324" t="s">
        <v>1021</v>
      </c>
      <c r="K1324">
        <v>136.80000000000001</v>
      </c>
      <c r="L1324">
        <v>1275.5</v>
      </c>
      <c r="M1324">
        <v>833.99</v>
      </c>
      <c r="O1324" t="s">
        <v>34</v>
      </c>
    </row>
    <row r="1325" spans="1:15">
      <c r="A1325" t="s">
        <v>2673</v>
      </c>
      <c r="B1325" s="2">
        <v>40122.628368055557</v>
      </c>
      <c r="C1325" s="2">
        <v>40122.661157407405</v>
      </c>
      <c r="D1325" t="s">
        <v>402</v>
      </c>
      <c r="E1325" t="s">
        <v>2666</v>
      </c>
      <c r="F1325" t="s">
        <v>2667</v>
      </c>
      <c r="G1325" t="s">
        <v>1122</v>
      </c>
      <c r="H1325" t="s">
        <v>1020</v>
      </c>
      <c r="I1325">
        <v>162673000</v>
      </c>
      <c r="J1325" t="s">
        <v>1021</v>
      </c>
      <c r="K1325">
        <v>136.80000000000001</v>
      </c>
      <c r="L1325">
        <v>1069.06</v>
      </c>
      <c r="M1325">
        <v>668.84</v>
      </c>
      <c r="O1325" t="s">
        <v>34</v>
      </c>
    </row>
    <row r="1326" spans="1:15">
      <c r="A1326" t="s">
        <v>2674</v>
      </c>
      <c r="B1326" s="2">
        <v>40493.628368055557</v>
      </c>
      <c r="C1326" s="2">
        <v>40493.665844907409</v>
      </c>
      <c r="D1326" t="s">
        <v>402</v>
      </c>
      <c r="E1326" t="s">
        <v>2666</v>
      </c>
      <c r="F1326" t="s">
        <v>2667</v>
      </c>
      <c r="G1326" t="s">
        <v>1122</v>
      </c>
      <c r="H1326" t="s">
        <v>1020</v>
      </c>
      <c r="I1326">
        <v>162673000</v>
      </c>
      <c r="J1326" t="s">
        <v>1021</v>
      </c>
      <c r="K1326">
        <v>136.80000000000001</v>
      </c>
      <c r="L1326">
        <v>1215.56</v>
      </c>
      <c r="M1326">
        <v>972.44</v>
      </c>
      <c r="O1326" t="s">
        <v>34</v>
      </c>
    </row>
    <row r="1327" spans="1:15">
      <c r="A1327" t="s">
        <v>2675</v>
      </c>
      <c r="B1327" s="2">
        <v>42348.628368055557</v>
      </c>
      <c r="C1327" s="2">
        <v>42348.668090277781</v>
      </c>
      <c r="D1327" t="s">
        <v>402</v>
      </c>
      <c r="E1327" t="s">
        <v>2666</v>
      </c>
      <c r="F1327" t="s">
        <v>2667</v>
      </c>
      <c r="G1327" t="s">
        <v>1122</v>
      </c>
      <c r="H1327" t="s">
        <v>1020</v>
      </c>
      <c r="I1327">
        <v>162673000</v>
      </c>
      <c r="J1327" t="s">
        <v>1021</v>
      </c>
      <c r="K1327">
        <v>136.80000000000001</v>
      </c>
      <c r="L1327">
        <v>860.16</v>
      </c>
      <c r="M1327">
        <v>501.72</v>
      </c>
      <c r="O1327" t="s">
        <v>34</v>
      </c>
    </row>
    <row r="1328" spans="1:15">
      <c r="A1328" t="s">
        <v>2676</v>
      </c>
      <c r="B1328" s="2">
        <v>42668.717002314814</v>
      </c>
      <c r="C1328" s="2">
        <v>42668.743136574078</v>
      </c>
      <c r="D1328" t="s">
        <v>402</v>
      </c>
      <c r="E1328" t="s">
        <v>1114</v>
      </c>
      <c r="F1328" t="s">
        <v>1115</v>
      </c>
      <c r="G1328" t="s">
        <v>1122</v>
      </c>
      <c r="H1328" t="s">
        <v>1031</v>
      </c>
      <c r="I1328">
        <v>185349003</v>
      </c>
      <c r="J1328" t="s">
        <v>1038</v>
      </c>
      <c r="K1328">
        <v>85.55</v>
      </c>
      <c r="L1328">
        <v>6209.07</v>
      </c>
      <c r="M1328">
        <v>4780.8599999999997</v>
      </c>
      <c r="N1328">
        <v>275978004</v>
      </c>
      <c r="O1328" t="s">
        <v>1449</v>
      </c>
    </row>
    <row r="1329" spans="1:15">
      <c r="A1329" t="s">
        <v>2677</v>
      </c>
      <c r="B1329" s="2">
        <v>42692.295034722221</v>
      </c>
      <c r="C1329" s="2">
        <v>42692.315868055557</v>
      </c>
      <c r="D1329" t="s">
        <v>402</v>
      </c>
      <c r="E1329" t="s">
        <v>1114</v>
      </c>
      <c r="F1329" t="s">
        <v>1115</v>
      </c>
      <c r="G1329" t="s">
        <v>1122</v>
      </c>
      <c r="H1329" t="s">
        <v>1031</v>
      </c>
      <c r="I1329">
        <v>390906007</v>
      </c>
      <c r="J1329" t="s">
        <v>1255</v>
      </c>
      <c r="K1329">
        <v>85.55</v>
      </c>
      <c r="L1329">
        <v>516.95000000000005</v>
      </c>
      <c r="M1329">
        <v>413.56</v>
      </c>
      <c r="N1329">
        <v>128188000</v>
      </c>
      <c r="O1329" t="s">
        <v>2664</v>
      </c>
    </row>
    <row r="1330" spans="1:15">
      <c r="A1330" t="s">
        <v>2678</v>
      </c>
      <c r="B1330" s="2">
        <v>42719.628368055557</v>
      </c>
      <c r="C1330" s="2">
        <v>42719.649976851855</v>
      </c>
      <c r="D1330" t="s">
        <v>402</v>
      </c>
      <c r="E1330" t="s">
        <v>2666</v>
      </c>
      <c r="F1330" t="s">
        <v>2667</v>
      </c>
      <c r="G1330" t="s">
        <v>1122</v>
      </c>
      <c r="H1330" t="s">
        <v>1020</v>
      </c>
      <c r="I1330">
        <v>162673000</v>
      </c>
      <c r="J1330" t="s">
        <v>1021</v>
      </c>
      <c r="K1330">
        <v>136.80000000000001</v>
      </c>
      <c r="L1330">
        <v>860.16</v>
      </c>
      <c r="M1330">
        <v>688.12</v>
      </c>
      <c r="O1330" t="s">
        <v>34</v>
      </c>
    </row>
    <row r="1331" spans="1:15">
      <c r="A1331" t="s">
        <v>2679</v>
      </c>
      <c r="B1331" s="2">
        <v>42726.628368055557</v>
      </c>
      <c r="C1331" s="2">
        <v>42726.655914351853</v>
      </c>
      <c r="D1331" t="s">
        <v>402</v>
      </c>
      <c r="E1331" t="s">
        <v>1226</v>
      </c>
      <c r="F1331" t="s">
        <v>1227</v>
      </c>
      <c r="G1331" t="s">
        <v>1122</v>
      </c>
      <c r="H1331" t="s">
        <v>1031</v>
      </c>
      <c r="I1331">
        <v>185347001</v>
      </c>
      <c r="J1331" t="s">
        <v>1124</v>
      </c>
      <c r="K1331">
        <v>85.55</v>
      </c>
      <c r="L1331">
        <v>516.95000000000005</v>
      </c>
      <c r="M1331">
        <v>413.56</v>
      </c>
      <c r="N1331">
        <v>414545008</v>
      </c>
      <c r="O1331" t="s">
        <v>1228</v>
      </c>
    </row>
    <row r="1332" spans="1:15">
      <c r="A1332" t="s">
        <v>2680</v>
      </c>
      <c r="B1332" s="2">
        <v>42728.480914351851</v>
      </c>
      <c r="C1332" s="2">
        <v>42728.706701388888</v>
      </c>
      <c r="D1332" t="s">
        <v>402</v>
      </c>
      <c r="E1332" t="s">
        <v>1226</v>
      </c>
      <c r="F1332" t="s">
        <v>1227</v>
      </c>
      <c r="G1332" t="s">
        <v>1122</v>
      </c>
      <c r="H1332" t="s">
        <v>1031</v>
      </c>
      <c r="I1332">
        <v>185347001</v>
      </c>
      <c r="J1332" t="s">
        <v>1124</v>
      </c>
      <c r="K1332">
        <v>85.55</v>
      </c>
      <c r="L1332">
        <v>1875.86</v>
      </c>
      <c r="M1332">
        <v>1500.69</v>
      </c>
      <c r="N1332">
        <v>414545008</v>
      </c>
      <c r="O1332" t="s">
        <v>1228</v>
      </c>
    </row>
    <row r="1333" spans="1:15">
      <c r="A1333" t="s">
        <v>2681</v>
      </c>
      <c r="B1333" s="2">
        <v>42729.121979166666</v>
      </c>
      <c r="C1333" s="2">
        <v>42730.121979166666</v>
      </c>
      <c r="D1333" t="s">
        <v>402</v>
      </c>
      <c r="E1333" t="s">
        <v>1226</v>
      </c>
      <c r="F1333" t="s">
        <v>1227</v>
      </c>
      <c r="G1333" t="s">
        <v>1122</v>
      </c>
      <c r="H1333" t="s">
        <v>1431</v>
      </c>
      <c r="I1333">
        <v>32485007</v>
      </c>
      <c r="J1333" t="s">
        <v>1837</v>
      </c>
      <c r="K1333">
        <v>146.18</v>
      </c>
      <c r="L1333">
        <v>6543.86</v>
      </c>
      <c r="M1333">
        <v>5235.0600000000004</v>
      </c>
      <c r="N1333">
        <v>274531002</v>
      </c>
      <c r="O1333" t="s">
        <v>2044</v>
      </c>
    </row>
    <row r="1334" spans="1:15">
      <c r="A1334" t="s">
        <v>2682</v>
      </c>
      <c r="B1334" s="2">
        <v>42729.335520833331</v>
      </c>
      <c r="C1334" s="2">
        <v>42730.403460648151</v>
      </c>
      <c r="D1334" t="s">
        <v>402</v>
      </c>
      <c r="E1334" t="s">
        <v>1226</v>
      </c>
      <c r="F1334" t="s">
        <v>1227</v>
      </c>
      <c r="G1334" t="s">
        <v>1122</v>
      </c>
      <c r="H1334" t="s">
        <v>1431</v>
      </c>
      <c r="I1334">
        <v>397821002</v>
      </c>
      <c r="J1334" t="s">
        <v>2046</v>
      </c>
      <c r="K1334">
        <v>146.18</v>
      </c>
      <c r="L1334">
        <v>6436.21</v>
      </c>
      <c r="M1334">
        <v>5148.93</v>
      </c>
      <c r="N1334">
        <v>399261000</v>
      </c>
      <c r="O1334" t="s">
        <v>2047</v>
      </c>
    </row>
    <row r="1335" spans="1:15">
      <c r="A1335" t="s">
        <v>2683</v>
      </c>
      <c r="B1335" s="2">
        <v>42730.393043981479</v>
      </c>
      <c r="C1335" s="2">
        <v>42731.393043981479</v>
      </c>
      <c r="D1335" t="s">
        <v>402</v>
      </c>
      <c r="E1335" t="s">
        <v>1226</v>
      </c>
      <c r="F1335" t="s">
        <v>1227</v>
      </c>
      <c r="G1335" t="s">
        <v>1122</v>
      </c>
      <c r="H1335" t="s">
        <v>1431</v>
      </c>
      <c r="I1335">
        <v>305342007</v>
      </c>
      <c r="J1335" t="s">
        <v>2049</v>
      </c>
      <c r="K1335">
        <v>146.18</v>
      </c>
      <c r="L1335">
        <v>1871.78</v>
      </c>
      <c r="M1335">
        <v>1497.42</v>
      </c>
      <c r="N1335">
        <v>399261000</v>
      </c>
      <c r="O1335" t="s">
        <v>2047</v>
      </c>
    </row>
    <row r="1336" spans="1:15">
      <c r="A1336" t="s">
        <v>2684</v>
      </c>
      <c r="B1336" s="2">
        <v>42740.628368055557</v>
      </c>
      <c r="C1336" s="2">
        <v>42740.781631944446</v>
      </c>
      <c r="D1336" t="s">
        <v>402</v>
      </c>
      <c r="E1336" t="s">
        <v>1114</v>
      </c>
      <c r="F1336" t="s">
        <v>1115</v>
      </c>
      <c r="G1336" t="s">
        <v>1122</v>
      </c>
      <c r="H1336" t="s">
        <v>1031</v>
      </c>
      <c r="I1336">
        <v>185349003</v>
      </c>
      <c r="J1336" t="s">
        <v>1038</v>
      </c>
      <c r="K1336">
        <v>85.55</v>
      </c>
      <c r="L1336">
        <v>3536.75</v>
      </c>
      <c r="M1336">
        <v>2829.4</v>
      </c>
      <c r="N1336">
        <v>103697008</v>
      </c>
      <c r="O1336" t="s">
        <v>1039</v>
      </c>
    </row>
    <row r="1337" spans="1:15">
      <c r="A1337" t="s">
        <v>2685</v>
      </c>
      <c r="B1337" s="2">
        <v>42914.755497685182</v>
      </c>
      <c r="C1337" s="2">
        <v>42914.786053240743</v>
      </c>
      <c r="D1337" t="s">
        <v>402</v>
      </c>
      <c r="E1337" t="s">
        <v>1114</v>
      </c>
      <c r="F1337" t="s">
        <v>1115</v>
      </c>
      <c r="G1337" t="s">
        <v>1122</v>
      </c>
      <c r="H1337" t="s">
        <v>1031</v>
      </c>
      <c r="I1337">
        <v>36228007</v>
      </c>
      <c r="J1337" t="s">
        <v>1705</v>
      </c>
      <c r="K1337">
        <v>142.58000000000001</v>
      </c>
      <c r="L1337">
        <v>2730.98</v>
      </c>
      <c r="M1337">
        <v>2184.7800000000002</v>
      </c>
      <c r="O1337" t="s">
        <v>34</v>
      </c>
    </row>
    <row r="1338" spans="1:15">
      <c r="A1338" t="s">
        <v>2686</v>
      </c>
      <c r="B1338" s="2">
        <v>42928.357534722221</v>
      </c>
      <c r="C1338" s="2">
        <v>42928.378368055557</v>
      </c>
      <c r="D1338" t="s">
        <v>402</v>
      </c>
      <c r="E1338" t="s">
        <v>1114</v>
      </c>
      <c r="F1338" t="s">
        <v>1115</v>
      </c>
      <c r="G1338" t="s">
        <v>1122</v>
      </c>
      <c r="H1338" t="s">
        <v>1031</v>
      </c>
      <c r="I1338">
        <v>390906007</v>
      </c>
      <c r="J1338" t="s">
        <v>1255</v>
      </c>
      <c r="K1338">
        <v>85.55</v>
      </c>
      <c r="L1338">
        <v>516.95000000000005</v>
      </c>
      <c r="M1338">
        <v>413.56</v>
      </c>
      <c r="N1338">
        <v>128188000</v>
      </c>
      <c r="O1338" t="s">
        <v>2664</v>
      </c>
    </row>
    <row r="1339" spans="1:15">
      <c r="A1339" t="s">
        <v>2687</v>
      </c>
      <c r="B1339" s="2">
        <v>43090.628368055557</v>
      </c>
      <c r="C1339" s="2">
        <v>43090.653912037036</v>
      </c>
      <c r="D1339" t="s">
        <v>402</v>
      </c>
      <c r="E1339" t="s">
        <v>2666</v>
      </c>
      <c r="F1339" t="s">
        <v>2667</v>
      </c>
      <c r="G1339" t="s">
        <v>1122</v>
      </c>
      <c r="H1339" t="s">
        <v>1020</v>
      </c>
      <c r="I1339">
        <v>162673000</v>
      </c>
      <c r="J1339" t="s">
        <v>1021</v>
      </c>
      <c r="K1339">
        <v>136.80000000000001</v>
      </c>
      <c r="L1339">
        <v>1760.87</v>
      </c>
      <c r="M1339">
        <v>1222.29</v>
      </c>
      <c r="O1339" t="s">
        <v>34</v>
      </c>
    </row>
    <row r="1340" spans="1:15">
      <c r="A1340" t="s">
        <v>2688</v>
      </c>
      <c r="B1340" s="2">
        <v>43095.336701388886</v>
      </c>
      <c r="C1340" s="2">
        <v>43095.357534722221</v>
      </c>
      <c r="D1340" t="s">
        <v>402</v>
      </c>
      <c r="E1340" t="s">
        <v>1114</v>
      </c>
      <c r="F1340" t="s">
        <v>1115</v>
      </c>
      <c r="G1340" t="s">
        <v>1122</v>
      </c>
      <c r="H1340" t="s">
        <v>1031</v>
      </c>
      <c r="I1340">
        <v>390906007</v>
      </c>
      <c r="J1340" t="s">
        <v>1255</v>
      </c>
      <c r="K1340">
        <v>85.55</v>
      </c>
      <c r="L1340">
        <v>516.95000000000005</v>
      </c>
      <c r="M1340">
        <v>413.56</v>
      </c>
      <c r="N1340">
        <v>128188000</v>
      </c>
      <c r="O1340" t="s">
        <v>2664</v>
      </c>
    </row>
    <row r="1341" spans="1:15">
      <c r="A1341" t="s">
        <v>2689</v>
      </c>
      <c r="B1341" s="2">
        <v>43244.767592592594</v>
      </c>
      <c r="C1341" s="2">
        <v>43244.798148148147</v>
      </c>
      <c r="D1341" t="s">
        <v>402</v>
      </c>
      <c r="E1341" t="s">
        <v>1114</v>
      </c>
      <c r="F1341" t="s">
        <v>1115</v>
      </c>
      <c r="G1341" t="s">
        <v>1122</v>
      </c>
      <c r="H1341" t="s">
        <v>1031</v>
      </c>
      <c r="I1341">
        <v>36228007</v>
      </c>
      <c r="J1341" t="s">
        <v>1705</v>
      </c>
      <c r="K1341">
        <v>142.58000000000001</v>
      </c>
      <c r="L1341">
        <v>2730.98</v>
      </c>
      <c r="M1341">
        <v>2184.7800000000002</v>
      </c>
      <c r="O1341" t="s">
        <v>34</v>
      </c>
    </row>
    <row r="1342" spans="1:15">
      <c r="A1342" t="s">
        <v>2690</v>
      </c>
      <c r="B1342" s="2">
        <v>43384.399201388886</v>
      </c>
      <c r="C1342" s="2">
        <v>43384.420034722221</v>
      </c>
      <c r="D1342" t="s">
        <v>402</v>
      </c>
      <c r="E1342" t="s">
        <v>1114</v>
      </c>
      <c r="F1342" t="s">
        <v>1115</v>
      </c>
      <c r="G1342" t="s">
        <v>1122</v>
      </c>
      <c r="H1342" t="s">
        <v>1031</v>
      </c>
      <c r="I1342">
        <v>390906007</v>
      </c>
      <c r="J1342" t="s">
        <v>1255</v>
      </c>
      <c r="K1342">
        <v>85.55</v>
      </c>
      <c r="L1342">
        <v>516.95000000000005</v>
      </c>
      <c r="M1342">
        <v>413.56</v>
      </c>
      <c r="N1342">
        <v>128188000</v>
      </c>
      <c r="O1342" t="s">
        <v>2664</v>
      </c>
    </row>
    <row r="1343" spans="1:15">
      <c r="A1343" t="s">
        <v>2691</v>
      </c>
      <c r="B1343" s="2">
        <v>43461.628368055557</v>
      </c>
      <c r="C1343" s="2">
        <v>43461.653807870367</v>
      </c>
      <c r="D1343" t="s">
        <v>402</v>
      </c>
      <c r="E1343" t="s">
        <v>2666</v>
      </c>
      <c r="F1343" t="s">
        <v>2667</v>
      </c>
      <c r="G1343" t="s">
        <v>1122</v>
      </c>
      <c r="H1343" t="s">
        <v>1020</v>
      </c>
      <c r="I1343">
        <v>162673000</v>
      </c>
      <c r="J1343" t="s">
        <v>1021</v>
      </c>
      <c r="K1343">
        <v>136.80000000000001</v>
      </c>
      <c r="L1343">
        <v>934.74</v>
      </c>
      <c r="M1343">
        <v>561.38</v>
      </c>
      <c r="O1343" t="s">
        <v>34</v>
      </c>
    </row>
    <row r="1344" spans="1:15">
      <c r="A1344" t="s">
        <v>2692</v>
      </c>
      <c r="B1344" s="2">
        <v>43565.795034722221</v>
      </c>
      <c r="C1344" s="2">
        <v>43565.815868055557</v>
      </c>
      <c r="D1344" t="s">
        <v>402</v>
      </c>
      <c r="E1344" t="s">
        <v>1114</v>
      </c>
      <c r="F1344" t="s">
        <v>1115</v>
      </c>
      <c r="G1344" t="s">
        <v>1122</v>
      </c>
      <c r="H1344" t="s">
        <v>1031</v>
      </c>
      <c r="I1344">
        <v>390906007</v>
      </c>
      <c r="J1344" t="s">
        <v>1255</v>
      </c>
      <c r="K1344">
        <v>85.55</v>
      </c>
      <c r="L1344">
        <v>516.95000000000005</v>
      </c>
      <c r="M1344">
        <v>413.56</v>
      </c>
      <c r="N1344">
        <v>128188000</v>
      </c>
      <c r="O1344" t="s">
        <v>2664</v>
      </c>
    </row>
    <row r="1345" spans="1:15">
      <c r="A1345" t="s">
        <v>2693</v>
      </c>
      <c r="B1345" s="2">
        <v>43574.780474537038</v>
      </c>
      <c r="C1345" s="2">
        <v>43574.813009259262</v>
      </c>
      <c r="D1345" t="s">
        <v>402</v>
      </c>
      <c r="E1345" t="s">
        <v>1114</v>
      </c>
      <c r="F1345" t="s">
        <v>1115</v>
      </c>
      <c r="G1345" t="s">
        <v>1122</v>
      </c>
      <c r="H1345" t="s">
        <v>1031</v>
      </c>
      <c r="I1345">
        <v>36228007</v>
      </c>
      <c r="J1345" t="s">
        <v>1705</v>
      </c>
      <c r="K1345">
        <v>142.58000000000001</v>
      </c>
      <c r="L1345">
        <v>3236.96</v>
      </c>
      <c r="M1345">
        <v>2589.56</v>
      </c>
      <c r="O1345" t="s">
        <v>34</v>
      </c>
    </row>
    <row r="1346" spans="1:15">
      <c r="A1346" t="s">
        <v>2694</v>
      </c>
      <c r="B1346" s="2">
        <v>43793.774201388886</v>
      </c>
      <c r="C1346" s="2">
        <v>43793.795034722221</v>
      </c>
      <c r="D1346" t="s">
        <v>402</v>
      </c>
      <c r="E1346" t="s">
        <v>1114</v>
      </c>
      <c r="F1346" t="s">
        <v>1115</v>
      </c>
      <c r="G1346" t="s">
        <v>1122</v>
      </c>
      <c r="H1346" t="s">
        <v>1031</v>
      </c>
      <c r="I1346">
        <v>390906007</v>
      </c>
      <c r="J1346" t="s">
        <v>1255</v>
      </c>
      <c r="K1346">
        <v>85.55</v>
      </c>
      <c r="L1346">
        <v>516.95000000000005</v>
      </c>
      <c r="M1346">
        <v>227.16</v>
      </c>
      <c r="N1346">
        <v>128188000</v>
      </c>
      <c r="O1346" t="s">
        <v>2664</v>
      </c>
    </row>
    <row r="1347" spans="1:15">
      <c r="A1347" t="s">
        <v>2695</v>
      </c>
      <c r="B1347" s="2">
        <v>43832.628368055557</v>
      </c>
      <c r="C1347" s="2">
        <v>43832.652638888889</v>
      </c>
      <c r="D1347" t="s">
        <v>402</v>
      </c>
      <c r="E1347" t="s">
        <v>2666</v>
      </c>
      <c r="F1347" t="s">
        <v>2667</v>
      </c>
      <c r="G1347" t="s">
        <v>1122</v>
      </c>
      <c r="H1347" t="s">
        <v>1020</v>
      </c>
      <c r="I1347">
        <v>162673000</v>
      </c>
      <c r="J1347" t="s">
        <v>1021</v>
      </c>
      <c r="K1347">
        <v>136.80000000000001</v>
      </c>
      <c r="L1347">
        <v>1069.06</v>
      </c>
      <c r="M1347">
        <v>855.24</v>
      </c>
      <c r="O1347" t="s">
        <v>34</v>
      </c>
    </row>
    <row r="1348" spans="1:15">
      <c r="A1348" t="s">
        <v>2696</v>
      </c>
      <c r="B1348" s="2">
        <v>43846.628368055557</v>
      </c>
      <c r="C1348" s="2">
        <v>43846.76898148148</v>
      </c>
      <c r="D1348" t="s">
        <v>402</v>
      </c>
      <c r="E1348" t="s">
        <v>1114</v>
      </c>
      <c r="F1348" t="s">
        <v>1115</v>
      </c>
      <c r="G1348" t="s">
        <v>1122</v>
      </c>
      <c r="H1348" t="s">
        <v>1031</v>
      </c>
      <c r="I1348">
        <v>185349003</v>
      </c>
      <c r="J1348" t="s">
        <v>1038</v>
      </c>
      <c r="K1348">
        <v>85.55</v>
      </c>
      <c r="L1348">
        <v>2673.95</v>
      </c>
      <c r="M1348">
        <v>2139.16</v>
      </c>
      <c r="N1348">
        <v>66383009</v>
      </c>
      <c r="O1348" t="s">
        <v>1209</v>
      </c>
    </row>
    <row r="1349" spans="1:15">
      <c r="A1349" t="s">
        <v>2697</v>
      </c>
      <c r="B1349" s="2">
        <v>43896.795034722221</v>
      </c>
      <c r="C1349" s="2">
        <v>43896.815868055557</v>
      </c>
      <c r="D1349" t="s">
        <v>402</v>
      </c>
      <c r="E1349" t="s">
        <v>1114</v>
      </c>
      <c r="F1349" t="s">
        <v>1115</v>
      </c>
      <c r="G1349" t="s">
        <v>1122</v>
      </c>
      <c r="H1349" t="s">
        <v>1031</v>
      </c>
      <c r="I1349">
        <v>390906007</v>
      </c>
      <c r="J1349" t="s">
        <v>1255</v>
      </c>
      <c r="K1349">
        <v>85.55</v>
      </c>
      <c r="L1349">
        <v>516.95000000000005</v>
      </c>
      <c r="M1349">
        <v>413.56</v>
      </c>
      <c r="N1349">
        <v>128188000</v>
      </c>
      <c r="O1349" t="s">
        <v>2664</v>
      </c>
    </row>
    <row r="1350" spans="1:15">
      <c r="A1350" t="s">
        <v>2698</v>
      </c>
      <c r="B1350" s="2">
        <v>43934.792175925926</v>
      </c>
      <c r="C1350" s="2">
        <v>43934.825219907405</v>
      </c>
      <c r="D1350" t="s">
        <v>402</v>
      </c>
      <c r="E1350" t="s">
        <v>1114</v>
      </c>
      <c r="F1350" t="s">
        <v>1115</v>
      </c>
      <c r="G1350" t="s">
        <v>1122</v>
      </c>
      <c r="H1350" t="s">
        <v>1031</v>
      </c>
      <c r="I1350">
        <v>36228007</v>
      </c>
      <c r="J1350" t="s">
        <v>1705</v>
      </c>
      <c r="K1350">
        <v>142.58000000000001</v>
      </c>
      <c r="L1350">
        <v>3236.96</v>
      </c>
      <c r="M1350">
        <v>2589.56</v>
      </c>
      <c r="O1350" t="s">
        <v>34</v>
      </c>
    </row>
    <row r="1351" spans="1:15">
      <c r="A1351" t="s">
        <v>2699</v>
      </c>
      <c r="B1351" s="2">
        <v>44077.852800925924</v>
      </c>
      <c r="C1351" s="2">
        <v>44077.927106481482</v>
      </c>
      <c r="D1351" t="s">
        <v>402</v>
      </c>
      <c r="E1351" t="s">
        <v>2700</v>
      </c>
      <c r="F1351" t="s">
        <v>2701</v>
      </c>
      <c r="G1351" t="s">
        <v>1122</v>
      </c>
      <c r="H1351" t="s">
        <v>1076</v>
      </c>
      <c r="I1351">
        <v>50849002</v>
      </c>
      <c r="J1351" t="s">
        <v>1163</v>
      </c>
      <c r="K1351">
        <v>146.18</v>
      </c>
      <c r="L1351">
        <v>1008.98</v>
      </c>
      <c r="M1351">
        <v>807.18</v>
      </c>
      <c r="N1351">
        <v>125605004</v>
      </c>
      <c r="O1351" t="s">
        <v>1644</v>
      </c>
    </row>
    <row r="1352" spans="1:15">
      <c r="A1352" t="s">
        <v>2702</v>
      </c>
      <c r="B1352" s="2">
        <v>44122.927106481482</v>
      </c>
      <c r="C1352" s="2">
        <v>44122.937523148146</v>
      </c>
      <c r="D1352" t="s">
        <v>402</v>
      </c>
      <c r="E1352" t="s">
        <v>1114</v>
      </c>
      <c r="F1352" t="s">
        <v>1115</v>
      </c>
      <c r="G1352" t="s">
        <v>1122</v>
      </c>
      <c r="H1352" t="s">
        <v>1031</v>
      </c>
      <c r="I1352">
        <v>185349003</v>
      </c>
      <c r="J1352" t="s">
        <v>1038</v>
      </c>
      <c r="K1352">
        <v>85.55</v>
      </c>
      <c r="L1352">
        <v>85.55</v>
      </c>
      <c r="M1352">
        <v>68.44</v>
      </c>
      <c r="N1352">
        <v>58150001</v>
      </c>
      <c r="O1352" t="s">
        <v>1680</v>
      </c>
    </row>
    <row r="1353" spans="1:15">
      <c r="A1353" t="s">
        <v>2703</v>
      </c>
      <c r="B1353" s="2">
        <v>44158.357534722221</v>
      </c>
      <c r="C1353" s="2">
        <v>44158.378368055557</v>
      </c>
      <c r="D1353" t="s">
        <v>402</v>
      </c>
      <c r="E1353" t="s">
        <v>1114</v>
      </c>
      <c r="F1353" t="s">
        <v>1115</v>
      </c>
      <c r="G1353" t="s">
        <v>1122</v>
      </c>
      <c r="H1353" t="s">
        <v>1031</v>
      </c>
      <c r="I1353">
        <v>390906007</v>
      </c>
      <c r="J1353" t="s">
        <v>1255</v>
      </c>
      <c r="K1353">
        <v>85.55</v>
      </c>
      <c r="L1353">
        <v>516.95000000000005</v>
      </c>
      <c r="M1353">
        <v>227.16</v>
      </c>
      <c r="N1353">
        <v>128188000</v>
      </c>
      <c r="O1353" t="s">
        <v>2664</v>
      </c>
    </row>
    <row r="1354" spans="1:15">
      <c r="A1354" t="s">
        <v>2704</v>
      </c>
      <c r="B1354" s="2">
        <v>44203.628368055557</v>
      </c>
      <c r="C1354" s="2">
        <v>44203.6641087963</v>
      </c>
      <c r="D1354" t="s">
        <v>402</v>
      </c>
      <c r="E1354" t="s">
        <v>2666</v>
      </c>
      <c r="F1354" t="s">
        <v>2667</v>
      </c>
      <c r="G1354" t="s">
        <v>1122</v>
      </c>
      <c r="H1354" t="s">
        <v>1020</v>
      </c>
      <c r="I1354">
        <v>162673000</v>
      </c>
      <c r="J1354" t="s">
        <v>1021</v>
      </c>
      <c r="K1354">
        <v>136.80000000000001</v>
      </c>
      <c r="L1354">
        <v>860.16</v>
      </c>
      <c r="M1354">
        <v>688.12</v>
      </c>
      <c r="O1354" t="s">
        <v>34</v>
      </c>
    </row>
    <row r="1355" spans="1:15">
      <c r="A1355" t="s">
        <v>2705</v>
      </c>
      <c r="B1355" s="2">
        <v>44217.628368055557</v>
      </c>
      <c r="C1355" s="2">
        <v>44217.786168981482</v>
      </c>
      <c r="D1355" t="s">
        <v>402</v>
      </c>
      <c r="E1355" t="s">
        <v>1114</v>
      </c>
      <c r="F1355" t="s">
        <v>1115</v>
      </c>
      <c r="G1355" t="s">
        <v>1122</v>
      </c>
      <c r="H1355" t="s">
        <v>1031</v>
      </c>
      <c r="I1355">
        <v>185349003</v>
      </c>
      <c r="J1355" t="s">
        <v>1038</v>
      </c>
      <c r="K1355">
        <v>85.55</v>
      </c>
      <c r="L1355">
        <v>3105.35</v>
      </c>
      <c r="M1355">
        <v>2484.2800000000002</v>
      </c>
      <c r="N1355">
        <v>103697008</v>
      </c>
      <c r="O1355" t="s">
        <v>1039</v>
      </c>
    </row>
    <row r="1356" spans="1:15">
      <c r="A1356" t="s">
        <v>2706</v>
      </c>
      <c r="B1356" s="2">
        <v>44264.762719907405</v>
      </c>
      <c r="C1356" s="2">
        <v>44264.79583333333</v>
      </c>
      <c r="D1356" t="s">
        <v>402</v>
      </c>
      <c r="E1356" t="s">
        <v>1114</v>
      </c>
      <c r="F1356" t="s">
        <v>1115</v>
      </c>
      <c r="G1356" t="s">
        <v>1122</v>
      </c>
      <c r="H1356" t="s">
        <v>1031</v>
      </c>
      <c r="I1356">
        <v>36228007</v>
      </c>
      <c r="J1356" t="s">
        <v>1705</v>
      </c>
      <c r="K1356">
        <v>142.58000000000001</v>
      </c>
      <c r="L1356">
        <v>3236.96</v>
      </c>
      <c r="M1356">
        <v>2589.56</v>
      </c>
      <c r="O1356" t="s">
        <v>34</v>
      </c>
    </row>
    <row r="1357" spans="1:15">
      <c r="A1357" t="s">
        <v>2707</v>
      </c>
      <c r="B1357" s="2">
        <v>44315.670034722221</v>
      </c>
      <c r="C1357" s="2">
        <v>44315.680451388886</v>
      </c>
      <c r="D1357" t="s">
        <v>402</v>
      </c>
      <c r="E1357" t="s">
        <v>1114</v>
      </c>
      <c r="F1357" t="s">
        <v>1115</v>
      </c>
      <c r="G1357" t="s">
        <v>1122</v>
      </c>
      <c r="H1357" t="s">
        <v>1043</v>
      </c>
      <c r="I1357">
        <v>33879002</v>
      </c>
      <c r="J1357" t="s">
        <v>1044</v>
      </c>
      <c r="K1357">
        <v>142.58000000000001</v>
      </c>
      <c r="L1357">
        <v>278.58</v>
      </c>
      <c r="M1357">
        <v>222.86</v>
      </c>
      <c r="O1357" t="s">
        <v>34</v>
      </c>
    </row>
    <row r="1358" spans="1:15">
      <c r="A1358" t="s">
        <v>2708</v>
      </c>
      <c r="B1358" s="2">
        <v>44336.670034722221</v>
      </c>
      <c r="C1358" s="2">
        <v>44336.680451388886</v>
      </c>
      <c r="D1358" t="s">
        <v>402</v>
      </c>
      <c r="E1358" t="s">
        <v>1114</v>
      </c>
      <c r="F1358" t="s">
        <v>1115</v>
      </c>
      <c r="G1358" t="s">
        <v>1122</v>
      </c>
      <c r="H1358" t="s">
        <v>1043</v>
      </c>
      <c r="I1358">
        <v>33879002</v>
      </c>
      <c r="J1358" t="s">
        <v>1044</v>
      </c>
      <c r="K1358">
        <v>142.58000000000001</v>
      </c>
      <c r="L1358">
        <v>278.58</v>
      </c>
      <c r="M1358">
        <v>222.86</v>
      </c>
      <c r="O1358" t="s">
        <v>34</v>
      </c>
    </row>
    <row r="1359" spans="1:15">
      <c r="A1359" t="s">
        <v>2709</v>
      </c>
      <c r="B1359" s="2">
        <v>44494.743136574078</v>
      </c>
      <c r="C1359" s="2">
        <v>44494.771157407406</v>
      </c>
      <c r="D1359" t="s">
        <v>402</v>
      </c>
      <c r="E1359" t="s">
        <v>1114</v>
      </c>
      <c r="F1359" t="s">
        <v>1115</v>
      </c>
      <c r="G1359" t="s">
        <v>1122</v>
      </c>
      <c r="H1359" t="s">
        <v>1031</v>
      </c>
      <c r="I1359">
        <v>185349003</v>
      </c>
      <c r="J1359" t="s">
        <v>1038</v>
      </c>
      <c r="K1359">
        <v>85.55</v>
      </c>
      <c r="L1359">
        <v>12867.34</v>
      </c>
      <c r="M1359">
        <v>10107.469999999999</v>
      </c>
      <c r="N1359">
        <v>275978004</v>
      </c>
      <c r="O1359" t="s">
        <v>1449</v>
      </c>
    </row>
    <row r="1360" spans="1:15">
      <c r="A1360" t="s">
        <v>2710</v>
      </c>
      <c r="B1360" s="2">
        <v>44502.420034722221</v>
      </c>
      <c r="C1360" s="2">
        <v>44502.440868055557</v>
      </c>
      <c r="D1360" t="s">
        <v>402</v>
      </c>
      <c r="E1360" t="s">
        <v>1114</v>
      </c>
      <c r="F1360" t="s">
        <v>1115</v>
      </c>
      <c r="G1360" t="s">
        <v>1122</v>
      </c>
      <c r="H1360" t="s">
        <v>1031</v>
      </c>
      <c r="I1360">
        <v>390906007</v>
      </c>
      <c r="J1360" t="s">
        <v>1255</v>
      </c>
      <c r="K1360">
        <v>85.55</v>
      </c>
      <c r="L1360">
        <v>516.95000000000005</v>
      </c>
      <c r="M1360">
        <v>413.56</v>
      </c>
      <c r="N1360">
        <v>128188000</v>
      </c>
      <c r="O1360" t="s">
        <v>2664</v>
      </c>
    </row>
    <row r="1361" spans="1:15">
      <c r="A1361" t="s">
        <v>2711</v>
      </c>
      <c r="B1361" s="2">
        <v>44560.628368055557</v>
      </c>
      <c r="C1361" s="2">
        <v>44560.654641203706</v>
      </c>
      <c r="D1361" t="s">
        <v>402</v>
      </c>
      <c r="E1361" t="s">
        <v>2418</v>
      </c>
      <c r="F1361" t="s">
        <v>2419</v>
      </c>
      <c r="G1361" t="s">
        <v>1122</v>
      </c>
      <c r="H1361" t="s">
        <v>1159</v>
      </c>
      <c r="I1361">
        <v>702927004</v>
      </c>
      <c r="J1361" t="s">
        <v>1160</v>
      </c>
      <c r="K1361">
        <v>142.58000000000001</v>
      </c>
      <c r="L1361">
        <v>1373.6</v>
      </c>
      <c r="M1361">
        <v>1098.8599999999999</v>
      </c>
      <c r="O1361" t="s">
        <v>34</v>
      </c>
    </row>
    <row r="1362" spans="1:15">
      <c r="A1362" t="s">
        <v>2712</v>
      </c>
      <c r="B1362" s="2">
        <v>44567.628368055557</v>
      </c>
      <c r="C1362" s="2">
        <v>44567.638784722221</v>
      </c>
      <c r="D1362" t="s">
        <v>402</v>
      </c>
      <c r="E1362" t="s">
        <v>1114</v>
      </c>
      <c r="F1362" t="s">
        <v>1115</v>
      </c>
      <c r="G1362" t="s">
        <v>1122</v>
      </c>
      <c r="H1362" t="s">
        <v>1031</v>
      </c>
      <c r="I1362">
        <v>185345009</v>
      </c>
      <c r="J1362" t="s">
        <v>1032</v>
      </c>
      <c r="K1362">
        <v>85.55</v>
      </c>
      <c r="L1362">
        <v>85.55</v>
      </c>
      <c r="M1362">
        <v>68.44</v>
      </c>
      <c r="N1362">
        <v>444814009</v>
      </c>
      <c r="O1362" t="s">
        <v>1035</v>
      </c>
    </row>
    <row r="1363" spans="1:15">
      <c r="A1363" t="s">
        <v>2713</v>
      </c>
      <c r="B1363" s="2">
        <v>44574.628368055557</v>
      </c>
      <c r="C1363" s="2">
        <v>44574.668333333335</v>
      </c>
      <c r="D1363" t="s">
        <v>402</v>
      </c>
      <c r="E1363" t="s">
        <v>2666</v>
      </c>
      <c r="F1363" t="s">
        <v>2667</v>
      </c>
      <c r="G1363" t="s">
        <v>1122</v>
      </c>
      <c r="H1363" t="s">
        <v>1020</v>
      </c>
      <c r="I1363">
        <v>162673000</v>
      </c>
      <c r="J1363" t="s">
        <v>1021</v>
      </c>
      <c r="K1363">
        <v>136.80000000000001</v>
      </c>
      <c r="L1363">
        <v>866.52</v>
      </c>
      <c r="M1363">
        <v>693.2</v>
      </c>
      <c r="O1363" t="s">
        <v>34</v>
      </c>
    </row>
    <row r="1364" spans="1:15">
      <c r="A1364" t="s">
        <v>2714</v>
      </c>
      <c r="B1364" s="2">
        <v>44581.628368055557</v>
      </c>
      <c r="C1364" s="2">
        <v>44581.798564814817</v>
      </c>
      <c r="D1364" t="s">
        <v>402</v>
      </c>
      <c r="E1364" t="s">
        <v>1114</v>
      </c>
      <c r="F1364" t="s">
        <v>1115</v>
      </c>
      <c r="G1364" t="s">
        <v>1122</v>
      </c>
      <c r="H1364" t="s">
        <v>1031</v>
      </c>
      <c r="I1364">
        <v>185349003</v>
      </c>
      <c r="J1364" t="s">
        <v>1038</v>
      </c>
      <c r="K1364">
        <v>85.55</v>
      </c>
      <c r="L1364">
        <v>3968.15</v>
      </c>
      <c r="M1364">
        <v>3174.52</v>
      </c>
      <c r="N1364">
        <v>66383009</v>
      </c>
      <c r="O1364" t="s">
        <v>1209</v>
      </c>
    </row>
    <row r="1365" spans="1:15">
      <c r="A1365" t="s">
        <v>2715</v>
      </c>
      <c r="B1365" s="2">
        <v>44595.628368055557</v>
      </c>
      <c r="C1365" s="2">
        <v>44595.670034722221</v>
      </c>
      <c r="D1365" t="s">
        <v>402</v>
      </c>
      <c r="E1365" t="s">
        <v>2700</v>
      </c>
      <c r="F1365" t="s">
        <v>2701</v>
      </c>
      <c r="G1365" t="s">
        <v>1122</v>
      </c>
      <c r="H1365" t="s">
        <v>1076</v>
      </c>
      <c r="I1365">
        <v>50849002</v>
      </c>
      <c r="J1365" t="s">
        <v>1163</v>
      </c>
      <c r="K1365">
        <v>146.18</v>
      </c>
      <c r="L1365">
        <v>1229.8499999999999</v>
      </c>
      <c r="M1365">
        <v>983.86</v>
      </c>
      <c r="O1365" t="s">
        <v>34</v>
      </c>
    </row>
    <row r="1366" spans="1:15">
      <c r="A1366" t="s">
        <v>2716</v>
      </c>
      <c r="B1366" s="2">
        <v>44602.628368055557</v>
      </c>
      <c r="C1366" s="2">
        <v>44602.670034722221</v>
      </c>
      <c r="D1366" t="s">
        <v>402</v>
      </c>
      <c r="E1366" t="s">
        <v>2700</v>
      </c>
      <c r="F1366" t="s">
        <v>2701</v>
      </c>
      <c r="G1366" t="s">
        <v>1122</v>
      </c>
      <c r="H1366" t="s">
        <v>1076</v>
      </c>
      <c r="I1366">
        <v>50849002</v>
      </c>
      <c r="J1366" t="s">
        <v>1163</v>
      </c>
      <c r="K1366">
        <v>146.18</v>
      </c>
      <c r="L1366">
        <v>511.04</v>
      </c>
      <c r="M1366">
        <v>408.82</v>
      </c>
      <c r="O1366" t="s">
        <v>34</v>
      </c>
    </row>
    <row r="1367" spans="1:15">
      <c r="A1367" t="s">
        <v>2717</v>
      </c>
      <c r="B1367" s="2">
        <v>44609.628368055557</v>
      </c>
      <c r="C1367" s="2">
        <v>44609.663587962961</v>
      </c>
      <c r="D1367" t="s">
        <v>402</v>
      </c>
      <c r="E1367" t="s">
        <v>2418</v>
      </c>
      <c r="F1367" t="s">
        <v>2419</v>
      </c>
      <c r="G1367" t="s">
        <v>1122</v>
      </c>
      <c r="H1367" t="s">
        <v>1159</v>
      </c>
      <c r="I1367">
        <v>702927004</v>
      </c>
      <c r="J1367" t="s">
        <v>1160</v>
      </c>
      <c r="K1367">
        <v>142.58000000000001</v>
      </c>
      <c r="L1367">
        <v>872.3</v>
      </c>
      <c r="M1367">
        <v>697.82</v>
      </c>
      <c r="O1367" t="s">
        <v>34</v>
      </c>
    </row>
    <row r="1368" spans="1:15">
      <c r="A1368" t="s">
        <v>2718</v>
      </c>
      <c r="B1368" s="2">
        <v>44616.628368055557</v>
      </c>
      <c r="C1368" s="2">
        <v>44616.670034722221</v>
      </c>
      <c r="D1368" t="s">
        <v>402</v>
      </c>
      <c r="E1368" t="s">
        <v>2700</v>
      </c>
      <c r="F1368" t="s">
        <v>2701</v>
      </c>
      <c r="G1368" t="s">
        <v>1122</v>
      </c>
      <c r="H1368" t="s">
        <v>1076</v>
      </c>
      <c r="I1368">
        <v>50849002</v>
      </c>
      <c r="J1368" t="s">
        <v>1163</v>
      </c>
      <c r="K1368">
        <v>146.18</v>
      </c>
      <c r="L1368">
        <v>295.33999999999997</v>
      </c>
      <c r="M1368">
        <v>236.26</v>
      </c>
      <c r="O1368" t="s">
        <v>34</v>
      </c>
    </row>
    <row r="1369" spans="1:15">
      <c r="A1369" t="s">
        <v>2719</v>
      </c>
      <c r="B1369" s="2">
        <v>44623.628368055557</v>
      </c>
      <c r="C1369" s="2">
        <v>44623.670034722221</v>
      </c>
      <c r="D1369" t="s">
        <v>402</v>
      </c>
      <c r="E1369" t="s">
        <v>2700</v>
      </c>
      <c r="F1369" t="s">
        <v>2701</v>
      </c>
      <c r="G1369" t="s">
        <v>1122</v>
      </c>
      <c r="H1369" t="s">
        <v>1076</v>
      </c>
      <c r="I1369">
        <v>50849002</v>
      </c>
      <c r="J1369" t="s">
        <v>1163</v>
      </c>
      <c r="K1369">
        <v>146.18</v>
      </c>
      <c r="L1369">
        <v>875.9</v>
      </c>
      <c r="M1369">
        <v>700.7</v>
      </c>
      <c r="O1369" t="s">
        <v>34</v>
      </c>
    </row>
    <row r="1370" spans="1:15">
      <c r="A1370" t="s">
        <v>2720</v>
      </c>
      <c r="B1370" s="2">
        <v>44630.628368055557</v>
      </c>
      <c r="C1370" s="2">
        <v>44630.638784722221</v>
      </c>
      <c r="D1370" t="s">
        <v>402</v>
      </c>
      <c r="E1370" t="s">
        <v>2418</v>
      </c>
      <c r="F1370" t="s">
        <v>2419</v>
      </c>
      <c r="G1370" t="s">
        <v>1122</v>
      </c>
      <c r="H1370" t="s">
        <v>1159</v>
      </c>
      <c r="I1370">
        <v>702927004</v>
      </c>
      <c r="J1370" t="s">
        <v>1160</v>
      </c>
      <c r="K1370">
        <v>142.58000000000001</v>
      </c>
      <c r="L1370">
        <v>291.74</v>
      </c>
      <c r="M1370">
        <v>233.38</v>
      </c>
      <c r="O1370" t="s">
        <v>34</v>
      </c>
    </row>
    <row r="1371" spans="1:15">
      <c r="A1371" t="s">
        <v>2721</v>
      </c>
      <c r="B1371" s="2">
        <v>44637.670034722221</v>
      </c>
      <c r="C1371" s="2">
        <v>44637.699340277781</v>
      </c>
      <c r="D1371" t="s">
        <v>402</v>
      </c>
      <c r="E1371" t="s">
        <v>2418</v>
      </c>
      <c r="F1371" t="s">
        <v>2419</v>
      </c>
      <c r="G1371" t="s">
        <v>1122</v>
      </c>
      <c r="H1371" t="s">
        <v>1159</v>
      </c>
      <c r="I1371">
        <v>702927004</v>
      </c>
      <c r="J1371" t="s">
        <v>1160</v>
      </c>
      <c r="K1371">
        <v>142.58000000000001</v>
      </c>
      <c r="L1371">
        <v>1088</v>
      </c>
      <c r="M1371">
        <v>870.38</v>
      </c>
      <c r="O1371" t="s">
        <v>34</v>
      </c>
    </row>
    <row r="1372" spans="1:15">
      <c r="A1372" t="s">
        <v>2722</v>
      </c>
      <c r="B1372" s="2">
        <v>44644.670034722221</v>
      </c>
      <c r="C1372" s="2">
        <v>44644.680451388886</v>
      </c>
      <c r="D1372" t="s">
        <v>402</v>
      </c>
      <c r="E1372" t="s">
        <v>1114</v>
      </c>
      <c r="F1372" t="s">
        <v>1115</v>
      </c>
      <c r="G1372" t="s">
        <v>1122</v>
      </c>
      <c r="H1372" t="s">
        <v>1043</v>
      </c>
      <c r="I1372">
        <v>185349003</v>
      </c>
      <c r="J1372" t="s">
        <v>1038</v>
      </c>
      <c r="K1372">
        <v>85.55</v>
      </c>
      <c r="L1372">
        <v>450.41</v>
      </c>
      <c r="M1372">
        <v>360.32</v>
      </c>
      <c r="O1372" t="s">
        <v>34</v>
      </c>
    </row>
    <row r="1373" spans="1:15">
      <c r="A1373" t="s">
        <v>2723</v>
      </c>
      <c r="B1373" s="2">
        <v>44651.670034722221</v>
      </c>
      <c r="C1373" s="2">
        <v>44651.711701388886</v>
      </c>
      <c r="D1373" t="s">
        <v>402</v>
      </c>
      <c r="E1373" t="s">
        <v>2700</v>
      </c>
      <c r="F1373" t="s">
        <v>2701</v>
      </c>
      <c r="G1373" t="s">
        <v>1122</v>
      </c>
      <c r="H1373" t="s">
        <v>1076</v>
      </c>
      <c r="I1373">
        <v>50849002</v>
      </c>
      <c r="J1373" t="s">
        <v>1163</v>
      </c>
      <c r="K1373">
        <v>146.18</v>
      </c>
      <c r="L1373">
        <v>875.9</v>
      </c>
      <c r="M1373">
        <v>700.7</v>
      </c>
      <c r="O1373" t="s">
        <v>34</v>
      </c>
    </row>
    <row r="1374" spans="1:15">
      <c r="A1374" t="s">
        <v>2724</v>
      </c>
      <c r="B1374" s="2">
        <v>44658.670034722221</v>
      </c>
      <c r="C1374" s="2">
        <v>44658.680451388886</v>
      </c>
      <c r="D1374" t="s">
        <v>402</v>
      </c>
      <c r="E1374" t="s">
        <v>2418</v>
      </c>
      <c r="F1374" t="s">
        <v>2419</v>
      </c>
      <c r="G1374" t="s">
        <v>1122</v>
      </c>
      <c r="H1374" t="s">
        <v>1159</v>
      </c>
      <c r="I1374">
        <v>702927004</v>
      </c>
      <c r="J1374" t="s">
        <v>1160</v>
      </c>
      <c r="K1374">
        <v>142.58000000000001</v>
      </c>
      <c r="L1374">
        <v>291.74</v>
      </c>
      <c r="M1374">
        <v>233.38</v>
      </c>
      <c r="O1374" t="s">
        <v>34</v>
      </c>
    </row>
    <row r="1375" spans="1:15">
      <c r="A1375" t="s">
        <v>2725</v>
      </c>
      <c r="B1375" s="2">
        <v>44665.670034722221</v>
      </c>
      <c r="C1375" s="2">
        <v>44665.706412037034</v>
      </c>
      <c r="D1375" t="s">
        <v>402</v>
      </c>
      <c r="E1375" t="s">
        <v>2418</v>
      </c>
      <c r="F1375" t="s">
        <v>2419</v>
      </c>
      <c r="G1375" t="s">
        <v>1122</v>
      </c>
      <c r="H1375" t="s">
        <v>1159</v>
      </c>
      <c r="I1375">
        <v>702927004</v>
      </c>
      <c r="J1375" t="s">
        <v>1160</v>
      </c>
      <c r="K1375">
        <v>142.58000000000001</v>
      </c>
      <c r="L1375">
        <v>872.3</v>
      </c>
      <c r="M1375">
        <v>697.82</v>
      </c>
      <c r="O1375" t="s">
        <v>34</v>
      </c>
    </row>
    <row r="1376" spans="1:15">
      <c r="A1376" t="s">
        <v>2726</v>
      </c>
      <c r="B1376" s="2">
        <v>44672.670034722221</v>
      </c>
      <c r="C1376" s="2">
        <v>44672.680451388886</v>
      </c>
      <c r="D1376" t="s">
        <v>402</v>
      </c>
      <c r="E1376" t="s">
        <v>1114</v>
      </c>
      <c r="F1376" t="s">
        <v>1115</v>
      </c>
      <c r="G1376" t="s">
        <v>1122</v>
      </c>
      <c r="H1376" t="s">
        <v>1043</v>
      </c>
      <c r="I1376">
        <v>185349003</v>
      </c>
      <c r="J1376" t="s">
        <v>1038</v>
      </c>
      <c r="K1376">
        <v>85.55</v>
      </c>
      <c r="L1376">
        <v>370.71</v>
      </c>
      <c r="M1376">
        <v>296.56</v>
      </c>
      <c r="O1376" t="s">
        <v>34</v>
      </c>
    </row>
    <row r="1377" spans="1:15">
      <c r="A1377" t="s">
        <v>2727</v>
      </c>
      <c r="B1377" s="2">
        <v>44679.670034722221</v>
      </c>
      <c r="C1377" s="2">
        <v>44679.711701388886</v>
      </c>
      <c r="D1377" t="s">
        <v>402</v>
      </c>
      <c r="E1377" t="s">
        <v>2700</v>
      </c>
      <c r="F1377" t="s">
        <v>2701</v>
      </c>
      <c r="G1377" t="s">
        <v>1122</v>
      </c>
      <c r="H1377" t="s">
        <v>1076</v>
      </c>
      <c r="I1377">
        <v>50849002</v>
      </c>
      <c r="J1377" t="s">
        <v>1163</v>
      </c>
      <c r="K1377">
        <v>146.18</v>
      </c>
      <c r="L1377">
        <v>1738.7</v>
      </c>
      <c r="M1377">
        <v>1390.94</v>
      </c>
      <c r="O1377" t="s">
        <v>34</v>
      </c>
    </row>
    <row r="1378" spans="1:15">
      <c r="A1378" t="s">
        <v>2728</v>
      </c>
      <c r="B1378" s="2">
        <v>44686.670034722221</v>
      </c>
      <c r="C1378" s="2">
        <v>44686.680451388886</v>
      </c>
      <c r="D1378" t="s">
        <v>402</v>
      </c>
      <c r="E1378" t="s">
        <v>2418</v>
      </c>
      <c r="F1378" t="s">
        <v>2419</v>
      </c>
      <c r="G1378" t="s">
        <v>1122</v>
      </c>
      <c r="H1378" t="s">
        <v>1159</v>
      </c>
      <c r="I1378">
        <v>702927004</v>
      </c>
      <c r="J1378" t="s">
        <v>1160</v>
      </c>
      <c r="K1378">
        <v>142.58000000000001</v>
      </c>
      <c r="L1378">
        <v>507.44</v>
      </c>
      <c r="M1378">
        <v>405.94</v>
      </c>
      <c r="O1378" t="s">
        <v>34</v>
      </c>
    </row>
    <row r="1379" spans="1:15">
      <c r="A1379" t="s">
        <v>2729</v>
      </c>
      <c r="B1379" s="2">
        <v>44693.670034722221</v>
      </c>
      <c r="C1379" s="2">
        <v>44693.69190972222</v>
      </c>
      <c r="D1379" t="s">
        <v>402</v>
      </c>
      <c r="E1379" t="s">
        <v>2418</v>
      </c>
      <c r="F1379" t="s">
        <v>2419</v>
      </c>
      <c r="G1379" t="s">
        <v>1122</v>
      </c>
      <c r="H1379" t="s">
        <v>1159</v>
      </c>
      <c r="I1379">
        <v>702927004</v>
      </c>
      <c r="J1379" t="s">
        <v>1160</v>
      </c>
      <c r="K1379">
        <v>142.58000000000001</v>
      </c>
      <c r="L1379">
        <v>872.3</v>
      </c>
      <c r="M1379">
        <v>697.82</v>
      </c>
      <c r="O1379" t="s">
        <v>34</v>
      </c>
    </row>
    <row r="1380" spans="1:15">
      <c r="A1380" t="s">
        <v>2730</v>
      </c>
      <c r="B1380" s="2">
        <v>44700.670034722221</v>
      </c>
      <c r="C1380" s="2">
        <v>44700.680451388886</v>
      </c>
      <c r="D1380" t="s">
        <v>402</v>
      </c>
      <c r="E1380" t="s">
        <v>1114</v>
      </c>
      <c r="F1380" t="s">
        <v>1115</v>
      </c>
      <c r="G1380" t="s">
        <v>1122</v>
      </c>
      <c r="H1380" t="s">
        <v>1043</v>
      </c>
      <c r="I1380">
        <v>185349003</v>
      </c>
      <c r="J1380" t="s">
        <v>1038</v>
      </c>
      <c r="K1380">
        <v>85.55</v>
      </c>
      <c r="L1380">
        <v>234.71</v>
      </c>
      <c r="M1380">
        <v>187.76</v>
      </c>
      <c r="O1380" t="s">
        <v>34</v>
      </c>
    </row>
    <row r="1381" spans="1:15">
      <c r="A1381" t="s">
        <v>2731</v>
      </c>
      <c r="B1381" s="2">
        <v>44707.670034722221</v>
      </c>
      <c r="C1381" s="2">
        <v>44707.692546296297</v>
      </c>
      <c r="D1381" t="s">
        <v>402</v>
      </c>
      <c r="E1381" t="s">
        <v>2418</v>
      </c>
      <c r="F1381" t="s">
        <v>2419</v>
      </c>
      <c r="G1381" t="s">
        <v>1122</v>
      </c>
      <c r="H1381" t="s">
        <v>1159</v>
      </c>
      <c r="I1381">
        <v>702927004</v>
      </c>
      <c r="J1381" t="s">
        <v>1160</v>
      </c>
      <c r="K1381">
        <v>142.58000000000001</v>
      </c>
      <c r="L1381">
        <v>872.3</v>
      </c>
      <c r="M1381">
        <v>697.82</v>
      </c>
      <c r="O1381" t="s">
        <v>34</v>
      </c>
    </row>
    <row r="1382" spans="1:15">
      <c r="A1382" t="s">
        <v>2732</v>
      </c>
      <c r="B1382" s="2">
        <v>44714.670034722221</v>
      </c>
      <c r="C1382" s="2">
        <v>44714.680451388886</v>
      </c>
      <c r="D1382" t="s">
        <v>402</v>
      </c>
      <c r="E1382" t="s">
        <v>2418</v>
      </c>
      <c r="F1382" t="s">
        <v>2419</v>
      </c>
      <c r="G1382" t="s">
        <v>1122</v>
      </c>
      <c r="H1382" t="s">
        <v>1159</v>
      </c>
      <c r="I1382">
        <v>702927004</v>
      </c>
      <c r="J1382" t="s">
        <v>1160</v>
      </c>
      <c r="K1382">
        <v>142.58000000000001</v>
      </c>
      <c r="L1382">
        <v>736.84</v>
      </c>
      <c r="M1382">
        <v>589.46</v>
      </c>
      <c r="O1382" t="s">
        <v>34</v>
      </c>
    </row>
    <row r="1383" spans="1:15">
      <c r="A1383" t="s">
        <v>2733</v>
      </c>
      <c r="B1383" s="2">
        <v>44721.670034722221</v>
      </c>
      <c r="C1383" s="2">
        <v>44721.69189814815</v>
      </c>
      <c r="D1383" t="s">
        <v>402</v>
      </c>
      <c r="E1383" t="s">
        <v>1114</v>
      </c>
      <c r="F1383" t="s">
        <v>1115</v>
      </c>
      <c r="G1383" t="s">
        <v>1122</v>
      </c>
      <c r="H1383" t="s">
        <v>1043</v>
      </c>
      <c r="I1383">
        <v>185349003</v>
      </c>
      <c r="J1383" t="s">
        <v>1038</v>
      </c>
      <c r="K1383">
        <v>85.55</v>
      </c>
      <c r="L1383">
        <v>1081.3599999999999</v>
      </c>
      <c r="M1383">
        <v>865.07</v>
      </c>
      <c r="O1383" t="s">
        <v>34</v>
      </c>
    </row>
    <row r="1384" spans="1:15">
      <c r="A1384" t="s">
        <v>2734</v>
      </c>
      <c r="B1384" s="2">
        <v>44728.670034722221</v>
      </c>
      <c r="C1384" s="2">
        <v>44728.680451388886</v>
      </c>
      <c r="D1384" t="s">
        <v>402</v>
      </c>
      <c r="E1384" t="s">
        <v>1114</v>
      </c>
      <c r="F1384" t="s">
        <v>1115</v>
      </c>
      <c r="G1384" t="s">
        <v>1122</v>
      </c>
      <c r="H1384" t="s">
        <v>1031</v>
      </c>
      <c r="I1384">
        <v>185345009</v>
      </c>
      <c r="J1384" t="s">
        <v>1032</v>
      </c>
      <c r="K1384">
        <v>85.55</v>
      </c>
      <c r="L1384">
        <v>424.91</v>
      </c>
      <c r="M1384">
        <v>339.93</v>
      </c>
      <c r="N1384">
        <v>10509002</v>
      </c>
      <c r="O1384" t="s">
        <v>1033</v>
      </c>
    </row>
    <row r="1385" spans="1:15">
      <c r="A1385" t="s">
        <v>2735</v>
      </c>
      <c r="B1385" s="2">
        <v>44735.670034722221</v>
      </c>
      <c r="C1385" s="2">
        <v>44735.808807870373</v>
      </c>
      <c r="D1385" t="s">
        <v>402</v>
      </c>
      <c r="E1385" t="s">
        <v>1114</v>
      </c>
      <c r="F1385" t="s">
        <v>1115</v>
      </c>
      <c r="G1385" t="s">
        <v>1122</v>
      </c>
      <c r="H1385" t="s">
        <v>1031</v>
      </c>
      <c r="I1385">
        <v>185349003</v>
      </c>
      <c r="J1385" t="s">
        <v>1038</v>
      </c>
      <c r="K1385">
        <v>85.55</v>
      </c>
      <c r="L1385">
        <v>3968.15</v>
      </c>
      <c r="M1385">
        <v>3174.52</v>
      </c>
      <c r="N1385">
        <v>103697008</v>
      </c>
      <c r="O1385" t="s">
        <v>1039</v>
      </c>
    </row>
    <row r="1386" spans="1:15">
      <c r="A1386" t="s">
        <v>2736</v>
      </c>
      <c r="B1386" s="2">
        <v>44742.670034722221</v>
      </c>
      <c r="C1386" s="2">
        <v>44742.704039351855</v>
      </c>
      <c r="D1386" t="s">
        <v>402</v>
      </c>
      <c r="E1386" t="s">
        <v>1114</v>
      </c>
      <c r="F1386" t="s">
        <v>1115</v>
      </c>
      <c r="G1386" t="s">
        <v>1122</v>
      </c>
      <c r="H1386" t="s">
        <v>1031</v>
      </c>
      <c r="I1386">
        <v>36228007</v>
      </c>
      <c r="J1386" t="s">
        <v>1705</v>
      </c>
      <c r="K1386">
        <v>142.58000000000001</v>
      </c>
      <c r="L1386">
        <v>3236.96</v>
      </c>
      <c r="M1386">
        <v>2589.56</v>
      </c>
      <c r="O1386" t="s">
        <v>34</v>
      </c>
    </row>
    <row r="1387" spans="1:15">
      <c r="A1387" t="s">
        <v>2737</v>
      </c>
      <c r="B1387" s="2">
        <v>44756.670034722221</v>
      </c>
      <c r="C1387" s="2">
        <v>44756.690868055557</v>
      </c>
      <c r="D1387" t="s">
        <v>402</v>
      </c>
      <c r="E1387" t="s">
        <v>1114</v>
      </c>
      <c r="F1387" t="s">
        <v>1115</v>
      </c>
      <c r="G1387" t="s">
        <v>1122</v>
      </c>
      <c r="H1387" t="s">
        <v>1031</v>
      </c>
      <c r="I1387">
        <v>390906007</v>
      </c>
      <c r="J1387" t="s">
        <v>1255</v>
      </c>
      <c r="K1387">
        <v>85.55</v>
      </c>
      <c r="L1387">
        <v>516.95000000000005</v>
      </c>
      <c r="M1387">
        <v>413.56</v>
      </c>
      <c r="N1387">
        <v>128188000</v>
      </c>
      <c r="O1387" t="s">
        <v>2664</v>
      </c>
    </row>
    <row r="1388" spans="1:15">
      <c r="A1388" t="s">
        <v>2738</v>
      </c>
      <c r="B1388" s="2">
        <v>44945.628368055557</v>
      </c>
      <c r="C1388" s="2">
        <v>44945.665682870371</v>
      </c>
      <c r="D1388" t="s">
        <v>402</v>
      </c>
      <c r="E1388" t="s">
        <v>2666</v>
      </c>
      <c r="F1388" t="s">
        <v>2667</v>
      </c>
      <c r="G1388" t="s">
        <v>1122</v>
      </c>
      <c r="H1388" t="s">
        <v>1020</v>
      </c>
      <c r="I1388">
        <v>162673000</v>
      </c>
      <c r="J1388" t="s">
        <v>1021</v>
      </c>
      <c r="K1388">
        <v>136.80000000000001</v>
      </c>
      <c r="L1388">
        <v>1002.52</v>
      </c>
      <c r="M1388">
        <v>802</v>
      </c>
      <c r="O1388" t="s">
        <v>34</v>
      </c>
    </row>
    <row r="1389" spans="1:15">
      <c r="A1389" t="s">
        <v>2739</v>
      </c>
      <c r="B1389" s="2">
        <v>44959.628368055557</v>
      </c>
      <c r="C1389" s="2">
        <v>44959.748217592591</v>
      </c>
      <c r="D1389" t="s">
        <v>402</v>
      </c>
      <c r="E1389" t="s">
        <v>1114</v>
      </c>
      <c r="F1389" t="s">
        <v>1115</v>
      </c>
      <c r="G1389" t="s">
        <v>1122</v>
      </c>
      <c r="H1389" t="s">
        <v>1031</v>
      </c>
      <c r="I1389">
        <v>185349003</v>
      </c>
      <c r="J1389" t="s">
        <v>1038</v>
      </c>
      <c r="K1389">
        <v>85.55</v>
      </c>
      <c r="L1389">
        <v>3105.35</v>
      </c>
      <c r="M1389">
        <v>2484.2800000000002</v>
      </c>
      <c r="N1389">
        <v>103697008</v>
      </c>
      <c r="O1389" t="s">
        <v>1039</v>
      </c>
    </row>
    <row r="1390" spans="1:15">
      <c r="A1390" t="s">
        <v>2740</v>
      </c>
      <c r="B1390" s="2">
        <v>45071.670034722221</v>
      </c>
      <c r="C1390" s="2">
        <v>45071.69332175926</v>
      </c>
      <c r="D1390" t="s">
        <v>402</v>
      </c>
      <c r="E1390" t="s">
        <v>1114</v>
      </c>
      <c r="F1390" t="s">
        <v>1115</v>
      </c>
      <c r="G1390" t="s">
        <v>1122</v>
      </c>
      <c r="H1390" t="s">
        <v>1043</v>
      </c>
      <c r="I1390">
        <v>185349003</v>
      </c>
      <c r="J1390" t="s">
        <v>1038</v>
      </c>
      <c r="K1390">
        <v>85.55</v>
      </c>
      <c r="L1390">
        <v>1166.97</v>
      </c>
      <c r="M1390">
        <v>933.56</v>
      </c>
      <c r="O1390" t="s">
        <v>34</v>
      </c>
    </row>
    <row r="1391" spans="1:15">
      <c r="A1391" t="s">
        <v>2741</v>
      </c>
      <c r="B1391" s="2">
        <v>45072.683206018519</v>
      </c>
      <c r="C1391" s="2">
        <v>45072.715810185182</v>
      </c>
      <c r="D1391" t="s">
        <v>402</v>
      </c>
      <c r="E1391" t="s">
        <v>1114</v>
      </c>
      <c r="F1391" t="s">
        <v>1115</v>
      </c>
      <c r="G1391" t="s">
        <v>1122</v>
      </c>
      <c r="H1391" t="s">
        <v>1031</v>
      </c>
      <c r="I1391">
        <v>36228007</v>
      </c>
      <c r="J1391" t="s">
        <v>1705</v>
      </c>
      <c r="K1391">
        <v>142.58000000000001</v>
      </c>
      <c r="L1391">
        <v>3236.96</v>
      </c>
      <c r="M1391">
        <v>2589.56</v>
      </c>
      <c r="O1391" t="s">
        <v>34</v>
      </c>
    </row>
    <row r="1392" spans="1:15">
      <c r="A1392" t="s">
        <v>2742</v>
      </c>
      <c r="B1392" s="2">
        <v>45078.690868055557</v>
      </c>
      <c r="C1392" s="2">
        <v>45078.711701388886</v>
      </c>
      <c r="D1392" t="s">
        <v>402</v>
      </c>
      <c r="E1392" t="s">
        <v>1114</v>
      </c>
      <c r="F1392" t="s">
        <v>1115</v>
      </c>
      <c r="G1392" t="s">
        <v>1122</v>
      </c>
      <c r="H1392" t="s">
        <v>1031</v>
      </c>
      <c r="I1392">
        <v>390906007</v>
      </c>
      <c r="J1392" t="s">
        <v>1255</v>
      </c>
      <c r="K1392">
        <v>85.55</v>
      </c>
      <c r="L1392">
        <v>516.95000000000005</v>
      </c>
      <c r="M1392">
        <v>413.56</v>
      </c>
      <c r="N1392">
        <v>128188000</v>
      </c>
      <c r="O1392" t="s">
        <v>2664</v>
      </c>
    </row>
    <row r="1393" spans="1:15">
      <c r="A1393" t="s">
        <v>2743</v>
      </c>
      <c r="B1393" s="2">
        <v>45099.670034722221</v>
      </c>
      <c r="C1393" s="2">
        <v>45099.696550925924</v>
      </c>
      <c r="D1393" t="s">
        <v>402</v>
      </c>
      <c r="E1393" t="s">
        <v>1114</v>
      </c>
      <c r="F1393" t="s">
        <v>1115</v>
      </c>
      <c r="G1393" t="s">
        <v>1122</v>
      </c>
      <c r="H1393" t="s">
        <v>1043</v>
      </c>
      <c r="I1393">
        <v>185349003</v>
      </c>
      <c r="J1393" t="s">
        <v>1038</v>
      </c>
      <c r="K1393">
        <v>85.55</v>
      </c>
      <c r="L1393">
        <v>815.27</v>
      </c>
      <c r="M1393">
        <v>652.20000000000005</v>
      </c>
      <c r="O1393" t="s">
        <v>34</v>
      </c>
    </row>
    <row r="1394" spans="1:15">
      <c r="A1394" t="s">
        <v>2744</v>
      </c>
      <c r="B1394" s="2">
        <v>45211.670034722221</v>
      </c>
      <c r="C1394" s="2">
        <v>45211.694884259261</v>
      </c>
      <c r="D1394" t="s">
        <v>402</v>
      </c>
      <c r="E1394" t="s">
        <v>1114</v>
      </c>
      <c r="F1394" t="s">
        <v>1115</v>
      </c>
      <c r="G1394" t="s">
        <v>1122</v>
      </c>
      <c r="H1394" t="s">
        <v>1043</v>
      </c>
      <c r="I1394">
        <v>185349003</v>
      </c>
      <c r="J1394" t="s">
        <v>1038</v>
      </c>
      <c r="K1394">
        <v>85.55</v>
      </c>
      <c r="L1394">
        <v>1496.07</v>
      </c>
      <c r="M1394">
        <v>1196.8399999999999</v>
      </c>
      <c r="O1394" t="s">
        <v>34</v>
      </c>
    </row>
    <row r="1395" spans="1:15">
      <c r="A1395" t="s">
        <v>2745</v>
      </c>
      <c r="B1395" s="2">
        <v>45256.670034722221</v>
      </c>
      <c r="C1395" s="2">
        <v>45256.690868055557</v>
      </c>
      <c r="D1395" t="s">
        <v>402</v>
      </c>
      <c r="E1395" t="s">
        <v>1114</v>
      </c>
      <c r="F1395" t="s">
        <v>1115</v>
      </c>
      <c r="G1395" t="s">
        <v>1122</v>
      </c>
      <c r="H1395" t="s">
        <v>2173</v>
      </c>
      <c r="I1395">
        <v>390906007</v>
      </c>
      <c r="J1395" t="s">
        <v>1255</v>
      </c>
      <c r="K1395">
        <v>75</v>
      </c>
      <c r="L1395">
        <v>506.4</v>
      </c>
      <c r="M1395">
        <v>218.72</v>
      </c>
      <c r="N1395">
        <v>128188000</v>
      </c>
      <c r="O1395" t="s">
        <v>2664</v>
      </c>
    </row>
    <row r="1396" spans="1:15">
      <c r="A1396" t="s">
        <v>2746</v>
      </c>
      <c r="B1396" s="2">
        <v>45302.628368055557</v>
      </c>
      <c r="C1396" s="2">
        <v>45302.655289351853</v>
      </c>
      <c r="D1396" t="s">
        <v>402</v>
      </c>
      <c r="E1396" t="s">
        <v>1114</v>
      </c>
      <c r="F1396" t="s">
        <v>1115</v>
      </c>
      <c r="G1396" t="s">
        <v>1122</v>
      </c>
      <c r="H1396" t="s">
        <v>1043</v>
      </c>
      <c r="I1396">
        <v>185349003</v>
      </c>
      <c r="J1396" t="s">
        <v>1038</v>
      </c>
      <c r="K1396">
        <v>85.55</v>
      </c>
      <c r="L1396">
        <v>1593.02</v>
      </c>
      <c r="M1396">
        <v>1274.4000000000001</v>
      </c>
      <c r="O1396" t="s">
        <v>34</v>
      </c>
    </row>
    <row r="1397" spans="1:15">
      <c r="A1397" t="s">
        <v>2747</v>
      </c>
      <c r="B1397" s="2">
        <v>45316.628368055557</v>
      </c>
      <c r="C1397" s="2">
        <v>45316.658217592594</v>
      </c>
      <c r="D1397" t="s">
        <v>402</v>
      </c>
      <c r="E1397" t="s">
        <v>2666</v>
      </c>
      <c r="F1397" t="s">
        <v>2667</v>
      </c>
      <c r="G1397" t="s">
        <v>1122</v>
      </c>
      <c r="H1397" t="s">
        <v>1020</v>
      </c>
      <c r="I1397">
        <v>162673000</v>
      </c>
      <c r="J1397" t="s">
        <v>1021</v>
      </c>
      <c r="K1397">
        <v>136.80000000000001</v>
      </c>
      <c r="L1397">
        <v>866.52</v>
      </c>
      <c r="M1397">
        <v>693.2</v>
      </c>
      <c r="O1397" t="s">
        <v>34</v>
      </c>
    </row>
    <row r="1398" spans="1:15">
      <c r="A1398" t="s">
        <v>2748</v>
      </c>
      <c r="B1398" s="2">
        <v>45323.628368055557</v>
      </c>
      <c r="C1398" s="2">
        <v>45323.66065972222</v>
      </c>
      <c r="D1398" t="s">
        <v>402</v>
      </c>
      <c r="E1398" t="s">
        <v>1114</v>
      </c>
      <c r="F1398" t="s">
        <v>1115</v>
      </c>
      <c r="G1398" t="s">
        <v>1122</v>
      </c>
      <c r="H1398" t="s">
        <v>1031</v>
      </c>
      <c r="I1398">
        <v>36228007</v>
      </c>
      <c r="J1398" t="s">
        <v>1705</v>
      </c>
      <c r="K1398">
        <v>142.58000000000001</v>
      </c>
      <c r="L1398">
        <v>3236.96</v>
      </c>
      <c r="M1398">
        <v>2589.56</v>
      </c>
      <c r="O1398" t="s">
        <v>34</v>
      </c>
    </row>
    <row r="1399" spans="1:15">
      <c r="A1399" t="s">
        <v>2749</v>
      </c>
      <c r="B1399" s="2">
        <v>45393.670034722221</v>
      </c>
      <c r="C1399" s="2">
        <v>45393.700706018521</v>
      </c>
      <c r="D1399" t="s">
        <v>402</v>
      </c>
      <c r="E1399" t="s">
        <v>1114</v>
      </c>
      <c r="F1399" t="s">
        <v>1115</v>
      </c>
      <c r="G1399" t="s">
        <v>1122</v>
      </c>
      <c r="H1399" t="s">
        <v>1043</v>
      </c>
      <c r="I1399">
        <v>185349003</v>
      </c>
      <c r="J1399" t="s">
        <v>1038</v>
      </c>
      <c r="K1399">
        <v>85.55</v>
      </c>
      <c r="L1399">
        <v>815.27</v>
      </c>
      <c r="M1399">
        <v>652.20000000000005</v>
      </c>
      <c r="O1399" t="s">
        <v>34</v>
      </c>
    </row>
    <row r="1400" spans="1:15">
      <c r="A1400" t="s">
        <v>2750</v>
      </c>
      <c r="B1400" s="2">
        <v>45483.732534722221</v>
      </c>
      <c r="C1400" s="2">
        <v>45483.753368055557</v>
      </c>
      <c r="D1400" t="s">
        <v>402</v>
      </c>
      <c r="E1400" t="s">
        <v>1114</v>
      </c>
      <c r="F1400" t="s">
        <v>1115</v>
      </c>
      <c r="G1400" t="s">
        <v>1122</v>
      </c>
      <c r="H1400" t="s">
        <v>1031</v>
      </c>
      <c r="I1400">
        <v>390906007</v>
      </c>
      <c r="J1400" t="s">
        <v>1255</v>
      </c>
      <c r="K1400">
        <v>85.55</v>
      </c>
      <c r="L1400">
        <v>516.95000000000005</v>
      </c>
      <c r="M1400">
        <v>413.56</v>
      </c>
      <c r="N1400">
        <v>128188000</v>
      </c>
      <c r="O1400" t="s">
        <v>2664</v>
      </c>
    </row>
    <row r="1401" spans="1:15">
      <c r="A1401" t="s">
        <v>2751</v>
      </c>
      <c r="B1401" s="2">
        <v>45631.628368055557</v>
      </c>
      <c r="C1401" s="2">
        <v>45631.658518518518</v>
      </c>
      <c r="D1401" t="s">
        <v>402</v>
      </c>
      <c r="E1401" t="s">
        <v>1114</v>
      </c>
      <c r="F1401" t="s">
        <v>1115</v>
      </c>
      <c r="G1401" t="s">
        <v>1122</v>
      </c>
      <c r="H1401" t="s">
        <v>1043</v>
      </c>
      <c r="I1401">
        <v>185349003</v>
      </c>
      <c r="J1401" t="s">
        <v>1038</v>
      </c>
      <c r="K1401">
        <v>85.55</v>
      </c>
      <c r="L1401">
        <v>951.27</v>
      </c>
      <c r="M1401">
        <v>761</v>
      </c>
      <c r="O1401" t="s">
        <v>34</v>
      </c>
    </row>
    <row r="1402" spans="1:15">
      <c r="A1402" t="s">
        <v>2752</v>
      </c>
      <c r="B1402" s="2">
        <v>45638.628368055557</v>
      </c>
      <c r="C1402" s="2">
        <v>45638.670034722221</v>
      </c>
      <c r="D1402" t="s">
        <v>402</v>
      </c>
      <c r="E1402" t="s">
        <v>2700</v>
      </c>
      <c r="F1402" t="s">
        <v>2701</v>
      </c>
      <c r="G1402" t="s">
        <v>1122</v>
      </c>
      <c r="H1402" t="s">
        <v>1076</v>
      </c>
      <c r="I1402">
        <v>50849002</v>
      </c>
      <c r="J1402" t="s">
        <v>1163</v>
      </c>
      <c r="K1402">
        <v>146.18</v>
      </c>
      <c r="L1402">
        <v>295.33999999999997</v>
      </c>
      <c r="M1402">
        <v>236.26</v>
      </c>
      <c r="O1402" t="s">
        <v>34</v>
      </c>
    </row>
    <row r="1403" spans="1:15">
      <c r="A1403" t="s">
        <v>2753</v>
      </c>
      <c r="B1403" s="2">
        <v>45645.628368055557</v>
      </c>
      <c r="C1403" s="2">
        <v>45645.653460648151</v>
      </c>
      <c r="D1403" t="s">
        <v>402</v>
      </c>
      <c r="E1403" t="s">
        <v>2418</v>
      </c>
      <c r="F1403" t="s">
        <v>2419</v>
      </c>
      <c r="G1403" t="s">
        <v>1122</v>
      </c>
      <c r="H1403" t="s">
        <v>1159</v>
      </c>
      <c r="I1403">
        <v>702927004</v>
      </c>
      <c r="J1403" t="s">
        <v>1160</v>
      </c>
      <c r="K1403">
        <v>142.58000000000001</v>
      </c>
      <c r="L1403">
        <v>872.3</v>
      </c>
      <c r="M1403">
        <v>697.82</v>
      </c>
      <c r="O1403" t="s">
        <v>34</v>
      </c>
    </row>
    <row r="1404" spans="1:15">
      <c r="A1404" t="s">
        <v>2754</v>
      </c>
      <c r="B1404" s="2">
        <v>45652.628368055557</v>
      </c>
      <c r="C1404" s="2">
        <v>45652.638784722221</v>
      </c>
      <c r="D1404" t="s">
        <v>402</v>
      </c>
      <c r="E1404" t="s">
        <v>2418</v>
      </c>
      <c r="F1404" t="s">
        <v>2419</v>
      </c>
      <c r="G1404" t="s">
        <v>1122</v>
      </c>
      <c r="H1404" t="s">
        <v>1159</v>
      </c>
      <c r="I1404">
        <v>702927004</v>
      </c>
      <c r="J1404" t="s">
        <v>1160</v>
      </c>
      <c r="K1404">
        <v>142.58000000000001</v>
      </c>
      <c r="L1404">
        <v>291.74</v>
      </c>
      <c r="M1404">
        <v>233.38</v>
      </c>
      <c r="O1404" t="s">
        <v>34</v>
      </c>
    </row>
    <row r="1405" spans="1:15">
      <c r="A1405" t="s">
        <v>2755</v>
      </c>
      <c r="B1405" s="2">
        <v>45659.628368055557</v>
      </c>
      <c r="C1405" s="2">
        <v>45659.665023148147</v>
      </c>
      <c r="D1405" t="s">
        <v>402</v>
      </c>
      <c r="E1405" t="s">
        <v>2418</v>
      </c>
      <c r="F1405" t="s">
        <v>2419</v>
      </c>
      <c r="G1405" t="s">
        <v>1122</v>
      </c>
      <c r="H1405" t="s">
        <v>1159</v>
      </c>
      <c r="I1405">
        <v>702927004</v>
      </c>
      <c r="J1405" t="s">
        <v>1160</v>
      </c>
      <c r="K1405">
        <v>142.58000000000001</v>
      </c>
      <c r="L1405">
        <v>1088</v>
      </c>
      <c r="M1405">
        <v>870.38</v>
      </c>
      <c r="O1405" t="s">
        <v>34</v>
      </c>
    </row>
    <row r="1406" spans="1:15">
      <c r="A1406" t="s">
        <v>2756</v>
      </c>
      <c r="B1406" s="2">
        <v>45666.628368055557</v>
      </c>
      <c r="C1406" s="2">
        <v>45666.638784722221</v>
      </c>
      <c r="D1406" t="s">
        <v>402</v>
      </c>
      <c r="E1406" t="s">
        <v>2418</v>
      </c>
      <c r="F1406" t="s">
        <v>2419</v>
      </c>
      <c r="G1406" t="s">
        <v>1122</v>
      </c>
      <c r="H1406" t="s">
        <v>1159</v>
      </c>
      <c r="I1406">
        <v>702927004</v>
      </c>
      <c r="J1406" t="s">
        <v>1160</v>
      </c>
      <c r="K1406">
        <v>142.58000000000001</v>
      </c>
      <c r="L1406">
        <v>291.74</v>
      </c>
      <c r="M1406">
        <v>233.38</v>
      </c>
      <c r="O1406" t="s">
        <v>34</v>
      </c>
    </row>
    <row r="1407" spans="1:15">
      <c r="A1407" t="s">
        <v>2757</v>
      </c>
      <c r="B1407" s="2">
        <v>45673.628368055557</v>
      </c>
      <c r="C1407" s="2">
        <v>45673.655509259261</v>
      </c>
      <c r="D1407" t="s">
        <v>402</v>
      </c>
      <c r="E1407" t="s">
        <v>2418</v>
      </c>
      <c r="F1407" t="s">
        <v>2419</v>
      </c>
      <c r="G1407" t="s">
        <v>1122</v>
      </c>
      <c r="H1407" t="s">
        <v>1159</v>
      </c>
      <c r="I1407">
        <v>702927004</v>
      </c>
      <c r="J1407" t="s">
        <v>1160</v>
      </c>
      <c r="K1407">
        <v>142.58000000000001</v>
      </c>
      <c r="L1407">
        <v>1538.05</v>
      </c>
      <c r="M1407">
        <v>1230.42</v>
      </c>
      <c r="O1407" t="s">
        <v>34</v>
      </c>
    </row>
    <row r="1408" spans="1:15">
      <c r="A1408" t="s">
        <v>2758</v>
      </c>
      <c r="B1408" s="2">
        <v>45680.628368055557</v>
      </c>
      <c r="C1408" s="2">
        <v>45680.638784722221</v>
      </c>
      <c r="D1408" t="s">
        <v>402</v>
      </c>
      <c r="E1408" t="s">
        <v>1114</v>
      </c>
      <c r="F1408" t="s">
        <v>1115</v>
      </c>
      <c r="G1408" t="s">
        <v>1122</v>
      </c>
      <c r="H1408" t="s">
        <v>1043</v>
      </c>
      <c r="I1408">
        <v>185349003</v>
      </c>
      <c r="J1408" t="s">
        <v>1038</v>
      </c>
      <c r="K1408">
        <v>85.55</v>
      </c>
      <c r="L1408">
        <v>450.41</v>
      </c>
      <c r="M1408">
        <v>360.32</v>
      </c>
      <c r="O1408" t="s">
        <v>34</v>
      </c>
    </row>
    <row r="1409" spans="1:15">
      <c r="A1409" t="s">
        <v>2759</v>
      </c>
      <c r="B1409" s="2">
        <v>45687.628368055557</v>
      </c>
      <c r="C1409" s="2">
        <v>45687.650740740741</v>
      </c>
      <c r="D1409" t="s">
        <v>402</v>
      </c>
      <c r="E1409" t="s">
        <v>2666</v>
      </c>
      <c r="F1409" t="s">
        <v>2667</v>
      </c>
      <c r="G1409" t="s">
        <v>1122</v>
      </c>
      <c r="H1409" t="s">
        <v>1020</v>
      </c>
      <c r="I1409">
        <v>162673000</v>
      </c>
      <c r="J1409" t="s">
        <v>1021</v>
      </c>
      <c r="K1409">
        <v>136.80000000000001</v>
      </c>
      <c r="L1409">
        <v>1238.3399999999999</v>
      </c>
      <c r="M1409">
        <v>990.66</v>
      </c>
      <c r="O1409" t="s">
        <v>34</v>
      </c>
    </row>
    <row r="1410" spans="1:15">
      <c r="A1410" t="s">
        <v>2760</v>
      </c>
      <c r="B1410" s="2">
        <v>45694.628368055557</v>
      </c>
      <c r="C1410" s="2">
        <v>45694.638784722221</v>
      </c>
      <c r="D1410" t="s">
        <v>402</v>
      </c>
      <c r="E1410" t="s">
        <v>1114</v>
      </c>
      <c r="F1410" t="s">
        <v>1115</v>
      </c>
      <c r="G1410" t="s">
        <v>1122</v>
      </c>
      <c r="H1410" t="s">
        <v>1043</v>
      </c>
      <c r="I1410">
        <v>185349003</v>
      </c>
      <c r="J1410" t="s">
        <v>1038</v>
      </c>
      <c r="K1410">
        <v>85.55</v>
      </c>
      <c r="L1410">
        <v>508.83</v>
      </c>
      <c r="M1410">
        <v>407.06</v>
      </c>
      <c r="O1410" t="s">
        <v>34</v>
      </c>
    </row>
    <row r="1411" spans="1:15">
      <c r="A1411" t="s">
        <v>2761</v>
      </c>
      <c r="B1411" s="2">
        <v>45701.628368055557</v>
      </c>
      <c r="C1411" s="2">
        <v>45701.657546296294</v>
      </c>
      <c r="D1411" t="s">
        <v>402</v>
      </c>
      <c r="E1411" t="s">
        <v>2418</v>
      </c>
      <c r="F1411" t="s">
        <v>2419</v>
      </c>
      <c r="G1411" t="s">
        <v>1122</v>
      </c>
      <c r="H1411" t="s">
        <v>1159</v>
      </c>
      <c r="I1411">
        <v>702927004</v>
      </c>
      <c r="J1411" t="s">
        <v>1160</v>
      </c>
      <c r="K1411">
        <v>142.58000000000001</v>
      </c>
      <c r="L1411">
        <v>872.3</v>
      </c>
      <c r="M1411">
        <v>697.82</v>
      </c>
      <c r="O1411" t="s">
        <v>34</v>
      </c>
    </row>
    <row r="1412" spans="1:15">
      <c r="A1412" t="s">
        <v>2762</v>
      </c>
      <c r="B1412" s="2">
        <v>45708.628368055557</v>
      </c>
      <c r="C1412" s="2">
        <v>45708.638784722221</v>
      </c>
      <c r="D1412" t="s">
        <v>402</v>
      </c>
      <c r="E1412" t="s">
        <v>2418</v>
      </c>
      <c r="F1412" t="s">
        <v>2419</v>
      </c>
      <c r="G1412" t="s">
        <v>1122</v>
      </c>
      <c r="H1412" t="s">
        <v>1159</v>
      </c>
      <c r="I1412">
        <v>702927004</v>
      </c>
      <c r="J1412" t="s">
        <v>1160</v>
      </c>
      <c r="K1412">
        <v>142.58000000000001</v>
      </c>
      <c r="L1412">
        <v>291.74</v>
      </c>
      <c r="M1412">
        <v>233.38</v>
      </c>
      <c r="O1412" t="s">
        <v>34</v>
      </c>
    </row>
    <row r="1413" spans="1:15">
      <c r="A1413" t="s">
        <v>2763</v>
      </c>
      <c r="B1413" s="2">
        <v>45715.628368055557</v>
      </c>
      <c r="C1413" s="2">
        <v>45715.651608796295</v>
      </c>
      <c r="D1413" t="s">
        <v>402</v>
      </c>
      <c r="E1413" t="s">
        <v>1114</v>
      </c>
      <c r="F1413" t="s">
        <v>1115</v>
      </c>
      <c r="G1413" t="s">
        <v>1122</v>
      </c>
      <c r="H1413" t="s">
        <v>1043</v>
      </c>
      <c r="I1413">
        <v>185349003</v>
      </c>
      <c r="J1413" t="s">
        <v>1038</v>
      </c>
      <c r="K1413">
        <v>85.55</v>
      </c>
      <c r="L1413">
        <v>815.27</v>
      </c>
      <c r="M1413">
        <v>652.20000000000005</v>
      </c>
      <c r="O1413" t="s">
        <v>34</v>
      </c>
    </row>
    <row r="1414" spans="1:15">
      <c r="A1414" t="s">
        <v>2764</v>
      </c>
      <c r="B1414" s="2">
        <v>45722.628368055557</v>
      </c>
      <c r="C1414" s="2">
        <v>45722.750868055555</v>
      </c>
      <c r="D1414" t="s">
        <v>402</v>
      </c>
      <c r="E1414" t="s">
        <v>1114</v>
      </c>
      <c r="F1414" t="s">
        <v>1115</v>
      </c>
      <c r="G1414" t="s">
        <v>1122</v>
      </c>
      <c r="H1414" t="s">
        <v>1031</v>
      </c>
      <c r="I1414">
        <v>185349003</v>
      </c>
      <c r="J1414" t="s">
        <v>1038</v>
      </c>
      <c r="K1414">
        <v>85.55</v>
      </c>
      <c r="L1414">
        <v>3105.35</v>
      </c>
      <c r="M1414">
        <v>2484.2800000000002</v>
      </c>
      <c r="N1414">
        <v>66383009</v>
      </c>
      <c r="O1414" t="s">
        <v>1209</v>
      </c>
    </row>
    <row r="1415" spans="1:15">
      <c r="A1415" t="s">
        <v>2765</v>
      </c>
      <c r="B1415" s="2">
        <v>45729.670034722221</v>
      </c>
      <c r="C1415" s="2">
        <v>45729.703379629631</v>
      </c>
      <c r="D1415" t="s">
        <v>402</v>
      </c>
      <c r="E1415" t="s">
        <v>1114</v>
      </c>
      <c r="F1415" t="s">
        <v>1115</v>
      </c>
      <c r="G1415" t="s">
        <v>1122</v>
      </c>
      <c r="H1415" t="s">
        <v>1031</v>
      </c>
      <c r="I1415">
        <v>36228007</v>
      </c>
      <c r="J1415" t="s">
        <v>1705</v>
      </c>
      <c r="K1415">
        <v>142.58000000000001</v>
      </c>
      <c r="L1415">
        <v>3236.96</v>
      </c>
      <c r="M1415">
        <v>2589.56</v>
      </c>
      <c r="O1415" t="s">
        <v>34</v>
      </c>
    </row>
    <row r="1416" spans="1:15">
      <c r="A1416" t="s">
        <v>2766</v>
      </c>
      <c r="B1416" s="2">
        <v>45736.670034722221</v>
      </c>
      <c r="C1416" s="2">
        <v>45736.680451388886</v>
      </c>
      <c r="D1416" t="s">
        <v>402</v>
      </c>
      <c r="E1416" t="s">
        <v>1114</v>
      </c>
      <c r="F1416" t="s">
        <v>1115</v>
      </c>
      <c r="G1416" t="s">
        <v>1122</v>
      </c>
      <c r="H1416" t="s">
        <v>1031</v>
      </c>
      <c r="I1416">
        <v>185345009</v>
      </c>
      <c r="J1416" t="s">
        <v>1032</v>
      </c>
      <c r="K1416">
        <v>85.55</v>
      </c>
      <c r="L1416">
        <v>85.55</v>
      </c>
      <c r="M1416">
        <v>68.44</v>
      </c>
      <c r="N1416">
        <v>444814009</v>
      </c>
      <c r="O1416" t="s">
        <v>1035</v>
      </c>
    </row>
    <row r="1417" spans="1:15">
      <c r="A1417" t="s">
        <v>2767</v>
      </c>
      <c r="B1417" s="2">
        <v>45743.670034722221</v>
      </c>
      <c r="C1417" s="2">
        <v>45743.709652777776</v>
      </c>
      <c r="D1417" t="s">
        <v>402</v>
      </c>
      <c r="E1417" t="s">
        <v>2418</v>
      </c>
      <c r="F1417" t="s">
        <v>2419</v>
      </c>
      <c r="G1417" t="s">
        <v>1122</v>
      </c>
      <c r="H1417" t="s">
        <v>1159</v>
      </c>
      <c r="I1417">
        <v>702927004</v>
      </c>
      <c r="J1417" t="s">
        <v>1160</v>
      </c>
      <c r="K1417">
        <v>142.58000000000001</v>
      </c>
      <c r="L1417">
        <v>872.3</v>
      </c>
      <c r="M1417">
        <v>697.82</v>
      </c>
      <c r="O1417" t="s">
        <v>34</v>
      </c>
    </row>
    <row r="1418" spans="1:15">
      <c r="A1418" t="s">
        <v>2768</v>
      </c>
      <c r="B1418" s="2">
        <v>45750.670034722221</v>
      </c>
      <c r="C1418" s="2">
        <v>45750.680451388886</v>
      </c>
      <c r="D1418" t="s">
        <v>402</v>
      </c>
      <c r="E1418" t="s">
        <v>2418</v>
      </c>
      <c r="F1418" t="s">
        <v>2419</v>
      </c>
      <c r="G1418" t="s">
        <v>1122</v>
      </c>
      <c r="H1418" t="s">
        <v>1159</v>
      </c>
      <c r="I1418">
        <v>702927004</v>
      </c>
      <c r="J1418" t="s">
        <v>1160</v>
      </c>
      <c r="K1418">
        <v>142.58000000000001</v>
      </c>
      <c r="L1418">
        <v>1154.54</v>
      </c>
      <c r="M1418">
        <v>923.62</v>
      </c>
      <c r="O1418" t="s">
        <v>34</v>
      </c>
    </row>
    <row r="1419" spans="1:15">
      <c r="A1419" t="s">
        <v>2769</v>
      </c>
      <c r="B1419" s="2">
        <v>45757.670034722221</v>
      </c>
      <c r="C1419" s="2">
        <v>45757.703356481485</v>
      </c>
      <c r="D1419" t="s">
        <v>402</v>
      </c>
      <c r="E1419" t="s">
        <v>2418</v>
      </c>
      <c r="F1419" t="s">
        <v>2419</v>
      </c>
      <c r="G1419" t="s">
        <v>1122</v>
      </c>
      <c r="H1419" t="s">
        <v>1159</v>
      </c>
      <c r="I1419">
        <v>702927004</v>
      </c>
      <c r="J1419" t="s">
        <v>1160</v>
      </c>
      <c r="K1419">
        <v>142.58000000000001</v>
      </c>
      <c r="L1419">
        <v>872.3</v>
      </c>
      <c r="M1419">
        <v>697.82</v>
      </c>
      <c r="O1419" t="s">
        <v>34</v>
      </c>
    </row>
    <row r="1420" spans="1:15">
      <c r="A1420" t="s">
        <v>2770</v>
      </c>
      <c r="B1420" s="2">
        <v>45764.670034722221</v>
      </c>
      <c r="C1420" s="2">
        <v>45764.820243055554</v>
      </c>
      <c r="D1420" t="s">
        <v>402</v>
      </c>
      <c r="E1420" t="s">
        <v>1114</v>
      </c>
      <c r="F1420" t="s">
        <v>1115</v>
      </c>
      <c r="G1420" t="s">
        <v>1122</v>
      </c>
      <c r="H1420" t="s">
        <v>1031</v>
      </c>
      <c r="I1420">
        <v>185349003</v>
      </c>
      <c r="J1420" t="s">
        <v>1038</v>
      </c>
      <c r="K1420">
        <v>85.55</v>
      </c>
      <c r="L1420">
        <v>3105.35</v>
      </c>
      <c r="M1420">
        <v>2484.2800000000002</v>
      </c>
      <c r="N1420">
        <v>66383009</v>
      </c>
      <c r="O1420" t="s">
        <v>1209</v>
      </c>
    </row>
    <row r="1421" spans="1:15">
      <c r="A1421" t="s">
        <v>2771</v>
      </c>
      <c r="B1421" s="2">
        <v>45785.670034722221</v>
      </c>
      <c r="C1421" s="2">
        <v>45785.700821759259</v>
      </c>
      <c r="D1421" t="s">
        <v>402</v>
      </c>
      <c r="E1421" t="s">
        <v>1114</v>
      </c>
      <c r="F1421" t="s">
        <v>1115</v>
      </c>
      <c r="G1421" t="s">
        <v>1122</v>
      </c>
      <c r="H1421" t="s">
        <v>1043</v>
      </c>
      <c r="I1421">
        <v>185349003</v>
      </c>
      <c r="J1421" t="s">
        <v>1038</v>
      </c>
      <c r="K1421">
        <v>85.55</v>
      </c>
      <c r="L1421">
        <v>951.27</v>
      </c>
      <c r="M1421">
        <v>761</v>
      </c>
      <c r="O1421" t="s">
        <v>34</v>
      </c>
    </row>
    <row r="1422" spans="1:15">
      <c r="A1422" t="s">
        <v>2772</v>
      </c>
      <c r="B1422" s="2">
        <v>45800.753368055557</v>
      </c>
      <c r="C1422" s="2">
        <v>45800.774201388886</v>
      </c>
      <c r="D1422" t="s">
        <v>402</v>
      </c>
      <c r="E1422" t="s">
        <v>1114</v>
      </c>
      <c r="F1422" t="s">
        <v>1115</v>
      </c>
      <c r="G1422" t="s">
        <v>1122</v>
      </c>
      <c r="H1422" t="s">
        <v>1031</v>
      </c>
      <c r="I1422">
        <v>390906007</v>
      </c>
      <c r="J1422" t="s">
        <v>1255</v>
      </c>
      <c r="K1422">
        <v>85.55</v>
      </c>
      <c r="L1422">
        <v>516.95000000000005</v>
      </c>
      <c r="M1422">
        <v>413.56</v>
      </c>
      <c r="N1422">
        <v>128188000</v>
      </c>
      <c r="O1422" t="s">
        <v>2664</v>
      </c>
    </row>
    <row r="1423" spans="1:15">
      <c r="A1423" t="s">
        <v>2773</v>
      </c>
      <c r="B1423" s="2">
        <v>45848.670034722221</v>
      </c>
      <c r="C1423" s="2">
        <v>45848.709965277776</v>
      </c>
      <c r="D1423" t="s">
        <v>402</v>
      </c>
      <c r="E1423" t="s">
        <v>1114</v>
      </c>
      <c r="F1423" t="s">
        <v>1115</v>
      </c>
      <c r="G1423" t="s">
        <v>1122</v>
      </c>
      <c r="H1423" t="s">
        <v>1043</v>
      </c>
      <c r="I1423">
        <v>185349003</v>
      </c>
      <c r="J1423" t="s">
        <v>1038</v>
      </c>
      <c r="K1423">
        <v>85.55</v>
      </c>
      <c r="L1423">
        <v>1030.97</v>
      </c>
      <c r="M1423">
        <v>824.76</v>
      </c>
      <c r="O1423" t="s">
        <v>34</v>
      </c>
    </row>
    <row r="1424" spans="1:15">
      <c r="A1424" t="s">
        <v>2774</v>
      </c>
      <c r="B1424" s="2">
        <v>45862.670034722221</v>
      </c>
      <c r="C1424" s="2">
        <v>45862.806192129632</v>
      </c>
      <c r="D1424" t="s">
        <v>402</v>
      </c>
      <c r="E1424" t="s">
        <v>1114</v>
      </c>
      <c r="F1424" t="s">
        <v>1115</v>
      </c>
      <c r="G1424" t="s">
        <v>1122</v>
      </c>
      <c r="H1424" t="s">
        <v>1031</v>
      </c>
      <c r="I1424">
        <v>185349003</v>
      </c>
      <c r="J1424" t="s">
        <v>1038</v>
      </c>
      <c r="K1424">
        <v>85.55</v>
      </c>
      <c r="L1424">
        <v>3105.35</v>
      </c>
      <c r="M1424">
        <v>2484.2800000000002</v>
      </c>
      <c r="N1424">
        <v>66383009</v>
      </c>
      <c r="O1424" t="s">
        <v>1209</v>
      </c>
    </row>
    <row r="1425" spans="1:15">
      <c r="A1425" t="s">
        <v>2775</v>
      </c>
      <c r="B1425" s="2">
        <v>45939.670034722221</v>
      </c>
      <c r="C1425" s="2">
        <v>45939.706319444442</v>
      </c>
      <c r="D1425" t="s">
        <v>402</v>
      </c>
      <c r="E1425" t="s">
        <v>2418</v>
      </c>
      <c r="F1425" t="s">
        <v>2419</v>
      </c>
      <c r="G1425" t="s">
        <v>1122</v>
      </c>
      <c r="H1425" t="s">
        <v>1159</v>
      </c>
      <c r="I1425">
        <v>702927004</v>
      </c>
      <c r="J1425" t="s">
        <v>1160</v>
      </c>
      <c r="K1425">
        <v>142.58000000000001</v>
      </c>
      <c r="L1425">
        <v>1088</v>
      </c>
      <c r="M1425">
        <v>870.38</v>
      </c>
      <c r="O1425" t="s">
        <v>34</v>
      </c>
    </row>
    <row r="1426" spans="1:15">
      <c r="A1426" t="s">
        <v>2776</v>
      </c>
      <c r="B1426" s="2">
        <v>46058.628368055557</v>
      </c>
      <c r="C1426" s="2">
        <v>46058.658449074072</v>
      </c>
      <c r="D1426" t="s">
        <v>402</v>
      </c>
      <c r="E1426" t="s">
        <v>2666</v>
      </c>
      <c r="F1426" t="s">
        <v>2667</v>
      </c>
      <c r="G1426" t="s">
        <v>1122</v>
      </c>
      <c r="H1426" t="s">
        <v>1020</v>
      </c>
      <c r="I1426">
        <v>162673000</v>
      </c>
      <c r="J1426" t="s">
        <v>1021</v>
      </c>
      <c r="K1426">
        <v>136.80000000000001</v>
      </c>
      <c r="L1426">
        <v>866.52</v>
      </c>
      <c r="M1426">
        <v>608.30999999999995</v>
      </c>
      <c r="O1426" t="s">
        <v>34</v>
      </c>
    </row>
    <row r="1427" spans="1:15">
      <c r="A1427" t="s">
        <v>2777</v>
      </c>
      <c r="B1427" s="2">
        <v>46059.640879629631</v>
      </c>
      <c r="C1427" s="2">
        <v>46059.673171296294</v>
      </c>
      <c r="D1427" t="s">
        <v>402</v>
      </c>
      <c r="E1427" t="s">
        <v>1114</v>
      </c>
      <c r="F1427" t="s">
        <v>1115</v>
      </c>
      <c r="G1427" t="s">
        <v>1122</v>
      </c>
      <c r="H1427" t="s">
        <v>1031</v>
      </c>
      <c r="I1427">
        <v>36228007</v>
      </c>
      <c r="J1427" t="s">
        <v>1705</v>
      </c>
      <c r="K1427">
        <v>142.58000000000001</v>
      </c>
      <c r="L1427">
        <v>3236.96</v>
      </c>
      <c r="M1427">
        <v>2589.56</v>
      </c>
      <c r="O1427" t="s">
        <v>34</v>
      </c>
    </row>
    <row r="1428" spans="1:15">
      <c r="A1428" t="s">
        <v>2778</v>
      </c>
      <c r="B1428" s="2">
        <v>46072.628368055557</v>
      </c>
      <c r="C1428" s="2">
        <v>46072.757048611114</v>
      </c>
      <c r="D1428" t="s">
        <v>402</v>
      </c>
      <c r="E1428" t="s">
        <v>1114</v>
      </c>
      <c r="F1428" t="s">
        <v>1115</v>
      </c>
      <c r="G1428" t="s">
        <v>1122</v>
      </c>
      <c r="H1428" t="s">
        <v>1031</v>
      </c>
      <c r="I1428">
        <v>185349003</v>
      </c>
      <c r="J1428" t="s">
        <v>1038</v>
      </c>
      <c r="K1428">
        <v>85.55</v>
      </c>
      <c r="L1428">
        <v>3105.35</v>
      </c>
      <c r="M1428">
        <v>2484.2800000000002</v>
      </c>
      <c r="N1428">
        <v>66383009</v>
      </c>
      <c r="O1428" t="s">
        <v>1209</v>
      </c>
    </row>
    <row r="1429" spans="1:15">
      <c r="A1429" t="s">
        <v>2779</v>
      </c>
      <c r="B1429" s="2">
        <v>46149.670034722221</v>
      </c>
      <c r="C1429" s="2">
        <v>46149.711701388886</v>
      </c>
      <c r="D1429" t="s">
        <v>402</v>
      </c>
      <c r="E1429" t="s">
        <v>2700</v>
      </c>
      <c r="F1429" t="s">
        <v>2701</v>
      </c>
      <c r="G1429" t="s">
        <v>1122</v>
      </c>
      <c r="H1429" t="s">
        <v>1076</v>
      </c>
      <c r="I1429">
        <v>50849002</v>
      </c>
      <c r="J1429" t="s">
        <v>1163</v>
      </c>
      <c r="K1429">
        <v>146.18</v>
      </c>
      <c r="L1429">
        <v>1011.9</v>
      </c>
      <c r="M1429">
        <v>809.5</v>
      </c>
      <c r="O1429" t="s">
        <v>34</v>
      </c>
    </row>
    <row r="1430" spans="1:15">
      <c r="A1430" t="s">
        <v>2780</v>
      </c>
      <c r="B1430" s="2">
        <v>46156.670034722221</v>
      </c>
      <c r="C1430" s="2">
        <v>46156.680451388886</v>
      </c>
      <c r="D1430" t="s">
        <v>402</v>
      </c>
      <c r="E1430" t="s">
        <v>2418</v>
      </c>
      <c r="F1430" t="s">
        <v>2419</v>
      </c>
      <c r="G1430" t="s">
        <v>1122</v>
      </c>
      <c r="H1430" t="s">
        <v>1159</v>
      </c>
      <c r="I1430">
        <v>702927004</v>
      </c>
      <c r="J1430" t="s">
        <v>1160</v>
      </c>
      <c r="K1430">
        <v>142.58000000000001</v>
      </c>
      <c r="L1430">
        <v>291.74</v>
      </c>
      <c r="M1430">
        <v>233.38</v>
      </c>
      <c r="O1430" t="s">
        <v>34</v>
      </c>
    </row>
    <row r="1431" spans="1:15">
      <c r="A1431" t="s">
        <v>2781</v>
      </c>
      <c r="B1431" s="2">
        <v>46163.670034722221</v>
      </c>
      <c r="C1431" s="2">
        <v>46163.705972222226</v>
      </c>
      <c r="D1431" t="s">
        <v>402</v>
      </c>
      <c r="E1431" t="s">
        <v>2418</v>
      </c>
      <c r="F1431" t="s">
        <v>2419</v>
      </c>
      <c r="G1431" t="s">
        <v>1122</v>
      </c>
      <c r="H1431" t="s">
        <v>1159</v>
      </c>
      <c r="I1431">
        <v>702927004</v>
      </c>
      <c r="J1431" t="s">
        <v>1160</v>
      </c>
      <c r="K1431">
        <v>142.58000000000001</v>
      </c>
      <c r="L1431">
        <v>872.3</v>
      </c>
      <c r="M1431">
        <v>697.82</v>
      </c>
      <c r="O1431" t="s">
        <v>34</v>
      </c>
    </row>
    <row r="1432" spans="1:15">
      <c r="A1432" t="s">
        <v>2782</v>
      </c>
      <c r="B1432" s="2">
        <v>46170.670034722221</v>
      </c>
      <c r="C1432" s="2">
        <v>46170.680451388886</v>
      </c>
      <c r="D1432" t="s">
        <v>402</v>
      </c>
      <c r="E1432" t="s">
        <v>2418</v>
      </c>
      <c r="F1432" t="s">
        <v>2419</v>
      </c>
      <c r="G1432" t="s">
        <v>1122</v>
      </c>
      <c r="H1432" t="s">
        <v>1159</v>
      </c>
      <c r="I1432">
        <v>702927004</v>
      </c>
      <c r="J1432" t="s">
        <v>1160</v>
      </c>
      <c r="K1432">
        <v>142.58000000000001</v>
      </c>
      <c r="L1432">
        <v>291.74</v>
      </c>
      <c r="M1432">
        <v>233.38</v>
      </c>
      <c r="O1432" t="s">
        <v>34</v>
      </c>
    </row>
    <row r="1433" spans="1:15">
      <c r="A1433" t="s">
        <v>2783</v>
      </c>
      <c r="B1433" s="2">
        <v>46177.670034722221</v>
      </c>
      <c r="C1433" s="2">
        <v>46177.711574074077</v>
      </c>
      <c r="D1433" t="s">
        <v>402</v>
      </c>
      <c r="E1433" t="s">
        <v>2418</v>
      </c>
      <c r="F1433" t="s">
        <v>2419</v>
      </c>
      <c r="G1433" t="s">
        <v>1122</v>
      </c>
      <c r="H1433" t="s">
        <v>1159</v>
      </c>
      <c r="I1433">
        <v>702927004</v>
      </c>
      <c r="J1433" t="s">
        <v>1160</v>
      </c>
      <c r="K1433">
        <v>142.58000000000001</v>
      </c>
      <c r="L1433">
        <v>1107.1300000000001</v>
      </c>
      <c r="M1433">
        <v>885.68</v>
      </c>
      <c r="O1433" t="s">
        <v>34</v>
      </c>
    </row>
    <row r="1434" spans="1:15">
      <c r="A1434" t="s">
        <v>2784</v>
      </c>
      <c r="B1434" s="2">
        <v>46184.670034722221</v>
      </c>
      <c r="C1434" s="2">
        <v>46184.680451388886</v>
      </c>
      <c r="D1434" t="s">
        <v>402</v>
      </c>
      <c r="E1434" t="s">
        <v>1114</v>
      </c>
      <c r="F1434" t="s">
        <v>1115</v>
      </c>
      <c r="G1434" t="s">
        <v>1122</v>
      </c>
      <c r="H1434" t="s">
        <v>1043</v>
      </c>
      <c r="I1434">
        <v>185349003</v>
      </c>
      <c r="J1434" t="s">
        <v>1038</v>
      </c>
      <c r="K1434">
        <v>85.55</v>
      </c>
      <c r="L1434">
        <v>680.03</v>
      </c>
      <c r="M1434">
        <v>544.02</v>
      </c>
      <c r="O1434" t="s">
        <v>34</v>
      </c>
    </row>
    <row r="1435" spans="1:15">
      <c r="A1435" t="s">
        <v>2785</v>
      </c>
      <c r="B1435" s="2">
        <v>46191.670034722221</v>
      </c>
      <c r="C1435" s="2">
        <v>46191.690868055557</v>
      </c>
      <c r="D1435" t="s">
        <v>402</v>
      </c>
      <c r="E1435" t="s">
        <v>1114</v>
      </c>
      <c r="F1435" t="s">
        <v>1115</v>
      </c>
      <c r="G1435" t="s">
        <v>1122</v>
      </c>
      <c r="H1435" t="s">
        <v>1031</v>
      </c>
      <c r="I1435">
        <v>390906007</v>
      </c>
      <c r="J1435" t="s">
        <v>1255</v>
      </c>
      <c r="K1435">
        <v>85.55</v>
      </c>
      <c r="L1435">
        <v>516.95000000000005</v>
      </c>
      <c r="M1435">
        <v>413.56</v>
      </c>
      <c r="N1435">
        <v>128188000</v>
      </c>
      <c r="O1435" t="s">
        <v>2664</v>
      </c>
    </row>
    <row r="1436" spans="1:15">
      <c r="A1436" t="s">
        <v>2786</v>
      </c>
      <c r="B1436" s="2">
        <v>46198.670034722221</v>
      </c>
      <c r="C1436" s="2">
        <v>46198.957557870373</v>
      </c>
      <c r="D1436" t="s">
        <v>402</v>
      </c>
      <c r="E1436" t="s">
        <v>1114</v>
      </c>
      <c r="F1436" t="s">
        <v>1115</v>
      </c>
      <c r="G1436" t="s">
        <v>1122</v>
      </c>
      <c r="H1436" t="s">
        <v>1031</v>
      </c>
      <c r="I1436">
        <v>185349003</v>
      </c>
      <c r="J1436" t="s">
        <v>1038</v>
      </c>
      <c r="K1436">
        <v>85.55</v>
      </c>
      <c r="L1436">
        <v>4830.95</v>
      </c>
      <c r="M1436">
        <v>3864.76</v>
      </c>
      <c r="N1436">
        <v>66383009</v>
      </c>
      <c r="O1436" t="s">
        <v>1209</v>
      </c>
    </row>
    <row r="1437" spans="1:15">
      <c r="A1437" t="s">
        <v>2787</v>
      </c>
      <c r="B1437" s="2">
        <v>46205.670034722221</v>
      </c>
      <c r="C1437" s="2">
        <v>46205.680451388886</v>
      </c>
      <c r="D1437" t="s">
        <v>402</v>
      </c>
      <c r="E1437" t="s">
        <v>1114</v>
      </c>
      <c r="F1437" t="s">
        <v>1115</v>
      </c>
      <c r="G1437" t="s">
        <v>1122</v>
      </c>
      <c r="H1437" t="s">
        <v>1031</v>
      </c>
      <c r="I1437">
        <v>185345009</v>
      </c>
      <c r="J1437" t="s">
        <v>1032</v>
      </c>
      <c r="K1437">
        <v>85.55</v>
      </c>
      <c r="L1437">
        <v>85.55</v>
      </c>
      <c r="M1437">
        <v>68.44</v>
      </c>
      <c r="N1437">
        <v>43878008</v>
      </c>
      <c r="O1437" t="s">
        <v>1217</v>
      </c>
    </row>
    <row r="1438" spans="1:15">
      <c r="A1438" t="s">
        <v>2788</v>
      </c>
      <c r="B1438" s="2">
        <v>46212.670034722221</v>
      </c>
      <c r="C1438" s="2">
        <v>46212.707326388889</v>
      </c>
      <c r="D1438" t="s">
        <v>402</v>
      </c>
      <c r="E1438" t="s">
        <v>2418</v>
      </c>
      <c r="F1438" t="s">
        <v>2419</v>
      </c>
      <c r="G1438" t="s">
        <v>1122</v>
      </c>
      <c r="H1438" t="s">
        <v>1159</v>
      </c>
      <c r="I1438">
        <v>702927004</v>
      </c>
      <c r="J1438" t="s">
        <v>1160</v>
      </c>
      <c r="K1438">
        <v>142.58000000000001</v>
      </c>
      <c r="L1438">
        <v>872.3</v>
      </c>
      <c r="M1438">
        <v>697.82</v>
      </c>
      <c r="O1438" t="s">
        <v>34</v>
      </c>
    </row>
    <row r="1439" spans="1:15">
      <c r="A1439" t="s">
        <v>2789</v>
      </c>
      <c r="B1439" s="2">
        <v>46219.670034722221</v>
      </c>
      <c r="C1439" s="2">
        <v>46219.680451388886</v>
      </c>
      <c r="D1439" t="s">
        <v>402</v>
      </c>
      <c r="E1439" t="s">
        <v>2418</v>
      </c>
      <c r="F1439" t="s">
        <v>2419</v>
      </c>
      <c r="G1439" t="s">
        <v>1122</v>
      </c>
      <c r="H1439" t="s">
        <v>1159</v>
      </c>
      <c r="I1439">
        <v>702927004</v>
      </c>
      <c r="J1439" t="s">
        <v>1160</v>
      </c>
      <c r="K1439">
        <v>142.58000000000001</v>
      </c>
      <c r="L1439">
        <v>291.74</v>
      </c>
      <c r="M1439">
        <v>233.38</v>
      </c>
      <c r="O1439" t="s">
        <v>34</v>
      </c>
    </row>
    <row r="1440" spans="1:15">
      <c r="A1440" t="s">
        <v>2790</v>
      </c>
      <c r="B1440" s="2">
        <v>46226.670034722221</v>
      </c>
      <c r="C1440" s="2">
        <v>46226.806770833333</v>
      </c>
      <c r="D1440" t="s">
        <v>402</v>
      </c>
      <c r="E1440" t="s">
        <v>1114</v>
      </c>
      <c r="F1440" t="s">
        <v>1115</v>
      </c>
      <c r="G1440" t="s">
        <v>1122</v>
      </c>
      <c r="H1440" t="s">
        <v>1031</v>
      </c>
      <c r="I1440">
        <v>185349003</v>
      </c>
      <c r="J1440" t="s">
        <v>1038</v>
      </c>
      <c r="K1440">
        <v>85.55</v>
      </c>
      <c r="L1440">
        <v>2673.95</v>
      </c>
      <c r="M1440">
        <v>2139.16</v>
      </c>
      <c r="N1440">
        <v>103697008</v>
      </c>
      <c r="O1440" t="s">
        <v>1039</v>
      </c>
    </row>
    <row r="1441" spans="1:15">
      <c r="A1441" t="s">
        <v>2791</v>
      </c>
      <c r="B1441" s="2">
        <v>46240.670034722221</v>
      </c>
      <c r="C1441" s="2">
        <v>46240.697442129633</v>
      </c>
      <c r="D1441" t="s">
        <v>402</v>
      </c>
      <c r="E1441" t="s">
        <v>2418</v>
      </c>
      <c r="F1441" t="s">
        <v>2419</v>
      </c>
      <c r="G1441" t="s">
        <v>1122</v>
      </c>
      <c r="H1441" t="s">
        <v>1159</v>
      </c>
      <c r="I1441">
        <v>702927004</v>
      </c>
      <c r="J1441" t="s">
        <v>1160</v>
      </c>
      <c r="K1441">
        <v>142.58000000000001</v>
      </c>
      <c r="L1441">
        <v>1593.24</v>
      </c>
      <c r="M1441">
        <v>1274.57</v>
      </c>
      <c r="O1441" t="s">
        <v>34</v>
      </c>
    </row>
    <row r="1442" spans="1:15">
      <c r="A1442" t="s">
        <v>2792</v>
      </c>
      <c r="B1442" s="2">
        <v>20427.299282407406</v>
      </c>
      <c r="C1442" s="2">
        <v>20427.309699074074</v>
      </c>
      <c r="D1442" t="s">
        <v>412</v>
      </c>
      <c r="E1442" t="s">
        <v>1477</v>
      </c>
      <c r="F1442" t="s">
        <v>1478</v>
      </c>
      <c r="G1442" t="s">
        <v>1019</v>
      </c>
      <c r="H1442" t="s">
        <v>1031</v>
      </c>
      <c r="I1442">
        <v>185345009</v>
      </c>
      <c r="J1442" t="s">
        <v>1032</v>
      </c>
      <c r="K1442">
        <v>85.55</v>
      </c>
      <c r="L1442">
        <v>85.55</v>
      </c>
      <c r="M1442">
        <v>0</v>
      </c>
      <c r="N1442">
        <v>232353008</v>
      </c>
      <c r="O1442" t="s">
        <v>1196</v>
      </c>
    </row>
    <row r="1443" spans="1:15">
      <c r="A1443" t="s">
        <v>2793</v>
      </c>
      <c r="B1443" s="2">
        <v>20434.465949074074</v>
      </c>
      <c r="C1443" s="2">
        <v>20434.476365740742</v>
      </c>
      <c r="D1443" t="s">
        <v>412</v>
      </c>
      <c r="E1443" t="s">
        <v>1477</v>
      </c>
      <c r="F1443" t="s">
        <v>1478</v>
      </c>
      <c r="G1443" t="s">
        <v>1019</v>
      </c>
      <c r="H1443" t="s">
        <v>1031</v>
      </c>
      <c r="I1443">
        <v>185347001</v>
      </c>
      <c r="J1443" t="s">
        <v>1124</v>
      </c>
      <c r="K1443">
        <v>85.55</v>
      </c>
      <c r="L1443">
        <v>85.55</v>
      </c>
      <c r="M1443">
        <v>0</v>
      </c>
      <c r="N1443">
        <v>609328004</v>
      </c>
      <c r="O1443" t="s">
        <v>1137</v>
      </c>
    </row>
    <row r="1444" spans="1:15">
      <c r="A1444" t="s">
        <v>2794</v>
      </c>
      <c r="B1444" s="2">
        <v>26120.340949074074</v>
      </c>
      <c r="C1444" s="2">
        <v>26120.368923611109</v>
      </c>
      <c r="D1444" t="s">
        <v>412</v>
      </c>
      <c r="E1444" t="s">
        <v>2795</v>
      </c>
      <c r="F1444" t="s">
        <v>2796</v>
      </c>
      <c r="G1444" t="s">
        <v>1019</v>
      </c>
      <c r="H1444" t="s">
        <v>1020</v>
      </c>
      <c r="I1444">
        <v>162673000</v>
      </c>
      <c r="J1444" t="s">
        <v>1021</v>
      </c>
      <c r="K1444">
        <v>136.80000000000001</v>
      </c>
      <c r="L1444">
        <v>704.2</v>
      </c>
      <c r="M1444">
        <v>0</v>
      </c>
      <c r="O1444" t="s">
        <v>34</v>
      </c>
    </row>
    <row r="1445" spans="1:15">
      <c r="A1445" t="s">
        <v>2797</v>
      </c>
      <c r="B1445" s="2">
        <v>33085.340949074074</v>
      </c>
      <c r="C1445" s="2">
        <v>33085.362974537034</v>
      </c>
      <c r="D1445" t="s">
        <v>412</v>
      </c>
      <c r="E1445" t="s">
        <v>2795</v>
      </c>
      <c r="F1445" t="s">
        <v>2796</v>
      </c>
      <c r="G1445" t="s">
        <v>1019</v>
      </c>
      <c r="H1445" t="s">
        <v>1020</v>
      </c>
      <c r="I1445">
        <v>162673000</v>
      </c>
      <c r="J1445" t="s">
        <v>1021</v>
      </c>
      <c r="K1445">
        <v>136.80000000000001</v>
      </c>
      <c r="L1445">
        <v>1779.8</v>
      </c>
      <c r="M1445">
        <v>0</v>
      </c>
      <c r="O1445" t="s">
        <v>34</v>
      </c>
    </row>
    <row r="1446" spans="1:15">
      <c r="A1446" t="s">
        <v>2798</v>
      </c>
      <c r="B1446" s="2">
        <v>33148.340949074074</v>
      </c>
      <c r="C1446" s="2">
        <v>33148.382569444446</v>
      </c>
      <c r="D1446" t="s">
        <v>412</v>
      </c>
      <c r="E1446" t="s">
        <v>2799</v>
      </c>
      <c r="F1446" t="s">
        <v>2800</v>
      </c>
      <c r="G1446" t="s">
        <v>1019</v>
      </c>
      <c r="H1446" t="s">
        <v>1159</v>
      </c>
      <c r="I1446">
        <v>702927004</v>
      </c>
      <c r="J1446" t="s">
        <v>1160</v>
      </c>
      <c r="K1446">
        <v>142.58000000000001</v>
      </c>
      <c r="L1446">
        <v>1007.06</v>
      </c>
      <c r="M1446">
        <v>0</v>
      </c>
      <c r="O1446" t="s">
        <v>34</v>
      </c>
    </row>
    <row r="1447" spans="1:15">
      <c r="A1447" t="s">
        <v>2801</v>
      </c>
      <c r="B1447" s="2">
        <v>33169.340949074074</v>
      </c>
      <c r="C1447" s="2">
        <v>33169.396747685183</v>
      </c>
      <c r="D1447" t="s">
        <v>412</v>
      </c>
      <c r="E1447" t="s">
        <v>1477</v>
      </c>
      <c r="F1447" t="s">
        <v>1478</v>
      </c>
      <c r="G1447" t="s">
        <v>1019</v>
      </c>
      <c r="H1447" t="s">
        <v>1031</v>
      </c>
      <c r="I1447">
        <v>185347001</v>
      </c>
      <c r="J1447" t="s">
        <v>1124</v>
      </c>
      <c r="K1447">
        <v>85.55</v>
      </c>
      <c r="L1447">
        <v>1415.6</v>
      </c>
      <c r="M1447">
        <v>0</v>
      </c>
      <c r="N1447">
        <v>271737000</v>
      </c>
      <c r="O1447" t="s">
        <v>1479</v>
      </c>
    </row>
    <row r="1448" spans="1:15">
      <c r="A1448" t="s">
        <v>2802</v>
      </c>
      <c r="B1448" s="2">
        <v>34842.340949074074</v>
      </c>
      <c r="C1448" s="2">
        <v>34842.380833333336</v>
      </c>
      <c r="D1448" t="s">
        <v>412</v>
      </c>
      <c r="E1448" t="s">
        <v>2795</v>
      </c>
      <c r="F1448" t="s">
        <v>2796</v>
      </c>
      <c r="G1448" t="s">
        <v>1019</v>
      </c>
      <c r="H1448" t="s">
        <v>1020</v>
      </c>
      <c r="I1448">
        <v>162673000</v>
      </c>
      <c r="J1448" t="s">
        <v>1021</v>
      </c>
      <c r="K1448">
        <v>136.80000000000001</v>
      </c>
      <c r="L1448">
        <v>785.58</v>
      </c>
      <c r="M1448">
        <v>0</v>
      </c>
      <c r="O1448" t="s">
        <v>34</v>
      </c>
    </row>
    <row r="1449" spans="1:15">
      <c r="A1449" t="s">
        <v>2803</v>
      </c>
      <c r="B1449" s="2">
        <v>36525.29928240741</v>
      </c>
      <c r="C1449" s="2">
        <v>36525.309699074074</v>
      </c>
      <c r="D1449" t="s">
        <v>412</v>
      </c>
      <c r="E1449" t="s">
        <v>1477</v>
      </c>
      <c r="F1449" t="s">
        <v>1478</v>
      </c>
      <c r="G1449" t="s">
        <v>1019</v>
      </c>
      <c r="H1449" t="s">
        <v>1031</v>
      </c>
      <c r="I1449">
        <v>185347001</v>
      </c>
      <c r="J1449" t="s">
        <v>1124</v>
      </c>
      <c r="K1449">
        <v>85.55</v>
      </c>
      <c r="L1449">
        <v>85.55</v>
      </c>
      <c r="M1449">
        <v>0</v>
      </c>
      <c r="N1449">
        <v>201834006</v>
      </c>
      <c r="O1449" t="s">
        <v>1311</v>
      </c>
    </row>
    <row r="1450" spans="1:15">
      <c r="A1450" t="s">
        <v>2804</v>
      </c>
      <c r="B1450" s="2">
        <v>39021.29928240741</v>
      </c>
      <c r="C1450" s="2">
        <v>39021.340949074074</v>
      </c>
      <c r="D1450" t="s">
        <v>412</v>
      </c>
      <c r="E1450" t="s">
        <v>1226</v>
      </c>
      <c r="F1450" t="s">
        <v>1227</v>
      </c>
      <c r="G1450" t="s">
        <v>1561</v>
      </c>
      <c r="H1450" t="s">
        <v>1076</v>
      </c>
      <c r="I1450">
        <v>50849002</v>
      </c>
      <c r="J1450" t="s">
        <v>1163</v>
      </c>
      <c r="K1450">
        <v>146.18</v>
      </c>
      <c r="L1450">
        <v>10325.56</v>
      </c>
      <c r="M1450">
        <v>4957.13</v>
      </c>
      <c r="N1450">
        <v>22298006</v>
      </c>
      <c r="O1450" t="s">
        <v>2648</v>
      </c>
    </row>
    <row r="1451" spans="1:15">
      <c r="A1451" t="s">
        <v>2805</v>
      </c>
      <c r="B1451" s="2">
        <v>39021.340902777774</v>
      </c>
      <c r="C1451" s="2">
        <v>39022.340902777774</v>
      </c>
      <c r="D1451" t="s">
        <v>412</v>
      </c>
      <c r="E1451" t="s">
        <v>1226</v>
      </c>
      <c r="F1451" t="s">
        <v>1227</v>
      </c>
      <c r="G1451" t="s">
        <v>1561</v>
      </c>
      <c r="H1451" t="s">
        <v>1431</v>
      </c>
      <c r="I1451">
        <v>32485007</v>
      </c>
      <c r="J1451" t="s">
        <v>1837</v>
      </c>
      <c r="K1451">
        <v>146.18</v>
      </c>
      <c r="L1451">
        <v>38462.78</v>
      </c>
      <c r="M1451">
        <v>26923.95</v>
      </c>
      <c r="N1451">
        <v>4557003</v>
      </c>
      <c r="O1451" t="s">
        <v>2806</v>
      </c>
    </row>
    <row r="1452" spans="1:15">
      <c r="A1452" t="s">
        <v>2807</v>
      </c>
      <c r="B1452" s="2">
        <v>41676.29928240741</v>
      </c>
      <c r="C1452" s="2">
        <v>41676.309699074074</v>
      </c>
      <c r="D1452" t="s">
        <v>412</v>
      </c>
      <c r="E1452" t="s">
        <v>1477</v>
      </c>
      <c r="F1452" t="s">
        <v>1478</v>
      </c>
      <c r="G1452" t="s">
        <v>1561</v>
      </c>
      <c r="H1452" t="s">
        <v>1043</v>
      </c>
      <c r="I1452">
        <v>185347001</v>
      </c>
      <c r="J1452" t="s">
        <v>1124</v>
      </c>
      <c r="K1452">
        <v>85.55</v>
      </c>
      <c r="L1452">
        <v>85.55</v>
      </c>
      <c r="M1452">
        <v>85.55</v>
      </c>
      <c r="N1452">
        <v>82423001</v>
      </c>
      <c r="O1452" t="s">
        <v>1542</v>
      </c>
    </row>
    <row r="1453" spans="1:15">
      <c r="A1453" t="s">
        <v>2808</v>
      </c>
      <c r="B1453" s="2">
        <v>41835.340949074074</v>
      </c>
      <c r="C1453" s="2">
        <v>41835.378368055557</v>
      </c>
      <c r="D1453" t="s">
        <v>412</v>
      </c>
      <c r="E1453" t="s">
        <v>2795</v>
      </c>
      <c r="F1453" t="s">
        <v>2796</v>
      </c>
      <c r="G1453" t="s">
        <v>1561</v>
      </c>
      <c r="H1453" t="s">
        <v>1020</v>
      </c>
      <c r="I1453">
        <v>162673000</v>
      </c>
      <c r="J1453" t="s">
        <v>1021</v>
      </c>
      <c r="K1453">
        <v>136.80000000000001</v>
      </c>
      <c r="L1453">
        <v>1070.74</v>
      </c>
      <c r="M1453">
        <v>0</v>
      </c>
      <c r="O1453" t="s">
        <v>34</v>
      </c>
    </row>
    <row r="1454" spans="1:15">
      <c r="A1454" t="s">
        <v>2809</v>
      </c>
      <c r="B1454" s="2">
        <v>41856.340949074074</v>
      </c>
      <c r="C1454" s="2">
        <v>41856.351365740738</v>
      </c>
      <c r="D1454" t="s">
        <v>412</v>
      </c>
      <c r="E1454" t="s">
        <v>1477</v>
      </c>
      <c r="F1454" t="s">
        <v>1478</v>
      </c>
      <c r="G1454" t="s">
        <v>1561</v>
      </c>
      <c r="H1454" t="s">
        <v>1031</v>
      </c>
      <c r="I1454">
        <v>390906007</v>
      </c>
      <c r="J1454" t="s">
        <v>1255</v>
      </c>
      <c r="K1454">
        <v>85.55</v>
      </c>
      <c r="L1454">
        <v>85.55</v>
      </c>
      <c r="M1454">
        <v>0</v>
      </c>
      <c r="N1454">
        <v>55822004</v>
      </c>
      <c r="O1454" t="s">
        <v>2010</v>
      </c>
    </row>
    <row r="1455" spans="1:15">
      <c r="A1455" t="s">
        <v>2810</v>
      </c>
      <c r="B1455" s="2">
        <v>42577.340949074074</v>
      </c>
      <c r="C1455" s="2">
        <v>42577.36614583333</v>
      </c>
      <c r="D1455" t="s">
        <v>412</v>
      </c>
      <c r="E1455" t="s">
        <v>2795</v>
      </c>
      <c r="F1455" t="s">
        <v>2796</v>
      </c>
      <c r="G1455" t="s">
        <v>1561</v>
      </c>
      <c r="H1455" t="s">
        <v>1020</v>
      </c>
      <c r="I1455">
        <v>162673000</v>
      </c>
      <c r="J1455" t="s">
        <v>1021</v>
      </c>
      <c r="K1455">
        <v>136.80000000000001</v>
      </c>
      <c r="L1455">
        <v>1019.7</v>
      </c>
      <c r="M1455">
        <v>0</v>
      </c>
      <c r="O1455" t="s">
        <v>34</v>
      </c>
    </row>
    <row r="1456" spans="1:15">
      <c r="A1456" t="s">
        <v>2811</v>
      </c>
      <c r="B1456" s="2">
        <v>42598.340949074074</v>
      </c>
      <c r="C1456" s="2">
        <v>42598.351365740738</v>
      </c>
      <c r="D1456" t="s">
        <v>412</v>
      </c>
      <c r="E1456" t="s">
        <v>1477</v>
      </c>
      <c r="F1456" t="s">
        <v>1478</v>
      </c>
      <c r="G1456" t="s">
        <v>1561</v>
      </c>
      <c r="H1456" t="s">
        <v>1031</v>
      </c>
      <c r="I1456">
        <v>390906007</v>
      </c>
      <c r="J1456" t="s">
        <v>1255</v>
      </c>
      <c r="K1456">
        <v>85.55</v>
      </c>
      <c r="L1456">
        <v>234.71</v>
      </c>
      <c r="M1456">
        <v>0</v>
      </c>
      <c r="N1456">
        <v>55822004</v>
      </c>
      <c r="O1456" t="s">
        <v>2010</v>
      </c>
    </row>
    <row r="1457" spans="1:15">
      <c r="A1457" t="s">
        <v>2812</v>
      </c>
      <c r="B1457" s="2">
        <v>42948.340949074074</v>
      </c>
      <c r="C1457" s="2">
        <v>42948.382037037038</v>
      </c>
      <c r="D1457" t="s">
        <v>412</v>
      </c>
      <c r="E1457" t="s">
        <v>2795</v>
      </c>
      <c r="F1457" t="s">
        <v>2796</v>
      </c>
      <c r="G1457" t="s">
        <v>1561</v>
      </c>
      <c r="H1457" t="s">
        <v>1020</v>
      </c>
      <c r="I1457">
        <v>162673000</v>
      </c>
      <c r="J1457" t="s">
        <v>1021</v>
      </c>
      <c r="K1457">
        <v>136.80000000000001</v>
      </c>
      <c r="L1457">
        <v>778.78</v>
      </c>
      <c r="M1457">
        <v>0</v>
      </c>
      <c r="O1457" t="s">
        <v>34</v>
      </c>
    </row>
    <row r="1458" spans="1:15">
      <c r="A1458" t="s">
        <v>2813</v>
      </c>
      <c r="B1458" s="2">
        <v>42962.340949074074</v>
      </c>
      <c r="C1458" s="2">
        <v>42962.486192129632</v>
      </c>
      <c r="D1458" t="s">
        <v>412</v>
      </c>
      <c r="E1458" t="s">
        <v>1477</v>
      </c>
      <c r="F1458" t="s">
        <v>1478</v>
      </c>
      <c r="G1458" t="s">
        <v>1561</v>
      </c>
      <c r="H1458" t="s">
        <v>1031</v>
      </c>
      <c r="I1458">
        <v>185349003</v>
      </c>
      <c r="J1458" t="s">
        <v>1038</v>
      </c>
      <c r="K1458">
        <v>85.55</v>
      </c>
      <c r="L1458">
        <v>3105.35</v>
      </c>
      <c r="M1458">
        <v>0</v>
      </c>
      <c r="N1458">
        <v>66383009</v>
      </c>
      <c r="O1458" t="s">
        <v>1209</v>
      </c>
    </row>
    <row r="1459" spans="1:15">
      <c r="A1459" t="s">
        <v>2814</v>
      </c>
      <c r="B1459" s="2">
        <v>42963.340949074074</v>
      </c>
      <c r="C1459" s="2">
        <v>42963.351365740738</v>
      </c>
      <c r="D1459" t="s">
        <v>412</v>
      </c>
      <c r="E1459" t="s">
        <v>1477</v>
      </c>
      <c r="F1459" t="s">
        <v>1478</v>
      </c>
      <c r="G1459" t="s">
        <v>1561</v>
      </c>
      <c r="H1459" t="s">
        <v>1031</v>
      </c>
      <c r="I1459">
        <v>390906007</v>
      </c>
      <c r="J1459" t="s">
        <v>1255</v>
      </c>
      <c r="K1459">
        <v>85.55</v>
      </c>
      <c r="L1459">
        <v>234.71</v>
      </c>
      <c r="M1459">
        <v>0</v>
      </c>
      <c r="N1459">
        <v>55822004</v>
      </c>
      <c r="O1459" t="s">
        <v>2010</v>
      </c>
    </row>
    <row r="1460" spans="1:15">
      <c r="A1460" t="s">
        <v>2815</v>
      </c>
      <c r="B1460" s="2">
        <v>43239.400856481479</v>
      </c>
      <c r="C1460" s="2">
        <v>43239.430671296293</v>
      </c>
      <c r="D1460" t="s">
        <v>412</v>
      </c>
      <c r="E1460" t="s">
        <v>1477</v>
      </c>
      <c r="F1460" t="s">
        <v>1478</v>
      </c>
      <c r="G1460" t="s">
        <v>1122</v>
      </c>
      <c r="H1460" t="s">
        <v>1031</v>
      </c>
      <c r="I1460">
        <v>185349003</v>
      </c>
      <c r="J1460" t="s">
        <v>1038</v>
      </c>
      <c r="K1460">
        <v>85.55</v>
      </c>
      <c r="L1460">
        <v>5138.45</v>
      </c>
      <c r="M1460">
        <v>3924.36</v>
      </c>
      <c r="N1460">
        <v>275978004</v>
      </c>
      <c r="O1460" t="s">
        <v>1449</v>
      </c>
    </row>
    <row r="1461" spans="1:15">
      <c r="A1461" t="s">
        <v>2816</v>
      </c>
      <c r="B1461" s="2">
        <v>43319.340949074074</v>
      </c>
      <c r="C1461" s="2">
        <v>43319.379930555559</v>
      </c>
      <c r="D1461" t="s">
        <v>412</v>
      </c>
      <c r="E1461" t="s">
        <v>2795</v>
      </c>
      <c r="F1461" t="s">
        <v>2796</v>
      </c>
      <c r="G1461" t="s">
        <v>1122</v>
      </c>
      <c r="H1461" t="s">
        <v>1020</v>
      </c>
      <c r="I1461">
        <v>162673000</v>
      </c>
      <c r="J1461" t="s">
        <v>1021</v>
      </c>
      <c r="K1461">
        <v>136.80000000000001</v>
      </c>
      <c r="L1461">
        <v>1225.46</v>
      </c>
      <c r="M1461">
        <v>980.36</v>
      </c>
      <c r="O1461" t="s">
        <v>34</v>
      </c>
    </row>
    <row r="1462" spans="1:15">
      <c r="A1462" t="s">
        <v>2817</v>
      </c>
      <c r="B1462" s="2">
        <v>43328.340949074074</v>
      </c>
      <c r="C1462" s="2">
        <v>43328.351365740738</v>
      </c>
      <c r="D1462" t="s">
        <v>412</v>
      </c>
      <c r="E1462" t="s">
        <v>1477</v>
      </c>
      <c r="F1462" t="s">
        <v>1478</v>
      </c>
      <c r="G1462" t="s">
        <v>1122</v>
      </c>
      <c r="H1462" t="s">
        <v>1031</v>
      </c>
      <c r="I1462">
        <v>390906007</v>
      </c>
      <c r="J1462" t="s">
        <v>1255</v>
      </c>
      <c r="K1462">
        <v>85.55</v>
      </c>
      <c r="L1462">
        <v>234.71</v>
      </c>
      <c r="M1462">
        <v>187.76</v>
      </c>
      <c r="N1462">
        <v>55822004</v>
      </c>
      <c r="O1462" t="s">
        <v>2010</v>
      </c>
    </row>
    <row r="1463" spans="1:15">
      <c r="A1463" t="s">
        <v>2818</v>
      </c>
      <c r="B1463" s="2">
        <v>43690.340949074074</v>
      </c>
      <c r="C1463" s="2">
        <v>43690.374212962961</v>
      </c>
      <c r="D1463" t="s">
        <v>412</v>
      </c>
      <c r="E1463" t="s">
        <v>2795</v>
      </c>
      <c r="F1463" t="s">
        <v>2796</v>
      </c>
      <c r="G1463" t="s">
        <v>1122</v>
      </c>
      <c r="H1463" t="s">
        <v>1020</v>
      </c>
      <c r="I1463">
        <v>162673000</v>
      </c>
      <c r="J1463" t="s">
        <v>1021</v>
      </c>
      <c r="K1463">
        <v>136.80000000000001</v>
      </c>
      <c r="L1463">
        <v>1401.16</v>
      </c>
      <c r="M1463">
        <v>934.52</v>
      </c>
      <c r="O1463" t="s">
        <v>34</v>
      </c>
    </row>
    <row r="1464" spans="1:15">
      <c r="A1464" t="s">
        <v>2819</v>
      </c>
      <c r="B1464" s="2">
        <v>43697.340949074074</v>
      </c>
      <c r="C1464" s="2">
        <v>43697.351365740738</v>
      </c>
      <c r="D1464" t="s">
        <v>412</v>
      </c>
      <c r="E1464" t="s">
        <v>1477</v>
      </c>
      <c r="F1464" t="s">
        <v>1478</v>
      </c>
      <c r="G1464" t="s">
        <v>1122</v>
      </c>
      <c r="H1464" t="s">
        <v>1043</v>
      </c>
      <c r="I1464">
        <v>185345009</v>
      </c>
      <c r="J1464" t="s">
        <v>1032</v>
      </c>
      <c r="K1464">
        <v>85.55</v>
      </c>
      <c r="L1464">
        <v>85.55</v>
      </c>
      <c r="M1464">
        <v>68.44</v>
      </c>
      <c r="N1464">
        <v>65363002</v>
      </c>
      <c r="O1464" t="s">
        <v>1335</v>
      </c>
    </row>
    <row r="1465" spans="1:15">
      <c r="A1465" t="s">
        <v>2820</v>
      </c>
      <c r="B1465" s="2">
        <v>43693.340949074074</v>
      </c>
      <c r="C1465" s="2">
        <v>43693.351365740738</v>
      </c>
      <c r="D1465" t="s">
        <v>412</v>
      </c>
      <c r="E1465" t="s">
        <v>1477</v>
      </c>
      <c r="F1465" t="s">
        <v>1478</v>
      </c>
      <c r="G1465" t="s">
        <v>1122</v>
      </c>
      <c r="H1465" t="s">
        <v>1031</v>
      </c>
      <c r="I1465">
        <v>390906007</v>
      </c>
      <c r="J1465" t="s">
        <v>1255</v>
      </c>
      <c r="K1465">
        <v>85.55</v>
      </c>
      <c r="L1465">
        <v>234.71</v>
      </c>
      <c r="M1465">
        <v>187.76</v>
      </c>
      <c r="N1465">
        <v>55822004</v>
      </c>
      <c r="O1465" t="s">
        <v>2010</v>
      </c>
    </row>
    <row r="1466" spans="1:15">
      <c r="A1466" t="s">
        <v>2821</v>
      </c>
      <c r="B1466" s="2">
        <v>44061.340949074074</v>
      </c>
      <c r="C1466" s="2">
        <v>44061.371481481481</v>
      </c>
      <c r="D1466" t="s">
        <v>412</v>
      </c>
      <c r="E1466" t="s">
        <v>2795</v>
      </c>
      <c r="F1466" t="s">
        <v>2796</v>
      </c>
      <c r="G1466" t="s">
        <v>1122</v>
      </c>
      <c r="H1466" t="s">
        <v>1020</v>
      </c>
      <c r="I1466">
        <v>162673000</v>
      </c>
      <c r="J1466" t="s">
        <v>1021</v>
      </c>
      <c r="K1466">
        <v>136.80000000000001</v>
      </c>
      <c r="L1466">
        <v>853.36</v>
      </c>
      <c r="M1466">
        <v>496.28</v>
      </c>
      <c r="O1466" t="s">
        <v>34</v>
      </c>
    </row>
    <row r="1467" spans="1:15">
      <c r="A1467" t="s">
        <v>2822</v>
      </c>
      <c r="B1467" s="2">
        <v>44068.340949074074</v>
      </c>
      <c r="C1467" s="2">
        <v>44068.351365740738</v>
      </c>
      <c r="D1467" t="s">
        <v>412</v>
      </c>
      <c r="E1467" t="s">
        <v>1477</v>
      </c>
      <c r="F1467" t="s">
        <v>1478</v>
      </c>
      <c r="G1467" t="s">
        <v>1122</v>
      </c>
      <c r="H1467" t="s">
        <v>1031</v>
      </c>
      <c r="I1467">
        <v>390906007</v>
      </c>
      <c r="J1467" t="s">
        <v>1255</v>
      </c>
      <c r="K1467">
        <v>85.55</v>
      </c>
      <c r="L1467">
        <v>234.71</v>
      </c>
      <c r="M1467">
        <v>187.76</v>
      </c>
      <c r="N1467">
        <v>55822004</v>
      </c>
      <c r="O1467" t="s">
        <v>2010</v>
      </c>
    </row>
    <row r="1468" spans="1:15">
      <c r="A1468" t="s">
        <v>2823</v>
      </c>
      <c r="B1468" s="2">
        <v>44075.340949074074</v>
      </c>
      <c r="C1468" s="2">
        <v>44075.467800925922</v>
      </c>
      <c r="D1468" t="s">
        <v>412</v>
      </c>
      <c r="E1468" t="s">
        <v>1477</v>
      </c>
      <c r="F1468" t="s">
        <v>1478</v>
      </c>
      <c r="G1468" t="s">
        <v>1122</v>
      </c>
      <c r="H1468" t="s">
        <v>1031</v>
      </c>
      <c r="I1468">
        <v>185349003</v>
      </c>
      <c r="J1468" t="s">
        <v>1038</v>
      </c>
      <c r="K1468">
        <v>85.55</v>
      </c>
      <c r="L1468">
        <v>3105.35</v>
      </c>
      <c r="M1468">
        <v>2484.2800000000002</v>
      </c>
      <c r="N1468">
        <v>103697008</v>
      </c>
      <c r="O1468" t="s">
        <v>1039</v>
      </c>
    </row>
    <row r="1469" spans="1:15">
      <c r="A1469" t="s">
        <v>2824</v>
      </c>
      <c r="B1469" s="2">
        <v>44334.340949074074</v>
      </c>
      <c r="C1469" s="2">
        <v>44334.351365740738</v>
      </c>
      <c r="D1469" t="s">
        <v>412</v>
      </c>
      <c r="E1469" t="s">
        <v>1477</v>
      </c>
      <c r="F1469" t="s">
        <v>1478</v>
      </c>
      <c r="G1469" t="s">
        <v>1122</v>
      </c>
      <c r="H1469" t="s">
        <v>1043</v>
      </c>
      <c r="I1469">
        <v>33879002</v>
      </c>
      <c r="J1469" t="s">
        <v>1044</v>
      </c>
      <c r="K1469">
        <v>142.58000000000001</v>
      </c>
      <c r="L1469">
        <v>278.58</v>
      </c>
      <c r="M1469">
        <v>36.46</v>
      </c>
      <c r="O1469" t="s">
        <v>34</v>
      </c>
    </row>
    <row r="1470" spans="1:15">
      <c r="A1470" t="s">
        <v>2825</v>
      </c>
      <c r="B1470" s="2">
        <v>44362.340949074074</v>
      </c>
      <c r="C1470" s="2">
        <v>44362.351365740738</v>
      </c>
      <c r="D1470" t="s">
        <v>412</v>
      </c>
      <c r="E1470" t="s">
        <v>1477</v>
      </c>
      <c r="F1470" t="s">
        <v>1478</v>
      </c>
      <c r="G1470" t="s">
        <v>1122</v>
      </c>
      <c r="H1470" t="s">
        <v>1043</v>
      </c>
      <c r="I1470">
        <v>33879002</v>
      </c>
      <c r="J1470" t="s">
        <v>1044</v>
      </c>
      <c r="K1470">
        <v>142.58000000000001</v>
      </c>
      <c r="L1470">
        <v>278.58</v>
      </c>
      <c r="M1470">
        <v>222.86</v>
      </c>
      <c r="O1470" t="s">
        <v>34</v>
      </c>
    </row>
    <row r="1471" spans="1:15">
      <c r="A1471" t="s">
        <v>2826</v>
      </c>
      <c r="B1471" s="2">
        <v>44376.340949074074</v>
      </c>
      <c r="C1471" s="2">
        <v>44376.369039351855</v>
      </c>
      <c r="D1471" t="s">
        <v>412</v>
      </c>
      <c r="E1471" t="s">
        <v>2799</v>
      </c>
      <c r="F1471" t="s">
        <v>2800</v>
      </c>
      <c r="G1471" t="s">
        <v>1122</v>
      </c>
      <c r="H1471" t="s">
        <v>1159</v>
      </c>
      <c r="I1471">
        <v>702927004</v>
      </c>
      <c r="J1471" t="s">
        <v>1160</v>
      </c>
      <c r="K1471">
        <v>142.58000000000001</v>
      </c>
      <c r="L1471">
        <v>791.36</v>
      </c>
      <c r="M1471">
        <v>633.08000000000004</v>
      </c>
      <c r="O1471" t="s">
        <v>34</v>
      </c>
    </row>
    <row r="1472" spans="1:15">
      <c r="A1472" t="s">
        <v>2827</v>
      </c>
      <c r="B1472" s="2">
        <v>44383.340949074074</v>
      </c>
      <c r="C1472" s="2">
        <v>44383.351365740738</v>
      </c>
      <c r="D1472" t="s">
        <v>412</v>
      </c>
      <c r="E1472" t="s">
        <v>1477</v>
      </c>
      <c r="F1472" t="s">
        <v>1478</v>
      </c>
      <c r="G1472" t="s">
        <v>1122</v>
      </c>
      <c r="H1472" t="s">
        <v>1031</v>
      </c>
      <c r="I1472">
        <v>185345009</v>
      </c>
      <c r="J1472" t="s">
        <v>1032</v>
      </c>
      <c r="K1472">
        <v>85.55</v>
      </c>
      <c r="L1472">
        <v>12602.58</v>
      </c>
      <c r="M1472">
        <v>10082.06</v>
      </c>
      <c r="N1472">
        <v>10509002</v>
      </c>
      <c r="O1472" t="s">
        <v>1033</v>
      </c>
    </row>
    <row r="1473" spans="1:15">
      <c r="A1473" t="s">
        <v>2828</v>
      </c>
      <c r="B1473" s="2">
        <v>44390.340949074074</v>
      </c>
      <c r="C1473" s="2">
        <v>44390.486990740741</v>
      </c>
      <c r="D1473" t="s">
        <v>412</v>
      </c>
      <c r="E1473" t="s">
        <v>1477</v>
      </c>
      <c r="F1473" t="s">
        <v>1478</v>
      </c>
      <c r="G1473" t="s">
        <v>1122</v>
      </c>
      <c r="H1473" t="s">
        <v>1031</v>
      </c>
      <c r="I1473">
        <v>185349003</v>
      </c>
      <c r="J1473" t="s">
        <v>1038</v>
      </c>
      <c r="K1473">
        <v>85.55</v>
      </c>
      <c r="L1473">
        <v>3536.75</v>
      </c>
      <c r="M1473">
        <v>2829.4</v>
      </c>
      <c r="N1473">
        <v>103697008</v>
      </c>
      <c r="O1473" t="s">
        <v>1039</v>
      </c>
    </row>
    <row r="1474" spans="1:15">
      <c r="A1474" t="s">
        <v>2829</v>
      </c>
      <c r="B1474" s="2">
        <v>44432.340949074074</v>
      </c>
      <c r="C1474" s="2">
        <v>44432.366990740738</v>
      </c>
      <c r="D1474" t="s">
        <v>412</v>
      </c>
      <c r="E1474" t="s">
        <v>2795</v>
      </c>
      <c r="F1474" t="s">
        <v>2796</v>
      </c>
      <c r="G1474" t="s">
        <v>1122</v>
      </c>
      <c r="H1474" t="s">
        <v>1020</v>
      </c>
      <c r="I1474">
        <v>162673000</v>
      </c>
      <c r="J1474" t="s">
        <v>1021</v>
      </c>
      <c r="K1474">
        <v>136.80000000000001</v>
      </c>
      <c r="L1474">
        <v>717.36</v>
      </c>
      <c r="M1474">
        <v>573.88</v>
      </c>
      <c r="O1474" t="s">
        <v>34</v>
      </c>
    </row>
    <row r="1475" spans="1:15">
      <c r="A1475" t="s">
        <v>2830</v>
      </c>
      <c r="B1475" s="2">
        <v>44433.340949074074</v>
      </c>
      <c r="C1475" s="2">
        <v>44433.351365740738</v>
      </c>
      <c r="D1475" t="s">
        <v>412</v>
      </c>
      <c r="E1475" t="s">
        <v>1477</v>
      </c>
      <c r="F1475" t="s">
        <v>1478</v>
      </c>
      <c r="G1475" t="s">
        <v>1122</v>
      </c>
      <c r="H1475" t="s">
        <v>1031</v>
      </c>
      <c r="I1475">
        <v>390906007</v>
      </c>
      <c r="J1475" t="s">
        <v>1255</v>
      </c>
      <c r="K1475">
        <v>85.55</v>
      </c>
      <c r="L1475">
        <v>234.71</v>
      </c>
      <c r="M1475">
        <v>187.76</v>
      </c>
      <c r="N1475">
        <v>55822004</v>
      </c>
      <c r="O1475" t="s">
        <v>2010</v>
      </c>
    </row>
    <row r="1476" spans="1:15">
      <c r="A1476" t="s">
        <v>2831</v>
      </c>
      <c r="B1476" s="2">
        <v>44584.42428240741</v>
      </c>
      <c r="C1476" s="2">
        <v>44584.434699074074</v>
      </c>
      <c r="D1476" t="s">
        <v>412</v>
      </c>
      <c r="E1476" t="s">
        <v>1477</v>
      </c>
      <c r="F1476" t="s">
        <v>1478</v>
      </c>
      <c r="G1476" t="s">
        <v>1122</v>
      </c>
      <c r="H1476" t="s">
        <v>1031</v>
      </c>
      <c r="I1476">
        <v>185345009</v>
      </c>
      <c r="J1476" t="s">
        <v>1032</v>
      </c>
      <c r="K1476">
        <v>85.55</v>
      </c>
      <c r="L1476">
        <v>85.55</v>
      </c>
      <c r="M1476">
        <v>68.44</v>
      </c>
      <c r="N1476">
        <v>10509002</v>
      </c>
      <c r="O1476" t="s">
        <v>1033</v>
      </c>
    </row>
    <row r="1477" spans="1:15">
      <c r="A1477" t="s">
        <v>2832</v>
      </c>
      <c r="B1477" s="2">
        <v>44593.29928240741</v>
      </c>
      <c r="C1477" s="2">
        <v>44593.33390046296</v>
      </c>
      <c r="D1477" t="s">
        <v>412</v>
      </c>
      <c r="E1477" t="s">
        <v>1477</v>
      </c>
      <c r="F1477" t="s">
        <v>1478</v>
      </c>
      <c r="G1477" t="s">
        <v>1122</v>
      </c>
      <c r="H1477" t="s">
        <v>1043</v>
      </c>
      <c r="I1477">
        <v>185349003</v>
      </c>
      <c r="J1477" t="s">
        <v>1038</v>
      </c>
      <c r="K1477">
        <v>85.55</v>
      </c>
      <c r="L1477">
        <v>950.03</v>
      </c>
      <c r="M1477">
        <v>760.02</v>
      </c>
      <c r="O1477" t="s">
        <v>34</v>
      </c>
    </row>
    <row r="1478" spans="1:15">
      <c r="A1478" t="s">
        <v>2833</v>
      </c>
      <c r="B1478" s="2">
        <v>44803.340949074074</v>
      </c>
      <c r="C1478" s="2">
        <v>44803.380173611113</v>
      </c>
      <c r="D1478" t="s">
        <v>412</v>
      </c>
      <c r="E1478" t="s">
        <v>2795</v>
      </c>
      <c r="F1478" t="s">
        <v>2796</v>
      </c>
      <c r="G1478" t="s">
        <v>1122</v>
      </c>
      <c r="H1478" t="s">
        <v>1020</v>
      </c>
      <c r="I1478">
        <v>162673000</v>
      </c>
      <c r="J1478" t="s">
        <v>1021</v>
      </c>
      <c r="K1478">
        <v>136.80000000000001</v>
      </c>
      <c r="L1478">
        <v>865.28</v>
      </c>
      <c r="M1478">
        <v>505.82</v>
      </c>
      <c r="O1478" t="s">
        <v>34</v>
      </c>
    </row>
    <row r="1479" spans="1:15">
      <c r="A1479" t="s">
        <v>2834</v>
      </c>
      <c r="B1479" s="2">
        <v>44810.340949074074</v>
      </c>
      <c r="C1479" s="2">
        <v>44810.351365740738</v>
      </c>
      <c r="D1479" t="s">
        <v>412</v>
      </c>
      <c r="E1479" t="s">
        <v>1477</v>
      </c>
      <c r="F1479" t="s">
        <v>1478</v>
      </c>
      <c r="G1479" t="s">
        <v>1122</v>
      </c>
      <c r="H1479" t="s">
        <v>1031</v>
      </c>
      <c r="I1479">
        <v>390906007</v>
      </c>
      <c r="J1479" t="s">
        <v>1255</v>
      </c>
      <c r="K1479">
        <v>85.55</v>
      </c>
      <c r="L1479">
        <v>234.71</v>
      </c>
      <c r="M1479">
        <v>187.76</v>
      </c>
      <c r="N1479">
        <v>55822004</v>
      </c>
      <c r="O1479" t="s">
        <v>2010</v>
      </c>
    </row>
    <row r="1480" spans="1:15">
      <c r="A1480" t="s">
        <v>2835</v>
      </c>
      <c r="B1480" s="2">
        <v>45065.430671296293</v>
      </c>
      <c r="C1480" s="2">
        <v>45065.460231481484</v>
      </c>
      <c r="D1480" t="s">
        <v>412</v>
      </c>
      <c r="E1480" t="s">
        <v>1477</v>
      </c>
      <c r="F1480" t="s">
        <v>1478</v>
      </c>
      <c r="G1480" t="s">
        <v>1122</v>
      </c>
      <c r="H1480" t="s">
        <v>1031</v>
      </c>
      <c r="I1480">
        <v>185349003</v>
      </c>
      <c r="J1480" t="s">
        <v>1038</v>
      </c>
      <c r="K1480">
        <v>85.55</v>
      </c>
      <c r="L1480">
        <v>14269.65</v>
      </c>
      <c r="M1480">
        <v>11229.32</v>
      </c>
      <c r="N1480">
        <v>275978004</v>
      </c>
      <c r="O1480" t="s">
        <v>1449</v>
      </c>
    </row>
    <row r="1481" spans="1:15">
      <c r="A1481" t="s">
        <v>2836</v>
      </c>
      <c r="B1481" s="2">
        <v>45174.340949074074</v>
      </c>
      <c r="C1481" s="2">
        <v>45174.371736111112</v>
      </c>
      <c r="D1481" t="s">
        <v>412</v>
      </c>
      <c r="E1481" t="s">
        <v>2795</v>
      </c>
      <c r="F1481" t="s">
        <v>2796</v>
      </c>
      <c r="G1481" t="s">
        <v>1122</v>
      </c>
      <c r="H1481" t="s">
        <v>1020</v>
      </c>
      <c r="I1481">
        <v>162673000</v>
      </c>
      <c r="J1481" t="s">
        <v>1021</v>
      </c>
      <c r="K1481">
        <v>136.80000000000001</v>
      </c>
      <c r="L1481">
        <v>1524.48</v>
      </c>
      <c r="M1481">
        <v>1219.58</v>
      </c>
      <c r="O1481" t="s">
        <v>34</v>
      </c>
    </row>
    <row r="1482" spans="1:15">
      <c r="A1482" t="s">
        <v>2837</v>
      </c>
      <c r="B1482" s="2">
        <v>45175.340949074074</v>
      </c>
      <c r="C1482" s="2">
        <v>45175.351365740738</v>
      </c>
      <c r="D1482" t="s">
        <v>412</v>
      </c>
      <c r="E1482" t="s">
        <v>1477</v>
      </c>
      <c r="F1482" t="s">
        <v>1478</v>
      </c>
      <c r="G1482" t="s">
        <v>1122</v>
      </c>
      <c r="H1482" t="s">
        <v>1031</v>
      </c>
      <c r="I1482">
        <v>390906007</v>
      </c>
      <c r="J1482" t="s">
        <v>1255</v>
      </c>
      <c r="K1482">
        <v>85.55</v>
      </c>
      <c r="L1482">
        <v>234.71</v>
      </c>
      <c r="M1482">
        <v>187.76</v>
      </c>
      <c r="N1482">
        <v>55822004</v>
      </c>
      <c r="O1482" t="s">
        <v>2010</v>
      </c>
    </row>
    <row r="1483" spans="1:15">
      <c r="A1483" t="s">
        <v>2838</v>
      </c>
      <c r="B1483" s="2">
        <v>45314.29928240741</v>
      </c>
      <c r="C1483" s="2">
        <v>45314.309699074074</v>
      </c>
      <c r="D1483" t="s">
        <v>412</v>
      </c>
      <c r="E1483" t="s">
        <v>2799</v>
      </c>
      <c r="F1483" t="s">
        <v>2800</v>
      </c>
      <c r="G1483" t="s">
        <v>1122</v>
      </c>
      <c r="H1483" t="s">
        <v>1159</v>
      </c>
      <c r="I1483">
        <v>308335008</v>
      </c>
      <c r="J1483" t="s">
        <v>1194</v>
      </c>
      <c r="K1483">
        <v>142.58000000000001</v>
      </c>
      <c r="L1483">
        <v>573.98</v>
      </c>
      <c r="M1483">
        <v>459.18</v>
      </c>
      <c r="N1483">
        <v>1871000124103</v>
      </c>
      <c r="O1483" t="s">
        <v>2839</v>
      </c>
    </row>
    <row r="1484" spans="1:15">
      <c r="A1484" t="s">
        <v>2840</v>
      </c>
      <c r="B1484" s="2">
        <v>45314.568726851852</v>
      </c>
      <c r="C1484" s="2">
        <v>45314.579143518517</v>
      </c>
      <c r="D1484" t="s">
        <v>412</v>
      </c>
      <c r="E1484" t="s">
        <v>2841</v>
      </c>
      <c r="F1484" t="s">
        <v>2842</v>
      </c>
      <c r="G1484" t="s">
        <v>1122</v>
      </c>
      <c r="H1484" t="s">
        <v>2843</v>
      </c>
      <c r="I1484">
        <v>439708006</v>
      </c>
      <c r="J1484" t="s">
        <v>2844</v>
      </c>
      <c r="K1484">
        <v>128.53</v>
      </c>
      <c r="L1484">
        <v>1854.13</v>
      </c>
      <c r="M1484">
        <v>1483.3</v>
      </c>
      <c r="N1484">
        <v>1871000124103</v>
      </c>
      <c r="O1484" t="s">
        <v>2839</v>
      </c>
    </row>
    <row r="1485" spans="1:15">
      <c r="A1485" t="s">
        <v>2845</v>
      </c>
      <c r="B1485" s="2">
        <v>45315.568726851852</v>
      </c>
      <c r="C1485" s="2">
        <v>45315.579143518517</v>
      </c>
      <c r="D1485" t="s">
        <v>412</v>
      </c>
      <c r="E1485" t="s">
        <v>2841</v>
      </c>
      <c r="F1485" t="s">
        <v>2842</v>
      </c>
      <c r="G1485" t="s">
        <v>1122</v>
      </c>
      <c r="H1485" t="s">
        <v>2843</v>
      </c>
      <c r="I1485">
        <v>439708006</v>
      </c>
      <c r="J1485" t="s">
        <v>2844</v>
      </c>
      <c r="K1485">
        <v>128.53</v>
      </c>
      <c r="L1485">
        <v>344.23</v>
      </c>
      <c r="M1485">
        <v>275.38</v>
      </c>
      <c r="N1485">
        <v>1871000124103</v>
      </c>
      <c r="O1485" t="s">
        <v>2839</v>
      </c>
    </row>
    <row r="1486" spans="1:15">
      <c r="A1486" t="s">
        <v>2846</v>
      </c>
      <c r="B1486" s="2">
        <v>45316.568726851852</v>
      </c>
      <c r="C1486" s="2">
        <v>45316.579143518517</v>
      </c>
      <c r="D1486" t="s">
        <v>412</v>
      </c>
      <c r="E1486" t="s">
        <v>2841</v>
      </c>
      <c r="F1486" t="s">
        <v>2842</v>
      </c>
      <c r="G1486" t="s">
        <v>1122</v>
      </c>
      <c r="H1486" t="s">
        <v>2843</v>
      </c>
      <c r="I1486">
        <v>439708006</v>
      </c>
      <c r="J1486" t="s">
        <v>2844</v>
      </c>
      <c r="K1486">
        <v>128.53</v>
      </c>
      <c r="L1486">
        <v>559.92999999999995</v>
      </c>
      <c r="M1486">
        <v>447.94</v>
      </c>
      <c r="N1486">
        <v>1871000124103</v>
      </c>
      <c r="O1486" t="s">
        <v>2839</v>
      </c>
    </row>
    <row r="1487" spans="1:15">
      <c r="A1487" t="s">
        <v>2847</v>
      </c>
      <c r="B1487" s="2">
        <v>45317.568726851852</v>
      </c>
      <c r="C1487" s="2">
        <v>45317.579143518517</v>
      </c>
      <c r="D1487" t="s">
        <v>412</v>
      </c>
      <c r="E1487" t="s">
        <v>2841</v>
      </c>
      <c r="F1487" t="s">
        <v>2842</v>
      </c>
      <c r="G1487" t="s">
        <v>1122</v>
      </c>
      <c r="H1487" t="s">
        <v>2843</v>
      </c>
      <c r="I1487">
        <v>439708006</v>
      </c>
      <c r="J1487" t="s">
        <v>2844</v>
      </c>
      <c r="K1487">
        <v>128.53</v>
      </c>
      <c r="L1487">
        <v>559.92999999999995</v>
      </c>
      <c r="M1487">
        <v>447.94</v>
      </c>
      <c r="N1487">
        <v>1871000124103</v>
      </c>
      <c r="O1487" t="s">
        <v>2839</v>
      </c>
    </row>
    <row r="1488" spans="1:15">
      <c r="A1488" t="s">
        <v>2848</v>
      </c>
      <c r="B1488" s="2">
        <v>45318.568726851852</v>
      </c>
      <c r="C1488" s="2">
        <v>45318.579143518517</v>
      </c>
      <c r="D1488" t="s">
        <v>412</v>
      </c>
      <c r="E1488" t="s">
        <v>2841</v>
      </c>
      <c r="F1488" t="s">
        <v>2842</v>
      </c>
      <c r="G1488" t="s">
        <v>1122</v>
      </c>
      <c r="H1488" t="s">
        <v>2843</v>
      </c>
      <c r="I1488">
        <v>439708006</v>
      </c>
      <c r="J1488" t="s">
        <v>2844</v>
      </c>
      <c r="K1488">
        <v>128.53</v>
      </c>
      <c r="L1488">
        <v>559.92999999999995</v>
      </c>
      <c r="M1488">
        <v>447.94</v>
      </c>
      <c r="N1488">
        <v>1871000124103</v>
      </c>
      <c r="O1488" t="s">
        <v>2839</v>
      </c>
    </row>
    <row r="1489" spans="1:15">
      <c r="A1489" t="s">
        <v>2849</v>
      </c>
      <c r="B1489" s="2">
        <v>45319.568726851852</v>
      </c>
      <c r="C1489" s="2">
        <v>45319.579143518517</v>
      </c>
      <c r="D1489" t="s">
        <v>412</v>
      </c>
      <c r="E1489" t="s">
        <v>2841</v>
      </c>
      <c r="F1489" t="s">
        <v>2842</v>
      </c>
      <c r="G1489" t="s">
        <v>1122</v>
      </c>
      <c r="H1489" t="s">
        <v>2843</v>
      </c>
      <c r="I1489">
        <v>439708006</v>
      </c>
      <c r="J1489" t="s">
        <v>2844</v>
      </c>
      <c r="K1489">
        <v>128.53</v>
      </c>
      <c r="L1489">
        <v>991.33</v>
      </c>
      <c r="M1489">
        <v>793.06</v>
      </c>
      <c r="N1489">
        <v>1871000124103</v>
      </c>
      <c r="O1489" t="s">
        <v>2839</v>
      </c>
    </row>
    <row r="1490" spans="1:15">
      <c r="A1490" t="s">
        <v>2850</v>
      </c>
      <c r="B1490" s="2">
        <v>45477.715949074074</v>
      </c>
      <c r="C1490" s="2">
        <v>45477.726365740738</v>
      </c>
      <c r="D1490" t="s">
        <v>412</v>
      </c>
      <c r="E1490" t="s">
        <v>1477</v>
      </c>
      <c r="F1490" t="s">
        <v>1478</v>
      </c>
      <c r="G1490" t="s">
        <v>1122</v>
      </c>
      <c r="H1490" t="s">
        <v>1031</v>
      </c>
      <c r="I1490">
        <v>185345009</v>
      </c>
      <c r="J1490" t="s">
        <v>1032</v>
      </c>
      <c r="K1490">
        <v>85.55</v>
      </c>
      <c r="L1490">
        <v>85.55</v>
      </c>
      <c r="M1490">
        <v>0</v>
      </c>
      <c r="N1490">
        <v>444814009</v>
      </c>
      <c r="O1490" t="s">
        <v>1035</v>
      </c>
    </row>
    <row r="1491" spans="1:15">
      <c r="A1491" t="s">
        <v>2851</v>
      </c>
      <c r="B1491" s="2">
        <v>45545.340949074074</v>
      </c>
      <c r="C1491" s="2">
        <v>45545.376377314817</v>
      </c>
      <c r="D1491" t="s">
        <v>412</v>
      </c>
      <c r="E1491" t="s">
        <v>2795</v>
      </c>
      <c r="F1491" t="s">
        <v>2796</v>
      </c>
      <c r="G1491" t="s">
        <v>1122</v>
      </c>
      <c r="H1491" t="s">
        <v>1020</v>
      </c>
      <c r="I1491">
        <v>162673000</v>
      </c>
      <c r="J1491" t="s">
        <v>1021</v>
      </c>
      <c r="K1491">
        <v>136.80000000000001</v>
      </c>
      <c r="L1491">
        <v>996.16</v>
      </c>
      <c r="M1491">
        <v>678.96</v>
      </c>
      <c r="O1491" t="s">
        <v>34</v>
      </c>
    </row>
    <row r="1492" spans="1:15">
      <c r="A1492" t="s">
        <v>2852</v>
      </c>
      <c r="B1492" s="2">
        <v>45552.340949074074</v>
      </c>
      <c r="C1492" s="2">
        <v>45552.351365740738</v>
      </c>
      <c r="D1492" t="s">
        <v>412</v>
      </c>
      <c r="E1492" t="s">
        <v>1477</v>
      </c>
      <c r="F1492" t="s">
        <v>1478</v>
      </c>
      <c r="G1492" t="s">
        <v>1122</v>
      </c>
      <c r="H1492" t="s">
        <v>1031</v>
      </c>
      <c r="I1492">
        <v>390906007</v>
      </c>
      <c r="J1492" t="s">
        <v>1255</v>
      </c>
      <c r="K1492">
        <v>85.55</v>
      </c>
      <c r="L1492">
        <v>234.71</v>
      </c>
      <c r="M1492">
        <v>187.76</v>
      </c>
      <c r="N1492">
        <v>55822004</v>
      </c>
      <c r="O1492" t="s">
        <v>2010</v>
      </c>
    </row>
    <row r="1493" spans="1:15">
      <c r="A1493" t="s">
        <v>2853</v>
      </c>
      <c r="B1493" s="2">
        <v>45916.340949074074</v>
      </c>
      <c r="C1493" s="2">
        <v>45916.37159722222</v>
      </c>
      <c r="D1493" t="s">
        <v>412</v>
      </c>
      <c r="E1493" t="s">
        <v>2795</v>
      </c>
      <c r="F1493" t="s">
        <v>2796</v>
      </c>
      <c r="G1493" t="s">
        <v>1122</v>
      </c>
      <c r="H1493" t="s">
        <v>1020</v>
      </c>
      <c r="I1493">
        <v>162673000</v>
      </c>
      <c r="J1493" t="s">
        <v>1021</v>
      </c>
      <c r="K1493">
        <v>136.80000000000001</v>
      </c>
      <c r="L1493">
        <v>860.16</v>
      </c>
      <c r="M1493">
        <v>501.72</v>
      </c>
      <c r="O1493" t="s">
        <v>34</v>
      </c>
    </row>
    <row r="1494" spans="1:15">
      <c r="A1494" t="s">
        <v>2854</v>
      </c>
      <c r="B1494" s="2">
        <v>45917.340949074074</v>
      </c>
      <c r="C1494" s="2">
        <v>45917.351365740738</v>
      </c>
      <c r="D1494" t="s">
        <v>412</v>
      </c>
      <c r="E1494" t="s">
        <v>1477</v>
      </c>
      <c r="F1494" t="s">
        <v>1478</v>
      </c>
      <c r="G1494" t="s">
        <v>1122</v>
      </c>
      <c r="H1494" t="s">
        <v>1031</v>
      </c>
      <c r="I1494">
        <v>390906007</v>
      </c>
      <c r="J1494" t="s">
        <v>1255</v>
      </c>
      <c r="K1494">
        <v>85.55</v>
      </c>
      <c r="L1494">
        <v>234.71</v>
      </c>
      <c r="M1494">
        <v>187.76</v>
      </c>
      <c r="N1494">
        <v>55822004</v>
      </c>
      <c r="O1494" t="s">
        <v>2010</v>
      </c>
    </row>
    <row r="1495" spans="1:15">
      <c r="A1495" t="s">
        <v>2855</v>
      </c>
      <c r="B1495" s="2">
        <v>45930.340949074074</v>
      </c>
      <c r="C1495" s="2">
        <v>45930.537442129629</v>
      </c>
      <c r="D1495" t="s">
        <v>412</v>
      </c>
      <c r="E1495" t="s">
        <v>1477</v>
      </c>
      <c r="F1495" t="s">
        <v>1478</v>
      </c>
      <c r="G1495" t="s">
        <v>1122</v>
      </c>
      <c r="H1495" t="s">
        <v>1031</v>
      </c>
      <c r="I1495">
        <v>185349003</v>
      </c>
      <c r="J1495" t="s">
        <v>1038</v>
      </c>
      <c r="K1495">
        <v>85.55</v>
      </c>
      <c r="L1495">
        <v>4830.95</v>
      </c>
      <c r="M1495">
        <v>3864.76</v>
      </c>
      <c r="N1495">
        <v>66383009</v>
      </c>
      <c r="O1495" t="s">
        <v>1209</v>
      </c>
    </row>
    <row r="1496" spans="1:15">
      <c r="A1496" t="s">
        <v>2856</v>
      </c>
      <c r="B1496" s="2">
        <v>39481.867777777778</v>
      </c>
      <c r="C1496" s="2">
        <v>39481.883877314816</v>
      </c>
      <c r="D1496" t="s">
        <v>421</v>
      </c>
      <c r="E1496" t="s">
        <v>2857</v>
      </c>
      <c r="F1496" t="s">
        <v>2858</v>
      </c>
      <c r="G1496" t="s">
        <v>1026</v>
      </c>
      <c r="H1496" t="s">
        <v>1020</v>
      </c>
      <c r="I1496">
        <v>410620009</v>
      </c>
      <c r="J1496" t="s">
        <v>1054</v>
      </c>
      <c r="K1496">
        <v>136.80000000000001</v>
      </c>
      <c r="L1496">
        <v>1428.16</v>
      </c>
      <c r="M1496">
        <v>0</v>
      </c>
      <c r="O1496" t="s">
        <v>34</v>
      </c>
    </row>
    <row r="1497" spans="1:15">
      <c r="A1497" t="s">
        <v>2859</v>
      </c>
      <c r="B1497" s="2">
        <v>39852.867777777778</v>
      </c>
      <c r="C1497" s="2">
        <v>39852.900717592594</v>
      </c>
      <c r="D1497" t="s">
        <v>421</v>
      </c>
      <c r="E1497" t="s">
        <v>2857</v>
      </c>
      <c r="F1497" t="s">
        <v>2858</v>
      </c>
      <c r="G1497" t="s">
        <v>1026</v>
      </c>
      <c r="H1497" t="s">
        <v>1020</v>
      </c>
      <c r="I1497">
        <v>162673000</v>
      </c>
      <c r="J1497" t="s">
        <v>1021</v>
      </c>
      <c r="K1497">
        <v>136.80000000000001</v>
      </c>
      <c r="L1497">
        <v>919.9</v>
      </c>
      <c r="M1497">
        <v>0</v>
      </c>
      <c r="O1497" t="s">
        <v>34</v>
      </c>
    </row>
    <row r="1498" spans="1:15">
      <c r="A1498" t="s">
        <v>2860</v>
      </c>
      <c r="B1498" s="2">
        <v>40223.867777777778</v>
      </c>
      <c r="C1498" s="2">
        <v>40223.90625</v>
      </c>
      <c r="D1498" t="s">
        <v>421</v>
      </c>
      <c r="E1498" t="s">
        <v>2857</v>
      </c>
      <c r="F1498" t="s">
        <v>2858</v>
      </c>
      <c r="G1498" t="s">
        <v>1026</v>
      </c>
      <c r="H1498" t="s">
        <v>1020</v>
      </c>
      <c r="I1498">
        <v>162673000</v>
      </c>
      <c r="J1498" t="s">
        <v>1021</v>
      </c>
      <c r="K1498">
        <v>136.80000000000001</v>
      </c>
      <c r="L1498">
        <v>704.2</v>
      </c>
      <c r="M1498">
        <v>0</v>
      </c>
      <c r="O1498" t="s">
        <v>34</v>
      </c>
    </row>
    <row r="1499" spans="1:15">
      <c r="A1499" t="s">
        <v>2861</v>
      </c>
      <c r="B1499" s="2">
        <v>42421.867777777778</v>
      </c>
      <c r="C1499" s="2">
        <v>42421.889074074075</v>
      </c>
      <c r="D1499" t="s">
        <v>421</v>
      </c>
      <c r="E1499" t="s">
        <v>2857</v>
      </c>
      <c r="F1499" t="s">
        <v>2858</v>
      </c>
      <c r="G1499" t="s">
        <v>1026</v>
      </c>
      <c r="H1499" t="s">
        <v>1020</v>
      </c>
      <c r="I1499">
        <v>162673000</v>
      </c>
      <c r="J1499" t="s">
        <v>1021</v>
      </c>
      <c r="K1499">
        <v>136.80000000000001</v>
      </c>
      <c r="L1499">
        <v>1233.08</v>
      </c>
      <c r="M1499">
        <v>0</v>
      </c>
      <c r="O1499" t="s">
        <v>34</v>
      </c>
    </row>
    <row r="1500" spans="1:15">
      <c r="A1500" t="s">
        <v>2862</v>
      </c>
      <c r="B1500" s="2">
        <v>42428.867777777778</v>
      </c>
      <c r="C1500" s="2">
        <v>42428.916273148148</v>
      </c>
      <c r="D1500" t="s">
        <v>421</v>
      </c>
      <c r="E1500" t="s">
        <v>1057</v>
      </c>
      <c r="F1500" t="s">
        <v>1058</v>
      </c>
      <c r="G1500" t="s">
        <v>1026</v>
      </c>
      <c r="H1500" t="s">
        <v>1031</v>
      </c>
      <c r="I1500">
        <v>185347001</v>
      </c>
      <c r="J1500" t="s">
        <v>1124</v>
      </c>
      <c r="K1500">
        <v>85.55</v>
      </c>
      <c r="L1500">
        <v>1059.1600000000001</v>
      </c>
      <c r="M1500">
        <v>0</v>
      </c>
      <c r="N1500">
        <v>271737000</v>
      </c>
      <c r="O1500" t="s">
        <v>1479</v>
      </c>
    </row>
    <row r="1501" spans="1:15">
      <c r="A1501" t="s">
        <v>2863</v>
      </c>
      <c r="B1501" s="2">
        <v>42656.909444444442</v>
      </c>
      <c r="C1501" s="2">
        <v>42656.919861111113</v>
      </c>
      <c r="D1501" t="s">
        <v>421</v>
      </c>
      <c r="E1501" t="s">
        <v>1057</v>
      </c>
      <c r="F1501" t="s">
        <v>1058</v>
      </c>
      <c r="G1501" t="s">
        <v>1026</v>
      </c>
      <c r="H1501" t="s">
        <v>1043</v>
      </c>
      <c r="I1501">
        <v>698314001</v>
      </c>
      <c r="J1501" t="s">
        <v>1190</v>
      </c>
      <c r="K1501">
        <v>142.58000000000001</v>
      </c>
      <c r="L1501">
        <v>142.58000000000001</v>
      </c>
      <c r="M1501">
        <v>0</v>
      </c>
      <c r="N1501">
        <v>389095005</v>
      </c>
      <c r="O1501" t="s">
        <v>1191</v>
      </c>
    </row>
    <row r="1502" spans="1:15">
      <c r="A1502" t="s">
        <v>2864</v>
      </c>
      <c r="B1502" s="2">
        <v>43016.909444444442</v>
      </c>
      <c r="C1502" s="2">
        <v>43016.919861111113</v>
      </c>
      <c r="D1502" t="s">
        <v>421</v>
      </c>
      <c r="E1502" t="s">
        <v>1057</v>
      </c>
      <c r="F1502" t="s">
        <v>1058</v>
      </c>
      <c r="G1502" t="s">
        <v>1026</v>
      </c>
      <c r="H1502" t="s">
        <v>1043</v>
      </c>
      <c r="I1502">
        <v>698314001</v>
      </c>
      <c r="J1502" t="s">
        <v>1190</v>
      </c>
      <c r="K1502">
        <v>142.58000000000001</v>
      </c>
      <c r="L1502">
        <v>142.58000000000001</v>
      </c>
      <c r="M1502">
        <v>0</v>
      </c>
      <c r="N1502">
        <v>389095005</v>
      </c>
      <c r="O1502" t="s">
        <v>1191</v>
      </c>
    </row>
    <row r="1503" spans="1:15">
      <c r="A1503" t="s">
        <v>2865</v>
      </c>
      <c r="B1503" s="2">
        <v>43436.867777777778</v>
      </c>
      <c r="C1503" s="2">
        <v>43436.878194444442</v>
      </c>
      <c r="D1503" t="s">
        <v>421</v>
      </c>
      <c r="E1503" t="s">
        <v>1057</v>
      </c>
      <c r="F1503" t="s">
        <v>1058</v>
      </c>
      <c r="G1503" t="s">
        <v>1026</v>
      </c>
      <c r="H1503" t="s">
        <v>1031</v>
      </c>
      <c r="I1503">
        <v>424441002</v>
      </c>
      <c r="J1503" t="s">
        <v>1059</v>
      </c>
      <c r="K1503">
        <v>142.58000000000001</v>
      </c>
      <c r="L1503">
        <v>50121.01</v>
      </c>
      <c r="M1503">
        <v>26416.21</v>
      </c>
      <c r="N1503">
        <v>72892002</v>
      </c>
      <c r="O1503" t="s">
        <v>1060</v>
      </c>
    </row>
    <row r="1504" spans="1:15">
      <c r="A1504" t="s">
        <v>2866</v>
      </c>
      <c r="B1504" s="2">
        <v>43464.867777777778</v>
      </c>
      <c r="C1504" s="2">
        <v>43464.878194444442</v>
      </c>
      <c r="D1504" t="s">
        <v>421</v>
      </c>
      <c r="E1504" t="s">
        <v>1057</v>
      </c>
      <c r="F1504" t="s">
        <v>1058</v>
      </c>
      <c r="G1504" t="s">
        <v>1093</v>
      </c>
      <c r="H1504" t="s">
        <v>1031</v>
      </c>
      <c r="I1504">
        <v>424619006</v>
      </c>
      <c r="J1504" t="s">
        <v>1062</v>
      </c>
      <c r="K1504">
        <v>142.58000000000001</v>
      </c>
      <c r="L1504">
        <v>7777.51</v>
      </c>
      <c r="M1504">
        <v>7627.51</v>
      </c>
      <c r="N1504">
        <v>72892002</v>
      </c>
      <c r="O1504" t="s">
        <v>1060</v>
      </c>
    </row>
    <row r="1505" spans="1:15">
      <c r="A1505" t="s">
        <v>2867</v>
      </c>
      <c r="B1505" s="2">
        <v>43492.867777777778</v>
      </c>
      <c r="C1505" s="2">
        <v>43492.878194444442</v>
      </c>
      <c r="D1505" t="s">
        <v>421</v>
      </c>
      <c r="E1505" t="s">
        <v>1057</v>
      </c>
      <c r="F1505" t="s">
        <v>1058</v>
      </c>
      <c r="G1505" t="s">
        <v>1093</v>
      </c>
      <c r="H1505" t="s">
        <v>1031</v>
      </c>
      <c r="I1505">
        <v>424619006</v>
      </c>
      <c r="J1505" t="s">
        <v>1062</v>
      </c>
      <c r="K1505">
        <v>142.58000000000001</v>
      </c>
      <c r="L1505">
        <v>7164.82</v>
      </c>
      <c r="M1505">
        <v>7114.82</v>
      </c>
      <c r="N1505">
        <v>72892002</v>
      </c>
      <c r="O1505" t="s">
        <v>1060</v>
      </c>
    </row>
    <row r="1506" spans="1:15">
      <c r="A1506" t="s">
        <v>2868</v>
      </c>
      <c r="B1506" s="2">
        <v>43520.867777777778</v>
      </c>
      <c r="C1506" s="2">
        <v>43520.894467592596</v>
      </c>
      <c r="D1506" t="s">
        <v>421</v>
      </c>
      <c r="E1506" t="s">
        <v>2857</v>
      </c>
      <c r="F1506" t="s">
        <v>2858</v>
      </c>
      <c r="G1506" t="s">
        <v>1093</v>
      </c>
      <c r="H1506" t="s">
        <v>1020</v>
      </c>
      <c r="I1506">
        <v>162673000</v>
      </c>
      <c r="J1506" t="s">
        <v>1021</v>
      </c>
      <c r="K1506">
        <v>136.80000000000001</v>
      </c>
      <c r="L1506">
        <v>1155.25</v>
      </c>
      <c r="M1506">
        <v>1155.25</v>
      </c>
      <c r="O1506" t="s">
        <v>34</v>
      </c>
    </row>
    <row r="1507" spans="1:15">
      <c r="A1507" t="s">
        <v>2869</v>
      </c>
      <c r="B1507" s="2">
        <v>43527.867777777778</v>
      </c>
      <c r="C1507" s="2">
        <v>43527.878194444442</v>
      </c>
      <c r="D1507" t="s">
        <v>421</v>
      </c>
      <c r="E1507" t="s">
        <v>1057</v>
      </c>
      <c r="F1507" t="s">
        <v>1058</v>
      </c>
      <c r="G1507" t="s">
        <v>1093</v>
      </c>
      <c r="H1507" t="s">
        <v>1031</v>
      </c>
      <c r="I1507">
        <v>424619006</v>
      </c>
      <c r="J1507" t="s">
        <v>1062</v>
      </c>
      <c r="K1507">
        <v>142.58000000000001</v>
      </c>
      <c r="L1507">
        <v>4665.96</v>
      </c>
      <c r="M1507">
        <v>4615.96</v>
      </c>
      <c r="N1507">
        <v>72892002</v>
      </c>
      <c r="O1507" t="s">
        <v>1060</v>
      </c>
    </row>
    <row r="1508" spans="1:15">
      <c r="A1508" t="s">
        <v>2870</v>
      </c>
      <c r="B1508" s="2">
        <v>43534.909444444442</v>
      </c>
      <c r="C1508" s="2">
        <v>43535.073171296295</v>
      </c>
      <c r="D1508" t="s">
        <v>421</v>
      </c>
      <c r="E1508" t="s">
        <v>1057</v>
      </c>
      <c r="F1508" t="s">
        <v>1058</v>
      </c>
      <c r="G1508" t="s">
        <v>1093</v>
      </c>
      <c r="H1508" t="s">
        <v>1031</v>
      </c>
      <c r="I1508">
        <v>185349003</v>
      </c>
      <c r="J1508" t="s">
        <v>1038</v>
      </c>
      <c r="K1508">
        <v>85.55</v>
      </c>
      <c r="L1508">
        <v>3536.75</v>
      </c>
      <c r="M1508">
        <v>3486.75</v>
      </c>
      <c r="N1508">
        <v>103697008</v>
      </c>
      <c r="O1508" t="s">
        <v>1039</v>
      </c>
    </row>
    <row r="1509" spans="1:15">
      <c r="A1509" t="s">
        <v>2871</v>
      </c>
      <c r="B1509" s="2">
        <v>43555.909444444442</v>
      </c>
      <c r="C1509" s="2">
        <v>43555.919861111113</v>
      </c>
      <c r="D1509" t="s">
        <v>421</v>
      </c>
      <c r="E1509" t="s">
        <v>1057</v>
      </c>
      <c r="F1509" t="s">
        <v>1058</v>
      </c>
      <c r="G1509" t="s">
        <v>1093</v>
      </c>
      <c r="H1509" t="s">
        <v>1031</v>
      </c>
      <c r="I1509">
        <v>424619006</v>
      </c>
      <c r="J1509" t="s">
        <v>1062</v>
      </c>
      <c r="K1509">
        <v>142.58000000000001</v>
      </c>
      <c r="L1509">
        <v>8840.9500000000007</v>
      </c>
      <c r="M1509">
        <v>8790.9500000000007</v>
      </c>
      <c r="N1509">
        <v>72892002</v>
      </c>
      <c r="O1509" t="s">
        <v>1060</v>
      </c>
    </row>
    <row r="1510" spans="1:15">
      <c r="A1510" t="s">
        <v>2872</v>
      </c>
      <c r="B1510" s="2">
        <v>43583.909444444442</v>
      </c>
      <c r="C1510" s="2">
        <v>43583.919861111113</v>
      </c>
      <c r="D1510" t="s">
        <v>421</v>
      </c>
      <c r="E1510" t="s">
        <v>1057</v>
      </c>
      <c r="F1510" t="s">
        <v>1058</v>
      </c>
      <c r="G1510" t="s">
        <v>1093</v>
      </c>
      <c r="H1510" t="s">
        <v>1031</v>
      </c>
      <c r="I1510">
        <v>424619006</v>
      </c>
      <c r="J1510" t="s">
        <v>1062</v>
      </c>
      <c r="K1510">
        <v>142.58000000000001</v>
      </c>
      <c r="L1510">
        <v>13319.67</v>
      </c>
      <c r="M1510">
        <v>13269.67</v>
      </c>
      <c r="N1510">
        <v>72892002</v>
      </c>
      <c r="O1510" t="s">
        <v>1060</v>
      </c>
    </row>
    <row r="1511" spans="1:15">
      <c r="A1511" t="s">
        <v>2873</v>
      </c>
      <c r="B1511" s="2">
        <v>43611.909444444442</v>
      </c>
      <c r="C1511" s="2">
        <v>43611.919861111113</v>
      </c>
      <c r="D1511" t="s">
        <v>421</v>
      </c>
      <c r="E1511" t="s">
        <v>1057</v>
      </c>
      <c r="F1511" t="s">
        <v>1058</v>
      </c>
      <c r="G1511" t="s">
        <v>1093</v>
      </c>
      <c r="H1511" t="s">
        <v>1031</v>
      </c>
      <c r="I1511">
        <v>424619006</v>
      </c>
      <c r="J1511" t="s">
        <v>1062</v>
      </c>
      <c r="K1511">
        <v>142.58000000000001</v>
      </c>
      <c r="L1511">
        <v>11451.02</v>
      </c>
      <c r="M1511">
        <v>11401.02</v>
      </c>
      <c r="N1511">
        <v>72892002</v>
      </c>
      <c r="O1511" t="s">
        <v>1060</v>
      </c>
    </row>
    <row r="1512" spans="1:15">
      <c r="A1512" t="s">
        <v>2874</v>
      </c>
      <c r="B1512" s="2">
        <v>43639.909444444442</v>
      </c>
      <c r="C1512" s="2">
        <v>43639.919861111113</v>
      </c>
      <c r="D1512" t="s">
        <v>421</v>
      </c>
      <c r="E1512" t="s">
        <v>1057</v>
      </c>
      <c r="F1512" t="s">
        <v>1058</v>
      </c>
      <c r="G1512" t="s">
        <v>1093</v>
      </c>
      <c r="H1512" t="s">
        <v>1031</v>
      </c>
      <c r="I1512">
        <v>424619006</v>
      </c>
      <c r="J1512" t="s">
        <v>1062</v>
      </c>
      <c r="K1512">
        <v>142.58000000000001</v>
      </c>
      <c r="L1512">
        <v>13807.17</v>
      </c>
      <c r="M1512">
        <v>13757.17</v>
      </c>
      <c r="N1512">
        <v>72892002</v>
      </c>
      <c r="O1512" t="s">
        <v>1060</v>
      </c>
    </row>
    <row r="1513" spans="1:15">
      <c r="A1513" t="s">
        <v>2875</v>
      </c>
      <c r="B1513" s="2">
        <v>43653.909444444442</v>
      </c>
      <c r="C1513" s="2">
        <v>43653.919861111113</v>
      </c>
      <c r="D1513" t="s">
        <v>421</v>
      </c>
      <c r="E1513" t="s">
        <v>1057</v>
      </c>
      <c r="F1513" t="s">
        <v>1058</v>
      </c>
      <c r="G1513" t="s">
        <v>1093</v>
      </c>
      <c r="H1513" t="s">
        <v>1031</v>
      </c>
      <c r="I1513">
        <v>424619006</v>
      </c>
      <c r="J1513" t="s">
        <v>1062</v>
      </c>
      <c r="K1513">
        <v>142.58000000000001</v>
      </c>
      <c r="L1513">
        <v>4823.66</v>
      </c>
      <c r="M1513">
        <v>4773.66</v>
      </c>
      <c r="N1513">
        <v>72892002</v>
      </c>
      <c r="O1513" t="s">
        <v>1060</v>
      </c>
    </row>
    <row r="1514" spans="1:15">
      <c r="A1514" t="s">
        <v>2876</v>
      </c>
      <c r="B1514" s="2">
        <v>43660.909444444442</v>
      </c>
      <c r="C1514" s="2">
        <v>43660.951111111113</v>
      </c>
      <c r="D1514" t="s">
        <v>421</v>
      </c>
      <c r="E1514" t="s">
        <v>2877</v>
      </c>
      <c r="F1514" t="s">
        <v>2878</v>
      </c>
      <c r="G1514" t="s">
        <v>1093</v>
      </c>
      <c r="H1514" t="s">
        <v>1076</v>
      </c>
      <c r="I1514">
        <v>183460006</v>
      </c>
      <c r="J1514" t="s">
        <v>1077</v>
      </c>
      <c r="K1514">
        <v>146.18</v>
      </c>
      <c r="L1514">
        <v>7553.44</v>
      </c>
      <c r="M1514">
        <v>7503.44</v>
      </c>
      <c r="N1514">
        <v>72892002</v>
      </c>
      <c r="O1514" t="s">
        <v>1060</v>
      </c>
    </row>
    <row r="1515" spans="1:15">
      <c r="A1515" t="s">
        <v>2879</v>
      </c>
      <c r="B1515" s="2">
        <v>43702.909444444442</v>
      </c>
      <c r="C1515" s="2">
        <v>43702.919861111113</v>
      </c>
      <c r="D1515" t="s">
        <v>421</v>
      </c>
      <c r="E1515" t="s">
        <v>1057</v>
      </c>
      <c r="F1515" t="s">
        <v>1058</v>
      </c>
      <c r="G1515" t="s">
        <v>1093</v>
      </c>
      <c r="H1515" t="s">
        <v>1031</v>
      </c>
      <c r="I1515">
        <v>169762003</v>
      </c>
      <c r="J1515" t="s">
        <v>1079</v>
      </c>
      <c r="K1515">
        <v>142.58000000000001</v>
      </c>
      <c r="L1515">
        <v>5438.48</v>
      </c>
      <c r="M1515">
        <v>5388.48</v>
      </c>
      <c r="O1515" t="s">
        <v>34</v>
      </c>
    </row>
    <row r="1516" spans="1:15">
      <c r="A1516" t="s">
        <v>2880</v>
      </c>
      <c r="B1516" s="2">
        <v>43736.909444444442</v>
      </c>
      <c r="C1516" s="2">
        <v>43736.919861111113</v>
      </c>
      <c r="D1516" t="s">
        <v>421</v>
      </c>
      <c r="E1516" t="s">
        <v>1057</v>
      </c>
      <c r="F1516" t="s">
        <v>1058</v>
      </c>
      <c r="G1516" t="s">
        <v>1093</v>
      </c>
      <c r="H1516" t="s">
        <v>1043</v>
      </c>
      <c r="I1516">
        <v>698314001</v>
      </c>
      <c r="J1516" t="s">
        <v>1190</v>
      </c>
      <c r="K1516">
        <v>142.58000000000001</v>
      </c>
      <c r="L1516">
        <v>142.58000000000001</v>
      </c>
      <c r="M1516">
        <v>92.58</v>
      </c>
      <c r="N1516">
        <v>389095005</v>
      </c>
      <c r="O1516" t="s">
        <v>1191</v>
      </c>
    </row>
    <row r="1517" spans="1:15">
      <c r="A1517" t="s">
        <v>2881</v>
      </c>
      <c r="B1517" s="2">
        <v>44096.909444444442</v>
      </c>
      <c r="C1517" s="2">
        <v>44096.919861111113</v>
      </c>
      <c r="D1517" t="s">
        <v>421</v>
      </c>
      <c r="E1517" t="s">
        <v>1057</v>
      </c>
      <c r="F1517" t="s">
        <v>1058</v>
      </c>
      <c r="G1517" t="s">
        <v>1023</v>
      </c>
      <c r="H1517" t="s">
        <v>1043</v>
      </c>
      <c r="I1517">
        <v>698314001</v>
      </c>
      <c r="J1517" t="s">
        <v>1190</v>
      </c>
      <c r="K1517">
        <v>142.58000000000001</v>
      </c>
      <c r="L1517">
        <v>142.58000000000001</v>
      </c>
      <c r="M1517">
        <v>0</v>
      </c>
      <c r="N1517">
        <v>389095005</v>
      </c>
      <c r="O1517" t="s">
        <v>1191</v>
      </c>
    </row>
    <row r="1518" spans="1:15">
      <c r="A1518" t="s">
        <v>2882</v>
      </c>
      <c r="B1518" s="2">
        <v>44332.909444444442</v>
      </c>
      <c r="C1518" s="2">
        <v>44332.919861111113</v>
      </c>
      <c r="D1518" t="s">
        <v>421</v>
      </c>
      <c r="E1518" t="s">
        <v>1057</v>
      </c>
      <c r="F1518" t="s">
        <v>1058</v>
      </c>
      <c r="G1518" t="s">
        <v>1023</v>
      </c>
      <c r="H1518" t="s">
        <v>1043</v>
      </c>
      <c r="I1518">
        <v>33879002</v>
      </c>
      <c r="J1518" t="s">
        <v>1044</v>
      </c>
      <c r="K1518">
        <v>142.58000000000001</v>
      </c>
      <c r="L1518">
        <v>278.58</v>
      </c>
      <c r="M1518">
        <v>0</v>
      </c>
      <c r="O1518" t="s">
        <v>34</v>
      </c>
    </row>
    <row r="1519" spans="1:15">
      <c r="A1519" t="s">
        <v>2883</v>
      </c>
      <c r="B1519" s="2">
        <v>44353.909444444442</v>
      </c>
      <c r="C1519" s="2">
        <v>44353.919861111113</v>
      </c>
      <c r="D1519" t="s">
        <v>421</v>
      </c>
      <c r="E1519" t="s">
        <v>1057</v>
      </c>
      <c r="F1519" t="s">
        <v>1058</v>
      </c>
      <c r="G1519" t="s">
        <v>1023</v>
      </c>
      <c r="H1519" t="s">
        <v>1043</v>
      </c>
      <c r="I1519">
        <v>33879002</v>
      </c>
      <c r="J1519" t="s">
        <v>1044</v>
      </c>
      <c r="K1519">
        <v>142.58000000000001</v>
      </c>
      <c r="L1519">
        <v>278.58</v>
      </c>
      <c r="M1519">
        <v>0</v>
      </c>
      <c r="O1519" t="s">
        <v>34</v>
      </c>
    </row>
    <row r="1520" spans="1:15">
      <c r="A1520" t="s">
        <v>2884</v>
      </c>
      <c r="B1520" s="2">
        <v>44456.909444444442</v>
      </c>
      <c r="C1520" s="2">
        <v>44456.919861111113</v>
      </c>
      <c r="D1520" t="s">
        <v>421</v>
      </c>
      <c r="E1520" t="s">
        <v>1057</v>
      </c>
      <c r="F1520" t="s">
        <v>1058</v>
      </c>
      <c r="G1520" t="s">
        <v>1023</v>
      </c>
      <c r="H1520" t="s">
        <v>1043</v>
      </c>
      <c r="I1520">
        <v>698314001</v>
      </c>
      <c r="J1520" t="s">
        <v>1190</v>
      </c>
      <c r="K1520">
        <v>142.58000000000001</v>
      </c>
      <c r="L1520">
        <v>142.58000000000001</v>
      </c>
      <c r="M1520">
        <v>0</v>
      </c>
      <c r="N1520">
        <v>389095005</v>
      </c>
      <c r="O1520" t="s">
        <v>1191</v>
      </c>
    </row>
    <row r="1521" spans="1:15">
      <c r="A1521" t="s">
        <v>2885</v>
      </c>
      <c r="B1521" s="2">
        <v>44619.867777777778</v>
      </c>
      <c r="C1521" s="2">
        <v>44619.902222222219</v>
      </c>
      <c r="D1521" t="s">
        <v>421</v>
      </c>
      <c r="E1521" t="s">
        <v>2857</v>
      </c>
      <c r="F1521" t="s">
        <v>2858</v>
      </c>
      <c r="G1521" t="s">
        <v>1023</v>
      </c>
      <c r="H1521" t="s">
        <v>1020</v>
      </c>
      <c r="I1521">
        <v>162673000</v>
      </c>
      <c r="J1521" t="s">
        <v>1021</v>
      </c>
      <c r="K1521">
        <v>136.80000000000001</v>
      </c>
      <c r="L1521">
        <v>1211.8599999999999</v>
      </c>
      <c r="M1521">
        <v>0</v>
      </c>
      <c r="O1521" t="s">
        <v>34</v>
      </c>
    </row>
    <row r="1522" spans="1:15">
      <c r="A1522" t="s">
        <v>2886</v>
      </c>
      <c r="B1522" s="2">
        <v>44633.909444444442</v>
      </c>
      <c r="C1522" s="2">
        <v>44634.019930555558</v>
      </c>
      <c r="D1522" t="s">
        <v>421</v>
      </c>
      <c r="E1522" t="s">
        <v>1057</v>
      </c>
      <c r="F1522" t="s">
        <v>1058</v>
      </c>
      <c r="G1522" t="s">
        <v>1023</v>
      </c>
      <c r="H1522" t="s">
        <v>1031</v>
      </c>
      <c r="I1522">
        <v>185349003</v>
      </c>
      <c r="J1522" t="s">
        <v>1038</v>
      </c>
      <c r="K1522">
        <v>85.55</v>
      </c>
      <c r="L1522">
        <v>3105.35</v>
      </c>
      <c r="M1522">
        <v>2287.37</v>
      </c>
      <c r="N1522">
        <v>66383009</v>
      </c>
      <c r="O1522" t="s">
        <v>1209</v>
      </c>
    </row>
    <row r="1523" spans="1:15">
      <c r="A1523" t="s">
        <v>2887</v>
      </c>
      <c r="B1523" s="2">
        <v>44816.909444444442</v>
      </c>
      <c r="C1523" s="2">
        <v>44816.919861111113</v>
      </c>
      <c r="D1523" t="s">
        <v>421</v>
      </c>
      <c r="E1523" t="s">
        <v>1057</v>
      </c>
      <c r="F1523" t="s">
        <v>1058</v>
      </c>
      <c r="G1523" t="s">
        <v>1023</v>
      </c>
      <c r="H1523" t="s">
        <v>1043</v>
      </c>
      <c r="I1523">
        <v>698314001</v>
      </c>
      <c r="J1523" t="s">
        <v>1190</v>
      </c>
      <c r="K1523">
        <v>142.58000000000001</v>
      </c>
      <c r="L1523">
        <v>142.58000000000001</v>
      </c>
      <c r="M1523">
        <v>114.06</v>
      </c>
      <c r="N1523">
        <v>389095005</v>
      </c>
      <c r="O1523" t="s">
        <v>1191</v>
      </c>
    </row>
    <row r="1524" spans="1:15">
      <c r="A1524" t="s">
        <v>2888</v>
      </c>
      <c r="B1524" s="2">
        <v>45032.909444444442</v>
      </c>
      <c r="C1524" s="2">
        <v>45032.919861111113</v>
      </c>
      <c r="D1524" t="s">
        <v>421</v>
      </c>
      <c r="E1524" t="s">
        <v>1057</v>
      </c>
      <c r="F1524" t="s">
        <v>1058</v>
      </c>
      <c r="G1524" t="s">
        <v>1023</v>
      </c>
      <c r="H1524" t="s">
        <v>1031</v>
      </c>
      <c r="I1524">
        <v>424441002</v>
      </c>
      <c r="J1524" t="s">
        <v>1059</v>
      </c>
      <c r="K1524">
        <v>142.58000000000001</v>
      </c>
      <c r="L1524">
        <v>46946.42</v>
      </c>
      <c r="M1524">
        <v>36390.74</v>
      </c>
      <c r="N1524">
        <v>72892002</v>
      </c>
      <c r="O1524" t="s">
        <v>1060</v>
      </c>
    </row>
    <row r="1525" spans="1:15">
      <c r="A1525" t="s">
        <v>2889</v>
      </c>
      <c r="B1525" s="2">
        <v>45060.909444444442</v>
      </c>
      <c r="C1525" s="2">
        <v>45060.919861111113</v>
      </c>
      <c r="D1525" t="s">
        <v>421</v>
      </c>
      <c r="E1525" t="s">
        <v>1057</v>
      </c>
      <c r="F1525" t="s">
        <v>1058</v>
      </c>
      <c r="G1525" t="s">
        <v>1023</v>
      </c>
      <c r="H1525" t="s">
        <v>1031</v>
      </c>
      <c r="I1525">
        <v>424619006</v>
      </c>
      <c r="J1525" t="s">
        <v>1062</v>
      </c>
      <c r="K1525">
        <v>142.58000000000001</v>
      </c>
      <c r="L1525">
        <v>18032.310000000001</v>
      </c>
      <c r="M1525">
        <v>18032.310000000001</v>
      </c>
      <c r="N1525">
        <v>72892002</v>
      </c>
      <c r="O1525" t="s">
        <v>1060</v>
      </c>
    </row>
    <row r="1526" spans="1:15">
      <c r="A1526" t="s">
        <v>2890</v>
      </c>
      <c r="B1526" s="2">
        <v>45088.909444444442</v>
      </c>
      <c r="C1526" s="2">
        <v>45088.919861111113</v>
      </c>
      <c r="D1526" t="s">
        <v>421</v>
      </c>
      <c r="E1526" t="s">
        <v>1057</v>
      </c>
      <c r="F1526" t="s">
        <v>1058</v>
      </c>
      <c r="G1526" t="s">
        <v>1023</v>
      </c>
      <c r="H1526" t="s">
        <v>1031</v>
      </c>
      <c r="I1526">
        <v>424619006</v>
      </c>
      <c r="J1526" t="s">
        <v>1062</v>
      </c>
      <c r="K1526">
        <v>142.58000000000001</v>
      </c>
      <c r="L1526">
        <v>18279.87</v>
      </c>
      <c r="M1526">
        <v>18279.87</v>
      </c>
      <c r="N1526">
        <v>72892002</v>
      </c>
      <c r="O1526" t="s">
        <v>1060</v>
      </c>
    </row>
    <row r="1527" spans="1:15">
      <c r="A1527" t="s">
        <v>2891</v>
      </c>
      <c r="B1527" s="2">
        <v>45116.909444444442</v>
      </c>
      <c r="C1527" s="2">
        <v>45116.919861111113</v>
      </c>
      <c r="D1527" t="s">
        <v>421</v>
      </c>
      <c r="E1527" t="s">
        <v>1057</v>
      </c>
      <c r="F1527" t="s">
        <v>1058</v>
      </c>
      <c r="G1527" t="s">
        <v>1023</v>
      </c>
      <c r="H1527" t="s">
        <v>1031</v>
      </c>
      <c r="I1527">
        <v>424619006</v>
      </c>
      <c r="J1527" t="s">
        <v>1062</v>
      </c>
      <c r="K1527">
        <v>142.58000000000001</v>
      </c>
      <c r="L1527">
        <v>14816.07</v>
      </c>
      <c r="M1527">
        <v>14816.07</v>
      </c>
      <c r="N1527">
        <v>72892002</v>
      </c>
      <c r="O1527" t="s">
        <v>1060</v>
      </c>
    </row>
    <row r="1528" spans="1:15">
      <c r="A1528" t="s">
        <v>2892</v>
      </c>
      <c r="B1528" s="2">
        <v>45144.909444444442</v>
      </c>
      <c r="C1528" s="2">
        <v>45144.919861111113</v>
      </c>
      <c r="D1528" t="s">
        <v>421</v>
      </c>
      <c r="E1528" t="s">
        <v>1057</v>
      </c>
      <c r="F1528" t="s">
        <v>1058</v>
      </c>
      <c r="G1528" t="s">
        <v>1023</v>
      </c>
      <c r="H1528" t="s">
        <v>1031</v>
      </c>
      <c r="I1528">
        <v>424619006</v>
      </c>
      <c r="J1528" t="s">
        <v>1062</v>
      </c>
      <c r="K1528">
        <v>142.58000000000001</v>
      </c>
      <c r="L1528">
        <v>6388.02</v>
      </c>
      <c r="M1528">
        <v>6388.02</v>
      </c>
      <c r="N1528">
        <v>72892002</v>
      </c>
      <c r="O1528" t="s">
        <v>1060</v>
      </c>
    </row>
    <row r="1529" spans="1:15">
      <c r="A1529" t="s">
        <v>2893</v>
      </c>
      <c r="B1529" s="2">
        <v>45172.909444444442</v>
      </c>
      <c r="C1529" s="2">
        <v>45172.919861111113</v>
      </c>
      <c r="D1529" t="s">
        <v>421</v>
      </c>
      <c r="E1529" t="s">
        <v>1057</v>
      </c>
      <c r="F1529" t="s">
        <v>1058</v>
      </c>
      <c r="G1529" t="s">
        <v>1023</v>
      </c>
      <c r="H1529" t="s">
        <v>1031</v>
      </c>
      <c r="I1529">
        <v>424619006</v>
      </c>
      <c r="J1529" t="s">
        <v>1062</v>
      </c>
      <c r="K1529">
        <v>142.58000000000001</v>
      </c>
      <c r="L1529">
        <v>23070.61</v>
      </c>
      <c r="M1529">
        <v>23070.61</v>
      </c>
      <c r="N1529">
        <v>72892002</v>
      </c>
      <c r="O1529" t="s">
        <v>1060</v>
      </c>
    </row>
    <row r="1530" spans="1:15">
      <c r="A1530" t="s">
        <v>2894</v>
      </c>
      <c r="B1530" s="2">
        <v>45200.909444444442</v>
      </c>
      <c r="C1530" s="2">
        <v>45200.919861111113</v>
      </c>
      <c r="D1530" t="s">
        <v>421</v>
      </c>
      <c r="E1530" t="s">
        <v>1057</v>
      </c>
      <c r="F1530" t="s">
        <v>1058</v>
      </c>
      <c r="G1530" t="s">
        <v>1023</v>
      </c>
      <c r="H1530" t="s">
        <v>1031</v>
      </c>
      <c r="I1530">
        <v>424619006</v>
      </c>
      <c r="J1530" t="s">
        <v>1062</v>
      </c>
      <c r="K1530">
        <v>142.58000000000001</v>
      </c>
      <c r="L1530">
        <v>11451.02</v>
      </c>
      <c r="M1530">
        <v>11451.02</v>
      </c>
      <c r="N1530">
        <v>72892002</v>
      </c>
      <c r="O1530" t="s">
        <v>1060</v>
      </c>
    </row>
    <row r="1531" spans="1:15">
      <c r="A1531" t="s">
        <v>2895</v>
      </c>
      <c r="B1531" s="2">
        <v>45228.909444444442</v>
      </c>
      <c r="C1531" s="2">
        <v>45228.919861111113</v>
      </c>
      <c r="D1531" t="s">
        <v>421</v>
      </c>
      <c r="E1531" t="s">
        <v>1057</v>
      </c>
      <c r="F1531" t="s">
        <v>1058</v>
      </c>
      <c r="G1531" t="s">
        <v>1023</v>
      </c>
      <c r="H1531" t="s">
        <v>1031</v>
      </c>
      <c r="I1531">
        <v>424619006</v>
      </c>
      <c r="J1531" t="s">
        <v>1062</v>
      </c>
      <c r="K1531">
        <v>142.58000000000001</v>
      </c>
      <c r="L1531">
        <v>12062.66</v>
      </c>
      <c r="M1531">
        <v>12062.66</v>
      </c>
      <c r="N1531">
        <v>72892002</v>
      </c>
      <c r="O1531" t="s">
        <v>1060</v>
      </c>
    </row>
    <row r="1532" spans="1:15">
      <c r="A1532" t="s">
        <v>2896</v>
      </c>
      <c r="B1532" s="2">
        <v>45242.867777777778</v>
      </c>
      <c r="C1532" s="2">
        <v>45242.909444444442</v>
      </c>
      <c r="D1532" t="s">
        <v>421</v>
      </c>
      <c r="E1532" t="s">
        <v>2877</v>
      </c>
      <c r="F1532" t="s">
        <v>2878</v>
      </c>
      <c r="G1532" t="s">
        <v>1023</v>
      </c>
      <c r="H1532" t="s">
        <v>1076</v>
      </c>
      <c r="I1532">
        <v>183460006</v>
      </c>
      <c r="J1532" t="s">
        <v>1077</v>
      </c>
      <c r="K1532">
        <v>146.18</v>
      </c>
      <c r="L1532">
        <v>5714.07</v>
      </c>
      <c r="M1532">
        <v>5714.07</v>
      </c>
      <c r="N1532">
        <v>72892002</v>
      </c>
      <c r="O1532" t="s">
        <v>1060</v>
      </c>
    </row>
    <row r="1533" spans="1:15">
      <c r="A1533" t="s">
        <v>2897</v>
      </c>
      <c r="B1533" s="2">
        <v>45284.867777777778</v>
      </c>
      <c r="C1533" s="2">
        <v>45284.878194444442</v>
      </c>
      <c r="D1533" t="s">
        <v>421</v>
      </c>
      <c r="E1533" t="s">
        <v>1057</v>
      </c>
      <c r="F1533" t="s">
        <v>1058</v>
      </c>
      <c r="G1533" t="s">
        <v>1093</v>
      </c>
      <c r="H1533" t="s">
        <v>1031</v>
      </c>
      <c r="I1533">
        <v>169762003</v>
      </c>
      <c r="J1533" t="s">
        <v>1079</v>
      </c>
      <c r="K1533">
        <v>142.58000000000001</v>
      </c>
      <c r="L1533">
        <v>2113.65</v>
      </c>
      <c r="M1533">
        <v>1963.65</v>
      </c>
      <c r="O1533" t="s">
        <v>34</v>
      </c>
    </row>
    <row r="1534" spans="1:15">
      <c r="A1534" t="s">
        <v>2898</v>
      </c>
      <c r="B1534" s="2">
        <v>45291.867777777778</v>
      </c>
      <c r="C1534" s="2">
        <v>45291.878194444442</v>
      </c>
      <c r="D1534" t="s">
        <v>421</v>
      </c>
      <c r="E1534" t="s">
        <v>1057</v>
      </c>
      <c r="F1534" t="s">
        <v>1058</v>
      </c>
      <c r="G1534" t="s">
        <v>1093</v>
      </c>
      <c r="H1534" t="s">
        <v>1043</v>
      </c>
      <c r="I1534">
        <v>698314001</v>
      </c>
      <c r="J1534" t="s">
        <v>1190</v>
      </c>
      <c r="K1534">
        <v>142.58000000000001</v>
      </c>
      <c r="L1534">
        <v>142.58000000000001</v>
      </c>
      <c r="M1534">
        <v>92.58</v>
      </c>
      <c r="N1534">
        <v>389095005</v>
      </c>
      <c r="O1534" t="s">
        <v>1191</v>
      </c>
    </row>
    <row r="1535" spans="1:15">
      <c r="A1535" t="s">
        <v>2899</v>
      </c>
      <c r="B1535" s="2">
        <v>45651.867777777778</v>
      </c>
      <c r="C1535" s="2">
        <v>45651.878194444442</v>
      </c>
      <c r="D1535" t="s">
        <v>421</v>
      </c>
      <c r="E1535" t="s">
        <v>1057</v>
      </c>
      <c r="F1535" t="s">
        <v>1058</v>
      </c>
      <c r="G1535" t="s">
        <v>1026</v>
      </c>
      <c r="H1535" t="s">
        <v>1043</v>
      </c>
      <c r="I1535">
        <v>698314001</v>
      </c>
      <c r="J1535" t="s">
        <v>1190</v>
      </c>
      <c r="K1535">
        <v>142.58000000000001</v>
      </c>
      <c r="L1535">
        <v>142.58000000000001</v>
      </c>
      <c r="M1535">
        <v>0</v>
      </c>
      <c r="N1535">
        <v>389095005</v>
      </c>
      <c r="O1535" t="s">
        <v>1191</v>
      </c>
    </row>
    <row r="1536" spans="1:15">
      <c r="A1536" t="s">
        <v>2900</v>
      </c>
      <c r="B1536" s="2">
        <v>45655.576111111113</v>
      </c>
      <c r="C1536" s="2">
        <v>45655.620775462965</v>
      </c>
      <c r="D1536" t="s">
        <v>421</v>
      </c>
      <c r="E1536" t="s">
        <v>1057</v>
      </c>
      <c r="F1536" t="s">
        <v>1058</v>
      </c>
      <c r="G1536" t="s">
        <v>1026</v>
      </c>
      <c r="H1536" t="s">
        <v>1043</v>
      </c>
      <c r="I1536">
        <v>308335008</v>
      </c>
      <c r="J1536" t="s">
        <v>1194</v>
      </c>
      <c r="K1536">
        <v>142.58000000000001</v>
      </c>
      <c r="L1536">
        <v>4052.91</v>
      </c>
      <c r="M1536">
        <v>0</v>
      </c>
      <c r="N1536">
        <v>389095005</v>
      </c>
      <c r="O1536" t="s">
        <v>1191</v>
      </c>
    </row>
    <row r="1537" spans="1:15">
      <c r="A1537" t="s">
        <v>2901</v>
      </c>
      <c r="B1537" s="2">
        <v>45718.867777777778</v>
      </c>
      <c r="C1537" s="2">
        <v>45718.8909375</v>
      </c>
      <c r="D1537" t="s">
        <v>421</v>
      </c>
      <c r="E1537" t="s">
        <v>2857</v>
      </c>
      <c r="F1537" t="s">
        <v>2858</v>
      </c>
      <c r="G1537" t="s">
        <v>1026</v>
      </c>
      <c r="H1537" t="s">
        <v>1020</v>
      </c>
      <c r="I1537">
        <v>162673000</v>
      </c>
      <c r="J1537" t="s">
        <v>1021</v>
      </c>
      <c r="K1537">
        <v>136.80000000000001</v>
      </c>
      <c r="L1537">
        <v>1765.93</v>
      </c>
      <c r="M1537">
        <v>0</v>
      </c>
      <c r="O1537" t="s">
        <v>34</v>
      </c>
    </row>
    <row r="1538" spans="1:15">
      <c r="A1538" t="s">
        <v>2902</v>
      </c>
      <c r="B1538" s="2">
        <v>45732.909444444442</v>
      </c>
      <c r="C1538" s="2">
        <v>45733.21</v>
      </c>
      <c r="D1538" t="s">
        <v>421</v>
      </c>
      <c r="E1538" t="s">
        <v>1057</v>
      </c>
      <c r="F1538" t="s">
        <v>1058</v>
      </c>
      <c r="G1538" t="s">
        <v>1026</v>
      </c>
      <c r="H1538" t="s">
        <v>1031</v>
      </c>
      <c r="I1538">
        <v>185349003</v>
      </c>
      <c r="J1538" t="s">
        <v>1038</v>
      </c>
      <c r="K1538">
        <v>85.55</v>
      </c>
      <c r="L1538">
        <v>5262.35</v>
      </c>
      <c r="M1538">
        <v>3157.41</v>
      </c>
      <c r="N1538">
        <v>66383009</v>
      </c>
      <c r="O1538" t="s">
        <v>1209</v>
      </c>
    </row>
    <row r="1539" spans="1:15">
      <c r="A1539" t="s">
        <v>2903</v>
      </c>
      <c r="B1539" s="2">
        <v>45901.367777777778</v>
      </c>
      <c r="C1539" s="2">
        <v>45901.378194444442</v>
      </c>
      <c r="D1539" t="s">
        <v>421</v>
      </c>
      <c r="E1539" t="s">
        <v>1057</v>
      </c>
      <c r="F1539" t="s">
        <v>1058</v>
      </c>
      <c r="G1539" t="s">
        <v>1026</v>
      </c>
      <c r="H1539" t="s">
        <v>1031</v>
      </c>
      <c r="I1539">
        <v>185345009</v>
      </c>
      <c r="J1539" t="s">
        <v>1032</v>
      </c>
      <c r="K1539">
        <v>85.55</v>
      </c>
      <c r="L1539">
        <v>85.55</v>
      </c>
      <c r="M1539">
        <v>51.33</v>
      </c>
      <c r="N1539">
        <v>444814009</v>
      </c>
      <c r="O1539" t="s">
        <v>1035</v>
      </c>
    </row>
    <row r="1540" spans="1:15">
      <c r="A1540" t="s">
        <v>2904</v>
      </c>
      <c r="B1540" s="2">
        <v>46015.620775462965</v>
      </c>
      <c r="C1540" s="2">
        <v>46015.631192129629</v>
      </c>
      <c r="D1540" t="s">
        <v>421</v>
      </c>
      <c r="E1540" t="s">
        <v>1057</v>
      </c>
      <c r="F1540" t="s">
        <v>1058</v>
      </c>
      <c r="G1540" t="s">
        <v>1026</v>
      </c>
      <c r="H1540" t="s">
        <v>1043</v>
      </c>
      <c r="I1540">
        <v>698314001</v>
      </c>
      <c r="J1540" t="s">
        <v>1190</v>
      </c>
      <c r="K1540">
        <v>142.58000000000001</v>
      </c>
      <c r="L1540">
        <v>142.58000000000001</v>
      </c>
      <c r="M1540">
        <v>0</v>
      </c>
      <c r="N1540">
        <v>389095005</v>
      </c>
      <c r="O1540" t="s">
        <v>1191</v>
      </c>
    </row>
    <row r="1541" spans="1:15">
      <c r="A1541" t="s">
        <v>2905</v>
      </c>
      <c r="B1541" s="2">
        <v>42561.809328703705</v>
      </c>
      <c r="C1541" s="2">
        <v>42561.820775462962</v>
      </c>
      <c r="D1541" t="s">
        <v>431</v>
      </c>
      <c r="E1541" t="s">
        <v>2906</v>
      </c>
      <c r="F1541" t="s">
        <v>2907</v>
      </c>
      <c r="G1541" t="s">
        <v>1561</v>
      </c>
      <c r="H1541" t="s">
        <v>1020</v>
      </c>
      <c r="I1541">
        <v>410620009</v>
      </c>
      <c r="J1541" t="s">
        <v>1054</v>
      </c>
      <c r="K1541">
        <v>136.80000000000001</v>
      </c>
      <c r="L1541">
        <v>704.2</v>
      </c>
      <c r="M1541">
        <v>0</v>
      </c>
      <c r="O1541" t="s">
        <v>34</v>
      </c>
    </row>
    <row r="1542" spans="1:15">
      <c r="A1542" t="s">
        <v>2908</v>
      </c>
      <c r="B1542" s="2">
        <v>42932.809328703705</v>
      </c>
      <c r="C1542" s="2">
        <v>42932.819745370369</v>
      </c>
      <c r="D1542" t="s">
        <v>431</v>
      </c>
      <c r="E1542" t="s">
        <v>2906</v>
      </c>
      <c r="F1542" t="s">
        <v>2907</v>
      </c>
      <c r="G1542" t="s">
        <v>1561</v>
      </c>
      <c r="H1542" t="s">
        <v>1020</v>
      </c>
      <c r="I1542">
        <v>410620009</v>
      </c>
      <c r="J1542" t="s">
        <v>1054</v>
      </c>
      <c r="K1542">
        <v>136.80000000000001</v>
      </c>
      <c r="L1542">
        <v>1186.78</v>
      </c>
      <c r="M1542">
        <v>0</v>
      </c>
      <c r="O1542" t="s">
        <v>34</v>
      </c>
    </row>
    <row r="1543" spans="1:15">
      <c r="A1543" t="s">
        <v>2909</v>
      </c>
      <c r="B1543" s="2">
        <v>42939.809328703705</v>
      </c>
      <c r="C1543" s="2">
        <v>42939.963067129633</v>
      </c>
      <c r="D1543" t="s">
        <v>431</v>
      </c>
      <c r="E1543" t="s">
        <v>2910</v>
      </c>
      <c r="F1543" t="s">
        <v>2911</v>
      </c>
      <c r="G1543" t="s">
        <v>1561</v>
      </c>
      <c r="H1543" t="s">
        <v>1031</v>
      </c>
      <c r="I1543">
        <v>185349003</v>
      </c>
      <c r="J1543" t="s">
        <v>1038</v>
      </c>
      <c r="K1543">
        <v>85.55</v>
      </c>
      <c r="L1543">
        <v>3536.75</v>
      </c>
      <c r="M1543">
        <v>247.43</v>
      </c>
      <c r="N1543">
        <v>66383009</v>
      </c>
      <c r="O1543" t="s">
        <v>1209</v>
      </c>
    </row>
    <row r="1544" spans="1:15">
      <c r="A1544" t="s">
        <v>2912</v>
      </c>
      <c r="B1544" s="2">
        <v>43149.76766203704</v>
      </c>
      <c r="C1544" s="2">
        <v>43149.809328703705</v>
      </c>
      <c r="D1544" t="s">
        <v>431</v>
      </c>
      <c r="E1544" t="s">
        <v>2913</v>
      </c>
      <c r="F1544" t="s">
        <v>2914</v>
      </c>
      <c r="G1544" t="s">
        <v>1561</v>
      </c>
      <c r="H1544" t="s">
        <v>1076</v>
      </c>
      <c r="I1544">
        <v>50849002</v>
      </c>
      <c r="J1544" t="s">
        <v>1163</v>
      </c>
      <c r="K1544">
        <v>146.18</v>
      </c>
      <c r="L1544">
        <v>12382.91</v>
      </c>
      <c r="M1544">
        <v>8668.0400000000009</v>
      </c>
      <c r="N1544">
        <v>312608009</v>
      </c>
      <c r="O1544" t="s">
        <v>1249</v>
      </c>
    </row>
    <row r="1545" spans="1:15">
      <c r="A1545" t="s">
        <v>2915</v>
      </c>
      <c r="B1545" s="2">
        <v>43303.809328703705</v>
      </c>
      <c r="C1545" s="2">
        <v>43303.820972222224</v>
      </c>
      <c r="D1545" t="s">
        <v>431</v>
      </c>
      <c r="E1545" t="s">
        <v>2906</v>
      </c>
      <c r="F1545" t="s">
        <v>2907</v>
      </c>
      <c r="G1545" t="s">
        <v>1561</v>
      </c>
      <c r="H1545" t="s">
        <v>1020</v>
      </c>
      <c r="I1545">
        <v>410620009</v>
      </c>
      <c r="J1545" t="s">
        <v>1054</v>
      </c>
      <c r="K1545">
        <v>136.80000000000001</v>
      </c>
      <c r="L1545">
        <v>1077.54</v>
      </c>
      <c r="M1545">
        <v>0</v>
      </c>
      <c r="O1545" t="s">
        <v>34</v>
      </c>
    </row>
    <row r="1546" spans="1:15">
      <c r="A1546" t="s">
        <v>2916</v>
      </c>
      <c r="B1546" s="2">
        <v>43336.059328703705</v>
      </c>
      <c r="C1546" s="2">
        <v>43336.069745370369</v>
      </c>
      <c r="D1546" t="s">
        <v>431</v>
      </c>
      <c r="E1546" t="s">
        <v>2910</v>
      </c>
      <c r="F1546" t="s">
        <v>2911</v>
      </c>
      <c r="G1546" t="s">
        <v>1561</v>
      </c>
      <c r="H1546" t="s">
        <v>1031</v>
      </c>
      <c r="I1546">
        <v>185345009</v>
      </c>
      <c r="J1546" t="s">
        <v>1032</v>
      </c>
      <c r="K1546">
        <v>85.55</v>
      </c>
      <c r="L1546">
        <v>85.55</v>
      </c>
      <c r="M1546">
        <v>0</v>
      </c>
      <c r="N1546">
        <v>444814009</v>
      </c>
      <c r="O1546" t="s">
        <v>1035</v>
      </c>
    </row>
    <row r="1547" spans="1:15">
      <c r="A1547" t="s">
        <v>2917</v>
      </c>
      <c r="B1547" s="2">
        <v>43567.225995370369</v>
      </c>
      <c r="C1547" s="2">
        <v>43567.23641203704</v>
      </c>
      <c r="D1547" t="s">
        <v>431</v>
      </c>
      <c r="E1547" t="s">
        <v>2910</v>
      </c>
      <c r="F1547" t="s">
        <v>2911</v>
      </c>
      <c r="G1547" t="s">
        <v>1561</v>
      </c>
      <c r="H1547" t="s">
        <v>1031</v>
      </c>
      <c r="I1547">
        <v>185345009</v>
      </c>
      <c r="J1547" t="s">
        <v>1032</v>
      </c>
      <c r="K1547">
        <v>85.55</v>
      </c>
      <c r="L1547">
        <v>948.35</v>
      </c>
      <c r="M1547">
        <v>0</v>
      </c>
      <c r="N1547">
        <v>195662009</v>
      </c>
      <c r="O1547" t="s">
        <v>1130</v>
      </c>
    </row>
    <row r="1548" spans="1:15">
      <c r="A1548" t="s">
        <v>2918</v>
      </c>
      <c r="B1548" s="2">
        <v>43674.809328703705</v>
      </c>
      <c r="C1548" s="2">
        <v>43674.819745370369</v>
      </c>
      <c r="D1548" t="s">
        <v>431</v>
      </c>
      <c r="E1548" t="s">
        <v>2906</v>
      </c>
      <c r="F1548" t="s">
        <v>2907</v>
      </c>
      <c r="G1548" t="s">
        <v>1561</v>
      </c>
      <c r="H1548" t="s">
        <v>1020</v>
      </c>
      <c r="I1548">
        <v>410620009</v>
      </c>
      <c r="J1548" t="s">
        <v>1054</v>
      </c>
      <c r="K1548">
        <v>136.80000000000001</v>
      </c>
      <c r="L1548">
        <v>1055.9000000000001</v>
      </c>
      <c r="M1548">
        <v>0</v>
      </c>
      <c r="O1548" t="s">
        <v>34</v>
      </c>
    </row>
    <row r="1549" spans="1:15">
      <c r="A1549" t="s">
        <v>2919</v>
      </c>
      <c r="B1549" s="2">
        <v>44045.809328703705</v>
      </c>
      <c r="C1549" s="2">
        <v>44045.819745370369</v>
      </c>
      <c r="D1549" t="s">
        <v>431</v>
      </c>
      <c r="E1549" t="s">
        <v>2906</v>
      </c>
      <c r="F1549" t="s">
        <v>2907</v>
      </c>
      <c r="G1549" t="s">
        <v>1561</v>
      </c>
      <c r="H1549" t="s">
        <v>1020</v>
      </c>
      <c r="I1549">
        <v>410620009</v>
      </c>
      <c r="J1549" t="s">
        <v>1054</v>
      </c>
      <c r="K1549">
        <v>136.80000000000001</v>
      </c>
      <c r="L1549">
        <v>704.2</v>
      </c>
      <c r="M1549">
        <v>0</v>
      </c>
      <c r="O1549" t="s">
        <v>34</v>
      </c>
    </row>
    <row r="1550" spans="1:15">
      <c r="A1550" t="s">
        <v>2920</v>
      </c>
      <c r="B1550" s="2">
        <v>44346.809328703705</v>
      </c>
      <c r="C1550" s="2">
        <v>44346.819745370369</v>
      </c>
      <c r="D1550" t="s">
        <v>431</v>
      </c>
      <c r="E1550" t="s">
        <v>2910</v>
      </c>
      <c r="F1550" t="s">
        <v>2911</v>
      </c>
      <c r="G1550" t="s">
        <v>1561</v>
      </c>
      <c r="H1550" t="s">
        <v>1043</v>
      </c>
      <c r="I1550">
        <v>33879002</v>
      </c>
      <c r="J1550" t="s">
        <v>1044</v>
      </c>
      <c r="K1550">
        <v>142.58000000000001</v>
      </c>
      <c r="L1550">
        <v>278.58</v>
      </c>
      <c r="M1550">
        <v>0</v>
      </c>
      <c r="O1550" t="s">
        <v>34</v>
      </c>
    </row>
    <row r="1551" spans="1:15">
      <c r="A1551" t="s">
        <v>2921</v>
      </c>
      <c r="B1551" s="2">
        <v>44367.809328703705</v>
      </c>
      <c r="C1551" s="2">
        <v>44367.819745370369</v>
      </c>
      <c r="D1551" t="s">
        <v>431</v>
      </c>
      <c r="E1551" t="s">
        <v>2910</v>
      </c>
      <c r="F1551" t="s">
        <v>2911</v>
      </c>
      <c r="G1551" t="s">
        <v>1561</v>
      </c>
      <c r="H1551" t="s">
        <v>1043</v>
      </c>
      <c r="I1551">
        <v>33879002</v>
      </c>
      <c r="J1551" t="s">
        <v>1044</v>
      </c>
      <c r="K1551">
        <v>142.58000000000001</v>
      </c>
      <c r="L1551">
        <v>278.58</v>
      </c>
      <c r="M1551">
        <v>0</v>
      </c>
      <c r="O1551" t="s">
        <v>34</v>
      </c>
    </row>
    <row r="1552" spans="1:15">
      <c r="A1552" t="s">
        <v>2922</v>
      </c>
      <c r="B1552" s="2">
        <v>44416.809328703705</v>
      </c>
      <c r="C1552" s="2">
        <v>44416.823622685188</v>
      </c>
      <c r="D1552" t="s">
        <v>431</v>
      </c>
      <c r="E1552" t="s">
        <v>2906</v>
      </c>
      <c r="F1552" t="s">
        <v>2907</v>
      </c>
      <c r="G1552" t="s">
        <v>1561</v>
      </c>
      <c r="H1552" t="s">
        <v>1020</v>
      </c>
      <c r="I1552">
        <v>410620009</v>
      </c>
      <c r="J1552" t="s">
        <v>1054</v>
      </c>
      <c r="K1552">
        <v>136.80000000000001</v>
      </c>
      <c r="L1552">
        <v>704.2</v>
      </c>
      <c r="M1552">
        <v>0</v>
      </c>
      <c r="O1552" t="s">
        <v>34</v>
      </c>
    </row>
    <row r="1553" spans="1:15">
      <c r="A1553" t="s">
        <v>2923</v>
      </c>
      <c r="B1553" s="2">
        <v>44430.809328703705</v>
      </c>
      <c r="C1553" s="2">
        <v>44430.941469907404</v>
      </c>
      <c r="D1553" t="s">
        <v>431</v>
      </c>
      <c r="E1553" t="s">
        <v>2910</v>
      </c>
      <c r="F1553" t="s">
        <v>2911</v>
      </c>
      <c r="G1553" t="s">
        <v>1561</v>
      </c>
      <c r="H1553" t="s">
        <v>1031</v>
      </c>
      <c r="I1553">
        <v>185349003</v>
      </c>
      <c r="J1553" t="s">
        <v>1038</v>
      </c>
      <c r="K1553">
        <v>85.55</v>
      </c>
      <c r="L1553">
        <v>2673.95</v>
      </c>
      <c r="M1553">
        <v>0</v>
      </c>
      <c r="N1553">
        <v>103697008</v>
      </c>
      <c r="O1553" t="s">
        <v>1039</v>
      </c>
    </row>
    <row r="1554" spans="1:15">
      <c r="A1554" t="s">
        <v>2924</v>
      </c>
      <c r="B1554" s="2">
        <v>44787.809328703705</v>
      </c>
      <c r="C1554" s="2">
        <v>44787.822488425925</v>
      </c>
      <c r="D1554" t="s">
        <v>431</v>
      </c>
      <c r="E1554" t="s">
        <v>2906</v>
      </c>
      <c r="F1554" t="s">
        <v>2907</v>
      </c>
      <c r="G1554" t="s">
        <v>1561</v>
      </c>
      <c r="H1554" t="s">
        <v>1020</v>
      </c>
      <c r="I1554">
        <v>410620009</v>
      </c>
      <c r="J1554" t="s">
        <v>1054</v>
      </c>
      <c r="K1554">
        <v>136.80000000000001</v>
      </c>
      <c r="L1554">
        <v>1657.19</v>
      </c>
      <c r="M1554">
        <v>0</v>
      </c>
      <c r="O1554" t="s">
        <v>34</v>
      </c>
    </row>
    <row r="1555" spans="1:15">
      <c r="A1555" t="s">
        <v>2925</v>
      </c>
      <c r="B1555" s="2">
        <v>45138.40896990741</v>
      </c>
      <c r="C1555" s="2">
        <v>45138.419386574074</v>
      </c>
      <c r="D1555" t="s">
        <v>431</v>
      </c>
      <c r="E1555" t="s">
        <v>2910</v>
      </c>
      <c r="F1555" t="s">
        <v>2911</v>
      </c>
      <c r="G1555" t="s">
        <v>1561</v>
      </c>
      <c r="H1555" t="s">
        <v>1031</v>
      </c>
      <c r="I1555">
        <v>185345009</v>
      </c>
      <c r="J1555" t="s">
        <v>1032</v>
      </c>
      <c r="K1555">
        <v>85.55</v>
      </c>
      <c r="L1555">
        <v>85.55</v>
      </c>
      <c r="M1555">
        <v>0</v>
      </c>
      <c r="N1555">
        <v>10509002</v>
      </c>
      <c r="O1555" t="s">
        <v>1033</v>
      </c>
    </row>
    <row r="1556" spans="1:15">
      <c r="A1556" t="s">
        <v>2926</v>
      </c>
      <c r="B1556" s="2">
        <v>45158.809328703705</v>
      </c>
      <c r="C1556" s="2">
        <v>45158.821296296293</v>
      </c>
      <c r="D1556" t="s">
        <v>431</v>
      </c>
      <c r="E1556" t="s">
        <v>2906</v>
      </c>
      <c r="F1556" t="s">
        <v>2907</v>
      </c>
      <c r="G1556" t="s">
        <v>1561</v>
      </c>
      <c r="H1556" t="s">
        <v>1020</v>
      </c>
      <c r="I1556">
        <v>410620009</v>
      </c>
      <c r="J1556" t="s">
        <v>1054</v>
      </c>
      <c r="K1556">
        <v>136.80000000000001</v>
      </c>
      <c r="L1556">
        <v>919.9</v>
      </c>
      <c r="M1556">
        <v>0</v>
      </c>
      <c r="O1556" t="s">
        <v>34</v>
      </c>
    </row>
    <row r="1557" spans="1:15">
      <c r="A1557" t="s">
        <v>2927</v>
      </c>
      <c r="B1557" s="2">
        <v>45172.809328703705</v>
      </c>
      <c r="C1557" s="2">
        <v>45173.068831018521</v>
      </c>
      <c r="D1557" t="s">
        <v>431</v>
      </c>
      <c r="E1557" t="s">
        <v>2910</v>
      </c>
      <c r="F1557" t="s">
        <v>2911</v>
      </c>
      <c r="G1557" t="s">
        <v>1561</v>
      </c>
      <c r="H1557" t="s">
        <v>1031</v>
      </c>
      <c r="I1557">
        <v>185349003</v>
      </c>
      <c r="J1557" t="s">
        <v>1038</v>
      </c>
      <c r="K1557">
        <v>85.55</v>
      </c>
      <c r="L1557">
        <v>5262.35</v>
      </c>
      <c r="M1557">
        <v>1456.83</v>
      </c>
      <c r="N1557">
        <v>103697008</v>
      </c>
      <c r="O1557" t="s">
        <v>1039</v>
      </c>
    </row>
    <row r="1558" spans="1:15">
      <c r="A1558" t="s">
        <v>2928</v>
      </c>
      <c r="B1558" s="2">
        <v>45510.809328703705</v>
      </c>
      <c r="C1558" s="2">
        <v>45510.819745370369</v>
      </c>
      <c r="D1558" t="s">
        <v>431</v>
      </c>
      <c r="E1558" t="s">
        <v>2910</v>
      </c>
      <c r="F1558" t="s">
        <v>2911</v>
      </c>
      <c r="G1558" t="s">
        <v>1561</v>
      </c>
      <c r="H1558" t="s">
        <v>1043</v>
      </c>
      <c r="I1558">
        <v>185347001</v>
      </c>
      <c r="J1558" t="s">
        <v>1124</v>
      </c>
      <c r="K1558">
        <v>85.55</v>
      </c>
      <c r="L1558">
        <v>85.55</v>
      </c>
      <c r="M1558">
        <v>0</v>
      </c>
      <c r="N1558">
        <v>82423001</v>
      </c>
      <c r="O1558" t="s">
        <v>1542</v>
      </c>
    </row>
    <row r="1559" spans="1:15">
      <c r="A1559" t="s">
        <v>2929</v>
      </c>
      <c r="B1559" s="2">
        <v>45513.809328703705</v>
      </c>
      <c r="C1559" s="2">
        <v>45513.84097222222</v>
      </c>
      <c r="D1559" t="s">
        <v>431</v>
      </c>
      <c r="E1559" t="s">
        <v>2910</v>
      </c>
      <c r="F1559" t="s">
        <v>2911</v>
      </c>
      <c r="G1559" t="s">
        <v>1561</v>
      </c>
      <c r="H1559" t="s">
        <v>1031</v>
      </c>
      <c r="I1559">
        <v>308335008</v>
      </c>
      <c r="J1559" t="s">
        <v>1194</v>
      </c>
      <c r="K1559">
        <v>142.58000000000001</v>
      </c>
      <c r="L1559">
        <v>573.98</v>
      </c>
      <c r="M1559">
        <v>0</v>
      </c>
      <c r="N1559">
        <v>82423001</v>
      </c>
      <c r="O1559" t="s">
        <v>1542</v>
      </c>
    </row>
    <row r="1560" spans="1:15">
      <c r="A1560" t="s">
        <v>2930</v>
      </c>
      <c r="B1560" s="2">
        <v>45516.84097222222</v>
      </c>
      <c r="C1560" s="2">
        <v>45516.881284722222</v>
      </c>
      <c r="D1560" t="s">
        <v>431</v>
      </c>
      <c r="E1560" t="s">
        <v>2910</v>
      </c>
      <c r="F1560" t="s">
        <v>2911</v>
      </c>
      <c r="G1560" t="s">
        <v>1561</v>
      </c>
      <c r="H1560" t="s">
        <v>1031</v>
      </c>
      <c r="I1560">
        <v>308335008</v>
      </c>
      <c r="J1560" t="s">
        <v>1194</v>
      </c>
      <c r="K1560">
        <v>142.58000000000001</v>
      </c>
      <c r="L1560">
        <v>573.98</v>
      </c>
      <c r="M1560">
        <v>0</v>
      </c>
      <c r="N1560">
        <v>82423001</v>
      </c>
      <c r="O1560" t="s">
        <v>1542</v>
      </c>
    </row>
    <row r="1561" spans="1:15">
      <c r="A1561" t="s">
        <v>2931</v>
      </c>
      <c r="B1561" s="2">
        <v>45519.881284722222</v>
      </c>
      <c r="C1561" s="2">
        <v>45519.914074074077</v>
      </c>
      <c r="D1561" t="s">
        <v>431</v>
      </c>
      <c r="E1561" t="s">
        <v>2910</v>
      </c>
      <c r="F1561" t="s">
        <v>2911</v>
      </c>
      <c r="G1561" t="s">
        <v>1561</v>
      </c>
      <c r="H1561" t="s">
        <v>1031</v>
      </c>
      <c r="I1561">
        <v>308335008</v>
      </c>
      <c r="J1561" t="s">
        <v>1194</v>
      </c>
      <c r="K1561">
        <v>142.58000000000001</v>
      </c>
      <c r="L1561">
        <v>573.98</v>
      </c>
      <c r="M1561">
        <v>0</v>
      </c>
      <c r="N1561">
        <v>82423001</v>
      </c>
      <c r="O1561" t="s">
        <v>1542</v>
      </c>
    </row>
    <row r="1562" spans="1:15">
      <c r="A1562" t="s">
        <v>2932</v>
      </c>
      <c r="B1562" s="2">
        <v>45529.809328703705</v>
      </c>
      <c r="C1562" s="2">
        <v>45529.839826388888</v>
      </c>
      <c r="D1562" t="s">
        <v>431</v>
      </c>
      <c r="E1562" t="s">
        <v>2906</v>
      </c>
      <c r="F1562" t="s">
        <v>2907</v>
      </c>
      <c r="G1562" t="s">
        <v>1561</v>
      </c>
      <c r="H1562" t="s">
        <v>1020</v>
      </c>
      <c r="I1562">
        <v>162673000</v>
      </c>
      <c r="J1562" t="s">
        <v>1021</v>
      </c>
      <c r="K1562">
        <v>136.80000000000001</v>
      </c>
      <c r="L1562">
        <v>919.9</v>
      </c>
      <c r="M1562">
        <v>0</v>
      </c>
      <c r="O1562" t="s">
        <v>34</v>
      </c>
    </row>
    <row r="1563" spans="1:15">
      <c r="A1563" t="s">
        <v>2933</v>
      </c>
      <c r="B1563" s="2">
        <v>45536.809328703705</v>
      </c>
      <c r="C1563" s="2">
        <v>45536.84888888889</v>
      </c>
      <c r="D1563" t="s">
        <v>431</v>
      </c>
      <c r="E1563" t="s">
        <v>2910</v>
      </c>
      <c r="F1563" t="s">
        <v>2911</v>
      </c>
      <c r="G1563" t="s">
        <v>1561</v>
      </c>
      <c r="H1563" t="s">
        <v>1031</v>
      </c>
      <c r="I1563">
        <v>308335008</v>
      </c>
      <c r="J1563" t="s">
        <v>1194</v>
      </c>
      <c r="K1563">
        <v>142.58000000000001</v>
      </c>
      <c r="L1563">
        <v>573.98</v>
      </c>
      <c r="M1563">
        <v>0</v>
      </c>
      <c r="N1563">
        <v>82423001</v>
      </c>
      <c r="O1563" t="s">
        <v>1542</v>
      </c>
    </row>
    <row r="1564" spans="1:15">
      <c r="A1564" t="s">
        <v>2934</v>
      </c>
      <c r="B1564" s="2">
        <v>45539.84888888889</v>
      </c>
      <c r="C1564" s="2">
        <v>45539.881180555552</v>
      </c>
      <c r="D1564" t="s">
        <v>431</v>
      </c>
      <c r="E1564" t="s">
        <v>2910</v>
      </c>
      <c r="F1564" t="s">
        <v>2911</v>
      </c>
      <c r="G1564" t="s">
        <v>1561</v>
      </c>
      <c r="H1564" t="s">
        <v>1031</v>
      </c>
      <c r="I1564">
        <v>308335008</v>
      </c>
      <c r="J1564" t="s">
        <v>1194</v>
      </c>
      <c r="K1564">
        <v>142.58000000000001</v>
      </c>
      <c r="L1564">
        <v>573.98</v>
      </c>
      <c r="M1564">
        <v>0</v>
      </c>
      <c r="N1564">
        <v>82423001</v>
      </c>
      <c r="O1564" t="s">
        <v>1542</v>
      </c>
    </row>
    <row r="1565" spans="1:15">
      <c r="A1565" t="s">
        <v>2935</v>
      </c>
      <c r="B1565" s="2">
        <v>45542.881180555552</v>
      </c>
      <c r="C1565" s="2">
        <v>45542.916134259256</v>
      </c>
      <c r="D1565" t="s">
        <v>431</v>
      </c>
      <c r="E1565" t="s">
        <v>2910</v>
      </c>
      <c r="F1565" t="s">
        <v>2911</v>
      </c>
      <c r="G1565" t="s">
        <v>1561</v>
      </c>
      <c r="H1565" t="s">
        <v>1031</v>
      </c>
      <c r="I1565">
        <v>308335008</v>
      </c>
      <c r="J1565" t="s">
        <v>1194</v>
      </c>
      <c r="K1565">
        <v>142.58000000000001</v>
      </c>
      <c r="L1565">
        <v>573.98</v>
      </c>
      <c r="M1565">
        <v>146.44999999999999</v>
      </c>
      <c r="N1565">
        <v>82423001</v>
      </c>
      <c r="O1565" t="s">
        <v>1542</v>
      </c>
    </row>
    <row r="1566" spans="1:15">
      <c r="A1566" t="s">
        <v>2936</v>
      </c>
      <c r="B1566" s="2">
        <v>45550.809328703705</v>
      </c>
      <c r="C1566" s="2">
        <v>45550.931817129633</v>
      </c>
      <c r="D1566" t="s">
        <v>431</v>
      </c>
      <c r="E1566" t="s">
        <v>2910</v>
      </c>
      <c r="F1566" t="s">
        <v>2911</v>
      </c>
      <c r="G1566" t="s">
        <v>1561</v>
      </c>
      <c r="H1566" t="s">
        <v>1031</v>
      </c>
      <c r="I1566">
        <v>185349003</v>
      </c>
      <c r="J1566" t="s">
        <v>1038</v>
      </c>
      <c r="K1566">
        <v>85.55</v>
      </c>
      <c r="L1566">
        <v>3105.35</v>
      </c>
      <c r="M1566">
        <v>2173.7399999999998</v>
      </c>
      <c r="N1566">
        <v>103697008</v>
      </c>
      <c r="O1566" t="s">
        <v>1039</v>
      </c>
    </row>
    <row r="1567" spans="1:15">
      <c r="A1567" t="s">
        <v>2937</v>
      </c>
      <c r="B1567" s="2">
        <v>45557.809328703705</v>
      </c>
      <c r="C1567" s="2">
        <v>45557.849074074074</v>
      </c>
      <c r="D1567" t="s">
        <v>431</v>
      </c>
      <c r="E1567" t="s">
        <v>2910</v>
      </c>
      <c r="F1567" t="s">
        <v>2911</v>
      </c>
      <c r="G1567" t="s">
        <v>1561</v>
      </c>
      <c r="H1567" t="s">
        <v>1031</v>
      </c>
      <c r="I1567">
        <v>308335008</v>
      </c>
      <c r="J1567" t="s">
        <v>1194</v>
      </c>
      <c r="K1567">
        <v>142.58000000000001</v>
      </c>
      <c r="L1567">
        <v>573.98</v>
      </c>
      <c r="M1567">
        <v>401.79</v>
      </c>
      <c r="N1567">
        <v>82423001</v>
      </c>
      <c r="O1567" t="s">
        <v>1542</v>
      </c>
    </row>
    <row r="1568" spans="1:15">
      <c r="A1568" t="s">
        <v>2938</v>
      </c>
      <c r="B1568" s="2">
        <v>45560.849074074074</v>
      </c>
      <c r="C1568" s="2">
        <v>45560.882824074077</v>
      </c>
      <c r="D1568" t="s">
        <v>431</v>
      </c>
      <c r="E1568" t="s">
        <v>2910</v>
      </c>
      <c r="F1568" t="s">
        <v>2911</v>
      </c>
      <c r="G1568" t="s">
        <v>1561</v>
      </c>
      <c r="H1568" t="s">
        <v>1031</v>
      </c>
      <c r="I1568">
        <v>308335008</v>
      </c>
      <c r="J1568" t="s">
        <v>1194</v>
      </c>
      <c r="K1568">
        <v>142.58000000000001</v>
      </c>
      <c r="L1568">
        <v>573.98</v>
      </c>
      <c r="M1568">
        <v>401.79</v>
      </c>
      <c r="N1568">
        <v>82423001</v>
      </c>
      <c r="O1568" t="s">
        <v>1542</v>
      </c>
    </row>
    <row r="1569" spans="1:15">
      <c r="A1569" t="s">
        <v>2939</v>
      </c>
      <c r="B1569" s="2">
        <v>45563.882824074077</v>
      </c>
      <c r="C1569" s="2">
        <v>45563.920798611114</v>
      </c>
      <c r="D1569" t="s">
        <v>431</v>
      </c>
      <c r="E1569" t="s">
        <v>2910</v>
      </c>
      <c r="F1569" t="s">
        <v>2911</v>
      </c>
      <c r="G1569" t="s">
        <v>1561</v>
      </c>
      <c r="H1569" t="s">
        <v>1031</v>
      </c>
      <c r="I1569">
        <v>308335008</v>
      </c>
      <c r="J1569" t="s">
        <v>1194</v>
      </c>
      <c r="K1569">
        <v>142.58000000000001</v>
      </c>
      <c r="L1569">
        <v>573.98</v>
      </c>
      <c r="M1569">
        <v>401.79</v>
      </c>
      <c r="N1569">
        <v>82423001</v>
      </c>
      <c r="O1569" t="s">
        <v>1542</v>
      </c>
    </row>
    <row r="1570" spans="1:15">
      <c r="A1570" t="s">
        <v>2940</v>
      </c>
      <c r="B1570" s="2">
        <v>45566.920798611114</v>
      </c>
      <c r="C1570" s="2">
        <v>45566.953877314816</v>
      </c>
      <c r="D1570" t="s">
        <v>431</v>
      </c>
      <c r="E1570" t="s">
        <v>2910</v>
      </c>
      <c r="F1570" t="s">
        <v>2911</v>
      </c>
      <c r="G1570" t="s">
        <v>1561</v>
      </c>
      <c r="H1570" t="s">
        <v>1031</v>
      </c>
      <c r="I1570">
        <v>308335008</v>
      </c>
      <c r="J1570" t="s">
        <v>1194</v>
      </c>
      <c r="K1570">
        <v>142.58000000000001</v>
      </c>
      <c r="L1570">
        <v>573.98</v>
      </c>
      <c r="M1570">
        <v>401.79</v>
      </c>
      <c r="N1570">
        <v>82423001</v>
      </c>
      <c r="O1570" t="s">
        <v>1542</v>
      </c>
    </row>
    <row r="1571" spans="1:15">
      <c r="A1571" t="s">
        <v>2941</v>
      </c>
      <c r="B1571" s="2">
        <v>45900.809328703705</v>
      </c>
      <c r="C1571" s="2">
        <v>45900.842013888891</v>
      </c>
      <c r="D1571" t="s">
        <v>431</v>
      </c>
      <c r="E1571" t="s">
        <v>2906</v>
      </c>
      <c r="F1571" t="s">
        <v>2907</v>
      </c>
      <c r="G1571" t="s">
        <v>1561</v>
      </c>
      <c r="H1571" t="s">
        <v>1020</v>
      </c>
      <c r="I1571">
        <v>162673000</v>
      </c>
      <c r="J1571" t="s">
        <v>1021</v>
      </c>
      <c r="K1571">
        <v>136.80000000000001</v>
      </c>
      <c r="L1571">
        <v>1314.44</v>
      </c>
      <c r="M1571">
        <v>0</v>
      </c>
      <c r="O1571" t="s">
        <v>34</v>
      </c>
    </row>
    <row r="1572" spans="1:15">
      <c r="A1572" t="s">
        <v>2942</v>
      </c>
      <c r="B1572" s="2">
        <v>33979.546724537038</v>
      </c>
      <c r="C1572" s="2">
        <v>33979.557141203702</v>
      </c>
      <c r="D1572" t="s">
        <v>440</v>
      </c>
      <c r="E1572" t="s">
        <v>1762</v>
      </c>
      <c r="F1572" t="s">
        <v>1763</v>
      </c>
      <c r="G1572" t="s">
        <v>1325</v>
      </c>
      <c r="H1572" t="s">
        <v>1031</v>
      </c>
      <c r="I1572">
        <v>185345009</v>
      </c>
      <c r="J1572" t="s">
        <v>1032</v>
      </c>
      <c r="K1572">
        <v>85.55</v>
      </c>
      <c r="L1572">
        <v>516.95000000000005</v>
      </c>
      <c r="M1572">
        <v>0</v>
      </c>
      <c r="N1572">
        <v>233678006</v>
      </c>
      <c r="O1572" t="s">
        <v>1148</v>
      </c>
    </row>
    <row r="1573" spans="1:15">
      <c r="A1573" t="s">
        <v>2943</v>
      </c>
      <c r="B1573" s="2">
        <v>39516.588391203702</v>
      </c>
      <c r="C1573" s="2">
        <v>39516.610474537039</v>
      </c>
      <c r="D1573" t="s">
        <v>440</v>
      </c>
      <c r="E1573" t="s">
        <v>2944</v>
      </c>
      <c r="F1573" t="s">
        <v>2945</v>
      </c>
      <c r="G1573" t="s">
        <v>1325</v>
      </c>
      <c r="H1573" t="s">
        <v>1020</v>
      </c>
      <c r="I1573">
        <v>162673000</v>
      </c>
      <c r="J1573" t="s">
        <v>1021</v>
      </c>
      <c r="K1573">
        <v>136.80000000000001</v>
      </c>
      <c r="L1573">
        <v>1241.42</v>
      </c>
      <c r="M1573">
        <v>0</v>
      </c>
      <c r="O1573" t="s">
        <v>34</v>
      </c>
    </row>
    <row r="1574" spans="1:15">
      <c r="A1574" t="s">
        <v>2946</v>
      </c>
      <c r="B1574" s="2">
        <v>39887.588391203702</v>
      </c>
      <c r="C1574" s="2">
        <v>39887.614050925928</v>
      </c>
      <c r="D1574" t="s">
        <v>440</v>
      </c>
      <c r="E1574" t="s">
        <v>2944</v>
      </c>
      <c r="F1574" t="s">
        <v>2945</v>
      </c>
      <c r="G1574" t="s">
        <v>1325</v>
      </c>
      <c r="H1574" t="s">
        <v>1020</v>
      </c>
      <c r="I1574">
        <v>162673000</v>
      </c>
      <c r="J1574" t="s">
        <v>1021</v>
      </c>
      <c r="K1574">
        <v>136.80000000000001</v>
      </c>
      <c r="L1574">
        <v>919.9</v>
      </c>
      <c r="M1574">
        <v>0</v>
      </c>
      <c r="O1574" t="s">
        <v>34</v>
      </c>
    </row>
    <row r="1575" spans="1:15">
      <c r="A1575" t="s">
        <v>2947</v>
      </c>
      <c r="B1575" s="2">
        <v>40258.588391203702</v>
      </c>
      <c r="C1575" s="2">
        <v>40258.620567129627</v>
      </c>
      <c r="D1575" t="s">
        <v>440</v>
      </c>
      <c r="E1575" t="s">
        <v>2944</v>
      </c>
      <c r="F1575" t="s">
        <v>2945</v>
      </c>
      <c r="G1575" t="s">
        <v>1325</v>
      </c>
      <c r="H1575" t="s">
        <v>1020</v>
      </c>
      <c r="I1575">
        <v>162673000</v>
      </c>
      <c r="J1575" t="s">
        <v>1021</v>
      </c>
      <c r="K1575">
        <v>136.80000000000001</v>
      </c>
      <c r="L1575">
        <v>840.2</v>
      </c>
      <c r="M1575">
        <v>0</v>
      </c>
      <c r="O1575" t="s">
        <v>34</v>
      </c>
    </row>
    <row r="1576" spans="1:15">
      <c r="A1576" t="s">
        <v>2948</v>
      </c>
      <c r="B1576" s="2">
        <v>40629.588391203702</v>
      </c>
      <c r="C1576" s="2">
        <v>40629.613182870373</v>
      </c>
      <c r="D1576" t="s">
        <v>440</v>
      </c>
      <c r="E1576" t="s">
        <v>2944</v>
      </c>
      <c r="F1576" t="s">
        <v>2945</v>
      </c>
      <c r="G1576" t="s">
        <v>1325</v>
      </c>
      <c r="H1576" t="s">
        <v>1020</v>
      </c>
      <c r="I1576">
        <v>162673000</v>
      </c>
      <c r="J1576" t="s">
        <v>1021</v>
      </c>
      <c r="K1576">
        <v>136.80000000000001</v>
      </c>
      <c r="L1576">
        <v>1195.8</v>
      </c>
      <c r="M1576">
        <v>0</v>
      </c>
      <c r="O1576" t="s">
        <v>34</v>
      </c>
    </row>
    <row r="1577" spans="1:15">
      <c r="A1577" t="s">
        <v>2949</v>
      </c>
      <c r="B1577" s="2">
        <v>42113.588391203702</v>
      </c>
      <c r="C1577" s="2">
        <v>42113.627523148149</v>
      </c>
      <c r="D1577" t="s">
        <v>440</v>
      </c>
      <c r="E1577" t="s">
        <v>2944</v>
      </c>
      <c r="F1577" t="s">
        <v>2945</v>
      </c>
      <c r="G1577" t="s">
        <v>1325</v>
      </c>
      <c r="H1577" t="s">
        <v>1020</v>
      </c>
      <c r="I1577">
        <v>162673000</v>
      </c>
      <c r="J1577" t="s">
        <v>1021</v>
      </c>
      <c r="K1577">
        <v>136.80000000000001</v>
      </c>
      <c r="L1577">
        <v>1259.51</v>
      </c>
      <c r="M1577">
        <v>0</v>
      </c>
      <c r="O1577" t="s">
        <v>34</v>
      </c>
    </row>
    <row r="1578" spans="1:15">
      <c r="A1578" t="s">
        <v>2950</v>
      </c>
      <c r="B1578" s="2">
        <v>42236.588391203702</v>
      </c>
      <c r="C1578" s="2">
        <v>42236.598807870374</v>
      </c>
      <c r="D1578" t="s">
        <v>440</v>
      </c>
      <c r="E1578" t="s">
        <v>1762</v>
      </c>
      <c r="F1578" t="s">
        <v>1763</v>
      </c>
      <c r="G1578" t="s">
        <v>1325</v>
      </c>
      <c r="H1578" t="s">
        <v>1031</v>
      </c>
      <c r="I1578">
        <v>424619006</v>
      </c>
      <c r="J1578" t="s">
        <v>1062</v>
      </c>
      <c r="K1578">
        <v>142.58000000000001</v>
      </c>
      <c r="L1578">
        <v>1005.38</v>
      </c>
      <c r="M1578">
        <v>603.23</v>
      </c>
      <c r="N1578">
        <v>156073000</v>
      </c>
      <c r="O1578" t="s">
        <v>1397</v>
      </c>
    </row>
    <row r="1579" spans="1:15">
      <c r="A1579" t="s">
        <v>2951</v>
      </c>
      <c r="B1579" s="2">
        <v>42484.588391203702</v>
      </c>
      <c r="C1579" s="2">
        <v>42484.627199074072</v>
      </c>
      <c r="D1579" t="s">
        <v>440</v>
      </c>
      <c r="E1579" t="s">
        <v>2944</v>
      </c>
      <c r="F1579" t="s">
        <v>2945</v>
      </c>
      <c r="G1579" t="s">
        <v>1325</v>
      </c>
      <c r="H1579" t="s">
        <v>1020</v>
      </c>
      <c r="I1579">
        <v>162673000</v>
      </c>
      <c r="J1579" t="s">
        <v>1021</v>
      </c>
      <c r="K1579">
        <v>136.80000000000001</v>
      </c>
      <c r="L1579">
        <v>1075.8599999999999</v>
      </c>
      <c r="M1579">
        <v>0</v>
      </c>
      <c r="O1579" t="s">
        <v>34</v>
      </c>
    </row>
    <row r="1580" spans="1:15">
      <c r="A1580" t="s">
        <v>2952</v>
      </c>
      <c r="B1580" s="2">
        <v>42575.588391203702</v>
      </c>
      <c r="C1580" s="2">
        <v>42575.598807870374</v>
      </c>
      <c r="D1580" t="s">
        <v>440</v>
      </c>
      <c r="E1580" t="s">
        <v>1762</v>
      </c>
      <c r="F1580" t="s">
        <v>1763</v>
      </c>
      <c r="G1580" t="s">
        <v>1325</v>
      </c>
      <c r="H1580" t="s">
        <v>1031</v>
      </c>
      <c r="I1580">
        <v>424441002</v>
      </c>
      <c r="J1580" t="s">
        <v>1059</v>
      </c>
      <c r="K1580">
        <v>142.58000000000001</v>
      </c>
      <c r="L1580">
        <v>45246.93</v>
      </c>
      <c r="M1580">
        <v>26932.93</v>
      </c>
      <c r="N1580">
        <v>72892002</v>
      </c>
      <c r="O1580" t="s">
        <v>1060</v>
      </c>
    </row>
    <row r="1581" spans="1:15">
      <c r="A1581" t="s">
        <v>2953</v>
      </c>
      <c r="B1581" s="2">
        <v>42631.588391203702</v>
      </c>
      <c r="C1581" s="2">
        <v>42631.598807870374</v>
      </c>
      <c r="D1581" t="s">
        <v>440</v>
      </c>
      <c r="E1581" t="s">
        <v>1762</v>
      </c>
      <c r="F1581" t="s">
        <v>1763</v>
      </c>
      <c r="G1581" t="s">
        <v>1325</v>
      </c>
      <c r="H1581" t="s">
        <v>1031</v>
      </c>
      <c r="I1581">
        <v>424619006</v>
      </c>
      <c r="J1581" t="s">
        <v>1062</v>
      </c>
      <c r="K1581">
        <v>142.58000000000001</v>
      </c>
      <c r="L1581">
        <v>12809.04</v>
      </c>
      <c r="M1581">
        <v>12809.04</v>
      </c>
      <c r="N1581">
        <v>72892002</v>
      </c>
      <c r="O1581" t="s">
        <v>1060</v>
      </c>
    </row>
    <row r="1582" spans="1:15">
      <c r="A1582" t="s">
        <v>2954</v>
      </c>
      <c r="B1582" s="2">
        <v>42659.588391203702</v>
      </c>
      <c r="C1582" s="2">
        <v>42659.598807870374</v>
      </c>
      <c r="D1582" t="s">
        <v>440</v>
      </c>
      <c r="E1582" t="s">
        <v>1762</v>
      </c>
      <c r="F1582" t="s">
        <v>1763</v>
      </c>
      <c r="G1582" t="s">
        <v>1325</v>
      </c>
      <c r="H1582" t="s">
        <v>1031</v>
      </c>
      <c r="I1582">
        <v>424619006</v>
      </c>
      <c r="J1582" t="s">
        <v>1062</v>
      </c>
      <c r="K1582">
        <v>142.58000000000001</v>
      </c>
      <c r="L1582">
        <v>6226.48</v>
      </c>
      <c r="M1582">
        <v>6226.48</v>
      </c>
      <c r="N1582">
        <v>72892002</v>
      </c>
      <c r="O1582" t="s">
        <v>1060</v>
      </c>
    </row>
    <row r="1583" spans="1:15">
      <c r="A1583" t="s">
        <v>2955</v>
      </c>
      <c r="B1583" s="2">
        <v>42687.546724537038</v>
      </c>
      <c r="C1583" s="2">
        <v>42687.557141203702</v>
      </c>
      <c r="D1583" t="s">
        <v>440</v>
      </c>
      <c r="E1583" t="s">
        <v>1762</v>
      </c>
      <c r="F1583" t="s">
        <v>1763</v>
      </c>
      <c r="G1583" t="s">
        <v>1325</v>
      </c>
      <c r="H1583" t="s">
        <v>1031</v>
      </c>
      <c r="I1583">
        <v>424619006</v>
      </c>
      <c r="J1583" t="s">
        <v>1062</v>
      </c>
      <c r="K1583">
        <v>142.58000000000001</v>
      </c>
      <c r="L1583">
        <v>10795.35</v>
      </c>
      <c r="M1583">
        <v>10795.35</v>
      </c>
      <c r="N1583">
        <v>72892002</v>
      </c>
      <c r="O1583" t="s">
        <v>1060</v>
      </c>
    </row>
    <row r="1584" spans="1:15">
      <c r="A1584" t="s">
        <v>2956</v>
      </c>
      <c r="B1584" s="2">
        <v>42715.546724537038</v>
      </c>
      <c r="C1584" s="2">
        <v>42715.557141203702</v>
      </c>
      <c r="D1584" t="s">
        <v>440</v>
      </c>
      <c r="E1584" t="s">
        <v>1762</v>
      </c>
      <c r="F1584" t="s">
        <v>1763</v>
      </c>
      <c r="G1584" t="s">
        <v>1325</v>
      </c>
      <c r="H1584" t="s">
        <v>1031</v>
      </c>
      <c r="I1584">
        <v>424619006</v>
      </c>
      <c r="J1584" t="s">
        <v>1062</v>
      </c>
      <c r="K1584">
        <v>142.58000000000001</v>
      </c>
      <c r="L1584">
        <v>13505.71</v>
      </c>
      <c r="M1584">
        <v>13505.71</v>
      </c>
      <c r="N1584">
        <v>72892002</v>
      </c>
      <c r="O1584" t="s">
        <v>1060</v>
      </c>
    </row>
    <row r="1585" spans="1:15">
      <c r="A1585" t="s">
        <v>2957</v>
      </c>
      <c r="B1585" s="2">
        <v>42743.546724537038</v>
      </c>
      <c r="C1585" s="2">
        <v>42743.557141203702</v>
      </c>
      <c r="D1585" t="s">
        <v>440</v>
      </c>
      <c r="E1585" t="s">
        <v>1762</v>
      </c>
      <c r="F1585" t="s">
        <v>1763</v>
      </c>
      <c r="G1585" t="s">
        <v>1325</v>
      </c>
      <c r="H1585" t="s">
        <v>1031</v>
      </c>
      <c r="I1585">
        <v>424619006</v>
      </c>
      <c r="J1585" t="s">
        <v>1062</v>
      </c>
      <c r="K1585">
        <v>142.58000000000001</v>
      </c>
      <c r="L1585">
        <v>4665.96</v>
      </c>
      <c r="M1585">
        <v>4665.96</v>
      </c>
      <c r="N1585">
        <v>72892002</v>
      </c>
      <c r="O1585" t="s">
        <v>1060</v>
      </c>
    </row>
    <row r="1586" spans="1:15">
      <c r="A1586" t="s">
        <v>2958</v>
      </c>
      <c r="B1586" s="2">
        <v>42771.546724537038</v>
      </c>
      <c r="C1586" s="2">
        <v>42771.557141203702</v>
      </c>
      <c r="D1586" t="s">
        <v>440</v>
      </c>
      <c r="E1586" t="s">
        <v>1762</v>
      </c>
      <c r="F1586" t="s">
        <v>1763</v>
      </c>
      <c r="G1586" t="s">
        <v>1325</v>
      </c>
      <c r="H1586" t="s">
        <v>1031</v>
      </c>
      <c r="I1586">
        <v>424619006</v>
      </c>
      <c r="J1586" t="s">
        <v>1062</v>
      </c>
      <c r="K1586">
        <v>142.58000000000001</v>
      </c>
      <c r="L1586">
        <v>5528.76</v>
      </c>
      <c r="M1586">
        <v>0</v>
      </c>
      <c r="N1586">
        <v>72892002</v>
      </c>
      <c r="O1586" t="s">
        <v>1060</v>
      </c>
    </row>
    <row r="1587" spans="1:15">
      <c r="A1587" t="s">
        <v>2959</v>
      </c>
      <c r="B1587" s="2">
        <v>42785.546724537038</v>
      </c>
      <c r="C1587" s="2">
        <v>42785.557141203702</v>
      </c>
      <c r="D1587" t="s">
        <v>440</v>
      </c>
      <c r="E1587" t="s">
        <v>1762</v>
      </c>
      <c r="F1587" t="s">
        <v>1763</v>
      </c>
      <c r="G1587" t="s">
        <v>1325</v>
      </c>
      <c r="H1587" t="s">
        <v>1031</v>
      </c>
      <c r="I1587">
        <v>424619006</v>
      </c>
      <c r="J1587" t="s">
        <v>1062</v>
      </c>
      <c r="K1587">
        <v>142.58000000000001</v>
      </c>
      <c r="L1587">
        <v>16727.22</v>
      </c>
      <c r="M1587">
        <v>9697.18</v>
      </c>
      <c r="N1587">
        <v>72892002</v>
      </c>
      <c r="O1587" t="s">
        <v>1060</v>
      </c>
    </row>
    <row r="1588" spans="1:15">
      <c r="A1588" t="s">
        <v>2960</v>
      </c>
      <c r="B1588" s="2">
        <v>42792.546724537038</v>
      </c>
      <c r="C1588" s="2">
        <v>42792.588391203702</v>
      </c>
      <c r="D1588" t="s">
        <v>440</v>
      </c>
      <c r="E1588" t="s">
        <v>2961</v>
      </c>
      <c r="F1588" t="s">
        <v>2962</v>
      </c>
      <c r="G1588" t="s">
        <v>1325</v>
      </c>
      <c r="H1588" t="s">
        <v>1076</v>
      </c>
      <c r="I1588">
        <v>183460006</v>
      </c>
      <c r="J1588" t="s">
        <v>1077</v>
      </c>
      <c r="K1588">
        <v>146.18</v>
      </c>
      <c r="L1588">
        <v>577.58000000000004</v>
      </c>
      <c r="M1588">
        <v>577.58000000000004</v>
      </c>
      <c r="N1588">
        <v>72892002</v>
      </c>
      <c r="O1588" t="s">
        <v>1060</v>
      </c>
    </row>
    <row r="1589" spans="1:15">
      <c r="A1589" t="s">
        <v>2963</v>
      </c>
      <c r="B1589" s="2">
        <v>42834.588391203702</v>
      </c>
      <c r="C1589" s="2">
        <v>42834.598807870374</v>
      </c>
      <c r="D1589" t="s">
        <v>440</v>
      </c>
      <c r="E1589" t="s">
        <v>1762</v>
      </c>
      <c r="F1589" t="s">
        <v>1763</v>
      </c>
      <c r="G1589" t="s">
        <v>1325</v>
      </c>
      <c r="H1589" t="s">
        <v>1031</v>
      </c>
      <c r="I1589">
        <v>169762003</v>
      </c>
      <c r="J1589" t="s">
        <v>1079</v>
      </c>
      <c r="K1589">
        <v>142.58000000000001</v>
      </c>
      <c r="L1589">
        <v>1005.38</v>
      </c>
      <c r="M1589">
        <v>1005.38</v>
      </c>
      <c r="O1589" t="s">
        <v>34</v>
      </c>
    </row>
    <row r="1590" spans="1:15">
      <c r="A1590" t="s">
        <v>2964</v>
      </c>
      <c r="B1590" s="2">
        <v>42855.588391203702</v>
      </c>
      <c r="C1590" s="2">
        <v>42855.611631944441</v>
      </c>
      <c r="D1590" t="s">
        <v>440</v>
      </c>
      <c r="E1590" t="s">
        <v>2944</v>
      </c>
      <c r="F1590" t="s">
        <v>2945</v>
      </c>
      <c r="G1590" t="s">
        <v>1325</v>
      </c>
      <c r="H1590" t="s">
        <v>1020</v>
      </c>
      <c r="I1590">
        <v>162673000</v>
      </c>
      <c r="J1590" t="s">
        <v>1021</v>
      </c>
      <c r="K1590">
        <v>136.80000000000001</v>
      </c>
      <c r="L1590">
        <v>785.58</v>
      </c>
      <c r="M1590">
        <v>785.58</v>
      </c>
      <c r="O1590" t="s">
        <v>34</v>
      </c>
    </row>
    <row r="1591" spans="1:15">
      <c r="A1591" t="s">
        <v>2965</v>
      </c>
      <c r="B1591" s="2">
        <v>42869.588391203702</v>
      </c>
      <c r="C1591" s="2">
        <v>42869.736145833333</v>
      </c>
      <c r="D1591" t="s">
        <v>440</v>
      </c>
      <c r="E1591" t="s">
        <v>1762</v>
      </c>
      <c r="F1591" t="s">
        <v>1763</v>
      </c>
      <c r="G1591" t="s">
        <v>1325</v>
      </c>
      <c r="H1591" t="s">
        <v>1031</v>
      </c>
      <c r="I1591">
        <v>185349003</v>
      </c>
      <c r="J1591" t="s">
        <v>1038</v>
      </c>
      <c r="K1591">
        <v>85.55</v>
      </c>
      <c r="L1591">
        <v>3105.35</v>
      </c>
      <c r="M1591">
        <v>3105.35</v>
      </c>
      <c r="N1591">
        <v>103697008</v>
      </c>
      <c r="O1591" t="s">
        <v>1039</v>
      </c>
    </row>
    <row r="1592" spans="1:15">
      <c r="A1592" t="s">
        <v>2966</v>
      </c>
      <c r="B1592" s="2">
        <v>42925.588391203702</v>
      </c>
      <c r="C1592" s="2">
        <v>42925.598807870374</v>
      </c>
      <c r="D1592" t="s">
        <v>440</v>
      </c>
      <c r="E1592" t="s">
        <v>1762</v>
      </c>
      <c r="F1592" t="s">
        <v>1763</v>
      </c>
      <c r="G1592" t="s">
        <v>1325</v>
      </c>
      <c r="H1592" t="s">
        <v>1031</v>
      </c>
      <c r="I1592">
        <v>424441002</v>
      </c>
      <c r="J1592" t="s">
        <v>1059</v>
      </c>
      <c r="K1592">
        <v>142.58000000000001</v>
      </c>
      <c r="L1592">
        <v>44073.3</v>
      </c>
      <c r="M1592">
        <v>44073.3</v>
      </c>
      <c r="N1592">
        <v>72892002</v>
      </c>
      <c r="O1592" t="s">
        <v>1060</v>
      </c>
    </row>
    <row r="1593" spans="1:15">
      <c r="A1593" t="s">
        <v>2967</v>
      </c>
      <c r="B1593" s="2">
        <v>42953.588391203702</v>
      </c>
      <c r="C1593" s="2">
        <v>42953.598807870374</v>
      </c>
      <c r="D1593" t="s">
        <v>440</v>
      </c>
      <c r="E1593" t="s">
        <v>1762</v>
      </c>
      <c r="F1593" t="s">
        <v>1763</v>
      </c>
      <c r="G1593" t="s">
        <v>1325</v>
      </c>
      <c r="H1593" t="s">
        <v>1031</v>
      </c>
      <c r="I1593">
        <v>424619006</v>
      </c>
      <c r="J1593" t="s">
        <v>1062</v>
      </c>
      <c r="K1593">
        <v>142.58000000000001</v>
      </c>
      <c r="L1593">
        <v>6317.6</v>
      </c>
      <c r="M1593">
        <v>6317.6</v>
      </c>
      <c r="N1593">
        <v>72892002</v>
      </c>
      <c r="O1593" t="s">
        <v>1060</v>
      </c>
    </row>
    <row r="1594" spans="1:15">
      <c r="A1594" t="s">
        <v>2968</v>
      </c>
      <c r="B1594" s="2">
        <v>42981.588391203702</v>
      </c>
      <c r="C1594" s="2">
        <v>42981.598807870374</v>
      </c>
      <c r="D1594" t="s">
        <v>440</v>
      </c>
      <c r="E1594" t="s">
        <v>1762</v>
      </c>
      <c r="F1594" t="s">
        <v>1763</v>
      </c>
      <c r="G1594" t="s">
        <v>1325</v>
      </c>
      <c r="H1594" t="s">
        <v>1031</v>
      </c>
      <c r="I1594">
        <v>424619006</v>
      </c>
      <c r="J1594" t="s">
        <v>1062</v>
      </c>
      <c r="K1594">
        <v>142.58000000000001</v>
      </c>
      <c r="L1594">
        <v>6277.36</v>
      </c>
      <c r="M1594">
        <v>6277.36</v>
      </c>
      <c r="N1594">
        <v>72892002</v>
      </c>
      <c r="O1594" t="s">
        <v>1060</v>
      </c>
    </row>
    <row r="1595" spans="1:15">
      <c r="A1595" t="s">
        <v>2969</v>
      </c>
      <c r="B1595" s="2">
        <v>43009.588391203702</v>
      </c>
      <c r="C1595" s="2">
        <v>43009.598807870374</v>
      </c>
      <c r="D1595" t="s">
        <v>440</v>
      </c>
      <c r="E1595" t="s">
        <v>1762</v>
      </c>
      <c r="F1595" t="s">
        <v>1763</v>
      </c>
      <c r="G1595" t="s">
        <v>1325</v>
      </c>
      <c r="H1595" t="s">
        <v>1031</v>
      </c>
      <c r="I1595">
        <v>424619006</v>
      </c>
      <c r="J1595" t="s">
        <v>1062</v>
      </c>
      <c r="K1595">
        <v>142.58000000000001</v>
      </c>
      <c r="L1595">
        <v>5461.4</v>
      </c>
      <c r="M1595">
        <v>5461.4</v>
      </c>
      <c r="N1595">
        <v>72892002</v>
      </c>
      <c r="O1595" t="s">
        <v>1060</v>
      </c>
    </row>
    <row r="1596" spans="1:15">
      <c r="A1596" t="s">
        <v>2970</v>
      </c>
      <c r="B1596" s="2">
        <v>43037.588391203702</v>
      </c>
      <c r="C1596" s="2">
        <v>43037.598807870374</v>
      </c>
      <c r="D1596" t="s">
        <v>440</v>
      </c>
      <c r="E1596" t="s">
        <v>1762</v>
      </c>
      <c r="F1596" t="s">
        <v>1763</v>
      </c>
      <c r="G1596" t="s">
        <v>1325</v>
      </c>
      <c r="H1596" t="s">
        <v>1031</v>
      </c>
      <c r="I1596">
        <v>424619006</v>
      </c>
      <c r="J1596" t="s">
        <v>1062</v>
      </c>
      <c r="K1596">
        <v>142.58000000000001</v>
      </c>
      <c r="L1596">
        <v>5630.66</v>
      </c>
      <c r="M1596">
        <v>5630.66</v>
      </c>
      <c r="N1596">
        <v>72892002</v>
      </c>
      <c r="O1596" t="s">
        <v>1060</v>
      </c>
    </row>
    <row r="1597" spans="1:15">
      <c r="A1597" t="s">
        <v>2971</v>
      </c>
      <c r="B1597" s="2">
        <v>43065.546724537038</v>
      </c>
      <c r="C1597" s="2">
        <v>43065.557141203702</v>
      </c>
      <c r="D1597" t="s">
        <v>440</v>
      </c>
      <c r="E1597" t="s">
        <v>1762</v>
      </c>
      <c r="F1597" t="s">
        <v>1763</v>
      </c>
      <c r="G1597" t="s">
        <v>1325</v>
      </c>
      <c r="H1597" t="s">
        <v>1031</v>
      </c>
      <c r="I1597">
        <v>424619006</v>
      </c>
      <c r="J1597" t="s">
        <v>1062</v>
      </c>
      <c r="K1597">
        <v>142.58000000000001</v>
      </c>
      <c r="L1597">
        <v>11510.82</v>
      </c>
      <c r="M1597">
        <v>11510.82</v>
      </c>
      <c r="N1597">
        <v>72892002</v>
      </c>
      <c r="O1597" t="s">
        <v>1060</v>
      </c>
    </row>
    <row r="1598" spans="1:15">
      <c r="A1598" t="s">
        <v>2972</v>
      </c>
      <c r="B1598" s="2">
        <v>43093.546724537038</v>
      </c>
      <c r="C1598" s="2">
        <v>43093.557141203702</v>
      </c>
      <c r="D1598" t="s">
        <v>440</v>
      </c>
      <c r="E1598" t="s">
        <v>1762</v>
      </c>
      <c r="F1598" t="s">
        <v>1763</v>
      </c>
      <c r="G1598" t="s">
        <v>1325</v>
      </c>
      <c r="H1598" t="s">
        <v>1031</v>
      </c>
      <c r="I1598">
        <v>424619006</v>
      </c>
      <c r="J1598" t="s">
        <v>1062</v>
      </c>
      <c r="K1598">
        <v>142.58000000000001</v>
      </c>
      <c r="L1598">
        <v>11836.12</v>
      </c>
      <c r="M1598">
        <v>11836.12</v>
      </c>
      <c r="N1598">
        <v>72892002</v>
      </c>
      <c r="O1598" t="s">
        <v>1060</v>
      </c>
    </row>
    <row r="1599" spans="1:15">
      <c r="A1599" t="s">
        <v>2973</v>
      </c>
      <c r="B1599" s="2">
        <v>43121.546724537038</v>
      </c>
      <c r="C1599" s="2">
        <v>43121.557141203702</v>
      </c>
      <c r="D1599" t="s">
        <v>440</v>
      </c>
      <c r="E1599" t="s">
        <v>1762</v>
      </c>
      <c r="F1599" t="s">
        <v>1763</v>
      </c>
      <c r="G1599" t="s">
        <v>1325</v>
      </c>
      <c r="H1599" t="s">
        <v>1031</v>
      </c>
      <c r="I1599">
        <v>424619006</v>
      </c>
      <c r="J1599" t="s">
        <v>1062</v>
      </c>
      <c r="K1599">
        <v>142.58000000000001</v>
      </c>
      <c r="L1599">
        <v>17639.259999999998</v>
      </c>
      <c r="M1599">
        <v>6927.16</v>
      </c>
      <c r="N1599">
        <v>72892002</v>
      </c>
      <c r="O1599" t="s">
        <v>1060</v>
      </c>
    </row>
    <row r="1600" spans="1:15">
      <c r="A1600" t="s">
        <v>2974</v>
      </c>
      <c r="B1600" s="2">
        <v>43135.546724537038</v>
      </c>
      <c r="C1600" s="2">
        <v>43135.588391203702</v>
      </c>
      <c r="D1600" t="s">
        <v>440</v>
      </c>
      <c r="E1600" t="s">
        <v>2961</v>
      </c>
      <c r="F1600" t="s">
        <v>2962</v>
      </c>
      <c r="G1600" t="s">
        <v>1325</v>
      </c>
      <c r="H1600" t="s">
        <v>1076</v>
      </c>
      <c r="I1600">
        <v>183460006</v>
      </c>
      <c r="J1600" t="s">
        <v>1077</v>
      </c>
      <c r="K1600">
        <v>146.18</v>
      </c>
      <c r="L1600">
        <v>12234.3</v>
      </c>
      <c r="M1600">
        <v>12234.3</v>
      </c>
      <c r="N1600">
        <v>72892002</v>
      </c>
      <c r="O1600" t="s">
        <v>1060</v>
      </c>
    </row>
    <row r="1601" spans="1:15">
      <c r="A1601" t="s">
        <v>2975</v>
      </c>
      <c r="B1601" s="2">
        <v>43177.588391203702</v>
      </c>
      <c r="C1601" s="2">
        <v>43177.598807870374</v>
      </c>
      <c r="D1601" t="s">
        <v>440</v>
      </c>
      <c r="E1601" t="s">
        <v>1762</v>
      </c>
      <c r="F1601" t="s">
        <v>1763</v>
      </c>
      <c r="G1601" t="s">
        <v>1325</v>
      </c>
      <c r="H1601" t="s">
        <v>1031</v>
      </c>
      <c r="I1601">
        <v>169762003</v>
      </c>
      <c r="J1601" t="s">
        <v>1079</v>
      </c>
      <c r="K1601">
        <v>142.58000000000001</v>
      </c>
      <c r="L1601">
        <v>1005.38</v>
      </c>
      <c r="M1601">
        <v>1005.38</v>
      </c>
      <c r="O1601" t="s">
        <v>34</v>
      </c>
    </row>
    <row r="1602" spans="1:15">
      <c r="A1602" t="s">
        <v>2976</v>
      </c>
      <c r="B1602" s="2">
        <v>43226.588391203702</v>
      </c>
      <c r="C1602" s="2">
        <v>43226.614699074074</v>
      </c>
      <c r="D1602" t="s">
        <v>440</v>
      </c>
      <c r="E1602" t="s">
        <v>2944</v>
      </c>
      <c r="F1602" t="s">
        <v>2945</v>
      </c>
      <c r="G1602" t="s">
        <v>1325</v>
      </c>
      <c r="H1602" t="s">
        <v>1020</v>
      </c>
      <c r="I1602">
        <v>162673000</v>
      </c>
      <c r="J1602" t="s">
        <v>1021</v>
      </c>
      <c r="K1602">
        <v>136.80000000000001</v>
      </c>
      <c r="L1602">
        <v>785.58</v>
      </c>
      <c r="M1602">
        <v>785.58</v>
      </c>
      <c r="O1602" t="s">
        <v>34</v>
      </c>
    </row>
    <row r="1603" spans="1:15">
      <c r="A1603" t="s">
        <v>2977</v>
      </c>
      <c r="B1603" s="2">
        <v>43561.588391203702</v>
      </c>
      <c r="C1603" s="2">
        <v>43561.598807870374</v>
      </c>
      <c r="D1603" t="s">
        <v>440</v>
      </c>
      <c r="E1603" t="s">
        <v>1748</v>
      </c>
      <c r="F1603" t="s">
        <v>1749</v>
      </c>
      <c r="G1603" t="s">
        <v>1325</v>
      </c>
      <c r="H1603" t="s">
        <v>1043</v>
      </c>
      <c r="I1603">
        <v>698314001</v>
      </c>
      <c r="J1603" t="s">
        <v>1190</v>
      </c>
      <c r="K1603">
        <v>142.58000000000001</v>
      </c>
      <c r="L1603">
        <v>142.58000000000001</v>
      </c>
      <c r="M1603">
        <v>0</v>
      </c>
      <c r="N1603">
        <v>389095005</v>
      </c>
      <c r="O1603" t="s">
        <v>1191</v>
      </c>
    </row>
    <row r="1604" spans="1:15">
      <c r="A1604" t="s">
        <v>2978</v>
      </c>
      <c r="B1604" s="2">
        <v>43597.588391203702</v>
      </c>
      <c r="C1604" s="2">
        <v>43597.620023148149</v>
      </c>
      <c r="D1604" t="s">
        <v>440</v>
      </c>
      <c r="E1604" t="s">
        <v>2944</v>
      </c>
      <c r="F1604" t="s">
        <v>2945</v>
      </c>
      <c r="G1604" t="s">
        <v>1325</v>
      </c>
      <c r="H1604" t="s">
        <v>1020</v>
      </c>
      <c r="I1604">
        <v>162673000</v>
      </c>
      <c r="J1604" t="s">
        <v>1021</v>
      </c>
      <c r="K1604">
        <v>136.80000000000001</v>
      </c>
      <c r="L1604">
        <v>778.78</v>
      </c>
      <c r="M1604">
        <v>0</v>
      </c>
      <c r="O1604" t="s">
        <v>34</v>
      </c>
    </row>
    <row r="1605" spans="1:15">
      <c r="A1605" t="s">
        <v>2979</v>
      </c>
      <c r="B1605" s="2">
        <v>43921.588391203702</v>
      </c>
      <c r="C1605" s="2">
        <v>43921.598807870374</v>
      </c>
      <c r="D1605" t="s">
        <v>440</v>
      </c>
      <c r="E1605" t="s">
        <v>1748</v>
      </c>
      <c r="F1605" t="s">
        <v>1749</v>
      </c>
      <c r="G1605" t="s">
        <v>1325</v>
      </c>
      <c r="H1605" t="s">
        <v>1043</v>
      </c>
      <c r="I1605">
        <v>698314001</v>
      </c>
      <c r="J1605" t="s">
        <v>1190</v>
      </c>
      <c r="K1605">
        <v>142.58000000000001</v>
      </c>
      <c r="L1605">
        <v>142.58000000000001</v>
      </c>
      <c r="M1605">
        <v>0</v>
      </c>
      <c r="N1605">
        <v>389095005</v>
      </c>
      <c r="O1605" t="s">
        <v>1191</v>
      </c>
    </row>
    <row r="1606" spans="1:15">
      <c r="A1606" t="s">
        <v>2980</v>
      </c>
      <c r="B1606" s="2">
        <v>43925.880057870374</v>
      </c>
      <c r="C1606" s="2">
        <v>43925.923263888886</v>
      </c>
      <c r="D1606" t="s">
        <v>440</v>
      </c>
      <c r="E1606" t="s">
        <v>1748</v>
      </c>
      <c r="F1606" t="s">
        <v>1749</v>
      </c>
      <c r="G1606" t="s">
        <v>1325</v>
      </c>
      <c r="H1606" t="s">
        <v>1043</v>
      </c>
      <c r="I1606">
        <v>308335008</v>
      </c>
      <c r="J1606" t="s">
        <v>1194</v>
      </c>
      <c r="K1606">
        <v>142.58000000000001</v>
      </c>
      <c r="L1606">
        <v>8931.06</v>
      </c>
      <c r="M1606">
        <v>2076.38</v>
      </c>
      <c r="N1606">
        <v>389095005</v>
      </c>
      <c r="O1606" t="s">
        <v>1191</v>
      </c>
    </row>
    <row r="1607" spans="1:15">
      <c r="A1607" t="s">
        <v>2981</v>
      </c>
      <c r="B1607" s="2">
        <v>43968.588391203702</v>
      </c>
      <c r="C1607" s="2">
        <v>43968.620729166665</v>
      </c>
      <c r="D1607" t="s">
        <v>440</v>
      </c>
      <c r="E1607" t="s">
        <v>2944</v>
      </c>
      <c r="F1607" t="s">
        <v>2945</v>
      </c>
      <c r="G1607" t="s">
        <v>1325</v>
      </c>
      <c r="H1607" t="s">
        <v>1020</v>
      </c>
      <c r="I1607">
        <v>162673000</v>
      </c>
      <c r="J1607" t="s">
        <v>1021</v>
      </c>
      <c r="K1607">
        <v>136.80000000000001</v>
      </c>
      <c r="L1607">
        <v>1130.03</v>
      </c>
      <c r="M1607">
        <v>678.02</v>
      </c>
      <c r="O1607" t="s">
        <v>34</v>
      </c>
    </row>
    <row r="1608" spans="1:15">
      <c r="A1608" t="s">
        <v>2982</v>
      </c>
      <c r="B1608" s="2">
        <v>44218.546724537038</v>
      </c>
      <c r="C1608" s="2">
        <v>44218.588391203702</v>
      </c>
      <c r="D1608" t="s">
        <v>440</v>
      </c>
      <c r="E1608" t="s">
        <v>2961</v>
      </c>
      <c r="F1608" t="s">
        <v>2962</v>
      </c>
      <c r="G1608" t="s">
        <v>1325</v>
      </c>
      <c r="H1608" t="s">
        <v>1076</v>
      </c>
      <c r="I1608">
        <v>183478001</v>
      </c>
      <c r="J1608" t="s">
        <v>1267</v>
      </c>
      <c r="K1608">
        <v>146.18</v>
      </c>
      <c r="L1608">
        <v>146.18</v>
      </c>
      <c r="M1608">
        <v>0</v>
      </c>
      <c r="N1608">
        <v>195967001</v>
      </c>
      <c r="O1608" t="s">
        <v>1676</v>
      </c>
    </row>
    <row r="1609" spans="1:15">
      <c r="A1609" t="s">
        <v>2983</v>
      </c>
      <c r="B1609" s="2">
        <v>44219.796724537038</v>
      </c>
      <c r="C1609" s="2">
        <v>44219.807141203702</v>
      </c>
      <c r="D1609" t="s">
        <v>440</v>
      </c>
      <c r="E1609" t="s">
        <v>1762</v>
      </c>
      <c r="F1609" t="s">
        <v>1763</v>
      </c>
      <c r="G1609" t="s">
        <v>1325</v>
      </c>
      <c r="H1609" t="s">
        <v>1031</v>
      </c>
      <c r="I1609">
        <v>394701000</v>
      </c>
      <c r="J1609" t="s">
        <v>1154</v>
      </c>
      <c r="K1609">
        <v>142.58000000000001</v>
      </c>
      <c r="L1609">
        <v>142.58000000000001</v>
      </c>
      <c r="M1609">
        <v>0</v>
      </c>
      <c r="N1609">
        <v>195967001</v>
      </c>
      <c r="O1609" t="s">
        <v>1676</v>
      </c>
    </row>
    <row r="1610" spans="1:15">
      <c r="A1610" t="s">
        <v>2984</v>
      </c>
      <c r="B1610" s="2">
        <v>44285.923263888886</v>
      </c>
      <c r="C1610" s="2">
        <v>44285.933680555558</v>
      </c>
      <c r="D1610" t="s">
        <v>440</v>
      </c>
      <c r="E1610" t="s">
        <v>1748</v>
      </c>
      <c r="F1610" t="s">
        <v>1749</v>
      </c>
      <c r="G1610" t="s">
        <v>1325</v>
      </c>
      <c r="H1610" t="s">
        <v>1043</v>
      </c>
      <c r="I1610">
        <v>698314001</v>
      </c>
      <c r="J1610" t="s">
        <v>1190</v>
      </c>
      <c r="K1610">
        <v>142.58000000000001</v>
      </c>
      <c r="L1610">
        <v>142.58000000000001</v>
      </c>
      <c r="M1610">
        <v>0</v>
      </c>
      <c r="N1610">
        <v>389095005</v>
      </c>
      <c r="O1610" t="s">
        <v>1191</v>
      </c>
    </row>
    <row r="1611" spans="1:15">
      <c r="A1611" t="s">
        <v>2985</v>
      </c>
      <c r="B1611" s="2">
        <v>44290.464930555558</v>
      </c>
      <c r="C1611" s="2">
        <v>44290.505740740744</v>
      </c>
      <c r="D1611" t="s">
        <v>440</v>
      </c>
      <c r="E1611" t="s">
        <v>1748</v>
      </c>
      <c r="F1611" t="s">
        <v>1749</v>
      </c>
      <c r="G1611" t="s">
        <v>1325</v>
      </c>
      <c r="H1611" t="s">
        <v>1043</v>
      </c>
      <c r="I1611">
        <v>308335008</v>
      </c>
      <c r="J1611" t="s">
        <v>1194</v>
      </c>
      <c r="K1611">
        <v>142.58000000000001</v>
      </c>
      <c r="L1611">
        <v>4052.91</v>
      </c>
      <c r="M1611">
        <v>0</v>
      </c>
      <c r="N1611">
        <v>389095005</v>
      </c>
      <c r="O1611" t="s">
        <v>1191</v>
      </c>
    </row>
    <row r="1612" spans="1:15">
      <c r="A1612" t="s">
        <v>2986</v>
      </c>
      <c r="B1612" s="2">
        <v>44297.588391203702</v>
      </c>
      <c r="C1612" s="2">
        <v>44297.598807870374</v>
      </c>
      <c r="D1612" t="s">
        <v>440</v>
      </c>
      <c r="E1612" t="s">
        <v>1748</v>
      </c>
      <c r="F1612" t="s">
        <v>1749</v>
      </c>
      <c r="G1612" t="s">
        <v>1325</v>
      </c>
      <c r="H1612" t="s">
        <v>1043</v>
      </c>
      <c r="I1612">
        <v>33879002</v>
      </c>
      <c r="J1612" t="s">
        <v>1044</v>
      </c>
      <c r="K1612">
        <v>142.58000000000001</v>
      </c>
      <c r="L1612">
        <v>278.58</v>
      </c>
      <c r="M1612">
        <v>0</v>
      </c>
      <c r="O1612" t="s">
        <v>34</v>
      </c>
    </row>
    <row r="1613" spans="1:15">
      <c r="A1613" t="s">
        <v>2987</v>
      </c>
      <c r="B1613" s="2">
        <v>44325.588391203702</v>
      </c>
      <c r="C1613" s="2">
        <v>44325.598807870374</v>
      </c>
      <c r="D1613" t="s">
        <v>440</v>
      </c>
      <c r="E1613" t="s">
        <v>1748</v>
      </c>
      <c r="F1613" t="s">
        <v>1749</v>
      </c>
      <c r="G1613" t="s">
        <v>1325</v>
      </c>
      <c r="H1613" t="s">
        <v>1043</v>
      </c>
      <c r="I1613">
        <v>33879002</v>
      </c>
      <c r="J1613" t="s">
        <v>1044</v>
      </c>
      <c r="K1613">
        <v>142.58000000000001</v>
      </c>
      <c r="L1613">
        <v>278.58</v>
      </c>
      <c r="M1613">
        <v>0</v>
      </c>
      <c r="O1613" t="s">
        <v>34</v>
      </c>
    </row>
    <row r="1614" spans="1:15">
      <c r="A1614" t="s">
        <v>2988</v>
      </c>
      <c r="B1614" s="2">
        <v>44339.588391203702</v>
      </c>
      <c r="C1614" s="2">
        <v>44339.623078703706</v>
      </c>
      <c r="D1614" t="s">
        <v>440</v>
      </c>
      <c r="E1614" t="s">
        <v>2944</v>
      </c>
      <c r="F1614" t="s">
        <v>2945</v>
      </c>
      <c r="G1614" t="s">
        <v>1325</v>
      </c>
      <c r="H1614" t="s">
        <v>1020</v>
      </c>
      <c r="I1614">
        <v>162673000</v>
      </c>
      <c r="J1614" t="s">
        <v>1021</v>
      </c>
      <c r="K1614">
        <v>136.80000000000001</v>
      </c>
      <c r="L1614">
        <v>1211.8599999999999</v>
      </c>
      <c r="M1614">
        <v>251.49</v>
      </c>
      <c r="O1614" t="s">
        <v>34</v>
      </c>
    </row>
    <row r="1615" spans="1:15">
      <c r="A1615" t="s">
        <v>2989</v>
      </c>
      <c r="B1615" s="2">
        <v>44650.505740740744</v>
      </c>
      <c r="C1615" s="2">
        <v>44650.516157407408</v>
      </c>
      <c r="D1615" t="s">
        <v>440</v>
      </c>
      <c r="E1615" t="s">
        <v>1748</v>
      </c>
      <c r="F1615" t="s">
        <v>1749</v>
      </c>
      <c r="G1615" t="s">
        <v>1325</v>
      </c>
      <c r="H1615" t="s">
        <v>1043</v>
      </c>
      <c r="I1615">
        <v>698314001</v>
      </c>
      <c r="J1615" t="s">
        <v>1190</v>
      </c>
      <c r="K1615">
        <v>142.58000000000001</v>
      </c>
      <c r="L1615">
        <v>142.58000000000001</v>
      </c>
      <c r="M1615">
        <v>0</v>
      </c>
      <c r="N1615">
        <v>389095005</v>
      </c>
      <c r="O1615" t="s">
        <v>1191</v>
      </c>
    </row>
    <row r="1616" spans="1:15">
      <c r="A1616" t="s">
        <v>2990</v>
      </c>
      <c r="B1616" s="2">
        <v>44710.588391203702</v>
      </c>
      <c r="C1616" s="2">
        <v>44710.626168981478</v>
      </c>
      <c r="D1616" t="s">
        <v>440</v>
      </c>
      <c r="E1616" t="s">
        <v>2944</v>
      </c>
      <c r="F1616" t="s">
        <v>2945</v>
      </c>
      <c r="G1616" t="s">
        <v>1325</v>
      </c>
      <c r="H1616" t="s">
        <v>1020</v>
      </c>
      <c r="I1616">
        <v>162673000</v>
      </c>
      <c r="J1616" t="s">
        <v>1021</v>
      </c>
      <c r="K1616">
        <v>136.80000000000001</v>
      </c>
      <c r="L1616">
        <v>778.78</v>
      </c>
      <c r="M1616">
        <v>0</v>
      </c>
      <c r="O1616" t="s">
        <v>34</v>
      </c>
    </row>
    <row r="1617" spans="1:15">
      <c r="A1617" t="s">
        <v>2991</v>
      </c>
      <c r="B1617" s="2">
        <v>44724.588391203702</v>
      </c>
      <c r="C1617" s="2">
        <v>44724.759467592594</v>
      </c>
      <c r="D1617" t="s">
        <v>440</v>
      </c>
      <c r="E1617" t="s">
        <v>1762</v>
      </c>
      <c r="F1617" t="s">
        <v>1763</v>
      </c>
      <c r="G1617" t="s">
        <v>1325</v>
      </c>
      <c r="H1617" t="s">
        <v>1031</v>
      </c>
      <c r="I1617">
        <v>185349003</v>
      </c>
      <c r="J1617" t="s">
        <v>1038</v>
      </c>
      <c r="K1617">
        <v>85.55</v>
      </c>
      <c r="L1617">
        <v>3536.75</v>
      </c>
      <c r="M1617">
        <v>0</v>
      </c>
      <c r="N1617">
        <v>103697008</v>
      </c>
      <c r="O1617" t="s">
        <v>1039</v>
      </c>
    </row>
    <row r="1618" spans="1:15">
      <c r="A1618" t="s">
        <v>2992</v>
      </c>
      <c r="B1618" s="2">
        <v>45018.588391203702</v>
      </c>
      <c r="C1618" s="2">
        <v>45018.619629629633</v>
      </c>
      <c r="D1618" t="s">
        <v>440</v>
      </c>
      <c r="E1618" t="s">
        <v>1748</v>
      </c>
      <c r="F1618" t="s">
        <v>1749</v>
      </c>
      <c r="G1618" t="s">
        <v>1325</v>
      </c>
      <c r="H1618" t="s">
        <v>1043</v>
      </c>
      <c r="I1618">
        <v>308335008</v>
      </c>
      <c r="J1618" t="s">
        <v>1194</v>
      </c>
      <c r="K1618">
        <v>142.58000000000001</v>
      </c>
      <c r="L1618">
        <v>573.98</v>
      </c>
      <c r="M1618">
        <v>0</v>
      </c>
      <c r="N1618">
        <v>389095005</v>
      </c>
      <c r="O1618" t="s">
        <v>1191</v>
      </c>
    </row>
    <row r="1619" spans="1:15">
      <c r="A1619" t="s">
        <v>2993</v>
      </c>
      <c r="B1619" s="2">
        <v>45067.588391203702</v>
      </c>
      <c r="C1619" s="2">
        <v>45067.598807870374</v>
      </c>
      <c r="D1619" t="s">
        <v>440</v>
      </c>
      <c r="E1619" t="s">
        <v>1762</v>
      </c>
      <c r="F1619" t="s">
        <v>1763</v>
      </c>
      <c r="G1619" t="s">
        <v>1325</v>
      </c>
      <c r="H1619" t="s">
        <v>1031</v>
      </c>
      <c r="I1619">
        <v>424441002</v>
      </c>
      <c r="J1619" t="s">
        <v>1059</v>
      </c>
      <c r="K1619">
        <v>142.58000000000001</v>
      </c>
      <c r="L1619">
        <v>50918.75</v>
      </c>
      <c r="M1619">
        <v>27239.25</v>
      </c>
      <c r="N1619">
        <v>72892002</v>
      </c>
      <c r="O1619" t="s">
        <v>1060</v>
      </c>
    </row>
    <row r="1620" spans="1:15">
      <c r="A1620" t="s">
        <v>2994</v>
      </c>
      <c r="B1620" s="2">
        <v>45081.588391203702</v>
      </c>
      <c r="C1620" s="2">
        <v>45081.621238425927</v>
      </c>
      <c r="D1620" t="s">
        <v>440</v>
      </c>
      <c r="E1620" t="s">
        <v>2944</v>
      </c>
      <c r="F1620" t="s">
        <v>2945</v>
      </c>
      <c r="G1620" t="s">
        <v>1325</v>
      </c>
      <c r="H1620" t="s">
        <v>1020</v>
      </c>
      <c r="I1620">
        <v>162673000</v>
      </c>
      <c r="J1620" t="s">
        <v>1021</v>
      </c>
      <c r="K1620">
        <v>136.80000000000001</v>
      </c>
      <c r="L1620">
        <v>860.16</v>
      </c>
      <c r="M1620">
        <v>860.16</v>
      </c>
      <c r="O1620" t="s">
        <v>34</v>
      </c>
    </row>
    <row r="1621" spans="1:15">
      <c r="A1621" t="s">
        <v>2995</v>
      </c>
      <c r="B1621" s="2">
        <v>45095.588391203702</v>
      </c>
      <c r="C1621" s="2">
        <v>45095.74763888889</v>
      </c>
      <c r="D1621" t="s">
        <v>440</v>
      </c>
      <c r="E1621" t="s">
        <v>1762</v>
      </c>
      <c r="F1621" t="s">
        <v>1763</v>
      </c>
      <c r="G1621" t="s">
        <v>1325</v>
      </c>
      <c r="H1621" t="s">
        <v>1031</v>
      </c>
      <c r="I1621">
        <v>185349003</v>
      </c>
      <c r="J1621" t="s">
        <v>1038</v>
      </c>
      <c r="K1621">
        <v>85.55</v>
      </c>
      <c r="L1621">
        <v>3536.75</v>
      </c>
      <c r="M1621">
        <v>3536.75</v>
      </c>
      <c r="N1621">
        <v>103697008</v>
      </c>
      <c r="O1621" t="s">
        <v>1039</v>
      </c>
    </row>
    <row r="1622" spans="1:15">
      <c r="A1622" t="s">
        <v>2996</v>
      </c>
      <c r="B1622" s="2">
        <v>45102.588391203702</v>
      </c>
      <c r="C1622" s="2">
        <v>45102.598807870374</v>
      </c>
      <c r="D1622" t="s">
        <v>440</v>
      </c>
      <c r="E1622" t="s">
        <v>1762</v>
      </c>
      <c r="F1622" t="s">
        <v>1763</v>
      </c>
      <c r="G1622" t="s">
        <v>1325</v>
      </c>
      <c r="H1622" t="s">
        <v>1031</v>
      </c>
      <c r="I1622">
        <v>424619006</v>
      </c>
      <c r="J1622" t="s">
        <v>1062</v>
      </c>
      <c r="K1622">
        <v>142.58000000000001</v>
      </c>
      <c r="L1622">
        <v>12123.3</v>
      </c>
      <c r="M1622">
        <v>12123.3</v>
      </c>
      <c r="N1622">
        <v>72892002</v>
      </c>
      <c r="O1622" t="s">
        <v>1060</v>
      </c>
    </row>
    <row r="1623" spans="1:15">
      <c r="A1623" t="s">
        <v>2997</v>
      </c>
      <c r="B1623" s="2">
        <v>45130.588391203702</v>
      </c>
      <c r="C1623" s="2">
        <v>45130.598807870374</v>
      </c>
      <c r="D1623" t="s">
        <v>440</v>
      </c>
      <c r="E1623" t="s">
        <v>1762</v>
      </c>
      <c r="F1623" t="s">
        <v>1763</v>
      </c>
      <c r="G1623" t="s">
        <v>1325</v>
      </c>
      <c r="H1623" t="s">
        <v>1031</v>
      </c>
      <c r="I1623">
        <v>424619006</v>
      </c>
      <c r="J1623" t="s">
        <v>1062</v>
      </c>
      <c r="K1623">
        <v>142.58000000000001</v>
      </c>
      <c r="L1623">
        <v>10191.76</v>
      </c>
      <c r="M1623">
        <v>10191.76</v>
      </c>
      <c r="N1623">
        <v>72892002</v>
      </c>
      <c r="O1623" t="s">
        <v>1060</v>
      </c>
    </row>
    <row r="1624" spans="1:15">
      <c r="A1624" t="s">
        <v>2998</v>
      </c>
      <c r="B1624" s="2">
        <v>45158.588391203702</v>
      </c>
      <c r="C1624" s="2">
        <v>45158.598807870374</v>
      </c>
      <c r="D1624" t="s">
        <v>440</v>
      </c>
      <c r="E1624" t="s">
        <v>1762</v>
      </c>
      <c r="F1624" t="s">
        <v>1763</v>
      </c>
      <c r="G1624" t="s">
        <v>1325</v>
      </c>
      <c r="H1624" t="s">
        <v>1031</v>
      </c>
      <c r="I1624">
        <v>424619006</v>
      </c>
      <c r="J1624" t="s">
        <v>1062</v>
      </c>
      <c r="K1624">
        <v>142.58000000000001</v>
      </c>
      <c r="L1624">
        <v>9341.9699999999993</v>
      </c>
      <c r="M1624">
        <v>9341.9699999999993</v>
      </c>
      <c r="N1624">
        <v>72892002</v>
      </c>
      <c r="O1624" t="s">
        <v>1060</v>
      </c>
    </row>
    <row r="1625" spans="1:15">
      <c r="A1625" t="s">
        <v>2999</v>
      </c>
      <c r="B1625" s="2">
        <v>45186.588391203702</v>
      </c>
      <c r="C1625" s="2">
        <v>45186.598807870374</v>
      </c>
      <c r="D1625" t="s">
        <v>440</v>
      </c>
      <c r="E1625" t="s">
        <v>1762</v>
      </c>
      <c r="F1625" t="s">
        <v>1763</v>
      </c>
      <c r="G1625" t="s">
        <v>1325</v>
      </c>
      <c r="H1625" t="s">
        <v>1031</v>
      </c>
      <c r="I1625">
        <v>424619006</v>
      </c>
      <c r="J1625" t="s">
        <v>1062</v>
      </c>
      <c r="K1625">
        <v>142.58000000000001</v>
      </c>
      <c r="L1625">
        <v>14573.33</v>
      </c>
      <c r="M1625">
        <v>14573.33</v>
      </c>
      <c r="N1625">
        <v>72892002</v>
      </c>
      <c r="O1625" t="s">
        <v>1060</v>
      </c>
    </row>
    <row r="1626" spans="1:15">
      <c r="A1626" t="s">
        <v>3000</v>
      </c>
      <c r="B1626" s="2">
        <v>45214.588391203702</v>
      </c>
      <c r="C1626" s="2">
        <v>45214.598807870374</v>
      </c>
      <c r="D1626" t="s">
        <v>440</v>
      </c>
      <c r="E1626" t="s">
        <v>1762</v>
      </c>
      <c r="F1626" t="s">
        <v>1763</v>
      </c>
      <c r="G1626" t="s">
        <v>1325</v>
      </c>
      <c r="H1626" t="s">
        <v>1031</v>
      </c>
      <c r="I1626">
        <v>424619006</v>
      </c>
      <c r="J1626" t="s">
        <v>1062</v>
      </c>
      <c r="K1626">
        <v>142.58000000000001</v>
      </c>
      <c r="L1626">
        <v>10495.41</v>
      </c>
      <c r="M1626">
        <v>10495.41</v>
      </c>
      <c r="N1626">
        <v>72892002</v>
      </c>
      <c r="O1626" t="s">
        <v>1060</v>
      </c>
    </row>
    <row r="1627" spans="1:15">
      <c r="A1627" t="s">
        <v>3001</v>
      </c>
      <c r="B1627" s="2">
        <v>45242.546724537038</v>
      </c>
      <c r="C1627" s="2">
        <v>45242.557141203702</v>
      </c>
      <c r="D1627" t="s">
        <v>440</v>
      </c>
      <c r="E1627" t="s">
        <v>1762</v>
      </c>
      <c r="F1627" t="s">
        <v>1763</v>
      </c>
      <c r="G1627" t="s">
        <v>1325</v>
      </c>
      <c r="H1627" t="s">
        <v>1031</v>
      </c>
      <c r="I1627">
        <v>424619006</v>
      </c>
      <c r="J1627" t="s">
        <v>1062</v>
      </c>
      <c r="K1627">
        <v>142.58000000000001</v>
      </c>
      <c r="L1627">
        <v>11451.02</v>
      </c>
      <c r="M1627">
        <v>11451.02</v>
      </c>
      <c r="N1627">
        <v>72892002</v>
      </c>
      <c r="O1627" t="s">
        <v>1060</v>
      </c>
    </row>
    <row r="1628" spans="1:15">
      <c r="A1628" t="s">
        <v>3002</v>
      </c>
      <c r="B1628" s="2">
        <v>45270.546724537038</v>
      </c>
      <c r="C1628" s="2">
        <v>45270.557141203702</v>
      </c>
      <c r="D1628" t="s">
        <v>440</v>
      </c>
      <c r="E1628" t="s">
        <v>1762</v>
      </c>
      <c r="F1628" t="s">
        <v>1763</v>
      </c>
      <c r="G1628" t="s">
        <v>1325</v>
      </c>
      <c r="H1628" t="s">
        <v>1031</v>
      </c>
      <c r="I1628">
        <v>424619006</v>
      </c>
      <c r="J1628" t="s">
        <v>1062</v>
      </c>
      <c r="K1628">
        <v>142.58000000000001</v>
      </c>
      <c r="L1628">
        <v>5528.76</v>
      </c>
      <c r="M1628">
        <v>5528.76</v>
      </c>
      <c r="N1628">
        <v>72892002</v>
      </c>
      <c r="O1628" t="s">
        <v>1060</v>
      </c>
    </row>
    <row r="1629" spans="1:15">
      <c r="A1629" t="s">
        <v>3003</v>
      </c>
      <c r="B1629" s="2">
        <v>45284.546724537038</v>
      </c>
      <c r="C1629" s="2">
        <v>45284.557141203702</v>
      </c>
      <c r="D1629" t="s">
        <v>440</v>
      </c>
      <c r="E1629" t="s">
        <v>1762</v>
      </c>
      <c r="F1629" t="s">
        <v>1763</v>
      </c>
      <c r="G1629" t="s">
        <v>1325</v>
      </c>
      <c r="H1629" t="s">
        <v>1031</v>
      </c>
      <c r="I1629">
        <v>424619006</v>
      </c>
      <c r="J1629" t="s">
        <v>1062</v>
      </c>
      <c r="K1629">
        <v>142.58000000000001</v>
      </c>
      <c r="L1629">
        <v>11451.02</v>
      </c>
      <c r="M1629">
        <v>11451.02</v>
      </c>
      <c r="N1629">
        <v>72892002</v>
      </c>
      <c r="O1629" t="s">
        <v>1060</v>
      </c>
    </row>
    <row r="1630" spans="1:15">
      <c r="A1630" t="s">
        <v>3004</v>
      </c>
      <c r="B1630" s="2">
        <v>45291.546724537038</v>
      </c>
      <c r="C1630" s="2">
        <v>45291.557141203702</v>
      </c>
      <c r="D1630" t="s">
        <v>440</v>
      </c>
      <c r="E1630" t="s">
        <v>1762</v>
      </c>
      <c r="F1630" t="s">
        <v>1763</v>
      </c>
      <c r="G1630" t="s">
        <v>1325</v>
      </c>
      <c r="H1630" t="s">
        <v>1031</v>
      </c>
      <c r="I1630">
        <v>424619006</v>
      </c>
      <c r="J1630" t="s">
        <v>1062</v>
      </c>
      <c r="K1630">
        <v>142.58000000000001</v>
      </c>
      <c r="L1630">
        <v>4809.3</v>
      </c>
      <c r="M1630">
        <v>4809.3</v>
      </c>
      <c r="N1630">
        <v>72892002</v>
      </c>
      <c r="O1630" t="s">
        <v>1060</v>
      </c>
    </row>
    <row r="1631" spans="1:15">
      <c r="A1631" t="s">
        <v>3005</v>
      </c>
      <c r="B1631" s="2">
        <v>45298.546724537038</v>
      </c>
      <c r="C1631" s="2">
        <v>45298.588391203702</v>
      </c>
      <c r="D1631" t="s">
        <v>440</v>
      </c>
      <c r="E1631" t="s">
        <v>2961</v>
      </c>
      <c r="F1631" t="s">
        <v>2962</v>
      </c>
      <c r="G1631" t="s">
        <v>1325</v>
      </c>
      <c r="H1631" t="s">
        <v>1076</v>
      </c>
      <c r="I1631">
        <v>183460006</v>
      </c>
      <c r="J1631" t="s">
        <v>1077</v>
      </c>
      <c r="K1631">
        <v>146.18</v>
      </c>
      <c r="L1631">
        <v>4028.78</v>
      </c>
      <c r="M1631">
        <v>4028.78</v>
      </c>
      <c r="N1631">
        <v>72892002</v>
      </c>
      <c r="O1631" t="s">
        <v>1060</v>
      </c>
    </row>
    <row r="1632" spans="1:15">
      <c r="A1632" t="s">
        <v>3006</v>
      </c>
      <c r="B1632" s="2">
        <v>45340.546724537038</v>
      </c>
      <c r="C1632" s="2">
        <v>45340.557141203702</v>
      </c>
      <c r="D1632" t="s">
        <v>440</v>
      </c>
      <c r="E1632" t="s">
        <v>1762</v>
      </c>
      <c r="F1632" t="s">
        <v>1763</v>
      </c>
      <c r="G1632" t="s">
        <v>1325</v>
      </c>
      <c r="H1632" t="s">
        <v>1031</v>
      </c>
      <c r="I1632">
        <v>169762003</v>
      </c>
      <c r="J1632" t="s">
        <v>1079</v>
      </c>
      <c r="K1632">
        <v>142.58000000000001</v>
      </c>
      <c r="L1632">
        <v>1005.38</v>
      </c>
      <c r="M1632">
        <v>0</v>
      </c>
      <c r="O1632" t="s">
        <v>34</v>
      </c>
    </row>
    <row r="1633" spans="1:15">
      <c r="A1633" t="s">
        <v>3007</v>
      </c>
      <c r="B1633" s="2">
        <v>45370.505740740744</v>
      </c>
      <c r="C1633" s="2">
        <v>45370.516157407408</v>
      </c>
      <c r="D1633" t="s">
        <v>440</v>
      </c>
      <c r="E1633" t="s">
        <v>1748</v>
      </c>
      <c r="F1633" t="s">
        <v>1749</v>
      </c>
      <c r="G1633" t="s">
        <v>1325</v>
      </c>
      <c r="H1633" t="s">
        <v>1043</v>
      </c>
      <c r="I1633">
        <v>698314001</v>
      </c>
      <c r="J1633" t="s">
        <v>1190</v>
      </c>
      <c r="K1633">
        <v>142.58000000000001</v>
      </c>
      <c r="L1633">
        <v>142.58000000000001</v>
      </c>
      <c r="M1633">
        <v>0</v>
      </c>
      <c r="N1633">
        <v>389095005</v>
      </c>
      <c r="O1633" t="s">
        <v>1191</v>
      </c>
    </row>
    <row r="1634" spans="1:15">
      <c r="A1634" t="s">
        <v>3008</v>
      </c>
      <c r="B1634" s="2">
        <v>45452.588391203702</v>
      </c>
      <c r="C1634" s="2">
        <v>45452.62164351852</v>
      </c>
      <c r="D1634" t="s">
        <v>440</v>
      </c>
      <c r="E1634" t="s">
        <v>2944</v>
      </c>
      <c r="F1634" t="s">
        <v>2945</v>
      </c>
      <c r="G1634" t="s">
        <v>1325</v>
      </c>
      <c r="H1634" t="s">
        <v>1020</v>
      </c>
      <c r="I1634">
        <v>162673000</v>
      </c>
      <c r="J1634" t="s">
        <v>1021</v>
      </c>
      <c r="K1634">
        <v>136.80000000000001</v>
      </c>
      <c r="L1634">
        <v>1056.03</v>
      </c>
      <c r="M1634">
        <v>0</v>
      </c>
      <c r="O1634" t="s">
        <v>34</v>
      </c>
    </row>
    <row r="1635" spans="1:15">
      <c r="A1635" t="s">
        <v>3009</v>
      </c>
      <c r="B1635" s="2">
        <v>45466.588391203702</v>
      </c>
      <c r="C1635" s="2">
        <v>45466.741851851853</v>
      </c>
      <c r="D1635" t="s">
        <v>440</v>
      </c>
      <c r="E1635" t="s">
        <v>1762</v>
      </c>
      <c r="F1635" t="s">
        <v>1763</v>
      </c>
      <c r="G1635" t="s">
        <v>1325</v>
      </c>
      <c r="H1635" t="s">
        <v>1031</v>
      </c>
      <c r="I1635">
        <v>185349003</v>
      </c>
      <c r="J1635" t="s">
        <v>1038</v>
      </c>
      <c r="K1635">
        <v>85.55</v>
      </c>
      <c r="L1635">
        <v>3105.35</v>
      </c>
      <c r="M1635">
        <v>119.41</v>
      </c>
      <c r="N1635">
        <v>103697008</v>
      </c>
      <c r="O1635" t="s">
        <v>1039</v>
      </c>
    </row>
    <row r="1636" spans="1:15">
      <c r="A1636" t="s">
        <v>3010</v>
      </c>
      <c r="B1636" s="2">
        <v>45501.588391203702</v>
      </c>
      <c r="C1636" s="2">
        <v>45501.623113425929</v>
      </c>
      <c r="D1636" t="s">
        <v>440</v>
      </c>
      <c r="E1636" t="s">
        <v>1748</v>
      </c>
      <c r="F1636" t="s">
        <v>1749</v>
      </c>
      <c r="G1636" t="s">
        <v>1325</v>
      </c>
      <c r="H1636" t="s">
        <v>1043</v>
      </c>
      <c r="I1636">
        <v>185349003</v>
      </c>
      <c r="J1636" t="s">
        <v>1038</v>
      </c>
      <c r="K1636">
        <v>85.55</v>
      </c>
      <c r="L1636">
        <v>734.33</v>
      </c>
      <c r="M1636">
        <v>440.6</v>
      </c>
      <c r="O1636" t="s">
        <v>34</v>
      </c>
    </row>
    <row r="1637" spans="1:15">
      <c r="A1637" t="s">
        <v>3011</v>
      </c>
      <c r="B1637" s="2">
        <v>45508.588391203702</v>
      </c>
      <c r="C1637" s="2">
        <v>45508.598807870374</v>
      </c>
      <c r="D1637" t="s">
        <v>440</v>
      </c>
      <c r="E1637" t="s">
        <v>1762</v>
      </c>
      <c r="F1637" t="s">
        <v>1763</v>
      </c>
      <c r="G1637" t="s">
        <v>1325</v>
      </c>
      <c r="H1637" t="s">
        <v>1031</v>
      </c>
      <c r="I1637">
        <v>185345009</v>
      </c>
      <c r="J1637" t="s">
        <v>1032</v>
      </c>
      <c r="K1637">
        <v>85.55</v>
      </c>
      <c r="L1637">
        <v>85.55</v>
      </c>
      <c r="M1637">
        <v>51.33</v>
      </c>
      <c r="N1637">
        <v>444814009</v>
      </c>
      <c r="O1637" t="s">
        <v>1035</v>
      </c>
    </row>
    <row r="1638" spans="1:15">
      <c r="A1638" t="s">
        <v>3012</v>
      </c>
      <c r="B1638" s="2">
        <v>45515.588391203702</v>
      </c>
      <c r="C1638" s="2">
        <v>45515.723460648151</v>
      </c>
      <c r="D1638" t="s">
        <v>440</v>
      </c>
      <c r="E1638" t="s">
        <v>1762</v>
      </c>
      <c r="F1638" t="s">
        <v>1763</v>
      </c>
      <c r="G1638" t="s">
        <v>1325</v>
      </c>
      <c r="H1638" t="s">
        <v>1031</v>
      </c>
      <c r="I1638">
        <v>185349003</v>
      </c>
      <c r="J1638" t="s">
        <v>1038</v>
      </c>
      <c r="K1638">
        <v>85.55</v>
      </c>
      <c r="L1638">
        <v>3105.35</v>
      </c>
      <c r="M1638">
        <v>1863.21</v>
      </c>
      <c r="N1638">
        <v>66383009</v>
      </c>
      <c r="O1638" t="s">
        <v>1209</v>
      </c>
    </row>
    <row r="1639" spans="1:15">
      <c r="A1639" t="s">
        <v>3013</v>
      </c>
      <c r="B1639" s="2">
        <v>45659.796724537038</v>
      </c>
      <c r="C1639" s="2">
        <v>45659.807141203702</v>
      </c>
      <c r="D1639" t="s">
        <v>440</v>
      </c>
      <c r="E1639" t="s">
        <v>1762</v>
      </c>
      <c r="F1639" t="s">
        <v>1763</v>
      </c>
      <c r="G1639" t="s">
        <v>1325</v>
      </c>
      <c r="H1639" t="s">
        <v>1031</v>
      </c>
      <c r="I1639">
        <v>394701000</v>
      </c>
      <c r="J1639" t="s">
        <v>1154</v>
      </c>
      <c r="K1639">
        <v>142.58000000000001</v>
      </c>
      <c r="L1639">
        <v>142.58000000000001</v>
      </c>
      <c r="M1639">
        <v>85.55</v>
      </c>
      <c r="N1639">
        <v>195967001</v>
      </c>
      <c r="O1639" t="s">
        <v>1676</v>
      </c>
    </row>
    <row r="1640" spans="1:15">
      <c r="A1640" t="s">
        <v>3014</v>
      </c>
      <c r="B1640" s="2">
        <v>45730.505740740744</v>
      </c>
      <c r="C1640" s="2">
        <v>45730.520115740743</v>
      </c>
      <c r="D1640" t="s">
        <v>440</v>
      </c>
      <c r="E1640" t="s">
        <v>1748</v>
      </c>
      <c r="F1640" t="s">
        <v>1749</v>
      </c>
      <c r="G1640" t="s">
        <v>1325</v>
      </c>
      <c r="H1640" t="s">
        <v>1043</v>
      </c>
      <c r="I1640">
        <v>698314001</v>
      </c>
      <c r="J1640" t="s">
        <v>1190</v>
      </c>
      <c r="K1640">
        <v>142.58000000000001</v>
      </c>
      <c r="L1640">
        <v>4052.91</v>
      </c>
      <c r="M1640">
        <v>0</v>
      </c>
      <c r="N1640">
        <v>389095005</v>
      </c>
      <c r="O1640" t="s">
        <v>1191</v>
      </c>
    </row>
    <row r="1641" spans="1:15">
      <c r="A1641" t="s">
        <v>3015</v>
      </c>
      <c r="B1641" s="2">
        <v>45823.588391203702</v>
      </c>
      <c r="C1641" s="2">
        <v>45823.613715277781</v>
      </c>
      <c r="D1641" t="s">
        <v>440</v>
      </c>
      <c r="E1641" t="s">
        <v>2944</v>
      </c>
      <c r="F1641" t="s">
        <v>2945</v>
      </c>
      <c r="G1641" t="s">
        <v>1325</v>
      </c>
      <c r="H1641" t="s">
        <v>1020</v>
      </c>
      <c r="I1641">
        <v>162673000</v>
      </c>
      <c r="J1641" t="s">
        <v>1021</v>
      </c>
      <c r="K1641">
        <v>136.80000000000001</v>
      </c>
      <c r="L1641">
        <v>649.58000000000004</v>
      </c>
      <c r="M1641">
        <v>0</v>
      </c>
      <c r="O1641" t="s">
        <v>34</v>
      </c>
    </row>
    <row r="1642" spans="1:15">
      <c r="A1642" t="s">
        <v>3016</v>
      </c>
      <c r="B1642" s="2">
        <v>45837.588391203702</v>
      </c>
      <c r="C1642" s="2">
        <v>45837.703761574077</v>
      </c>
      <c r="D1642" t="s">
        <v>440</v>
      </c>
      <c r="E1642" t="s">
        <v>1762</v>
      </c>
      <c r="F1642" t="s">
        <v>1763</v>
      </c>
      <c r="G1642" t="s">
        <v>1325</v>
      </c>
      <c r="H1642" t="s">
        <v>1031</v>
      </c>
      <c r="I1642">
        <v>185349003</v>
      </c>
      <c r="J1642" t="s">
        <v>1038</v>
      </c>
      <c r="K1642">
        <v>85.55</v>
      </c>
      <c r="L1642">
        <v>3105.35</v>
      </c>
      <c r="M1642">
        <v>1192.0999999999999</v>
      </c>
      <c r="N1642">
        <v>66383009</v>
      </c>
      <c r="O1642" t="s">
        <v>1209</v>
      </c>
    </row>
    <row r="1643" spans="1:15">
      <c r="A1643" t="s">
        <v>3017</v>
      </c>
      <c r="B1643" s="2">
        <v>46019.796724537038</v>
      </c>
      <c r="C1643" s="2">
        <v>46019.807141203702</v>
      </c>
      <c r="D1643" t="s">
        <v>440</v>
      </c>
      <c r="E1643" t="s">
        <v>1762</v>
      </c>
      <c r="F1643" t="s">
        <v>1763</v>
      </c>
      <c r="G1643" t="s">
        <v>1325</v>
      </c>
      <c r="H1643" t="s">
        <v>1031</v>
      </c>
      <c r="I1643">
        <v>394701000</v>
      </c>
      <c r="J1643" t="s">
        <v>1154</v>
      </c>
      <c r="K1643">
        <v>142.58000000000001</v>
      </c>
      <c r="L1643">
        <v>142.58000000000001</v>
      </c>
      <c r="M1643">
        <v>85.55</v>
      </c>
      <c r="N1643">
        <v>195967001</v>
      </c>
      <c r="O1643" t="s">
        <v>1676</v>
      </c>
    </row>
    <row r="1644" spans="1:15">
      <c r="A1644" t="s">
        <v>3018</v>
      </c>
      <c r="B1644" s="2">
        <v>46090.520115740743</v>
      </c>
      <c r="C1644" s="2">
        <v>46090.530532407407</v>
      </c>
      <c r="D1644" t="s">
        <v>440</v>
      </c>
      <c r="E1644" t="s">
        <v>1748</v>
      </c>
      <c r="F1644" t="s">
        <v>1749</v>
      </c>
      <c r="G1644" t="s">
        <v>1325</v>
      </c>
      <c r="H1644" t="s">
        <v>1043</v>
      </c>
      <c r="I1644">
        <v>698314001</v>
      </c>
      <c r="J1644" t="s">
        <v>1190</v>
      </c>
      <c r="K1644">
        <v>142.58000000000001</v>
      </c>
      <c r="L1644">
        <v>142.58000000000001</v>
      </c>
      <c r="M1644">
        <v>0</v>
      </c>
      <c r="N1644">
        <v>389095005</v>
      </c>
      <c r="O1644" t="s">
        <v>1191</v>
      </c>
    </row>
    <row r="1645" spans="1:15">
      <c r="A1645" t="s">
        <v>3019</v>
      </c>
      <c r="B1645" s="2">
        <v>46194.588391203702</v>
      </c>
      <c r="C1645" s="2">
        <v>46194.623680555553</v>
      </c>
      <c r="D1645" t="s">
        <v>440</v>
      </c>
      <c r="E1645" t="s">
        <v>2944</v>
      </c>
      <c r="F1645" t="s">
        <v>2945</v>
      </c>
      <c r="G1645" t="s">
        <v>1325</v>
      </c>
      <c r="H1645" t="s">
        <v>1020</v>
      </c>
      <c r="I1645">
        <v>162673000</v>
      </c>
      <c r="J1645" t="s">
        <v>1021</v>
      </c>
      <c r="K1645">
        <v>136.80000000000001</v>
      </c>
      <c r="L1645">
        <v>1153.73</v>
      </c>
      <c r="M1645">
        <v>0</v>
      </c>
      <c r="O1645" t="s">
        <v>34</v>
      </c>
    </row>
    <row r="1646" spans="1:15">
      <c r="A1646" t="s">
        <v>3020</v>
      </c>
      <c r="B1646" s="2">
        <v>36234.845011574071</v>
      </c>
      <c r="C1646" s="2">
        <v>36234.868287037039</v>
      </c>
      <c r="D1646" t="s">
        <v>449</v>
      </c>
      <c r="E1646" t="s">
        <v>3021</v>
      </c>
      <c r="F1646" t="s">
        <v>3022</v>
      </c>
      <c r="G1646" t="s">
        <v>1019</v>
      </c>
      <c r="H1646" t="s">
        <v>1020</v>
      </c>
      <c r="I1646">
        <v>162673000</v>
      </c>
      <c r="J1646" t="s">
        <v>1021</v>
      </c>
      <c r="K1646">
        <v>136.80000000000001</v>
      </c>
      <c r="L1646">
        <v>704.2</v>
      </c>
      <c r="M1646">
        <v>0</v>
      </c>
      <c r="O1646" t="s">
        <v>34</v>
      </c>
    </row>
    <row r="1647" spans="1:15">
      <c r="A1647" t="s">
        <v>3023</v>
      </c>
      <c r="B1647" s="2">
        <v>38803.845011574071</v>
      </c>
      <c r="C1647" s="2">
        <v>38803.868414351855</v>
      </c>
      <c r="D1647" t="s">
        <v>449</v>
      </c>
      <c r="E1647" t="s">
        <v>3021</v>
      </c>
      <c r="F1647" t="s">
        <v>3022</v>
      </c>
      <c r="G1647" t="s">
        <v>1023</v>
      </c>
      <c r="H1647" t="s">
        <v>1020</v>
      </c>
      <c r="I1647">
        <v>162673000</v>
      </c>
      <c r="J1647" t="s">
        <v>1021</v>
      </c>
      <c r="K1647">
        <v>136.80000000000001</v>
      </c>
      <c r="L1647">
        <v>1705.22</v>
      </c>
      <c r="M1647">
        <v>197.78</v>
      </c>
      <c r="O1647" t="s">
        <v>34</v>
      </c>
    </row>
    <row r="1648" spans="1:15">
      <c r="A1648" t="s">
        <v>3024</v>
      </c>
      <c r="B1648" s="2">
        <v>41001.886678240742</v>
      </c>
      <c r="C1648" s="2">
        <v>41001.921215277776</v>
      </c>
      <c r="D1648" t="s">
        <v>449</v>
      </c>
      <c r="E1648" t="s">
        <v>3021</v>
      </c>
      <c r="F1648" t="s">
        <v>3022</v>
      </c>
      <c r="G1648" t="s">
        <v>1026</v>
      </c>
      <c r="H1648" t="s">
        <v>1020</v>
      </c>
      <c r="I1648">
        <v>162673000</v>
      </c>
      <c r="J1648" t="s">
        <v>1021</v>
      </c>
      <c r="K1648">
        <v>136.80000000000001</v>
      </c>
      <c r="L1648">
        <v>1215.48</v>
      </c>
      <c r="M1648">
        <v>0</v>
      </c>
      <c r="O1648" t="s">
        <v>34</v>
      </c>
    </row>
    <row r="1649" spans="1:15">
      <c r="A1649" t="s">
        <v>3025</v>
      </c>
      <c r="B1649" s="2">
        <v>41372.886678240742</v>
      </c>
      <c r="C1649" s="2">
        <v>41372.91510416667</v>
      </c>
      <c r="D1649" t="s">
        <v>449</v>
      </c>
      <c r="E1649" t="s">
        <v>3021</v>
      </c>
      <c r="F1649" t="s">
        <v>3022</v>
      </c>
      <c r="G1649" t="s">
        <v>1026</v>
      </c>
      <c r="H1649" t="s">
        <v>1020</v>
      </c>
      <c r="I1649">
        <v>162673000</v>
      </c>
      <c r="J1649" t="s">
        <v>1021</v>
      </c>
      <c r="K1649">
        <v>136.80000000000001</v>
      </c>
      <c r="L1649">
        <v>785.58</v>
      </c>
      <c r="M1649">
        <v>0</v>
      </c>
      <c r="O1649" t="s">
        <v>34</v>
      </c>
    </row>
    <row r="1650" spans="1:15">
      <c r="A1650" t="s">
        <v>3026</v>
      </c>
      <c r="B1650" s="2">
        <v>42485.886678240742</v>
      </c>
      <c r="C1650" s="2">
        <v>42485.924004629633</v>
      </c>
      <c r="D1650" t="s">
        <v>449</v>
      </c>
      <c r="E1650" t="s">
        <v>3021</v>
      </c>
      <c r="F1650" t="s">
        <v>3022</v>
      </c>
      <c r="G1650" t="s">
        <v>1107</v>
      </c>
      <c r="H1650" t="s">
        <v>1020</v>
      </c>
      <c r="I1650">
        <v>162673000</v>
      </c>
      <c r="J1650" t="s">
        <v>1021</v>
      </c>
      <c r="K1650">
        <v>136.80000000000001</v>
      </c>
      <c r="L1650">
        <v>785.58</v>
      </c>
      <c r="M1650">
        <v>0</v>
      </c>
      <c r="O1650" t="s">
        <v>34</v>
      </c>
    </row>
    <row r="1651" spans="1:15">
      <c r="A1651" t="s">
        <v>3027</v>
      </c>
      <c r="B1651" s="2">
        <v>42849.886678240742</v>
      </c>
      <c r="C1651" s="2">
        <v>42849.913935185185</v>
      </c>
      <c r="D1651" t="s">
        <v>449</v>
      </c>
      <c r="E1651" t="s">
        <v>3028</v>
      </c>
      <c r="F1651" t="s">
        <v>3029</v>
      </c>
      <c r="G1651" t="s">
        <v>1026</v>
      </c>
      <c r="H1651" t="s">
        <v>1043</v>
      </c>
      <c r="I1651">
        <v>308335008</v>
      </c>
      <c r="J1651" t="s">
        <v>1194</v>
      </c>
      <c r="K1651">
        <v>142.58000000000001</v>
      </c>
      <c r="L1651">
        <v>4052.91</v>
      </c>
      <c r="M1651">
        <v>0</v>
      </c>
      <c r="N1651">
        <v>389095005</v>
      </c>
      <c r="O1651" t="s">
        <v>1191</v>
      </c>
    </row>
    <row r="1652" spans="1:15">
      <c r="A1652" t="s">
        <v>3030</v>
      </c>
      <c r="B1652" s="2">
        <v>42863.886678240742</v>
      </c>
      <c r="C1652" s="2">
        <v>42863.908333333333</v>
      </c>
      <c r="D1652" t="s">
        <v>449</v>
      </c>
      <c r="E1652" t="s">
        <v>3021</v>
      </c>
      <c r="F1652" t="s">
        <v>3022</v>
      </c>
      <c r="G1652" t="s">
        <v>1026</v>
      </c>
      <c r="H1652" t="s">
        <v>1020</v>
      </c>
      <c r="I1652">
        <v>162673000</v>
      </c>
      <c r="J1652" t="s">
        <v>1021</v>
      </c>
      <c r="K1652">
        <v>136.80000000000001</v>
      </c>
      <c r="L1652">
        <v>785.58</v>
      </c>
      <c r="M1652">
        <v>0</v>
      </c>
      <c r="O1652" t="s">
        <v>34</v>
      </c>
    </row>
    <row r="1653" spans="1:15">
      <c r="A1653" t="s">
        <v>3031</v>
      </c>
      <c r="B1653" s="2">
        <v>42898.886678240742</v>
      </c>
      <c r="C1653" s="2">
        <v>42898.897094907406</v>
      </c>
      <c r="D1653" t="s">
        <v>449</v>
      </c>
      <c r="E1653" t="s">
        <v>3028</v>
      </c>
      <c r="F1653" t="s">
        <v>3029</v>
      </c>
      <c r="G1653" t="s">
        <v>1026</v>
      </c>
      <c r="H1653" t="s">
        <v>1031</v>
      </c>
      <c r="I1653">
        <v>424441002</v>
      </c>
      <c r="J1653" t="s">
        <v>1059</v>
      </c>
      <c r="K1653">
        <v>142.58000000000001</v>
      </c>
      <c r="L1653">
        <v>41358.47</v>
      </c>
      <c r="M1653">
        <v>24062.58</v>
      </c>
      <c r="N1653">
        <v>72892002</v>
      </c>
      <c r="O1653" t="s">
        <v>1060</v>
      </c>
    </row>
    <row r="1654" spans="1:15">
      <c r="A1654" t="s">
        <v>3032</v>
      </c>
      <c r="B1654" s="2">
        <v>42926.886678240742</v>
      </c>
      <c r="C1654" s="2">
        <v>42926.897094907406</v>
      </c>
      <c r="D1654" t="s">
        <v>449</v>
      </c>
      <c r="E1654" t="s">
        <v>3028</v>
      </c>
      <c r="F1654" t="s">
        <v>3029</v>
      </c>
      <c r="G1654" t="s">
        <v>1026</v>
      </c>
      <c r="H1654" t="s">
        <v>1031</v>
      </c>
      <c r="I1654">
        <v>424619006</v>
      </c>
      <c r="J1654" t="s">
        <v>1062</v>
      </c>
      <c r="K1654">
        <v>142.58000000000001</v>
      </c>
      <c r="L1654">
        <v>18655.64</v>
      </c>
      <c r="M1654">
        <v>18655.64</v>
      </c>
      <c r="N1654">
        <v>72892002</v>
      </c>
      <c r="O1654" t="s">
        <v>1060</v>
      </c>
    </row>
    <row r="1655" spans="1:15">
      <c r="A1655" t="s">
        <v>3033</v>
      </c>
      <c r="B1655" s="2">
        <v>42923.178344907406</v>
      </c>
      <c r="C1655" s="2">
        <v>42923.188761574071</v>
      </c>
      <c r="D1655" t="s">
        <v>449</v>
      </c>
      <c r="E1655" t="s">
        <v>3028</v>
      </c>
      <c r="F1655" t="s">
        <v>3029</v>
      </c>
      <c r="G1655" t="s">
        <v>1026</v>
      </c>
      <c r="H1655" t="s">
        <v>1031</v>
      </c>
      <c r="I1655">
        <v>185345009</v>
      </c>
      <c r="J1655" t="s">
        <v>1032</v>
      </c>
      <c r="K1655">
        <v>85.55</v>
      </c>
      <c r="L1655">
        <v>948.35</v>
      </c>
      <c r="M1655">
        <v>948.35</v>
      </c>
      <c r="N1655">
        <v>195662009</v>
      </c>
      <c r="O1655" t="s">
        <v>1130</v>
      </c>
    </row>
    <row r="1656" spans="1:15">
      <c r="A1656" t="s">
        <v>3034</v>
      </c>
      <c r="B1656" s="2">
        <v>42954.886678240742</v>
      </c>
      <c r="C1656" s="2">
        <v>42954.897094907406</v>
      </c>
      <c r="D1656" t="s">
        <v>449</v>
      </c>
      <c r="E1656" t="s">
        <v>3028</v>
      </c>
      <c r="F1656" t="s">
        <v>3029</v>
      </c>
      <c r="G1656" t="s">
        <v>1026</v>
      </c>
      <c r="H1656" t="s">
        <v>1031</v>
      </c>
      <c r="I1656">
        <v>424619006</v>
      </c>
      <c r="J1656" t="s">
        <v>1062</v>
      </c>
      <c r="K1656">
        <v>142.58000000000001</v>
      </c>
      <c r="L1656">
        <v>6270.11</v>
      </c>
      <c r="M1656">
        <v>6270.11</v>
      </c>
      <c r="N1656">
        <v>72892002</v>
      </c>
      <c r="O1656" t="s">
        <v>1060</v>
      </c>
    </row>
    <row r="1657" spans="1:15">
      <c r="A1657" t="s">
        <v>3035</v>
      </c>
      <c r="B1657" s="2">
        <v>42982.886678240742</v>
      </c>
      <c r="C1657" s="2">
        <v>42982.897094907406</v>
      </c>
      <c r="D1657" t="s">
        <v>449</v>
      </c>
      <c r="E1657" t="s">
        <v>3028</v>
      </c>
      <c r="F1657" t="s">
        <v>3029</v>
      </c>
      <c r="G1657" t="s">
        <v>1026</v>
      </c>
      <c r="H1657" t="s">
        <v>1031</v>
      </c>
      <c r="I1657">
        <v>424619006</v>
      </c>
      <c r="J1657" t="s">
        <v>1062</v>
      </c>
      <c r="K1657">
        <v>142.58000000000001</v>
      </c>
      <c r="L1657">
        <v>9278.17</v>
      </c>
      <c r="M1657">
        <v>9278.17</v>
      </c>
      <c r="N1657">
        <v>72892002</v>
      </c>
      <c r="O1657" t="s">
        <v>1060</v>
      </c>
    </row>
    <row r="1658" spans="1:15">
      <c r="A1658" t="s">
        <v>3036</v>
      </c>
      <c r="B1658" s="2">
        <v>43010.886678240742</v>
      </c>
      <c r="C1658" s="2">
        <v>43010.897094907406</v>
      </c>
      <c r="D1658" t="s">
        <v>449</v>
      </c>
      <c r="E1658" t="s">
        <v>3028</v>
      </c>
      <c r="F1658" t="s">
        <v>3029</v>
      </c>
      <c r="G1658" t="s">
        <v>1026</v>
      </c>
      <c r="H1658" t="s">
        <v>1031</v>
      </c>
      <c r="I1658">
        <v>424619006</v>
      </c>
      <c r="J1658" t="s">
        <v>1062</v>
      </c>
      <c r="K1658">
        <v>142.58000000000001</v>
      </c>
      <c r="L1658">
        <v>12125.84</v>
      </c>
      <c r="M1658">
        <v>12125.84</v>
      </c>
      <c r="N1658">
        <v>72892002</v>
      </c>
      <c r="O1658" t="s">
        <v>1060</v>
      </c>
    </row>
    <row r="1659" spans="1:15">
      <c r="A1659" t="s">
        <v>3037</v>
      </c>
      <c r="B1659" s="2">
        <v>43038.886678240742</v>
      </c>
      <c r="C1659" s="2">
        <v>43038.897094907406</v>
      </c>
      <c r="D1659" t="s">
        <v>449</v>
      </c>
      <c r="E1659" t="s">
        <v>3028</v>
      </c>
      <c r="F1659" t="s">
        <v>3029</v>
      </c>
      <c r="G1659" t="s">
        <v>1026</v>
      </c>
      <c r="H1659" t="s">
        <v>1031</v>
      </c>
      <c r="I1659">
        <v>424619006</v>
      </c>
      <c r="J1659" t="s">
        <v>1062</v>
      </c>
      <c r="K1659">
        <v>142.58000000000001</v>
      </c>
      <c r="L1659">
        <v>15707.28</v>
      </c>
      <c r="M1659">
        <v>15707.28</v>
      </c>
      <c r="N1659">
        <v>72892002</v>
      </c>
      <c r="O1659" t="s">
        <v>1060</v>
      </c>
    </row>
    <row r="1660" spans="1:15">
      <c r="A1660" t="s">
        <v>3038</v>
      </c>
      <c r="B1660" s="2">
        <v>43066.845011574071</v>
      </c>
      <c r="C1660" s="2">
        <v>43066.855428240742</v>
      </c>
      <c r="D1660" t="s">
        <v>449</v>
      </c>
      <c r="E1660" t="s">
        <v>3028</v>
      </c>
      <c r="F1660" t="s">
        <v>3029</v>
      </c>
      <c r="G1660" t="s">
        <v>1026</v>
      </c>
      <c r="H1660" t="s">
        <v>1031</v>
      </c>
      <c r="I1660">
        <v>424619006</v>
      </c>
      <c r="J1660" t="s">
        <v>1062</v>
      </c>
      <c r="K1660">
        <v>142.58000000000001</v>
      </c>
      <c r="L1660">
        <v>12174.86</v>
      </c>
      <c r="M1660">
        <v>12174.86</v>
      </c>
      <c r="N1660">
        <v>72892002</v>
      </c>
      <c r="O1660" t="s">
        <v>1060</v>
      </c>
    </row>
    <row r="1661" spans="1:15">
      <c r="A1661" t="s">
        <v>3039</v>
      </c>
      <c r="B1661" s="2">
        <v>43094.845011574071</v>
      </c>
      <c r="C1661" s="2">
        <v>43094.855428240742</v>
      </c>
      <c r="D1661" t="s">
        <v>449</v>
      </c>
      <c r="E1661" t="s">
        <v>3028</v>
      </c>
      <c r="F1661" t="s">
        <v>3029</v>
      </c>
      <c r="G1661" t="s">
        <v>1026</v>
      </c>
      <c r="H1661" t="s">
        <v>1031</v>
      </c>
      <c r="I1661">
        <v>424619006</v>
      </c>
      <c r="J1661" t="s">
        <v>1062</v>
      </c>
      <c r="K1661">
        <v>142.58000000000001</v>
      </c>
      <c r="L1661">
        <v>16313.49</v>
      </c>
      <c r="M1661">
        <v>16313.49</v>
      </c>
      <c r="N1661">
        <v>72892002</v>
      </c>
      <c r="O1661" t="s">
        <v>1060</v>
      </c>
    </row>
    <row r="1662" spans="1:15">
      <c r="A1662" t="s">
        <v>3040</v>
      </c>
      <c r="B1662" s="2">
        <v>43108.845011574071</v>
      </c>
      <c r="C1662" s="2">
        <v>43108.855428240742</v>
      </c>
      <c r="D1662" t="s">
        <v>449</v>
      </c>
      <c r="E1662" t="s">
        <v>3028</v>
      </c>
      <c r="F1662" t="s">
        <v>3029</v>
      </c>
      <c r="G1662" t="s">
        <v>1026</v>
      </c>
      <c r="H1662" t="s">
        <v>1031</v>
      </c>
      <c r="I1662">
        <v>424619006</v>
      </c>
      <c r="J1662" t="s">
        <v>1062</v>
      </c>
      <c r="K1662">
        <v>142.58000000000001</v>
      </c>
      <c r="L1662">
        <v>11451.02</v>
      </c>
      <c r="M1662">
        <v>11451.02</v>
      </c>
      <c r="N1662">
        <v>72892002</v>
      </c>
      <c r="O1662" t="s">
        <v>1060</v>
      </c>
    </row>
    <row r="1663" spans="1:15">
      <c r="A1663" t="s">
        <v>3041</v>
      </c>
      <c r="B1663" s="2">
        <v>43115.845011574071</v>
      </c>
      <c r="C1663" s="2">
        <v>43115.855428240742</v>
      </c>
      <c r="D1663" t="s">
        <v>449</v>
      </c>
      <c r="E1663" t="s">
        <v>3028</v>
      </c>
      <c r="F1663" t="s">
        <v>3029</v>
      </c>
      <c r="G1663" t="s">
        <v>1026</v>
      </c>
      <c r="H1663" t="s">
        <v>1031</v>
      </c>
      <c r="I1663">
        <v>424619006</v>
      </c>
      <c r="J1663" t="s">
        <v>1062</v>
      </c>
      <c r="K1663">
        <v>142.58000000000001</v>
      </c>
      <c r="L1663">
        <v>4665.96</v>
      </c>
      <c r="M1663">
        <v>4665.96</v>
      </c>
      <c r="N1663">
        <v>72892002</v>
      </c>
      <c r="O1663" t="s">
        <v>1060</v>
      </c>
    </row>
    <row r="1664" spans="1:15">
      <c r="A1664" t="s">
        <v>3042</v>
      </c>
      <c r="B1664" s="2">
        <v>43122.845011574071</v>
      </c>
      <c r="C1664" s="2">
        <v>43122.855428240742</v>
      </c>
      <c r="D1664" t="s">
        <v>449</v>
      </c>
      <c r="E1664" t="s">
        <v>3028</v>
      </c>
      <c r="F1664" t="s">
        <v>3029</v>
      </c>
      <c r="G1664" t="s">
        <v>1026</v>
      </c>
      <c r="H1664" t="s">
        <v>1031</v>
      </c>
      <c r="I1664">
        <v>424619006</v>
      </c>
      <c r="J1664" t="s">
        <v>1062</v>
      </c>
      <c r="K1664">
        <v>142.58000000000001</v>
      </c>
      <c r="L1664">
        <v>11451.02</v>
      </c>
      <c r="M1664">
        <v>3214.21</v>
      </c>
      <c r="N1664">
        <v>72892002</v>
      </c>
      <c r="O1664" t="s">
        <v>1060</v>
      </c>
    </row>
    <row r="1665" spans="1:15">
      <c r="A1665" t="s">
        <v>3043</v>
      </c>
      <c r="B1665" s="2">
        <v>43129.845011574071</v>
      </c>
      <c r="C1665" s="2">
        <v>43129.886678240742</v>
      </c>
      <c r="D1665" t="s">
        <v>449</v>
      </c>
      <c r="E1665" t="s">
        <v>3044</v>
      </c>
      <c r="F1665" t="s">
        <v>3045</v>
      </c>
      <c r="G1665" t="s">
        <v>1026</v>
      </c>
      <c r="H1665" t="s">
        <v>1076</v>
      </c>
      <c r="I1665">
        <v>183460006</v>
      </c>
      <c r="J1665" t="s">
        <v>1077</v>
      </c>
      <c r="K1665">
        <v>146.18</v>
      </c>
      <c r="L1665">
        <v>3362.86</v>
      </c>
      <c r="M1665">
        <v>2017.72</v>
      </c>
      <c r="N1665">
        <v>72892002</v>
      </c>
      <c r="O1665" t="s">
        <v>1060</v>
      </c>
    </row>
    <row r="1666" spans="1:15">
      <c r="A1666" t="s">
        <v>3046</v>
      </c>
      <c r="B1666" s="2">
        <v>43171.886678240742</v>
      </c>
      <c r="C1666" s="2">
        <v>43171.897094907406</v>
      </c>
      <c r="D1666" t="s">
        <v>449</v>
      </c>
      <c r="E1666" t="s">
        <v>3028</v>
      </c>
      <c r="F1666" t="s">
        <v>3029</v>
      </c>
      <c r="G1666" t="s">
        <v>1026</v>
      </c>
      <c r="H1666" t="s">
        <v>1031</v>
      </c>
      <c r="I1666">
        <v>169762003</v>
      </c>
      <c r="J1666" t="s">
        <v>1079</v>
      </c>
      <c r="K1666">
        <v>142.58000000000001</v>
      </c>
      <c r="L1666">
        <v>1005.38</v>
      </c>
      <c r="M1666">
        <v>1005.38</v>
      </c>
      <c r="O1666" t="s">
        <v>34</v>
      </c>
    </row>
    <row r="1667" spans="1:15">
      <c r="A1667" t="s">
        <v>3047</v>
      </c>
      <c r="B1667" s="2">
        <v>43178.886678240742</v>
      </c>
      <c r="C1667" s="2">
        <v>43178.897094907406</v>
      </c>
      <c r="D1667" t="s">
        <v>449</v>
      </c>
      <c r="E1667" t="s">
        <v>3028</v>
      </c>
      <c r="F1667" t="s">
        <v>3029</v>
      </c>
      <c r="G1667" t="s">
        <v>1026</v>
      </c>
      <c r="H1667" t="s">
        <v>1043</v>
      </c>
      <c r="I1667">
        <v>698314001</v>
      </c>
      <c r="J1667" t="s">
        <v>1190</v>
      </c>
      <c r="K1667">
        <v>142.58000000000001</v>
      </c>
      <c r="L1667">
        <v>142.58000000000001</v>
      </c>
      <c r="M1667">
        <v>142.58000000000001</v>
      </c>
      <c r="N1667">
        <v>389095005</v>
      </c>
      <c r="O1667" t="s">
        <v>1191</v>
      </c>
    </row>
    <row r="1668" spans="1:15">
      <c r="A1668" t="s">
        <v>3048</v>
      </c>
      <c r="B1668" s="2">
        <v>43178.886678240742</v>
      </c>
      <c r="C1668" s="2">
        <v>43178.897094907406</v>
      </c>
      <c r="D1668" t="s">
        <v>449</v>
      </c>
      <c r="E1668" t="s">
        <v>3028</v>
      </c>
      <c r="F1668" t="s">
        <v>3029</v>
      </c>
      <c r="G1668" t="s">
        <v>1026</v>
      </c>
      <c r="H1668" t="s">
        <v>1031</v>
      </c>
      <c r="I1668">
        <v>185345009</v>
      </c>
      <c r="J1668" t="s">
        <v>1032</v>
      </c>
      <c r="K1668">
        <v>85.55</v>
      </c>
      <c r="L1668">
        <v>2935.76</v>
      </c>
      <c r="M1668">
        <v>2935.76</v>
      </c>
      <c r="N1668">
        <v>43878008</v>
      </c>
      <c r="O1668" t="s">
        <v>1217</v>
      </c>
    </row>
    <row r="1669" spans="1:15">
      <c r="A1669" t="s">
        <v>3049</v>
      </c>
      <c r="B1669" s="2">
        <v>43185.886678240742</v>
      </c>
      <c r="C1669" s="2">
        <v>43185.921053240738</v>
      </c>
      <c r="D1669" t="s">
        <v>449</v>
      </c>
      <c r="E1669" t="s">
        <v>3028</v>
      </c>
      <c r="F1669" t="s">
        <v>3029</v>
      </c>
      <c r="G1669" t="s">
        <v>1026</v>
      </c>
      <c r="H1669" t="s">
        <v>1043</v>
      </c>
      <c r="I1669">
        <v>185349003</v>
      </c>
      <c r="J1669" t="s">
        <v>1038</v>
      </c>
      <c r="K1669">
        <v>85.55</v>
      </c>
      <c r="L1669">
        <v>1481.58</v>
      </c>
      <c r="M1669">
        <v>1481.58</v>
      </c>
      <c r="O1669" t="s">
        <v>34</v>
      </c>
    </row>
    <row r="1670" spans="1:15">
      <c r="A1670" t="s">
        <v>3050</v>
      </c>
      <c r="B1670" s="2">
        <v>43234.886678240742</v>
      </c>
      <c r="C1670" s="2">
        <v>43234.926759259259</v>
      </c>
      <c r="D1670" t="s">
        <v>449</v>
      </c>
      <c r="E1670" t="s">
        <v>3021</v>
      </c>
      <c r="F1670" t="s">
        <v>3022</v>
      </c>
      <c r="G1670" t="s">
        <v>1026</v>
      </c>
      <c r="H1670" t="s">
        <v>1020</v>
      </c>
      <c r="I1670">
        <v>162673000</v>
      </c>
      <c r="J1670" t="s">
        <v>1021</v>
      </c>
      <c r="K1670">
        <v>136.80000000000001</v>
      </c>
      <c r="L1670">
        <v>717.36</v>
      </c>
      <c r="M1670">
        <v>717.36</v>
      </c>
      <c r="O1670" t="s">
        <v>34</v>
      </c>
    </row>
    <row r="1671" spans="1:15">
      <c r="A1671" t="s">
        <v>3051</v>
      </c>
      <c r="B1671" s="2">
        <v>43538.886678240742</v>
      </c>
      <c r="C1671" s="2">
        <v>43538.897094907406</v>
      </c>
      <c r="D1671" t="s">
        <v>449</v>
      </c>
      <c r="E1671" t="s">
        <v>3028</v>
      </c>
      <c r="F1671" t="s">
        <v>3029</v>
      </c>
      <c r="G1671" t="s">
        <v>1026</v>
      </c>
      <c r="H1671" t="s">
        <v>1043</v>
      </c>
      <c r="I1671">
        <v>698314001</v>
      </c>
      <c r="J1671" t="s">
        <v>1190</v>
      </c>
      <c r="K1671">
        <v>142.58000000000001</v>
      </c>
      <c r="L1671">
        <v>2582.14</v>
      </c>
      <c r="M1671">
        <v>0</v>
      </c>
      <c r="N1671">
        <v>389095005</v>
      </c>
      <c r="O1671" t="s">
        <v>1191</v>
      </c>
    </row>
    <row r="1672" spans="1:15">
      <c r="A1672" t="s">
        <v>3052</v>
      </c>
      <c r="B1672" s="2">
        <v>43605.886678240742</v>
      </c>
      <c r="C1672" s="2">
        <v>43605.913946759261</v>
      </c>
      <c r="D1672" t="s">
        <v>449</v>
      </c>
      <c r="E1672" t="s">
        <v>3021</v>
      </c>
      <c r="F1672" t="s">
        <v>3022</v>
      </c>
      <c r="G1672" t="s">
        <v>1026</v>
      </c>
      <c r="H1672" t="s">
        <v>1020</v>
      </c>
      <c r="I1672">
        <v>162673000</v>
      </c>
      <c r="J1672" t="s">
        <v>1021</v>
      </c>
      <c r="K1672">
        <v>136.80000000000001</v>
      </c>
      <c r="L1672">
        <v>1219.55</v>
      </c>
      <c r="M1672">
        <v>0</v>
      </c>
      <c r="O1672" t="s">
        <v>34</v>
      </c>
    </row>
    <row r="1673" spans="1:15">
      <c r="A1673" t="s">
        <v>3053</v>
      </c>
      <c r="B1673" s="2">
        <v>43640.886678240742</v>
      </c>
      <c r="C1673" s="2">
        <v>43640.897094907406</v>
      </c>
      <c r="D1673" t="s">
        <v>449</v>
      </c>
      <c r="E1673" t="s">
        <v>3028</v>
      </c>
      <c r="F1673" t="s">
        <v>3029</v>
      </c>
      <c r="G1673" t="s">
        <v>1026</v>
      </c>
      <c r="H1673" t="s">
        <v>1043</v>
      </c>
      <c r="I1673">
        <v>308335008</v>
      </c>
      <c r="J1673" t="s">
        <v>1194</v>
      </c>
      <c r="K1673">
        <v>142.58000000000001</v>
      </c>
      <c r="L1673">
        <v>1250.8499999999999</v>
      </c>
      <c r="M1673">
        <v>0</v>
      </c>
      <c r="N1673">
        <v>389095005</v>
      </c>
      <c r="O1673" t="s">
        <v>1191</v>
      </c>
    </row>
    <row r="1674" spans="1:15">
      <c r="A1674" t="s">
        <v>3054</v>
      </c>
      <c r="B1674" s="2">
        <v>43731.886678240742</v>
      </c>
      <c r="C1674" s="2">
        <v>43731.897094907406</v>
      </c>
      <c r="D1674" t="s">
        <v>449</v>
      </c>
      <c r="E1674" t="s">
        <v>3028</v>
      </c>
      <c r="F1674" t="s">
        <v>3029</v>
      </c>
      <c r="G1674" t="s">
        <v>1026</v>
      </c>
      <c r="H1674" t="s">
        <v>1043</v>
      </c>
      <c r="I1674">
        <v>308335008</v>
      </c>
      <c r="J1674" t="s">
        <v>1194</v>
      </c>
      <c r="K1674">
        <v>142.58000000000001</v>
      </c>
      <c r="L1674">
        <v>4575.68</v>
      </c>
      <c r="M1674">
        <v>2141.42</v>
      </c>
      <c r="N1674">
        <v>389095005</v>
      </c>
      <c r="O1674" t="s">
        <v>1191</v>
      </c>
    </row>
    <row r="1675" spans="1:15">
      <c r="A1675" t="s">
        <v>3055</v>
      </c>
      <c r="B1675" s="2">
        <v>43822.845011574071</v>
      </c>
      <c r="C1675" s="2">
        <v>43822.855937499997</v>
      </c>
      <c r="D1675" t="s">
        <v>449</v>
      </c>
      <c r="E1675" t="s">
        <v>3028</v>
      </c>
      <c r="F1675" t="s">
        <v>3029</v>
      </c>
      <c r="G1675" t="s">
        <v>1026</v>
      </c>
      <c r="H1675" t="s">
        <v>1043</v>
      </c>
      <c r="I1675">
        <v>308335008</v>
      </c>
      <c r="J1675" t="s">
        <v>1194</v>
      </c>
      <c r="K1675">
        <v>142.58000000000001</v>
      </c>
      <c r="L1675">
        <v>3380.48</v>
      </c>
      <c r="M1675">
        <v>2028.29</v>
      </c>
      <c r="N1675">
        <v>389095005</v>
      </c>
      <c r="O1675" t="s">
        <v>1191</v>
      </c>
    </row>
    <row r="1676" spans="1:15">
      <c r="A1676" t="s">
        <v>3056</v>
      </c>
      <c r="B1676" s="2">
        <v>43898.894930555558</v>
      </c>
      <c r="C1676" s="2">
        <v>43898.905347222222</v>
      </c>
      <c r="D1676" t="s">
        <v>449</v>
      </c>
      <c r="E1676" t="s">
        <v>3028</v>
      </c>
      <c r="F1676" t="s">
        <v>3029</v>
      </c>
      <c r="G1676" t="s">
        <v>1107</v>
      </c>
      <c r="H1676" t="s">
        <v>1043</v>
      </c>
      <c r="I1676">
        <v>698314001</v>
      </c>
      <c r="J1676" t="s">
        <v>1190</v>
      </c>
      <c r="K1676">
        <v>142.58000000000001</v>
      </c>
      <c r="L1676">
        <v>142.58000000000001</v>
      </c>
      <c r="M1676">
        <v>0</v>
      </c>
      <c r="N1676">
        <v>389095005</v>
      </c>
      <c r="O1676" t="s">
        <v>1191</v>
      </c>
    </row>
    <row r="1677" spans="1:15">
      <c r="A1677" t="s">
        <v>3057</v>
      </c>
      <c r="B1677" s="2">
        <v>43913.886678240742</v>
      </c>
      <c r="C1677" s="2">
        <v>43913.89739583333</v>
      </c>
      <c r="D1677" t="s">
        <v>449</v>
      </c>
      <c r="E1677" t="s">
        <v>3028</v>
      </c>
      <c r="F1677" t="s">
        <v>3029</v>
      </c>
      <c r="G1677" t="s">
        <v>1107</v>
      </c>
      <c r="H1677" t="s">
        <v>1043</v>
      </c>
      <c r="I1677">
        <v>308335008</v>
      </c>
      <c r="J1677" t="s">
        <v>1194</v>
      </c>
      <c r="K1677">
        <v>142.58000000000001</v>
      </c>
      <c r="L1677">
        <v>1250.8499999999999</v>
      </c>
      <c r="M1677">
        <v>0</v>
      </c>
      <c r="N1677">
        <v>389095005</v>
      </c>
      <c r="O1677" t="s">
        <v>1191</v>
      </c>
    </row>
    <row r="1678" spans="1:15">
      <c r="A1678" t="s">
        <v>3058</v>
      </c>
      <c r="B1678" s="2">
        <v>43976.886678240742</v>
      </c>
      <c r="C1678" s="2">
        <v>43976.916597222225</v>
      </c>
      <c r="D1678" t="s">
        <v>449</v>
      </c>
      <c r="E1678" t="s">
        <v>3021</v>
      </c>
      <c r="F1678" t="s">
        <v>3022</v>
      </c>
      <c r="G1678" t="s">
        <v>1107</v>
      </c>
      <c r="H1678" t="s">
        <v>1020</v>
      </c>
      <c r="I1678">
        <v>162673000</v>
      </c>
      <c r="J1678" t="s">
        <v>1021</v>
      </c>
      <c r="K1678">
        <v>136.80000000000001</v>
      </c>
      <c r="L1678">
        <v>1243.31</v>
      </c>
      <c r="M1678">
        <v>0</v>
      </c>
      <c r="O1678" t="s">
        <v>34</v>
      </c>
    </row>
    <row r="1679" spans="1:15">
      <c r="A1679" t="s">
        <v>3059</v>
      </c>
      <c r="B1679" s="2">
        <v>44004.886678240742</v>
      </c>
      <c r="C1679" s="2">
        <v>44004.898692129631</v>
      </c>
      <c r="D1679" t="s">
        <v>449</v>
      </c>
      <c r="E1679" t="s">
        <v>3028</v>
      </c>
      <c r="F1679" t="s">
        <v>3029</v>
      </c>
      <c r="G1679" t="s">
        <v>1107</v>
      </c>
      <c r="H1679" t="s">
        <v>1043</v>
      </c>
      <c r="I1679">
        <v>308335008</v>
      </c>
      <c r="J1679" t="s">
        <v>1194</v>
      </c>
      <c r="K1679">
        <v>142.58000000000001</v>
      </c>
      <c r="L1679">
        <v>1250.8499999999999</v>
      </c>
      <c r="M1679">
        <v>0</v>
      </c>
      <c r="N1679">
        <v>389095005</v>
      </c>
      <c r="O1679" t="s">
        <v>1191</v>
      </c>
    </row>
    <row r="1680" spans="1:15">
      <c r="A1680" t="s">
        <v>3060</v>
      </c>
      <c r="B1680" s="2">
        <v>44030.220011574071</v>
      </c>
      <c r="C1680" s="2">
        <v>44030.230428240742</v>
      </c>
      <c r="D1680" t="s">
        <v>449</v>
      </c>
      <c r="E1680" t="s">
        <v>3028</v>
      </c>
      <c r="F1680" t="s">
        <v>3029</v>
      </c>
      <c r="G1680" t="s">
        <v>1107</v>
      </c>
      <c r="H1680" t="s">
        <v>1031</v>
      </c>
      <c r="I1680">
        <v>185345009</v>
      </c>
      <c r="J1680" t="s">
        <v>1032</v>
      </c>
      <c r="K1680">
        <v>85.55</v>
      </c>
      <c r="L1680">
        <v>85.55</v>
      </c>
      <c r="M1680">
        <v>0</v>
      </c>
      <c r="N1680">
        <v>444814009</v>
      </c>
      <c r="O1680" t="s">
        <v>1035</v>
      </c>
    </row>
    <row r="1681" spans="1:15">
      <c r="A1681" t="s">
        <v>3061</v>
      </c>
      <c r="B1681" s="2">
        <v>44095.886678240742</v>
      </c>
      <c r="C1681" s="2">
        <v>44095.898773148147</v>
      </c>
      <c r="D1681" t="s">
        <v>449</v>
      </c>
      <c r="E1681" t="s">
        <v>3028</v>
      </c>
      <c r="F1681" t="s">
        <v>3029</v>
      </c>
      <c r="G1681" t="s">
        <v>1107</v>
      </c>
      <c r="H1681" t="s">
        <v>1043</v>
      </c>
      <c r="I1681">
        <v>308335008</v>
      </c>
      <c r="J1681" t="s">
        <v>1194</v>
      </c>
      <c r="K1681">
        <v>142.58000000000001</v>
      </c>
      <c r="L1681">
        <v>2667.34</v>
      </c>
      <c r="M1681">
        <v>1707</v>
      </c>
      <c r="N1681">
        <v>389095005</v>
      </c>
      <c r="O1681" t="s">
        <v>1191</v>
      </c>
    </row>
    <row r="1682" spans="1:15">
      <c r="A1682" t="s">
        <v>3062</v>
      </c>
      <c r="B1682" s="2">
        <v>44122.261678240742</v>
      </c>
      <c r="C1682" s="2">
        <v>44122.272094907406</v>
      </c>
      <c r="D1682" t="s">
        <v>449</v>
      </c>
      <c r="E1682" t="s">
        <v>3028</v>
      </c>
      <c r="F1682" t="s">
        <v>3029</v>
      </c>
      <c r="G1682" t="s">
        <v>1107</v>
      </c>
      <c r="H1682" t="s">
        <v>1031</v>
      </c>
      <c r="I1682">
        <v>185345009</v>
      </c>
      <c r="J1682" t="s">
        <v>1032</v>
      </c>
      <c r="K1682">
        <v>85.55</v>
      </c>
      <c r="L1682">
        <v>1188.68</v>
      </c>
      <c r="M1682">
        <v>832.07</v>
      </c>
      <c r="N1682">
        <v>195662009</v>
      </c>
      <c r="O1682" t="s">
        <v>1130</v>
      </c>
    </row>
    <row r="1683" spans="1:15">
      <c r="A1683" t="s">
        <v>3063</v>
      </c>
      <c r="B1683" s="2">
        <v>44130.886678240742</v>
      </c>
      <c r="C1683" s="2">
        <v>44130.919224537036</v>
      </c>
      <c r="D1683" t="s">
        <v>449</v>
      </c>
      <c r="E1683" t="s">
        <v>3028</v>
      </c>
      <c r="F1683" t="s">
        <v>3029</v>
      </c>
      <c r="G1683" t="s">
        <v>1107</v>
      </c>
      <c r="H1683" t="s">
        <v>1043</v>
      </c>
      <c r="I1683">
        <v>185349003</v>
      </c>
      <c r="J1683" t="s">
        <v>1038</v>
      </c>
      <c r="K1683">
        <v>85.55</v>
      </c>
      <c r="L1683">
        <v>741.13</v>
      </c>
      <c r="M1683">
        <v>518.79</v>
      </c>
      <c r="O1683" t="s">
        <v>34</v>
      </c>
    </row>
    <row r="1684" spans="1:15">
      <c r="A1684" t="s">
        <v>3064</v>
      </c>
      <c r="B1684" s="2">
        <v>44186.845011574071</v>
      </c>
      <c r="C1684" s="2">
        <v>44186.857743055552</v>
      </c>
      <c r="D1684" t="s">
        <v>449</v>
      </c>
      <c r="E1684" t="s">
        <v>3028</v>
      </c>
      <c r="F1684" t="s">
        <v>3029</v>
      </c>
      <c r="G1684" t="s">
        <v>1107</v>
      </c>
      <c r="H1684" t="s">
        <v>1043</v>
      </c>
      <c r="I1684">
        <v>308335008</v>
      </c>
      <c r="J1684" t="s">
        <v>1194</v>
      </c>
      <c r="K1684">
        <v>142.58000000000001</v>
      </c>
      <c r="L1684">
        <v>1269.6099999999999</v>
      </c>
      <c r="M1684">
        <v>888.73</v>
      </c>
      <c r="N1684">
        <v>389095005</v>
      </c>
      <c r="O1684" t="s">
        <v>1191</v>
      </c>
    </row>
    <row r="1685" spans="1:15">
      <c r="A1685" t="s">
        <v>3065</v>
      </c>
      <c r="B1685" s="2">
        <v>44258.853263888886</v>
      </c>
      <c r="C1685" s="2">
        <v>44258.863680555558</v>
      </c>
      <c r="D1685" t="s">
        <v>449</v>
      </c>
      <c r="E1685" t="s">
        <v>3028</v>
      </c>
      <c r="F1685" t="s">
        <v>3029</v>
      </c>
      <c r="G1685" t="s">
        <v>1023</v>
      </c>
      <c r="H1685" t="s">
        <v>1043</v>
      </c>
      <c r="I1685">
        <v>698314001</v>
      </c>
      <c r="J1685" t="s">
        <v>1190</v>
      </c>
      <c r="K1685">
        <v>142.58000000000001</v>
      </c>
      <c r="L1685">
        <v>142.58000000000001</v>
      </c>
      <c r="M1685">
        <v>0</v>
      </c>
      <c r="N1685">
        <v>389095005</v>
      </c>
      <c r="O1685" t="s">
        <v>1191</v>
      </c>
    </row>
    <row r="1686" spans="1:15">
      <c r="A1686" t="s">
        <v>3066</v>
      </c>
      <c r="B1686" s="2">
        <v>44277.886678240742</v>
      </c>
      <c r="C1686" s="2">
        <v>44277.897094907406</v>
      </c>
      <c r="D1686" t="s">
        <v>449</v>
      </c>
      <c r="E1686" t="s">
        <v>3028</v>
      </c>
      <c r="F1686" t="s">
        <v>3029</v>
      </c>
      <c r="G1686" t="s">
        <v>1023</v>
      </c>
      <c r="H1686" t="s">
        <v>1043</v>
      </c>
      <c r="I1686">
        <v>308335008</v>
      </c>
      <c r="J1686" t="s">
        <v>1194</v>
      </c>
      <c r="K1686">
        <v>142.58000000000001</v>
      </c>
      <c r="L1686">
        <v>1250.8499999999999</v>
      </c>
      <c r="M1686">
        <v>131.80000000000001</v>
      </c>
      <c r="N1686">
        <v>389095005</v>
      </c>
      <c r="O1686" t="s">
        <v>1191</v>
      </c>
    </row>
    <row r="1687" spans="1:15">
      <c r="A1687" t="s">
        <v>3067</v>
      </c>
      <c r="B1687" s="2">
        <v>44347.886678240742</v>
      </c>
      <c r="C1687" s="2">
        <v>44347.926180555558</v>
      </c>
      <c r="D1687" t="s">
        <v>449</v>
      </c>
      <c r="E1687" t="s">
        <v>3021</v>
      </c>
      <c r="F1687" t="s">
        <v>3022</v>
      </c>
      <c r="G1687" t="s">
        <v>1023</v>
      </c>
      <c r="H1687" t="s">
        <v>1020</v>
      </c>
      <c r="I1687">
        <v>162673000</v>
      </c>
      <c r="J1687" t="s">
        <v>1021</v>
      </c>
      <c r="K1687">
        <v>136.80000000000001</v>
      </c>
      <c r="L1687">
        <v>853.36</v>
      </c>
      <c r="M1687">
        <v>682.68</v>
      </c>
      <c r="O1687" t="s">
        <v>34</v>
      </c>
    </row>
    <row r="1688" spans="1:15">
      <c r="A1688" t="s">
        <v>3068</v>
      </c>
      <c r="B1688" s="2">
        <v>30187.811898148149</v>
      </c>
      <c r="C1688" s="2">
        <v>30187.839097222222</v>
      </c>
      <c r="D1688" t="s">
        <v>458</v>
      </c>
      <c r="E1688" t="s">
        <v>3069</v>
      </c>
      <c r="F1688" t="s">
        <v>3070</v>
      </c>
      <c r="G1688" t="s">
        <v>1019</v>
      </c>
      <c r="H1688" t="s">
        <v>1020</v>
      </c>
      <c r="I1688">
        <v>162673000</v>
      </c>
      <c r="J1688" t="s">
        <v>1021</v>
      </c>
      <c r="K1688">
        <v>136.80000000000001</v>
      </c>
      <c r="L1688">
        <v>991.55</v>
      </c>
      <c r="M1688">
        <v>0</v>
      </c>
      <c r="O1688" t="s">
        <v>34</v>
      </c>
    </row>
    <row r="1689" spans="1:15">
      <c r="A1689" t="s">
        <v>3071</v>
      </c>
      <c r="B1689" s="2">
        <v>33967.770231481481</v>
      </c>
      <c r="C1689" s="2">
        <v>33967.817615740743</v>
      </c>
      <c r="D1689" t="s">
        <v>458</v>
      </c>
      <c r="E1689" t="s">
        <v>3072</v>
      </c>
      <c r="F1689" t="s">
        <v>3073</v>
      </c>
      <c r="G1689" t="s">
        <v>1019</v>
      </c>
      <c r="H1689" t="s">
        <v>1031</v>
      </c>
      <c r="I1689">
        <v>185347001</v>
      </c>
      <c r="J1689" t="s">
        <v>1124</v>
      </c>
      <c r="K1689">
        <v>85.55</v>
      </c>
      <c r="L1689">
        <v>1454.33</v>
      </c>
      <c r="M1689">
        <v>0</v>
      </c>
      <c r="N1689">
        <v>62479008</v>
      </c>
      <c r="O1689" t="s">
        <v>3074</v>
      </c>
    </row>
    <row r="1690" spans="1:15">
      <c r="A1690" t="s">
        <v>3075</v>
      </c>
      <c r="B1690" s="2">
        <v>33988.770231481481</v>
      </c>
      <c r="C1690" s="2">
        <v>33989.209201388891</v>
      </c>
      <c r="D1690" t="s">
        <v>458</v>
      </c>
      <c r="E1690" t="s">
        <v>3072</v>
      </c>
      <c r="F1690" t="s">
        <v>3073</v>
      </c>
      <c r="G1690" t="s">
        <v>1019</v>
      </c>
      <c r="H1690" t="s">
        <v>1031</v>
      </c>
      <c r="I1690">
        <v>185347001</v>
      </c>
      <c r="J1690" t="s">
        <v>1124</v>
      </c>
      <c r="K1690">
        <v>85.55</v>
      </c>
      <c r="L1690">
        <v>10172.99</v>
      </c>
      <c r="M1690">
        <v>0</v>
      </c>
      <c r="N1690">
        <v>62479008</v>
      </c>
      <c r="O1690" t="s">
        <v>3074</v>
      </c>
    </row>
    <row r="1691" spans="1:15">
      <c r="A1691" t="s">
        <v>3076</v>
      </c>
      <c r="B1691" s="2">
        <v>38307.770231481481</v>
      </c>
      <c r="C1691" s="2">
        <v>38307.803912037038</v>
      </c>
      <c r="D1691" t="s">
        <v>458</v>
      </c>
      <c r="E1691" t="s">
        <v>3072</v>
      </c>
      <c r="F1691" t="s">
        <v>3073</v>
      </c>
      <c r="G1691" t="s">
        <v>1019</v>
      </c>
      <c r="H1691" t="s">
        <v>1020</v>
      </c>
      <c r="I1691">
        <v>162673000</v>
      </c>
      <c r="J1691" t="s">
        <v>1021</v>
      </c>
      <c r="K1691">
        <v>136.80000000000001</v>
      </c>
      <c r="L1691">
        <v>840.2</v>
      </c>
      <c r="M1691">
        <v>0</v>
      </c>
      <c r="O1691" t="s">
        <v>34</v>
      </c>
    </row>
    <row r="1692" spans="1:15">
      <c r="A1692" t="s">
        <v>3077</v>
      </c>
      <c r="B1692" s="2">
        <v>44361.886678240742</v>
      </c>
      <c r="C1692" s="2">
        <v>44362.042303240742</v>
      </c>
      <c r="D1692" t="s">
        <v>449</v>
      </c>
      <c r="E1692" t="s">
        <v>3028</v>
      </c>
      <c r="F1692" t="s">
        <v>3029</v>
      </c>
      <c r="G1692" t="s">
        <v>1023</v>
      </c>
      <c r="H1692" t="s">
        <v>1031</v>
      </c>
      <c r="I1692">
        <v>185349003</v>
      </c>
      <c r="J1692" t="s">
        <v>1038</v>
      </c>
      <c r="K1692">
        <v>85.55</v>
      </c>
      <c r="L1692">
        <v>3968.15</v>
      </c>
      <c r="M1692">
        <v>3174.52</v>
      </c>
      <c r="N1692">
        <v>103697008</v>
      </c>
      <c r="O1692" t="s">
        <v>1039</v>
      </c>
    </row>
    <row r="1693" spans="1:15">
      <c r="A1693" t="s">
        <v>3078</v>
      </c>
      <c r="B1693" s="2">
        <v>38678.770231481481</v>
      </c>
      <c r="C1693" s="2">
        <v>38678.808449074073</v>
      </c>
      <c r="D1693" t="s">
        <v>458</v>
      </c>
      <c r="E1693" t="s">
        <v>3072</v>
      </c>
      <c r="F1693" t="s">
        <v>3073</v>
      </c>
      <c r="G1693" t="s">
        <v>1019</v>
      </c>
      <c r="H1693" t="s">
        <v>1020</v>
      </c>
      <c r="I1693">
        <v>162673000</v>
      </c>
      <c r="J1693" t="s">
        <v>1021</v>
      </c>
      <c r="K1693">
        <v>136.80000000000001</v>
      </c>
      <c r="L1693">
        <v>976.2</v>
      </c>
      <c r="M1693">
        <v>0</v>
      </c>
      <c r="O1693" t="s">
        <v>34</v>
      </c>
    </row>
    <row r="1694" spans="1:15">
      <c r="A1694" t="s">
        <v>3079</v>
      </c>
      <c r="B1694" s="2">
        <v>39791.770231481481</v>
      </c>
      <c r="C1694" s="2">
        <v>39791.793055555558</v>
      </c>
      <c r="D1694" t="s">
        <v>458</v>
      </c>
      <c r="E1694" t="s">
        <v>3072</v>
      </c>
      <c r="F1694" t="s">
        <v>3073</v>
      </c>
      <c r="G1694" t="s">
        <v>1026</v>
      </c>
      <c r="H1694" t="s">
        <v>1020</v>
      </c>
      <c r="I1694">
        <v>162673000</v>
      </c>
      <c r="J1694" t="s">
        <v>1021</v>
      </c>
      <c r="K1694">
        <v>136.80000000000001</v>
      </c>
      <c r="L1694">
        <v>1069.06</v>
      </c>
      <c r="M1694">
        <v>0</v>
      </c>
      <c r="O1694" t="s">
        <v>34</v>
      </c>
    </row>
    <row r="1695" spans="1:15">
      <c r="A1695" t="s">
        <v>3080</v>
      </c>
      <c r="B1695" s="2">
        <v>40533.770231481481</v>
      </c>
      <c r="C1695" s="2">
        <v>40533.798171296294</v>
      </c>
      <c r="D1695" t="s">
        <v>458</v>
      </c>
      <c r="E1695" t="s">
        <v>3072</v>
      </c>
      <c r="F1695" t="s">
        <v>3073</v>
      </c>
      <c r="G1695" t="s">
        <v>1026</v>
      </c>
      <c r="H1695" t="s">
        <v>1020</v>
      </c>
      <c r="I1695">
        <v>162673000</v>
      </c>
      <c r="J1695" t="s">
        <v>1021</v>
      </c>
      <c r="K1695">
        <v>136.80000000000001</v>
      </c>
      <c r="L1695">
        <v>853.36</v>
      </c>
      <c r="M1695">
        <v>0</v>
      </c>
      <c r="O1695" t="s">
        <v>34</v>
      </c>
    </row>
    <row r="1696" spans="1:15">
      <c r="A1696" t="s">
        <v>3081</v>
      </c>
      <c r="B1696" s="2">
        <v>41275.770231481481</v>
      </c>
      <c r="C1696" s="2">
        <v>41275.791527777779</v>
      </c>
      <c r="D1696" t="s">
        <v>458</v>
      </c>
      <c r="E1696" t="s">
        <v>3072</v>
      </c>
      <c r="F1696" t="s">
        <v>3073</v>
      </c>
      <c r="G1696" t="s">
        <v>1023</v>
      </c>
      <c r="H1696" t="s">
        <v>1020</v>
      </c>
      <c r="I1696">
        <v>162673000</v>
      </c>
      <c r="J1696" t="s">
        <v>1021</v>
      </c>
      <c r="K1696">
        <v>136.80000000000001</v>
      </c>
      <c r="L1696">
        <v>1218.22</v>
      </c>
      <c r="M1696">
        <v>974.56</v>
      </c>
      <c r="O1696" t="s">
        <v>34</v>
      </c>
    </row>
    <row r="1697" spans="1:15">
      <c r="A1697" t="s">
        <v>3082</v>
      </c>
      <c r="B1697" s="2">
        <v>41408.811898148146</v>
      </c>
      <c r="C1697" s="2">
        <v>41408.846689814818</v>
      </c>
      <c r="D1697" t="s">
        <v>458</v>
      </c>
      <c r="E1697" t="s">
        <v>3072</v>
      </c>
      <c r="F1697" t="s">
        <v>3073</v>
      </c>
      <c r="G1697" t="s">
        <v>1023</v>
      </c>
      <c r="H1697" t="s">
        <v>1043</v>
      </c>
      <c r="I1697">
        <v>185349003</v>
      </c>
      <c r="J1697" t="s">
        <v>1038</v>
      </c>
      <c r="K1697">
        <v>85.55</v>
      </c>
      <c r="L1697">
        <v>666.11</v>
      </c>
      <c r="M1697">
        <v>532.88</v>
      </c>
      <c r="O1697" t="s">
        <v>34</v>
      </c>
    </row>
    <row r="1698" spans="1:15">
      <c r="A1698" t="s">
        <v>3083</v>
      </c>
      <c r="B1698" s="2">
        <v>41527.811898148146</v>
      </c>
      <c r="C1698" s="2">
        <v>41527.842638888891</v>
      </c>
      <c r="D1698" t="s">
        <v>458</v>
      </c>
      <c r="E1698" t="s">
        <v>3072</v>
      </c>
      <c r="F1698" t="s">
        <v>3073</v>
      </c>
      <c r="G1698" t="s">
        <v>1023</v>
      </c>
      <c r="H1698" t="s">
        <v>1043</v>
      </c>
      <c r="I1698">
        <v>185349003</v>
      </c>
      <c r="J1698" t="s">
        <v>1038</v>
      </c>
      <c r="K1698">
        <v>85.55</v>
      </c>
      <c r="L1698">
        <v>1528.91</v>
      </c>
      <c r="M1698">
        <v>1024.76</v>
      </c>
      <c r="O1698" t="s">
        <v>34</v>
      </c>
    </row>
    <row r="1699" spans="1:15">
      <c r="A1699" t="s">
        <v>3084</v>
      </c>
      <c r="B1699" s="2">
        <v>41541.811898148146</v>
      </c>
      <c r="C1699" s="2">
        <v>41541.949328703704</v>
      </c>
      <c r="D1699" t="s">
        <v>458</v>
      </c>
      <c r="E1699" t="s">
        <v>3072</v>
      </c>
      <c r="F1699" t="s">
        <v>3073</v>
      </c>
      <c r="G1699" t="s">
        <v>1023</v>
      </c>
      <c r="H1699" t="s">
        <v>1031</v>
      </c>
      <c r="I1699">
        <v>185349003</v>
      </c>
      <c r="J1699" t="s">
        <v>1038</v>
      </c>
      <c r="K1699">
        <v>85.55</v>
      </c>
      <c r="L1699">
        <v>3105.35</v>
      </c>
      <c r="M1699">
        <v>2484.2800000000002</v>
      </c>
      <c r="N1699">
        <v>103697008</v>
      </c>
      <c r="O1699" t="s">
        <v>1039</v>
      </c>
    </row>
    <row r="1700" spans="1:15">
      <c r="A1700" t="s">
        <v>3085</v>
      </c>
      <c r="B1700" s="2">
        <v>41646.770231481481</v>
      </c>
      <c r="C1700" s="2">
        <v>41646.809108796297</v>
      </c>
      <c r="D1700" t="s">
        <v>458</v>
      </c>
      <c r="E1700" t="s">
        <v>3072</v>
      </c>
      <c r="F1700" t="s">
        <v>3073</v>
      </c>
      <c r="G1700" t="s">
        <v>1023</v>
      </c>
      <c r="H1700" t="s">
        <v>1020</v>
      </c>
      <c r="I1700">
        <v>162673000</v>
      </c>
      <c r="J1700" t="s">
        <v>1021</v>
      </c>
      <c r="K1700">
        <v>136.80000000000001</v>
      </c>
      <c r="L1700">
        <v>1218.8900000000001</v>
      </c>
      <c r="M1700">
        <v>975.1</v>
      </c>
      <c r="O1700" t="s">
        <v>34</v>
      </c>
    </row>
    <row r="1701" spans="1:15">
      <c r="A1701" t="s">
        <v>3086</v>
      </c>
      <c r="B1701" s="2">
        <v>44375.886678240742</v>
      </c>
      <c r="C1701" s="2">
        <v>44375.897766203707</v>
      </c>
      <c r="D1701" t="s">
        <v>449</v>
      </c>
      <c r="E1701" t="s">
        <v>3028</v>
      </c>
      <c r="F1701" t="s">
        <v>3029</v>
      </c>
      <c r="G1701" t="s">
        <v>1023</v>
      </c>
      <c r="H1701" t="s">
        <v>1043</v>
      </c>
      <c r="I1701">
        <v>308335008</v>
      </c>
      <c r="J1701" t="s">
        <v>1194</v>
      </c>
      <c r="K1701">
        <v>142.58000000000001</v>
      </c>
      <c r="L1701">
        <v>1250.8499999999999</v>
      </c>
      <c r="M1701">
        <v>1000.68</v>
      </c>
      <c r="N1701">
        <v>389095005</v>
      </c>
      <c r="O1701" t="s">
        <v>1191</v>
      </c>
    </row>
    <row r="1702" spans="1:15">
      <c r="A1702" t="s">
        <v>3087</v>
      </c>
      <c r="B1702" s="2">
        <v>44466.886678240742</v>
      </c>
      <c r="C1702" s="2">
        <v>44466.899560185186</v>
      </c>
      <c r="D1702" t="s">
        <v>449</v>
      </c>
      <c r="E1702" t="s">
        <v>3028</v>
      </c>
      <c r="F1702" t="s">
        <v>3029</v>
      </c>
      <c r="G1702" t="s">
        <v>1023</v>
      </c>
      <c r="H1702" t="s">
        <v>1043</v>
      </c>
      <c r="I1702">
        <v>308335008</v>
      </c>
      <c r="J1702" t="s">
        <v>1194</v>
      </c>
      <c r="K1702">
        <v>142.58000000000001</v>
      </c>
      <c r="L1702">
        <v>1250.8499999999999</v>
      </c>
      <c r="M1702">
        <v>1000.68</v>
      </c>
      <c r="N1702">
        <v>389095005</v>
      </c>
      <c r="O1702" t="s">
        <v>1191</v>
      </c>
    </row>
    <row r="1703" spans="1:15">
      <c r="A1703" t="s">
        <v>3088</v>
      </c>
      <c r="B1703" s="2">
        <v>44487.886678240742</v>
      </c>
      <c r="C1703" s="2">
        <v>44487.897094907406</v>
      </c>
      <c r="D1703" t="s">
        <v>449</v>
      </c>
      <c r="E1703" t="s">
        <v>3028</v>
      </c>
      <c r="F1703" t="s">
        <v>3029</v>
      </c>
      <c r="G1703" t="s">
        <v>1023</v>
      </c>
      <c r="H1703" t="s">
        <v>1043</v>
      </c>
      <c r="I1703">
        <v>33879002</v>
      </c>
      <c r="J1703" t="s">
        <v>1044</v>
      </c>
      <c r="K1703">
        <v>142.58000000000001</v>
      </c>
      <c r="L1703">
        <v>278.58</v>
      </c>
      <c r="M1703">
        <v>222.86</v>
      </c>
      <c r="O1703" t="s">
        <v>34</v>
      </c>
    </row>
    <row r="1704" spans="1:15">
      <c r="A1704" t="s">
        <v>3089</v>
      </c>
      <c r="B1704" s="2">
        <v>44508.845011574071</v>
      </c>
      <c r="C1704" s="2">
        <v>44508.855428240742</v>
      </c>
      <c r="D1704" t="s">
        <v>449</v>
      </c>
      <c r="E1704" t="s">
        <v>3028</v>
      </c>
      <c r="F1704" t="s">
        <v>3029</v>
      </c>
      <c r="G1704" t="s">
        <v>1023</v>
      </c>
      <c r="H1704" t="s">
        <v>1043</v>
      </c>
      <c r="I1704">
        <v>33879002</v>
      </c>
      <c r="J1704" t="s">
        <v>1044</v>
      </c>
      <c r="K1704">
        <v>142.58000000000001</v>
      </c>
      <c r="L1704">
        <v>278.58</v>
      </c>
      <c r="M1704">
        <v>222.86</v>
      </c>
      <c r="O1704" t="s">
        <v>34</v>
      </c>
    </row>
    <row r="1705" spans="1:15">
      <c r="A1705" t="s">
        <v>3090</v>
      </c>
      <c r="B1705" s="2">
        <v>44557.845011574071</v>
      </c>
      <c r="C1705" s="2">
        <v>44557.855428240742</v>
      </c>
      <c r="D1705" t="s">
        <v>449</v>
      </c>
      <c r="E1705" t="s">
        <v>3028</v>
      </c>
      <c r="F1705" t="s">
        <v>3029</v>
      </c>
      <c r="G1705" t="s">
        <v>1023</v>
      </c>
      <c r="H1705" t="s">
        <v>1043</v>
      </c>
      <c r="I1705">
        <v>308335008</v>
      </c>
      <c r="J1705" t="s">
        <v>1194</v>
      </c>
      <c r="K1705">
        <v>142.58000000000001</v>
      </c>
      <c r="L1705">
        <v>4575.68</v>
      </c>
      <c r="M1705">
        <v>3660.54</v>
      </c>
      <c r="N1705">
        <v>389095005</v>
      </c>
      <c r="O1705" t="s">
        <v>1191</v>
      </c>
    </row>
    <row r="1706" spans="1:15">
      <c r="A1706" t="s">
        <v>3091</v>
      </c>
      <c r="B1706" s="2">
        <v>44648.886678240742</v>
      </c>
      <c r="C1706" s="2">
        <v>44648.899907407409</v>
      </c>
      <c r="D1706" t="s">
        <v>449</v>
      </c>
      <c r="E1706" t="s">
        <v>3028</v>
      </c>
      <c r="F1706" t="s">
        <v>3029</v>
      </c>
      <c r="G1706" t="s">
        <v>1026</v>
      </c>
      <c r="H1706" t="s">
        <v>1043</v>
      </c>
      <c r="I1706">
        <v>308335008</v>
      </c>
      <c r="J1706" t="s">
        <v>1194</v>
      </c>
      <c r="K1706">
        <v>142.58000000000001</v>
      </c>
      <c r="L1706">
        <v>4575.68</v>
      </c>
      <c r="M1706">
        <v>0</v>
      </c>
      <c r="N1706">
        <v>389095005</v>
      </c>
      <c r="O1706" t="s">
        <v>1191</v>
      </c>
    </row>
    <row r="1707" spans="1:15">
      <c r="A1707" t="s">
        <v>3092</v>
      </c>
      <c r="B1707" s="2">
        <v>41653.770231481481</v>
      </c>
      <c r="C1707" s="2">
        <v>41653.811643518522</v>
      </c>
      <c r="D1707" t="s">
        <v>458</v>
      </c>
      <c r="E1707" t="s">
        <v>3072</v>
      </c>
      <c r="F1707" t="s">
        <v>3073</v>
      </c>
      <c r="G1707" t="s">
        <v>1023</v>
      </c>
      <c r="H1707" t="s">
        <v>1031</v>
      </c>
      <c r="I1707">
        <v>185347001</v>
      </c>
      <c r="J1707" t="s">
        <v>1124</v>
      </c>
      <c r="K1707">
        <v>85.55</v>
      </c>
      <c r="L1707">
        <v>948.35</v>
      </c>
      <c r="M1707">
        <v>758.68</v>
      </c>
      <c r="N1707">
        <v>62479008</v>
      </c>
      <c r="O1707" t="s">
        <v>3074</v>
      </c>
    </row>
    <row r="1708" spans="1:15">
      <c r="A1708" t="s">
        <v>3093</v>
      </c>
      <c r="B1708" s="2">
        <v>41773.853310185186</v>
      </c>
      <c r="C1708" s="2">
        <v>41773.9218287037</v>
      </c>
      <c r="D1708" t="s">
        <v>458</v>
      </c>
      <c r="E1708" t="s">
        <v>3072</v>
      </c>
      <c r="F1708" t="s">
        <v>3073</v>
      </c>
      <c r="G1708" t="s">
        <v>1023</v>
      </c>
      <c r="H1708" t="s">
        <v>1031</v>
      </c>
      <c r="I1708">
        <v>185347001</v>
      </c>
      <c r="J1708" t="s">
        <v>1124</v>
      </c>
      <c r="K1708">
        <v>85.55</v>
      </c>
      <c r="L1708">
        <v>1811.15</v>
      </c>
      <c r="M1708">
        <v>1448.92</v>
      </c>
      <c r="N1708">
        <v>62479008</v>
      </c>
      <c r="O1708" t="s">
        <v>3074</v>
      </c>
    </row>
    <row r="1709" spans="1:15">
      <c r="A1709" t="s">
        <v>3094</v>
      </c>
      <c r="B1709" s="2">
        <v>41814.811898148146</v>
      </c>
      <c r="C1709" s="2">
        <v>41814.834548611114</v>
      </c>
      <c r="D1709" t="s">
        <v>458</v>
      </c>
      <c r="E1709" t="s">
        <v>3072</v>
      </c>
      <c r="F1709" t="s">
        <v>3073</v>
      </c>
      <c r="G1709" t="s">
        <v>1023</v>
      </c>
      <c r="H1709" t="s">
        <v>1031</v>
      </c>
      <c r="I1709">
        <v>185349003</v>
      </c>
      <c r="J1709" t="s">
        <v>1038</v>
      </c>
      <c r="K1709">
        <v>85.55</v>
      </c>
      <c r="L1709">
        <v>9564.48</v>
      </c>
      <c r="M1709">
        <v>6485.18</v>
      </c>
      <c r="N1709">
        <v>275978004</v>
      </c>
      <c r="O1709" t="s">
        <v>1449</v>
      </c>
    </row>
    <row r="1710" spans="1:15">
      <c r="A1710" t="s">
        <v>3095</v>
      </c>
      <c r="B1710" s="2">
        <v>41893.9218287037</v>
      </c>
      <c r="C1710" s="2">
        <v>41893.959641203706</v>
      </c>
      <c r="D1710" t="s">
        <v>458</v>
      </c>
      <c r="E1710" t="s">
        <v>3072</v>
      </c>
      <c r="F1710" t="s">
        <v>3073</v>
      </c>
      <c r="G1710" t="s">
        <v>1023</v>
      </c>
      <c r="H1710" t="s">
        <v>1031</v>
      </c>
      <c r="I1710">
        <v>185347001</v>
      </c>
      <c r="J1710" t="s">
        <v>1124</v>
      </c>
      <c r="K1710">
        <v>85.55</v>
      </c>
      <c r="L1710">
        <v>948.35</v>
      </c>
      <c r="M1710">
        <v>758.68</v>
      </c>
      <c r="N1710">
        <v>62479008</v>
      </c>
      <c r="O1710" t="s">
        <v>3074</v>
      </c>
    </row>
    <row r="1711" spans="1:15">
      <c r="A1711" t="s">
        <v>3096</v>
      </c>
      <c r="B1711" s="2">
        <v>41903.395231481481</v>
      </c>
      <c r="C1711" s="2">
        <v>41903.405648148146</v>
      </c>
      <c r="D1711" t="s">
        <v>458</v>
      </c>
      <c r="E1711" t="s">
        <v>3072</v>
      </c>
      <c r="F1711" t="s">
        <v>3073</v>
      </c>
      <c r="G1711" t="s">
        <v>1023</v>
      </c>
      <c r="H1711" t="s">
        <v>1031</v>
      </c>
      <c r="I1711">
        <v>185345009</v>
      </c>
      <c r="J1711" t="s">
        <v>1032</v>
      </c>
      <c r="K1711">
        <v>85.55</v>
      </c>
      <c r="L1711">
        <v>85.55</v>
      </c>
      <c r="M1711">
        <v>68.44</v>
      </c>
      <c r="N1711">
        <v>195662009</v>
      </c>
      <c r="O1711" t="s">
        <v>1130</v>
      </c>
    </row>
    <row r="1712" spans="1:15">
      <c r="A1712" t="s">
        <v>3097</v>
      </c>
      <c r="B1712" s="2">
        <v>41912.811898148146</v>
      </c>
      <c r="C1712" s="2">
        <v>41912.853564814817</v>
      </c>
      <c r="D1712" t="s">
        <v>458</v>
      </c>
      <c r="E1712" t="s">
        <v>3069</v>
      </c>
      <c r="F1712" t="s">
        <v>3070</v>
      </c>
      <c r="G1712" t="s">
        <v>1023</v>
      </c>
      <c r="H1712" t="s">
        <v>1076</v>
      </c>
      <c r="I1712">
        <v>50849002</v>
      </c>
      <c r="J1712" t="s">
        <v>1163</v>
      </c>
      <c r="K1712">
        <v>146.18</v>
      </c>
      <c r="L1712">
        <v>862.74</v>
      </c>
      <c r="M1712">
        <v>690.18</v>
      </c>
      <c r="O1712" t="s">
        <v>34</v>
      </c>
    </row>
    <row r="1713" spans="1:15">
      <c r="A1713" t="s">
        <v>3098</v>
      </c>
      <c r="B1713" s="2">
        <v>44718.886678240742</v>
      </c>
      <c r="C1713" s="2">
        <v>44718.919988425929</v>
      </c>
      <c r="D1713" t="s">
        <v>449</v>
      </c>
      <c r="E1713" t="s">
        <v>3021</v>
      </c>
      <c r="F1713" t="s">
        <v>3022</v>
      </c>
      <c r="G1713" t="s">
        <v>1026</v>
      </c>
      <c r="H1713" t="s">
        <v>1020</v>
      </c>
      <c r="I1713">
        <v>162673000</v>
      </c>
      <c r="J1713" t="s">
        <v>1021</v>
      </c>
      <c r="K1713">
        <v>136.80000000000001</v>
      </c>
      <c r="L1713">
        <v>1057.58</v>
      </c>
      <c r="M1713">
        <v>0</v>
      </c>
      <c r="O1713" t="s">
        <v>34</v>
      </c>
    </row>
    <row r="1714" spans="1:15">
      <c r="A1714" t="s">
        <v>3099</v>
      </c>
      <c r="B1714" s="2">
        <v>44739.886678240742</v>
      </c>
      <c r="C1714" s="2">
        <v>44739.897094907406</v>
      </c>
      <c r="D1714" t="s">
        <v>449</v>
      </c>
      <c r="E1714" t="s">
        <v>3028</v>
      </c>
      <c r="F1714" t="s">
        <v>3029</v>
      </c>
      <c r="G1714" t="s">
        <v>1026</v>
      </c>
      <c r="H1714" t="s">
        <v>1043</v>
      </c>
      <c r="I1714">
        <v>308335008</v>
      </c>
      <c r="J1714" t="s">
        <v>1194</v>
      </c>
      <c r="K1714">
        <v>142.58000000000001</v>
      </c>
      <c r="L1714">
        <v>2105.63</v>
      </c>
      <c r="M1714">
        <v>987.75</v>
      </c>
      <c r="N1714">
        <v>389095005</v>
      </c>
      <c r="O1714" t="s">
        <v>1191</v>
      </c>
    </row>
    <row r="1715" spans="1:15">
      <c r="A1715" t="s">
        <v>3100</v>
      </c>
      <c r="B1715" s="2">
        <v>44830.886678240742</v>
      </c>
      <c r="C1715" s="2">
        <v>44830.898726851854</v>
      </c>
      <c r="D1715" t="s">
        <v>449</v>
      </c>
      <c r="E1715" t="s">
        <v>3028</v>
      </c>
      <c r="F1715" t="s">
        <v>3029</v>
      </c>
      <c r="G1715" t="s">
        <v>1026</v>
      </c>
      <c r="H1715" t="s">
        <v>1043</v>
      </c>
      <c r="I1715">
        <v>308335008</v>
      </c>
      <c r="J1715" t="s">
        <v>1194</v>
      </c>
      <c r="K1715">
        <v>142.58000000000001</v>
      </c>
      <c r="L1715">
        <v>2975.01</v>
      </c>
      <c r="M1715">
        <v>1785.01</v>
      </c>
      <c r="N1715">
        <v>389095005</v>
      </c>
      <c r="O1715" t="s">
        <v>1191</v>
      </c>
    </row>
    <row r="1716" spans="1:15">
      <c r="A1716" t="s">
        <v>3101</v>
      </c>
      <c r="B1716" s="2">
        <v>44921.845011574071</v>
      </c>
      <c r="C1716" s="2">
        <v>44921.855428240742</v>
      </c>
      <c r="D1716" t="s">
        <v>449</v>
      </c>
      <c r="E1716" t="s">
        <v>3028</v>
      </c>
      <c r="F1716" t="s">
        <v>3029</v>
      </c>
      <c r="G1716" t="s">
        <v>1026</v>
      </c>
      <c r="H1716" t="s">
        <v>1043</v>
      </c>
      <c r="I1716">
        <v>308335008</v>
      </c>
      <c r="J1716" t="s">
        <v>1194</v>
      </c>
      <c r="K1716">
        <v>142.58000000000001</v>
      </c>
      <c r="L1716">
        <v>4575.68</v>
      </c>
      <c r="M1716">
        <v>2745.41</v>
      </c>
      <c r="N1716">
        <v>389095005</v>
      </c>
      <c r="O1716" t="s">
        <v>1191</v>
      </c>
    </row>
    <row r="1717" spans="1:15">
      <c r="A1717" t="s">
        <v>3102</v>
      </c>
      <c r="B1717" s="2">
        <v>44978.853263888886</v>
      </c>
      <c r="C1717" s="2">
        <v>44978.863680555558</v>
      </c>
      <c r="D1717" t="s">
        <v>449</v>
      </c>
      <c r="E1717" t="s">
        <v>3028</v>
      </c>
      <c r="F1717" t="s">
        <v>3029</v>
      </c>
      <c r="G1717" t="s">
        <v>1026</v>
      </c>
      <c r="H1717" t="s">
        <v>1043</v>
      </c>
      <c r="I1717">
        <v>698314001</v>
      </c>
      <c r="J1717" t="s">
        <v>1190</v>
      </c>
      <c r="K1717">
        <v>142.58000000000001</v>
      </c>
      <c r="L1717">
        <v>142.58000000000001</v>
      </c>
      <c r="M1717">
        <v>0</v>
      </c>
      <c r="N1717">
        <v>389095005</v>
      </c>
      <c r="O1717" t="s">
        <v>1191</v>
      </c>
    </row>
    <row r="1718" spans="1:15">
      <c r="A1718" t="s">
        <v>3103</v>
      </c>
      <c r="B1718" s="2">
        <v>44983.728263888886</v>
      </c>
      <c r="C1718" s="2">
        <v>44983.759687500002</v>
      </c>
      <c r="D1718" t="s">
        <v>449</v>
      </c>
      <c r="E1718" t="s">
        <v>3028</v>
      </c>
      <c r="F1718" t="s">
        <v>3029</v>
      </c>
      <c r="G1718" t="s">
        <v>1026</v>
      </c>
      <c r="H1718" t="s">
        <v>1043</v>
      </c>
      <c r="I1718">
        <v>308335008</v>
      </c>
      <c r="J1718" t="s">
        <v>1194</v>
      </c>
      <c r="K1718">
        <v>142.58000000000001</v>
      </c>
      <c r="L1718">
        <v>4052.91</v>
      </c>
      <c r="M1718">
        <v>0</v>
      </c>
      <c r="N1718">
        <v>389095005</v>
      </c>
      <c r="O1718" t="s">
        <v>1191</v>
      </c>
    </row>
    <row r="1719" spans="1:15">
      <c r="A1719" t="s">
        <v>3104</v>
      </c>
      <c r="B1719" s="2">
        <v>45012.886678240742</v>
      </c>
      <c r="C1719" s="2">
        <v>45012.897534722222</v>
      </c>
      <c r="D1719" t="s">
        <v>449</v>
      </c>
      <c r="E1719" t="s">
        <v>3028</v>
      </c>
      <c r="F1719" t="s">
        <v>3029</v>
      </c>
      <c r="G1719" t="s">
        <v>1026</v>
      </c>
      <c r="H1719" t="s">
        <v>1043</v>
      </c>
      <c r="I1719">
        <v>308335008</v>
      </c>
      <c r="J1719" t="s">
        <v>1194</v>
      </c>
      <c r="K1719">
        <v>142.58000000000001</v>
      </c>
      <c r="L1719">
        <v>2059.1</v>
      </c>
      <c r="M1719">
        <v>340.96</v>
      </c>
      <c r="N1719">
        <v>389095005</v>
      </c>
      <c r="O1719" t="s">
        <v>1191</v>
      </c>
    </row>
    <row r="1720" spans="1:15">
      <c r="A1720" t="s">
        <v>3105</v>
      </c>
      <c r="B1720" s="2">
        <v>45089.886678240742</v>
      </c>
      <c r="C1720" s="2">
        <v>45089.924641203703</v>
      </c>
      <c r="D1720" t="s">
        <v>449</v>
      </c>
      <c r="E1720" t="s">
        <v>3021</v>
      </c>
      <c r="F1720" t="s">
        <v>3022</v>
      </c>
      <c r="G1720" t="s">
        <v>1026</v>
      </c>
      <c r="H1720" t="s">
        <v>1020</v>
      </c>
      <c r="I1720">
        <v>162673000</v>
      </c>
      <c r="J1720" t="s">
        <v>1021</v>
      </c>
      <c r="K1720">
        <v>136.80000000000001</v>
      </c>
      <c r="L1720">
        <v>785.58</v>
      </c>
      <c r="M1720">
        <v>471.35</v>
      </c>
      <c r="O1720" t="s">
        <v>34</v>
      </c>
    </row>
    <row r="1721" spans="1:15">
      <c r="A1721" t="s">
        <v>3106</v>
      </c>
      <c r="B1721" s="2">
        <v>45103.886678240742</v>
      </c>
      <c r="C1721" s="2">
        <v>45103.898298611108</v>
      </c>
      <c r="D1721" t="s">
        <v>449</v>
      </c>
      <c r="E1721" t="s">
        <v>3028</v>
      </c>
      <c r="F1721" t="s">
        <v>3029</v>
      </c>
      <c r="G1721" t="s">
        <v>1026</v>
      </c>
      <c r="H1721" t="s">
        <v>1043</v>
      </c>
      <c r="I1721">
        <v>308335008</v>
      </c>
      <c r="J1721" t="s">
        <v>1194</v>
      </c>
      <c r="K1721">
        <v>142.58000000000001</v>
      </c>
      <c r="L1721">
        <v>1823.1</v>
      </c>
      <c r="M1721">
        <v>1093.8599999999999</v>
      </c>
      <c r="N1721">
        <v>389095005</v>
      </c>
      <c r="O1721" t="s">
        <v>1191</v>
      </c>
    </row>
    <row r="1722" spans="1:15">
      <c r="A1722" t="s">
        <v>3107</v>
      </c>
      <c r="B1722" s="2">
        <v>45194.886678240742</v>
      </c>
      <c r="C1722" s="2">
        <v>45194.89744212963</v>
      </c>
      <c r="D1722" t="s">
        <v>449</v>
      </c>
      <c r="E1722" t="s">
        <v>3028</v>
      </c>
      <c r="F1722" t="s">
        <v>3029</v>
      </c>
      <c r="G1722" t="s">
        <v>1026</v>
      </c>
      <c r="H1722" t="s">
        <v>1043</v>
      </c>
      <c r="I1722">
        <v>308335008</v>
      </c>
      <c r="J1722" t="s">
        <v>1194</v>
      </c>
      <c r="K1722">
        <v>142.58000000000001</v>
      </c>
      <c r="L1722">
        <v>1250.8499999999999</v>
      </c>
      <c r="M1722">
        <v>750.51</v>
      </c>
      <c r="N1722">
        <v>389095005</v>
      </c>
      <c r="O1722" t="s">
        <v>1191</v>
      </c>
    </row>
    <row r="1723" spans="1:15">
      <c r="A1723" t="s">
        <v>3108</v>
      </c>
      <c r="B1723" s="2">
        <v>45285.845011574071</v>
      </c>
      <c r="C1723" s="2">
        <v>45285.855428240742</v>
      </c>
      <c r="D1723" t="s">
        <v>449</v>
      </c>
      <c r="E1723" t="s">
        <v>3028</v>
      </c>
      <c r="F1723" t="s">
        <v>3029</v>
      </c>
      <c r="G1723" t="s">
        <v>1026</v>
      </c>
      <c r="H1723" t="s">
        <v>1043</v>
      </c>
      <c r="I1723">
        <v>308335008</v>
      </c>
      <c r="J1723" t="s">
        <v>1194</v>
      </c>
      <c r="K1723">
        <v>142.58000000000001</v>
      </c>
      <c r="L1723">
        <v>1338.53</v>
      </c>
      <c r="M1723">
        <v>803.12</v>
      </c>
      <c r="N1723">
        <v>389095005</v>
      </c>
      <c r="O1723" t="s">
        <v>1191</v>
      </c>
    </row>
    <row r="1724" spans="1:15">
      <c r="A1724" t="s">
        <v>3109</v>
      </c>
      <c r="B1724" s="2">
        <v>45425.886678240742</v>
      </c>
      <c r="C1724" s="2">
        <v>45425.897094907406</v>
      </c>
      <c r="D1724" t="s">
        <v>449</v>
      </c>
      <c r="E1724" t="s">
        <v>3028</v>
      </c>
      <c r="F1724" t="s">
        <v>3029</v>
      </c>
      <c r="G1724" t="s">
        <v>1026</v>
      </c>
      <c r="H1724" t="s">
        <v>1031</v>
      </c>
      <c r="I1724">
        <v>424441002</v>
      </c>
      <c r="J1724" t="s">
        <v>1059</v>
      </c>
      <c r="K1724">
        <v>142.58000000000001</v>
      </c>
      <c r="L1724">
        <v>6453.97</v>
      </c>
      <c r="M1724">
        <v>215.98</v>
      </c>
      <c r="N1724">
        <v>72892002</v>
      </c>
      <c r="O1724" t="s">
        <v>1060</v>
      </c>
    </row>
    <row r="1725" spans="1:15">
      <c r="A1725" t="s">
        <v>3110</v>
      </c>
      <c r="B1725" s="2">
        <v>45443.886678240742</v>
      </c>
      <c r="C1725" s="2">
        <v>45443.897094907406</v>
      </c>
      <c r="D1725" t="s">
        <v>449</v>
      </c>
      <c r="E1725" t="s">
        <v>3028</v>
      </c>
      <c r="F1725" t="s">
        <v>3029</v>
      </c>
      <c r="G1725" t="s">
        <v>1026</v>
      </c>
      <c r="H1725" t="s">
        <v>1031</v>
      </c>
      <c r="I1725">
        <v>424619006</v>
      </c>
      <c r="J1725" t="s">
        <v>1062</v>
      </c>
      <c r="K1725">
        <v>142.58000000000001</v>
      </c>
      <c r="L1725">
        <v>1005.38</v>
      </c>
      <c r="M1725">
        <v>603.23</v>
      </c>
      <c r="N1725">
        <v>156073000</v>
      </c>
      <c r="O1725" t="s">
        <v>1397</v>
      </c>
    </row>
    <row r="1726" spans="1:15">
      <c r="A1726" t="s">
        <v>3111</v>
      </c>
      <c r="B1726" s="2">
        <v>41919.811898148146</v>
      </c>
      <c r="C1726" s="2">
        <v>41919.853564814817</v>
      </c>
      <c r="D1726" t="s">
        <v>458</v>
      </c>
      <c r="E1726" t="s">
        <v>3069</v>
      </c>
      <c r="F1726" t="s">
        <v>3070</v>
      </c>
      <c r="G1726" t="s">
        <v>1023</v>
      </c>
      <c r="H1726" t="s">
        <v>1076</v>
      </c>
      <c r="I1726">
        <v>50849002</v>
      </c>
      <c r="J1726" t="s">
        <v>1163</v>
      </c>
      <c r="K1726">
        <v>146.18</v>
      </c>
      <c r="L1726">
        <v>295.33999999999997</v>
      </c>
      <c r="M1726">
        <v>236.26</v>
      </c>
      <c r="O1726" t="s">
        <v>34</v>
      </c>
    </row>
    <row r="1727" spans="1:15">
      <c r="A1727" t="s">
        <v>3112</v>
      </c>
      <c r="B1727" s="2">
        <v>41947.770231481481</v>
      </c>
      <c r="C1727" s="2">
        <v>41947.808923611112</v>
      </c>
      <c r="D1727" t="s">
        <v>458</v>
      </c>
      <c r="E1727" t="s">
        <v>3072</v>
      </c>
      <c r="F1727" t="s">
        <v>3073</v>
      </c>
      <c r="G1727" t="s">
        <v>1023</v>
      </c>
      <c r="H1727" t="s">
        <v>1043</v>
      </c>
      <c r="I1727">
        <v>185349003</v>
      </c>
      <c r="J1727" t="s">
        <v>1038</v>
      </c>
      <c r="K1727">
        <v>85.55</v>
      </c>
      <c r="L1727">
        <v>1180</v>
      </c>
      <c r="M1727">
        <v>943.99</v>
      </c>
      <c r="O1727" t="s">
        <v>34</v>
      </c>
    </row>
    <row r="1728" spans="1:15">
      <c r="A1728" t="s">
        <v>3113</v>
      </c>
      <c r="B1728" s="2">
        <v>41961.770231481481</v>
      </c>
      <c r="C1728" s="2">
        <v>41961.87641203704</v>
      </c>
      <c r="D1728" t="s">
        <v>458</v>
      </c>
      <c r="E1728" t="s">
        <v>3072</v>
      </c>
      <c r="F1728" t="s">
        <v>3073</v>
      </c>
      <c r="G1728" t="s">
        <v>1023</v>
      </c>
      <c r="H1728" t="s">
        <v>1031</v>
      </c>
      <c r="I1728">
        <v>185349003</v>
      </c>
      <c r="J1728" t="s">
        <v>1038</v>
      </c>
      <c r="K1728">
        <v>85.55</v>
      </c>
      <c r="L1728">
        <v>2673.95</v>
      </c>
      <c r="M1728">
        <v>2139.16</v>
      </c>
      <c r="N1728">
        <v>103697008</v>
      </c>
      <c r="O1728" t="s">
        <v>1039</v>
      </c>
    </row>
    <row r="1729" spans="1:15">
      <c r="A1729" t="s">
        <v>3114</v>
      </c>
      <c r="B1729" s="2">
        <v>42010.770231481481</v>
      </c>
      <c r="C1729" s="2">
        <v>42010.804571759261</v>
      </c>
      <c r="D1729" t="s">
        <v>458</v>
      </c>
      <c r="E1729" t="s">
        <v>3072</v>
      </c>
      <c r="F1729" t="s">
        <v>3073</v>
      </c>
      <c r="G1729" t="s">
        <v>1023</v>
      </c>
      <c r="H1729" t="s">
        <v>1043</v>
      </c>
      <c r="I1729">
        <v>185349003</v>
      </c>
      <c r="J1729" t="s">
        <v>1038</v>
      </c>
      <c r="K1729">
        <v>85.55</v>
      </c>
      <c r="L1729">
        <v>938.11</v>
      </c>
      <c r="M1729">
        <v>750.48</v>
      </c>
      <c r="O1729" t="s">
        <v>34</v>
      </c>
    </row>
    <row r="1730" spans="1:15">
      <c r="A1730" t="s">
        <v>3115</v>
      </c>
      <c r="B1730" s="2">
        <v>45460.886678240742</v>
      </c>
      <c r="C1730" s="2">
        <v>45460.927615740744</v>
      </c>
      <c r="D1730" t="s">
        <v>449</v>
      </c>
      <c r="E1730" t="s">
        <v>3021</v>
      </c>
      <c r="F1730" t="s">
        <v>3022</v>
      </c>
      <c r="G1730" t="s">
        <v>1026</v>
      </c>
      <c r="H1730" t="s">
        <v>1020</v>
      </c>
      <c r="I1730">
        <v>162673000</v>
      </c>
      <c r="J1730" t="s">
        <v>1021</v>
      </c>
      <c r="K1730">
        <v>136.80000000000001</v>
      </c>
      <c r="L1730">
        <v>941.54</v>
      </c>
      <c r="M1730">
        <v>564.92999999999995</v>
      </c>
      <c r="O1730" t="s">
        <v>34</v>
      </c>
    </row>
    <row r="1731" spans="1:15">
      <c r="A1731" t="s">
        <v>3116</v>
      </c>
      <c r="B1731" s="2">
        <v>45703.759687500002</v>
      </c>
      <c r="C1731" s="2">
        <v>45703.772569444445</v>
      </c>
      <c r="D1731" t="s">
        <v>449</v>
      </c>
      <c r="E1731" t="s">
        <v>3028</v>
      </c>
      <c r="F1731" t="s">
        <v>3029</v>
      </c>
      <c r="G1731" t="s">
        <v>1107</v>
      </c>
      <c r="H1731" t="s">
        <v>1043</v>
      </c>
      <c r="I1731">
        <v>698314001</v>
      </c>
      <c r="J1731" t="s">
        <v>1190</v>
      </c>
      <c r="K1731">
        <v>142.58000000000001</v>
      </c>
      <c r="L1731">
        <v>3077.56</v>
      </c>
      <c r="M1731">
        <v>0</v>
      </c>
      <c r="N1731">
        <v>389095005</v>
      </c>
      <c r="O1731" t="s">
        <v>1191</v>
      </c>
    </row>
    <row r="1732" spans="1:15">
      <c r="A1732" t="s">
        <v>3117</v>
      </c>
      <c r="B1732" s="2">
        <v>45803.886678240742</v>
      </c>
      <c r="C1732" s="2">
        <v>45803.897094907406</v>
      </c>
      <c r="D1732" t="s">
        <v>449</v>
      </c>
      <c r="E1732" t="s">
        <v>3028</v>
      </c>
      <c r="F1732" t="s">
        <v>3029</v>
      </c>
      <c r="G1732" t="s">
        <v>1107</v>
      </c>
      <c r="H1732" t="s">
        <v>1043</v>
      </c>
      <c r="I1732">
        <v>308335008</v>
      </c>
      <c r="J1732" t="s">
        <v>1194</v>
      </c>
      <c r="K1732">
        <v>142.58000000000001</v>
      </c>
      <c r="L1732">
        <v>1250.8499999999999</v>
      </c>
      <c r="M1732">
        <v>0</v>
      </c>
      <c r="N1732">
        <v>389095005</v>
      </c>
      <c r="O1732" t="s">
        <v>1191</v>
      </c>
    </row>
    <row r="1733" spans="1:15">
      <c r="A1733" t="s">
        <v>3118</v>
      </c>
      <c r="B1733" s="2">
        <v>45831.886678240742</v>
      </c>
      <c r="C1733" s="2">
        <v>45831.914004629631</v>
      </c>
      <c r="D1733" t="s">
        <v>449</v>
      </c>
      <c r="E1733" t="s">
        <v>3021</v>
      </c>
      <c r="F1733" t="s">
        <v>3022</v>
      </c>
      <c r="G1733" t="s">
        <v>1107</v>
      </c>
      <c r="H1733" t="s">
        <v>1020</v>
      </c>
      <c r="I1733">
        <v>162673000</v>
      </c>
      <c r="J1733" t="s">
        <v>1021</v>
      </c>
      <c r="K1733">
        <v>136.80000000000001</v>
      </c>
      <c r="L1733">
        <v>1001.28</v>
      </c>
      <c r="M1733">
        <v>591.59</v>
      </c>
      <c r="O1733" t="s">
        <v>34</v>
      </c>
    </row>
    <row r="1734" spans="1:15">
      <c r="A1734" t="s">
        <v>3119</v>
      </c>
      <c r="B1734" s="2">
        <v>45845.886678240742</v>
      </c>
      <c r="C1734" s="2">
        <v>45846.146851851852</v>
      </c>
      <c r="D1734" t="s">
        <v>449</v>
      </c>
      <c r="E1734" t="s">
        <v>3028</v>
      </c>
      <c r="F1734" t="s">
        <v>3029</v>
      </c>
      <c r="G1734" t="s">
        <v>1107</v>
      </c>
      <c r="H1734" t="s">
        <v>1031</v>
      </c>
      <c r="I1734">
        <v>185349003</v>
      </c>
      <c r="J1734" t="s">
        <v>1038</v>
      </c>
      <c r="K1734">
        <v>85.55</v>
      </c>
      <c r="L1734">
        <v>4830.95</v>
      </c>
      <c r="M1734">
        <v>3381.66</v>
      </c>
      <c r="N1734">
        <v>66383009</v>
      </c>
      <c r="O1734" t="s">
        <v>1209</v>
      </c>
    </row>
    <row r="1735" spans="1:15">
      <c r="A1735" t="s">
        <v>3120</v>
      </c>
      <c r="B1735" s="2">
        <v>45894.886678240742</v>
      </c>
      <c r="C1735" s="2">
        <v>45894.898298611108</v>
      </c>
      <c r="D1735" t="s">
        <v>449</v>
      </c>
      <c r="E1735" t="s">
        <v>3028</v>
      </c>
      <c r="F1735" t="s">
        <v>3029</v>
      </c>
      <c r="G1735" t="s">
        <v>1107</v>
      </c>
      <c r="H1735" t="s">
        <v>1043</v>
      </c>
      <c r="I1735">
        <v>308335008</v>
      </c>
      <c r="J1735" t="s">
        <v>1194</v>
      </c>
      <c r="K1735">
        <v>142.58000000000001</v>
      </c>
      <c r="L1735">
        <v>1556.74</v>
      </c>
      <c r="M1735">
        <v>1089.72</v>
      </c>
      <c r="N1735">
        <v>389095005</v>
      </c>
      <c r="O1735" t="s">
        <v>1191</v>
      </c>
    </row>
    <row r="1736" spans="1:15">
      <c r="A1736" t="s">
        <v>3121</v>
      </c>
      <c r="B1736" s="2">
        <v>45985.845011574071</v>
      </c>
      <c r="C1736" s="2">
        <v>45985.855428240742</v>
      </c>
      <c r="D1736" t="s">
        <v>449</v>
      </c>
      <c r="E1736" t="s">
        <v>3028</v>
      </c>
      <c r="F1736" t="s">
        <v>3029</v>
      </c>
      <c r="G1736" t="s">
        <v>1107</v>
      </c>
      <c r="H1736" t="s">
        <v>1043</v>
      </c>
      <c r="I1736">
        <v>308335008</v>
      </c>
      <c r="J1736" t="s">
        <v>1194</v>
      </c>
      <c r="K1736">
        <v>142.58000000000001</v>
      </c>
      <c r="L1736">
        <v>2420.83</v>
      </c>
      <c r="M1736">
        <v>1694.59</v>
      </c>
      <c r="N1736">
        <v>389095005</v>
      </c>
      <c r="O1736" t="s">
        <v>1191</v>
      </c>
    </row>
    <row r="1737" spans="1:15">
      <c r="A1737" t="s">
        <v>3122</v>
      </c>
      <c r="B1737" s="2">
        <v>46063.772569444445</v>
      </c>
      <c r="C1737" s="2">
        <v>46063.782986111109</v>
      </c>
      <c r="D1737" t="s">
        <v>449</v>
      </c>
      <c r="E1737" t="s">
        <v>3028</v>
      </c>
      <c r="F1737" t="s">
        <v>3029</v>
      </c>
      <c r="G1737" t="s">
        <v>1107</v>
      </c>
      <c r="H1737" t="s">
        <v>1043</v>
      </c>
      <c r="I1737">
        <v>698314001</v>
      </c>
      <c r="J1737" t="s">
        <v>1190</v>
      </c>
      <c r="K1737">
        <v>142.58000000000001</v>
      </c>
      <c r="L1737">
        <v>142.58000000000001</v>
      </c>
      <c r="M1737">
        <v>0</v>
      </c>
      <c r="N1737">
        <v>389095005</v>
      </c>
      <c r="O1737" t="s">
        <v>1191</v>
      </c>
    </row>
    <row r="1738" spans="1:15">
      <c r="A1738" t="s">
        <v>3123</v>
      </c>
      <c r="B1738" s="2">
        <v>46076.845011574071</v>
      </c>
      <c r="C1738" s="2">
        <v>46076.857592592591</v>
      </c>
      <c r="D1738" t="s">
        <v>449</v>
      </c>
      <c r="E1738" t="s">
        <v>3028</v>
      </c>
      <c r="F1738" t="s">
        <v>3029</v>
      </c>
      <c r="G1738" t="s">
        <v>1107</v>
      </c>
      <c r="H1738" t="s">
        <v>1043</v>
      </c>
      <c r="I1738">
        <v>308335008</v>
      </c>
      <c r="J1738" t="s">
        <v>1194</v>
      </c>
      <c r="K1738">
        <v>142.58000000000001</v>
      </c>
      <c r="L1738">
        <v>1250.8499999999999</v>
      </c>
      <c r="M1738">
        <v>0</v>
      </c>
      <c r="N1738">
        <v>389095005</v>
      </c>
      <c r="O1738" t="s">
        <v>1191</v>
      </c>
    </row>
    <row r="1739" spans="1:15">
      <c r="A1739" t="s">
        <v>3124</v>
      </c>
      <c r="B1739" s="2">
        <v>46167.886678240742</v>
      </c>
      <c r="C1739" s="2">
        <v>46167.8984375</v>
      </c>
      <c r="D1739" t="s">
        <v>449</v>
      </c>
      <c r="E1739" t="s">
        <v>3028</v>
      </c>
      <c r="F1739" t="s">
        <v>3029</v>
      </c>
      <c r="G1739" t="s">
        <v>1107</v>
      </c>
      <c r="H1739" t="s">
        <v>1043</v>
      </c>
      <c r="I1739">
        <v>308335008</v>
      </c>
      <c r="J1739" t="s">
        <v>1194</v>
      </c>
      <c r="K1739">
        <v>142.58000000000001</v>
      </c>
      <c r="L1739">
        <v>2217.3000000000002</v>
      </c>
      <c r="M1739">
        <v>0</v>
      </c>
      <c r="N1739">
        <v>389095005</v>
      </c>
      <c r="O1739" t="s">
        <v>1191</v>
      </c>
    </row>
    <row r="1740" spans="1:15">
      <c r="A1740" t="s">
        <v>3125</v>
      </c>
      <c r="B1740" s="2">
        <v>46202.886678240742</v>
      </c>
      <c r="C1740" s="2">
        <v>46202.927314814813</v>
      </c>
      <c r="D1740" t="s">
        <v>449</v>
      </c>
      <c r="E1740" t="s">
        <v>3021</v>
      </c>
      <c r="F1740" t="s">
        <v>3022</v>
      </c>
      <c r="G1740" t="s">
        <v>1107</v>
      </c>
      <c r="H1740" t="s">
        <v>1020</v>
      </c>
      <c r="I1740">
        <v>162673000</v>
      </c>
      <c r="J1740" t="s">
        <v>1021</v>
      </c>
      <c r="K1740">
        <v>136.80000000000001</v>
      </c>
      <c r="L1740">
        <v>785.58</v>
      </c>
      <c r="M1740">
        <v>199.89</v>
      </c>
      <c r="O1740" t="s">
        <v>34</v>
      </c>
    </row>
    <row r="1741" spans="1:15">
      <c r="A1741" t="s">
        <v>3126</v>
      </c>
      <c r="B1741" s="2">
        <v>42017.770231481481</v>
      </c>
      <c r="C1741" s="2">
        <v>42017.780648148146</v>
      </c>
      <c r="D1741" t="s">
        <v>458</v>
      </c>
      <c r="E1741" t="s">
        <v>3072</v>
      </c>
      <c r="F1741" t="s">
        <v>3073</v>
      </c>
      <c r="G1741" t="s">
        <v>1023</v>
      </c>
      <c r="H1741" t="s">
        <v>1020</v>
      </c>
      <c r="I1741">
        <v>162673000</v>
      </c>
      <c r="J1741" t="s">
        <v>1021</v>
      </c>
      <c r="K1741">
        <v>136.80000000000001</v>
      </c>
      <c r="L1741">
        <v>285.95999999999998</v>
      </c>
      <c r="M1741">
        <v>228.76</v>
      </c>
      <c r="O1741" t="s">
        <v>34</v>
      </c>
    </row>
    <row r="1742" spans="1:15">
      <c r="A1742" t="s">
        <v>3127</v>
      </c>
      <c r="B1742" s="2">
        <v>42024.770231481481</v>
      </c>
      <c r="C1742" s="2">
        <v>42024.914027777777</v>
      </c>
      <c r="D1742" t="s">
        <v>458</v>
      </c>
      <c r="E1742" t="s">
        <v>3072</v>
      </c>
      <c r="F1742" t="s">
        <v>3073</v>
      </c>
      <c r="G1742" t="s">
        <v>1023</v>
      </c>
      <c r="H1742" t="s">
        <v>1031</v>
      </c>
      <c r="I1742">
        <v>185349003</v>
      </c>
      <c r="J1742" t="s">
        <v>1038</v>
      </c>
      <c r="K1742">
        <v>85.55</v>
      </c>
      <c r="L1742">
        <v>3105.35</v>
      </c>
      <c r="M1742">
        <v>2484.2800000000002</v>
      </c>
      <c r="N1742">
        <v>66383009</v>
      </c>
      <c r="O1742" t="s">
        <v>1209</v>
      </c>
    </row>
    <row r="1743" spans="1:15">
      <c r="A1743" t="s">
        <v>3128</v>
      </c>
      <c r="B1743" s="2">
        <v>42031.770231481481</v>
      </c>
      <c r="C1743" s="2">
        <v>42031.803136574075</v>
      </c>
      <c r="D1743" t="s">
        <v>458</v>
      </c>
      <c r="E1743" t="s">
        <v>3072</v>
      </c>
      <c r="F1743" t="s">
        <v>3073</v>
      </c>
      <c r="G1743" t="s">
        <v>1023</v>
      </c>
      <c r="H1743" t="s">
        <v>1031</v>
      </c>
      <c r="I1743">
        <v>185347001</v>
      </c>
      <c r="J1743" t="s">
        <v>1124</v>
      </c>
      <c r="K1743">
        <v>85.55</v>
      </c>
      <c r="L1743">
        <v>948.35</v>
      </c>
      <c r="M1743">
        <v>758.68</v>
      </c>
      <c r="N1743">
        <v>62479008</v>
      </c>
      <c r="O1743" t="s">
        <v>3074</v>
      </c>
    </row>
    <row r="1744" spans="1:15">
      <c r="A1744" t="s">
        <v>3129</v>
      </c>
      <c r="B1744" s="2">
        <v>42181.84480324074</v>
      </c>
      <c r="C1744" s="2">
        <v>42181.934583333335</v>
      </c>
      <c r="D1744" t="s">
        <v>458</v>
      </c>
      <c r="E1744" t="s">
        <v>3072</v>
      </c>
      <c r="F1744" t="s">
        <v>3073</v>
      </c>
      <c r="G1744" t="s">
        <v>1023</v>
      </c>
      <c r="H1744" t="s">
        <v>1031</v>
      </c>
      <c r="I1744">
        <v>185347001</v>
      </c>
      <c r="J1744" t="s">
        <v>1124</v>
      </c>
      <c r="K1744">
        <v>85.55</v>
      </c>
      <c r="L1744">
        <v>1947.15</v>
      </c>
      <c r="M1744">
        <v>391.32</v>
      </c>
      <c r="N1744">
        <v>62479008</v>
      </c>
      <c r="O1744" t="s">
        <v>3074</v>
      </c>
    </row>
    <row r="1745" spans="1:15">
      <c r="A1745" t="s">
        <v>3130</v>
      </c>
      <c r="B1745" s="2">
        <v>42331.892916666664</v>
      </c>
      <c r="C1745" s="2">
        <v>42331.937789351854</v>
      </c>
      <c r="D1745" t="s">
        <v>458</v>
      </c>
      <c r="E1745" t="s">
        <v>3072</v>
      </c>
      <c r="F1745" t="s">
        <v>3073</v>
      </c>
      <c r="G1745" t="s">
        <v>1023</v>
      </c>
      <c r="H1745" t="s">
        <v>1031</v>
      </c>
      <c r="I1745">
        <v>185347001</v>
      </c>
      <c r="J1745" t="s">
        <v>1124</v>
      </c>
      <c r="K1745">
        <v>85.55</v>
      </c>
      <c r="L1745">
        <v>1084.3499999999999</v>
      </c>
      <c r="M1745">
        <v>867.48</v>
      </c>
      <c r="N1745">
        <v>62479008</v>
      </c>
      <c r="O1745" t="s">
        <v>3074</v>
      </c>
    </row>
    <row r="1746" spans="1:15">
      <c r="A1746" t="s">
        <v>3131</v>
      </c>
      <c r="B1746" s="2">
        <v>42388.770231481481</v>
      </c>
      <c r="C1746" s="2">
        <v>42388.794421296298</v>
      </c>
      <c r="D1746" t="s">
        <v>458</v>
      </c>
      <c r="E1746" t="s">
        <v>3072</v>
      </c>
      <c r="F1746" t="s">
        <v>3073</v>
      </c>
      <c r="G1746" t="s">
        <v>1023</v>
      </c>
      <c r="H1746" t="s">
        <v>1020</v>
      </c>
      <c r="I1746">
        <v>162673000</v>
      </c>
      <c r="J1746" t="s">
        <v>1021</v>
      </c>
      <c r="K1746">
        <v>136.80000000000001</v>
      </c>
      <c r="L1746">
        <v>1063.94</v>
      </c>
      <c r="M1746">
        <v>851.14</v>
      </c>
      <c r="O1746" t="s">
        <v>34</v>
      </c>
    </row>
    <row r="1747" spans="1:15">
      <c r="A1747" t="s">
        <v>3132</v>
      </c>
      <c r="B1747" s="2">
        <v>42451.979456018518</v>
      </c>
      <c r="C1747" s="2">
        <v>42452.026076388887</v>
      </c>
      <c r="D1747" t="s">
        <v>458</v>
      </c>
      <c r="E1747" t="s">
        <v>3072</v>
      </c>
      <c r="F1747" t="s">
        <v>3073</v>
      </c>
      <c r="G1747" t="s">
        <v>1023</v>
      </c>
      <c r="H1747" t="s">
        <v>1031</v>
      </c>
      <c r="I1747">
        <v>185347001</v>
      </c>
      <c r="J1747" t="s">
        <v>1124</v>
      </c>
      <c r="K1747">
        <v>85.55</v>
      </c>
      <c r="L1747">
        <v>948.35</v>
      </c>
      <c r="M1747">
        <v>758.68</v>
      </c>
      <c r="N1747">
        <v>62479008</v>
      </c>
      <c r="O1747" t="s">
        <v>3074</v>
      </c>
    </row>
    <row r="1748" spans="1:15">
      <c r="A1748" t="s">
        <v>3133</v>
      </c>
      <c r="B1748" s="2">
        <v>42602.026076388887</v>
      </c>
      <c r="C1748" s="2">
        <v>42602.116620370369</v>
      </c>
      <c r="D1748" t="s">
        <v>458</v>
      </c>
      <c r="E1748" t="s">
        <v>3072</v>
      </c>
      <c r="F1748" t="s">
        <v>3073</v>
      </c>
      <c r="G1748" t="s">
        <v>1023</v>
      </c>
      <c r="H1748" t="s">
        <v>1031</v>
      </c>
      <c r="I1748">
        <v>185347001</v>
      </c>
      <c r="J1748" t="s">
        <v>1124</v>
      </c>
      <c r="K1748">
        <v>85.55</v>
      </c>
      <c r="L1748">
        <v>1811.15</v>
      </c>
      <c r="M1748">
        <v>282.52</v>
      </c>
      <c r="N1748">
        <v>62479008</v>
      </c>
      <c r="O1748" t="s">
        <v>3074</v>
      </c>
    </row>
    <row r="1749" spans="1:15">
      <c r="A1749" t="s">
        <v>3134</v>
      </c>
      <c r="B1749" s="2">
        <v>42722.074953703705</v>
      </c>
      <c r="C1749" s="2">
        <v>42722.110717592594</v>
      </c>
      <c r="D1749" t="s">
        <v>458</v>
      </c>
      <c r="E1749" t="s">
        <v>3072</v>
      </c>
      <c r="F1749" t="s">
        <v>3073</v>
      </c>
      <c r="G1749" t="s">
        <v>1023</v>
      </c>
      <c r="H1749" t="s">
        <v>1031</v>
      </c>
      <c r="I1749">
        <v>185347001</v>
      </c>
      <c r="J1749" t="s">
        <v>1124</v>
      </c>
      <c r="K1749">
        <v>85.55</v>
      </c>
      <c r="L1749">
        <v>948.35</v>
      </c>
      <c r="M1749">
        <v>758.68</v>
      </c>
      <c r="N1749">
        <v>62479008</v>
      </c>
      <c r="O1749" t="s">
        <v>3074</v>
      </c>
    </row>
    <row r="1750" spans="1:15">
      <c r="A1750" t="s">
        <v>3135</v>
      </c>
      <c r="B1750" s="2">
        <v>42759.770231481481</v>
      </c>
      <c r="C1750" s="2">
        <v>42759.800266203703</v>
      </c>
      <c r="D1750" t="s">
        <v>458</v>
      </c>
      <c r="E1750" t="s">
        <v>3072</v>
      </c>
      <c r="F1750" t="s">
        <v>3073</v>
      </c>
      <c r="G1750" t="s">
        <v>1023</v>
      </c>
      <c r="H1750" t="s">
        <v>1020</v>
      </c>
      <c r="I1750">
        <v>162673000</v>
      </c>
      <c r="J1750" t="s">
        <v>1021</v>
      </c>
      <c r="K1750">
        <v>136.80000000000001</v>
      </c>
      <c r="L1750">
        <v>1092.25</v>
      </c>
      <c r="M1750">
        <v>873.79</v>
      </c>
      <c r="O1750" t="s">
        <v>34</v>
      </c>
    </row>
    <row r="1751" spans="1:15">
      <c r="A1751" t="s">
        <v>3136</v>
      </c>
      <c r="B1751" s="2">
        <v>42787.770231481481</v>
      </c>
      <c r="C1751" s="2">
        <v>42787.798217592594</v>
      </c>
      <c r="D1751" t="s">
        <v>458</v>
      </c>
      <c r="E1751" t="s">
        <v>3072</v>
      </c>
      <c r="F1751" t="s">
        <v>3073</v>
      </c>
      <c r="G1751" t="s">
        <v>1023</v>
      </c>
      <c r="H1751" t="s">
        <v>1043</v>
      </c>
      <c r="I1751">
        <v>185349003</v>
      </c>
      <c r="J1751" t="s">
        <v>1038</v>
      </c>
      <c r="K1751">
        <v>85.55</v>
      </c>
      <c r="L1751">
        <v>666.11</v>
      </c>
      <c r="M1751">
        <v>532.88</v>
      </c>
      <c r="O1751" t="s">
        <v>34</v>
      </c>
    </row>
    <row r="1752" spans="1:15">
      <c r="A1752" t="s">
        <v>3137</v>
      </c>
      <c r="B1752" s="2">
        <v>42801.770231481481</v>
      </c>
      <c r="C1752" s="2">
        <v>42801.924039351848</v>
      </c>
      <c r="D1752" t="s">
        <v>458</v>
      </c>
      <c r="E1752" t="s">
        <v>3072</v>
      </c>
      <c r="F1752" t="s">
        <v>3073</v>
      </c>
      <c r="G1752" t="s">
        <v>1023</v>
      </c>
      <c r="H1752" t="s">
        <v>1031</v>
      </c>
      <c r="I1752">
        <v>185349003</v>
      </c>
      <c r="J1752" t="s">
        <v>1038</v>
      </c>
      <c r="K1752">
        <v>85.55</v>
      </c>
      <c r="L1752">
        <v>3536.75</v>
      </c>
      <c r="M1752">
        <v>2829.4</v>
      </c>
      <c r="N1752">
        <v>66383009</v>
      </c>
      <c r="O1752" t="s">
        <v>1209</v>
      </c>
    </row>
    <row r="1753" spans="1:15">
      <c r="A1753" t="s">
        <v>3138</v>
      </c>
      <c r="B1753" s="2">
        <v>42822.811898148146</v>
      </c>
      <c r="C1753" s="2">
        <v>42822.847638888888</v>
      </c>
      <c r="D1753" t="s">
        <v>458</v>
      </c>
      <c r="E1753" t="s">
        <v>3139</v>
      </c>
      <c r="F1753" t="s">
        <v>3140</v>
      </c>
      <c r="G1753" t="s">
        <v>1023</v>
      </c>
      <c r="H1753" t="s">
        <v>1159</v>
      </c>
      <c r="I1753">
        <v>702927004</v>
      </c>
      <c r="J1753" t="s">
        <v>1160</v>
      </c>
      <c r="K1753">
        <v>142.58000000000001</v>
      </c>
      <c r="L1753">
        <v>723.14</v>
      </c>
      <c r="M1753">
        <v>578.5</v>
      </c>
      <c r="O1753" t="s">
        <v>34</v>
      </c>
    </row>
    <row r="1754" spans="1:15">
      <c r="A1754" t="s">
        <v>3141</v>
      </c>
      <c r="B1754" s="2">
        <v>42836.811898148146</v>
      </c>
      <c r="C1754" s="2">
        <v>42836.927361111113</v>
      </c>
      <c r="D1754" t="s">
        <v>458</v>
      </c>
      <c r="E1754" t="s">
        <v>3072</v>
      </c>
      <c r="F1754" t="s">
        <v>3073</v>
      </c>
      <c r="G1754" t="s">
        <v>1023</v>
      </c>
      <c r="H1754" t="s">
        <v>1031</v>
      </c>
      <c r="I1754">
        <v>185349003</v>
      </c>
      <c r="J1754" t="s">
        <v>1038</v>
      </c>
      <c r="K1754">
        <v>85.55</v>
      </c>
      <c r="L1754">
        <v>3105.35</v>
      </c>
      <c r="M1754">
        <v>2484.2800000000002</v>
      </c>
      <c r="N1754">
        <v>103697008</v>
      </c>
      <c r="O1754" t="s">
        <v>1039</v>
      </c>
    </row>
    <row r="1755" spans="1:15">
      <c r="A1755" t="s">
        <v>3142</v>
      </c>
      <c r="B1755" s="2">
        <v>42842.152384259258</v>
      </c>
      <c r="C1755" s="2">
        <v>42842.188379629632</v>
      </c>
      <c r="D1755" t="s">
        <v>458</v>
      </c>
      <c r="E1755" t="s">
        <v>3072</v>
      </c>
      <c r="F1755" t="s">
        <v>3073</v>
      </c>
      <c r="G1755" t="s">
        <v>1023</v>
      </c>
      <c r="H1755" t="s">
        <v>1031</v>
      </c>
      <c r="I1755">
        <v>185347001</v>
      </c>
      <c r="J1755" t="s">
        <v>1124</v>
      </c>
      <c r="K1755">
        <v>85.55</v>
      </c>
      <c r="L1755">
        <v>1084.3499999999999</v>
      </c>
      <c r="M1755">
        <v>867.48</v>
      </c>
      <c r="N1755">
        <v>62479008</v>
      </c>
      <c r="O1755" t="s">
        <v>3074</v>
      </c>
    </row>
    <row r="1756" spans="1:15">
      <c r="A1756" t="s">
        <v>3143</v>
      </c>
      <c r="B1756" s="2">
        <v>42962.188379629632</v>
      </c>
      <c r="C1756" s="2">
        <v>42962.273657407408</v>
      </c>
      <c r="D1756" t="s">
        <v>458</v>
      </c>
      <c r="E1756" t="s">
        <v>3072</v>
      </c>
      <c r="F1756" t="s">
        <v>3073</v>
      </c>
      <c r="G1756" t="s">
        <v>1023</v>
      </c>
      <c r="H1756" t="s">
        <v>1031</v>
      </c>
      <c r="I1756">
        <v>185347001</v>
      </c>
      <c r="J1756" t="s">
        <v>1124</v>
      </c>
      <c r="K1756">
        <v>85.55</v>
      </c>
      <c r="L1756">
        <v>1811.15</v>
      </c>
      <c r="M1756">
        <v>282.52</v>
      </c>
      <c r="N1756">
        <v>62479008</v>
      </c>
      <c r="O1756" t="s">
        <v>3074</v>
      </c>
    </row>
    <row r="1757" spans="1:15">
      <c r="A1757" t="s">
        <v>3144</v>
      </c>
      <c r="B1757" s="2">
        <v>42981.842280092591</v>
      </c>
      <c r="C1757" s="2">
        <v>42981.883946759262</v>
      </c>
      <c r="D1757" t="s">
        <v>458</v>
      </c>
      <c r="E1757" t="s">
        <v>3069</v>
      </c>
      <c r="F1757" t="s">
        <v>3070</v>
      </c>
      <c r="G1757" t="s">
        <v>1023</v>
      </c>
      <c r="H1757" t="s">
        <v>1076</v>
      </c>
      <c r="I1757">
        <v>50849002</v>
      </c>
      <c r="J1757" t="s">
        <v>1163</v>
      </c>
      <c r="K1757">
        <v>146.18</v>
      </c>
      <c r="L1757">
        <v>146.18</v>
      </c>
      <c r="M1757">
        <v>116.94</v>
      </c>
      <c r="N1757">
        <v>384709000</v>
      </c>
      <c r="O1757" t="s">
        <v>1164</v>
      </c>
    </row>
    <row r="1758" spans="1:15">
      <c r="A1758" t="s">
        <v>3145</v>
      </c>
      <c r="B1758" s="2">
        <v>43112.231990740744</v>
      </c>
      <c r="C1758" s="2">
        <v>43112.267048611109</v>
      </c>
      <c r="D1758" t="s">
        <v>458</v>
      </c>
      <c r="E1758" t="s">
        <v>3072</v>
      </c>
      <c r="F1758" t="s">
        <v>3073</v>
      </c>
      <c r="G1758" t="s">
        <v>1023</v>
      </c>
      <c r="H1758" t="s">
        <v>1031</v>
      </c>
      <c r="I1758">
        <v>185347001</v>
      </c>
      <c r="J1758" t="s">
        <v>1124</v>
      </c>
      <c r="K1758">
        <v>85.55</v>
      </c>
      <c r="L1758">
        <v>948.35</v>
      </c>
      <c r="M1758">
        <v>758.68</v>
      </c>
      <c r="N1758">
        <v>62479008</v>
      </c>
      <c r="O1758" t="s">
        <v>3074</v>
      </c>
    </row>
    <row r="1759" spans="1:15">
      <c r="A1759" t="s">
        <v>3146</v>
      </c>
      <c r="B1759" s="2">
        <v>43130.770231481481</v>
      </c>
      <c r="C1759" s="2">
        <v>43130.796111111114</v>
      </c>
      <c r="D1759" t="s">
        <v>458</v>
      </c>
      <c r="E1759" t="s">
        <v>3072</v>
      </c>
      <c r="F1759" t="s">
        <v>3073</v>
      </c>
      <c r="G1759" t="s">
        <v>1023</v>
      </c>
      <c r="H1759" t="s">
        <v>1020</v>
      </c>
      <c r="I1759">
        <v>162673000</v>
      </c>
      <c r="J1759" t="s">
        <v>1021</v>
      </c>
      <c r="K1759">
        <v>136.80000000000001</v>
      </c>
      <c r="L1759">
        <v>1267.47</v>
      </c>
      <c r="M1759">
        <v>1013.96</v>
      </c>
      <c r="O1759" t="s">
        <v>34</v>
      </c>
    </row>
    <row r="1760" spans="1:15">
      <c r="A1760" t="s">
        <v>3147</v>
      </c>
      <c r="B1760" s="2">
        <v>43144.770231481481</v>
      </c>
      <c r="C1760" s="2">
        <v>43145.017337962963</v>
      </c>
      <c r="D1760" t="s">
        <v>458</v>
      </c>
      <c r="E1760" t="s">
        <v>3072</v>
      </c>
      <c r="F1760" t="s">
        <v>3073</v>
      </c>
      <c r="G1760" t="s">
        <v>1023</v>
      </c>
      <c r="H1760" t="s">
        <v>1031</v>
      </c>
      <c r="I1760">
        <v>185349003</v>
      </c>
      <c r="J1760" t="s">
        <v>1038</v>
      </c>
      <c r="K1760">
        <v>85.55</v>
      </c>
      <c r="L1760">
        <v>4830.95</v>
      </c>
      <c r="M1760">
        <v>3864.76</v>
      </c>
      <c r="N1760">
        <v>66383009</v>
      </c>
      <c r="O1760" t="s">
        <v>1209</v>
      </c>
    </row>
    <row r="1761" spans="1:15">
      <c r="A1761" t="s">
        <v>3148</v>
      </c>
      <c r="B1761" s="2">
        <v>43158.770231481481</v>
      </c>
      <c r="C1761" s="2">
        <v>43158.810416666667</v>
      </c>
      <c r="D1761" t="s">
        <v>458</v>
      </c>
      <c r="E1761" t="s">
        <v>3072</v>
      </c>
      <c r="F1761" t="s">
        <v>3073</v>
      </c>
      <c r="G1761" t="s">
        <v>1023</v>
      </c>
      <c r="H1761" t="s">
        <v>1043</v>
      </c>
      <c r="I1761">
        <v>185349003</v>
      </c>
      <c r="J1761" t="s">
        <v>1038</v>
      </c>
      <c r="K1761">
        <v>85.55</v>
      </c>
      <c r="L1761">
        <v>666.11</v>
      </c>
      <c r="M1761">
        <v>532.88</v>
      </c>
      <c r="O1761" t="s">
        <v>34</v>
      </c>
    </row>
    <row r="1762" spans="1:15">
      <c r="A1762" t="s">
        <v>3149</v>
      </c>
      <c r="B1762" s="2">
        <v>43179.811898148146</v>
      </c>
      <c r="C1762" s="2">
        <v>43179.842523148145</v>
      </c>
      <c r="D1762" t="s">
        <v>458</v>
      </c>
      <c r="E1762" t="s">
        <v>3072</v>
      </c>
      <c r="F1762" t="s">
        <v>3073</v>
      </c>
      <c r="G1762" t="s">
        <v>1023</v>
      </c>
      <c r="H1762" t="s">
        <v>1043</v>
      </c>
      <c r="I1762">
        <v>185349003</v>
      </c>
      <c r="J1762" t="s">
        <v>1038</v>
      </c>
      <c r="K1762">
        <v>85.55</v>
      </c>
      <c r="L1762">
        <v>1254.99</v>
      </c>
      <c r="M1762">
        <v>1003.98</v>
      </c>
      <c r="O1762" t="s">
        <v>34</v>
      </c>
    </row>
    <row r="1763" spans="1:15">
      <c r="A1763" t="s">
        <v>3150</v>
      </c>
      <c r="B1763" s="2">
        <v>43193.811898148146</v>
      </c>
      <c r="C1763" s="2">
        <v>43193.926712962966</v>
      </c>
      <c r="D1763" t="s">
        <v>458</v>
      </c>
      <c r="E1763" t="s">
        <v>3072</v>
      </c>
      <c r="F1763" t="s">
        <v>3073</v>
      </c>
      <c r="G1763" t="s">
        <v>1023</v>
      </c>
      <c r="H1763" t="s">
        <v>1031</v>
      </c>
      <c r="I1763">
        <v>185349003</v>
      </c>
      <c r="J1763" t="s">
        <v>1038</v>
      </c>
      <c r="K1763">
        <v>85.55</v>
      </c>
      <c r="L1763">
        <v>3105.35</v>
      </c>
      <c r="M1763">
        <v>2484.2800000000002</v>
      </c>
      <c r="N1763">
        <v>103697008</v>
      </c>
      <c r="O1763" t="s">
        <v>1039</v>
      </c>
    </row>
    <row r="1764" spans="1:15">
      <c r="A1764" t="s">
        <v>3151</v>
      </c>
      <c r="B1764" s="2">
        <v>43262.308715277781</v>
      </c>
      <c r="C1764" s="2">
        <v>43262.347905092596</v>
      </c>
      <c r="D1764" t="s">
        <v>458</v>
      </c>
      <c r="E1764" t="s">
        <v>3072</v>
      </c>
      <c r="F1764" t="s">
        <v>3073</v>
      </c>
      <c r="G1764" t="s">
        <v>1023</v>
      </c>
      <c r="H1764" t="s">
        <v>1031</v>
      </c>
      <c r="I1764">
        <v>185347001</v>
      </c>
      <c r="J1764" t="s">
        <v>1124</v>
      </c>
      <c r="K1764">
        <v>85.55</v>
      </c>
      <c r="L1764">
        <v>948.35</v>
      </c>
      <c r="M1764">
        <v>758.68</v>
      </c>
      <c r="N1764">
        <v>62479008</v>
      </c>
      <c r="O1764" t="s">
        <v>3074</v>
      </c>
    </row>
    <row r="1765" spans="1:15">
      <c r="A1765" t="s">
        <v>3152</v>
      </c>
      <c r="B1765" s="2">
        <v>43382.347905092596</v>
      </c>
      <c r="C1765" s="2">
        <v>43382.415324074071</v>
      </c>
      <c r="D1765" t="s">
        <v>458</v>
      </c>
      <c r="E1765" t="s">
        <v>3072</v>
      </c>
      <c r="F1765" t="s">
        <v>3073</v>
      </c>
      <c r="G1765" t="s">
        <v>1023</v>
      </c>
      <c r="H1765" t="s">
        <v>1031</v>
      </c>
      <c r="I1765">
        <v>185347001</v>
      </c>
      <c r="J1765" t="s">
        <v>1124</v>
      </c>
      <c r="K1765">
        <v>85.55</v>
      </c>
      <c r="L1765">
        <v>1811.15</v>
      </c>
      <c r="M1765">
        <v>282.52</v>
      </c>
      <c r="N1765">
        <v>62479008</v>
      </c>
      <c r="O1765" t="s">
        <v>3074</v>
      </c>
    </row>
    <row r="1766" spans="1:15">
      <c r="A1766" t="s">
        <v>3153</v>
      </c>
      <c r="B1766" s="2">
        <v>43501.770231481481</v>
      </c>
      <c r="C1766" s="2">
        <v>43501.791967592595</v>
      </c>
      <c r="D1766" t="s">
        <v>458</v>
      </c>
      <c r="E1766" t="s">
        <v>3072</v>
      </c>
      <c r="F1766" t="s">
        <v>3073</v>
      </c>
      <c r="G1766" t="s">
        <v>1023</v>
      </c>
      <c r="H1766" t="s">
        <v>1020</v>
      </c>
      <c r="I1766">
        <v>162673000</v>
      </c>
      <c r="J1766" t="s">
        <v>1021</v>
      </c>
      <c r="K1766">
        <v>136.80000000000001</v>
      </c>
      <c r="L1766">
        <v>927.94</v>
      </c>
      <c r="M1766">
        <v>742.34</v>
      </c>
      <c r="O1766" t="s">
        <v>34</v>
      </c>
    </row>
    <row r="1767" spans="1:15">
      <c r="A1767" t="s">
        <v>3154</v>
      </c>
      <c r="B1767" s="2">
        <v>43515.770231481481</v>
      </c>
      <c r="C1767" s="2">
        <v>43515.873240740744</v>
      </c>
      <c r="D1767" t="s">
        <v>458</v>
      </c>
      <c r="E1767" t="s">
        <v>3072</v>
      </c>
      <c r="F1767" t="s">
        <v>3073</v>
      </c>
      <c r="G1767" t="s">
        <v>1023</v>
      </c>
      <c r="H1767" t="s">
        <v>1031</v>
      </c>
      <c r="I1767">
        <v>185349003</v>
      </c>
      <c r="J1767" t="s">
        <v>1038</v>
      </c>
      <c r="K1767">
        <v>85.55</v>
      </c>
      <c r="L1767">
        <v>2673.95</v>
      </c>
      <c r="M1767">
        <v>2139.16</v>
      </c>
      <c r="N1767">
        <v>103697008</v>
      </c>
      <c r="O1767" t="s">
        <v>1039</v>
      </c>
    </row>
    <row r="1768" spans="1:15">
      <c r="A1768" t="s">
        <v>3155</v>
      </c>
      <c r="B1768" s="2">
        <v>43532.373657407406</v>
      </c>
      <c r="C1768" s="2">
        <v>43532.409178240741</v>
      </c>
      <c r="D1768" t="s">
        <v>458</v>
      </c>
      <c r="E1768" t="s">
        <v>3072</v>
      </c>
      <c r="F1768" t="s">
        <v>3073</v>
      </c>
      <c r="G1768" t="s">
        <v>1023</v>
      </c>
      <c r="H1768" t="s">
        <v>1031</v>
      </c>
      <c r="I1768">
        <v>185347001</v>
      </c>
      <c r="J1768" t="s">
        <v>1124</v>
      </c>
      <c r="K1768">
        <v>85.55</v>
      </c>
      <c r="L1768">
        <v>948.35</v>
      </c>
      <c r="M1768">
        <v>758.68</v>
      </c>
      <c r="N1768">
        <v>62479008</v>
      </c>
      <c r="O1768" t="s">
        <v>3074</v>
      </c>
    </row>
    <row r="1769" spans="1:15">
      <c r="A1769" t="s">
        <v>3156</v>
      </c>
      <c r="B1769" s="2">
        <v>43640.834548611114</v>
      </c>
      <c r="C1769" s="2">
        <v>43640.860925925925</v>
      </c>
      <c r="D1769" t="s">
        <v>458</v>
      </c>
      <c r="E1769" t="s">
        <v>3072</v>
      </c>
      <c r="F1769" t="s">
        <v>3073</v>
      </c>
      <c r="G1769" t="s">
        <v>1023</v>
      </c>
      <c r="H1769" t="s">
        <v>1031</v>
      </c>
      <c r="I1769">
        <v>185349003</v>
      </c>
      <c r="J1769" t="s">
        <v>1038</v>
      </c>
      <c r="K1769">
        <v>85.55</v>
      </c>
      <c r="L1769">
        <v>5138.45</v>
      </c>
      <c r="M1769">
        <v>4110.76</v>
      </c>
      <c r="N1769">
        <v>275978004</v>
      </c>
      <c r="O1769" t="s">
        <v>1449</v>
      </c>
    </row>
    <row r="1770" spans="1:15">
      <c r="A1770" t="s">
        <v>3157</v>
      </c>
      <c r="B1770" s="2">
        <v>43682.450844907406</v>
      </c>
      <c r="C1770" s="2">
        <v>43682.496064814812</v>
      </c>
      <c r="D1770" t="s">
        <v>458</v>
      </c>
      <c r="E1770" t="s">
        <v>3072</v>
      </c>
      <c r="F1770" t="s">
        <v>3073</v>
      </c>
      <c r="G1770" t="s">
        <v>1023</v>
      </c>
      <c r="H1770" t="s">
        <v>1031</v>
      </c>
      <c r="I1770">
        <v>185347001</v>
      </c>
      <c r="J1770" t="s">
        <v>1124</v>
      </c>
      <c r="K1770">
        <v>85.55</v>
      </c>
      <c r="L1770">
        <v>948.35</v>
      </c>
      <c r="M1770">
        <v>0</v>
      </c>
      <c r="N1770">
        <v>62479008</v>
      </c>
      <c r="O1770" t="s">
        <v>3074</v>
      </c>
    </row>
    <row r="1771" spans="1:15">
      <c r="A1771" t="s">
        <v>3158</v>
      </c>
      <c r="B1771" s="2">
        <v>43718.811898148146</v>
      </c>
      <c r="C1771" s="2">
        <v>43718.844351851854</v>
      </c>
      <c r="D1771" t="s">
        <v>458</v>
      </c>
      <c r="E1771" t="s">
        <v>3072</v>
      </c>
      <c r="F1771" t="s">
        <v>3073</v>
      </c>
      <c r="G1771" t="s">
        <v>1023</v>
      </c>
      <c r="H1771" t="s">
        <v>1043</v>
      </c>
      <c r="I1771">
        <v>185349003</v>
      </c>
      <c r="J1771" t="s">
        <v>1038</v>
      </c>
      <c r="K1771">
        <v>85.55</v>
      </c>
      <c r="L1771">
        <v>666.11</v>
      </c>
      <c r="M1771">
        <v>230.7</v>
      </c>
      <c r="O1771" t="s">
        <v>34</v>
      </c>
    </row>
    <row r="1772" spans="1:15">
      <c r="A1772" t="s">
        <v>3159</v>
      </c>
      <c r="B1772" s="2">
        <v>43774.770231481481</v>
      </c>
      <c r="C1772" s="2">
        <v>43774.798101851855</v>
      </c>
      <c r="D1772" t="s">
        <v>458</v>
      </c>
      <c r="E1772" t="s">
        <v>3139</v>
      </c>
      <c r="F1772" t="s">
        <v>3140</v>
      </c>
      <c r="G1772" t="s">
        <v>1023</v>
      </c>
      <c r="H1772" t="s">
        <v>1159</v>
      </c>
      <c r="I1772">
        <v>702927004</v>
      </c>
      <c r="J1772" t="s">
        <v>1160</v>
      </c>
      <c r="K1772">
        <v>142.58000000000001</v>
      </c>
      <c r="L1772">
        <v>723.14</v>
      </c>
      <c r="M1772">
        <v>578.5</v>
      </c>
      <c r="O1772" t="s">
        <v>34</v>
      </c>
    </row>
    <row r="1773" spans="1:15">
      <c r="A1773" t="s">
        <v>3160</v>
      </c>
      <c r="B1773" s="2">
        <v>43781.770231481481</v>
      </c>
      <c r="C1773" s="2">
        <v>43781.811898148146</v>
      </c>
      <c r="D1773" t="s">
        <v>458</v>
      </c>
      <c r="E1773" t="s">
        <v>3069</v>
      </c>
      <c r="F1773" t="s">
        <v>3070</v>
      </c>
      <c r="G1773" t="s">
        <v>1023</v>
      </c>
      <c r="H1773" t="s">
        <v>1076</v>
      </c>
      <c r="I1773">
        <v>50849002</v>
      </c>
      <c r="J1773" t="s">
        <v>1163</v>
      </c>
      <c r="K1773">
        <v>146.18</v>
      </c>
      <c r="L1773">
        <v>295.33999999999997</v>
      </c>
      <c r="M1773">
        <v>236.26</v>
      </c>
      <c r="O1773" t="s">
        <v>34</v>
      </c>
    </row>
    <row r="1774" spans="1:15">
      <c r="A1774" t="s">
        <v>3161</v>
      </c>
      <c r="B1774" s="2">
        <v>43788.770231481481</v>
      </c>
      <c r="C1774" s="2">
        <v>43788.791296296295</v>
      </c>
      <c r="D1774" t="s">
        <v>458</v>
      </c>
      <c r="E1774" t="s">
        <v>3139</v>
      </c>
      <c r="F1774" t="s">
        <v>3140</v>
      </c>
      <c r="G1774" t="s">
        <v>1023</v>
      </c>
      <c r="H1774" t="s">
        <v>1159</v>
      </c>
      <c r="I1774">
        <v>702927004</v>
      </c>
      <c r="J1774" t="s">
        <v>1160</v>
      </c>
      <c r="K1774">
        <v>142.58000000000001</v>
      </c>
      <c r="L1774">
        <v>723.14</v>
      </c>
      <c r="M1774">
        <v>578.5</v>
      </c>
      <c r="O1774" t="s">
        <v>34</v>
      </c>
    </row>
    <row r="1775" spans="1:15">
      <c r="A1775" t="s">
        <v>3162</v>
      </c>
      <c r="B1775" s="2">
        <v>43795.770231481481</v>
      </c>
      <c r="C1775" s="2">
        <v>43795.780648148146</v>
      </c>
      <c r="D1775" t="s">
        <v>458</v>
      </c>
      <c r="E1775" t="s">
        <v>3139</v>
      </c>
      <c r="F1775" t="s">
        <v>3140</v>
      </c>
      <c r="G1775" t="s">
        <v>1023</v>
      </c>
      <c r="H1775" t="s">
        <v>1159</v>
      </c>
      <c r="I1775">
        <v>702927004</v>
      </c>
      <c r="J1775" t="s">
        <v>1160</v>
      </c>
      <c r="K1775">
        <v>142.58000000000001</v>
      </c>
      <c r="L1775">
        <v>1051.9000000000001</v>
      </c>
      <c r="M1775">
        <v>841.51</v>
      </c>
      <c r="O1775" t="s">
        <v>34</v>
      </c>
    </row>
    <row r="1776" spans="1:15">
      <c r="A1776" t="s">
        <v>3163</v>
      </c>
      <c r="B1776" s="2">
        <v>43802.770231481481</v>
      </c>
      <c r="C1776" s="2">
        <v>43802.798125000001</v>
      </c>
      <c r="D1776" t="s">
        <v>458</v>
      </c>
      <c r="E1776" t="s">
        <v>3072</v>
      </c>
      <c r="F1776" t="s">
        <v>3073</v>
      </c>
      <c r="G1776" t="s">
        <v>1023</v>
      </c>
      <c r="H1776" t="s">
        <v>1043</v>
      </c>
      <c r="I1776">
        <v>185349003</v>
      </c>
      <c r="J1776" t="s">
        <v>1038</v>
      </c>
      <c r="K1776">
        <v>85.55</v>
      </c>
      <c r="L1776">
        <v>666.11</v>
      </c>
      <c r="M1776">
        <v>532.88</v>
      </c>
      <c r="O1776" t="s">
        <v>34</v>
      </c>
    </row>
    <row r="1777" spans="1:15">
      <c r="A1777" t="s">
        <v>3164</v>
      </c>
      <c r="B1777" s="2">
        <v>43809.770231481481</v>
      </c>
      <c r="C1777" s="2">
        <v>43809.780648148146</v>
      </c>
      <c r="D1777" t="s">
        <v>458</v>
      </c>
      <c r="E1777" t="s">
        <v>3139</v>
      </c>
      <c r="F1777" t="s">
        <v>3140</v>
      </c>
      <c r="G1777" t="s">
        <v>1023</v>
      </c>
      <c r="H1777" t="s">
        <v>1159</v>
      </c>
      <c r="I1777">
        <v>702927004</v>
      </c>
      <c r="J1777" t="s">
        <v>1160</v>
      </c>
      <c r="K1777">
        <v>142.58000000000001</v>
      </c>
      <c r="L1777">
        <v>291.74</v>
      </c>
      <c r="M1777">
        <v>233.38</v>
      </c>
      <c r="O1777" t="s">
        <v>34</v>
      </c>
    </row>
    <row r="1778" spans="1:15">
      <c r="A1778" t="s">
        <v>3165</v>
      </c>
      <c r="B1778" s="2">
        <v>43816.770231481481</v>
      </c>
      <c r="C1778" s="2">
        <v>43816.797349537039</v>
      </c>
      <c r="D1778" t="s">
        <v>458</v>
      </c>
      <c r="E1778" t="s">
        <v>3139</v>
      </c>
      <c r="F1778" t="s">
        <v>3140</v>
      </c>
      <c r="G1778" t="s">
        <v>1023</v>
      </c>
      <c r="H1778" t="s">
        <v>1159</v>
      </c>
      <c r="I1778">
        <v>702927004</v>
      </c>
      <c r="J1778" t="s">
        <v>1160</v>
      </c>
      <c r="K1778">
        <v>142.58000000000001</v>
      </c>
      <c r="L1778">
        <v>723.14</v>
      </c>
      <c r="M1778">
        <v>578.5</v>
      </c>
      <c r="O1778" t="s">
        <v>34</v>
      </c>
    </row>
    <row r="1779" spans="1:15">
      <c r="A1779" t="s">
        <v>3166</v>
      </c>
      <c r="B1779" s="2">
        <v>43823.770231481481</v>
      </c>
      <c r="C1779" s="2">
        <v>43823.780648148146</v>
      </c>
      <c r="D1779" t="s">
        <v>458</v>
      </c>
      <c r="E1779" t="s">
        <v>3072</v>
      </c>
      <c r="F1779" t="s">
        <v>3073</v>
      </c>
      <c r="G1779" t="s">
        <v>1023</v>
      </c>
      <c r="H1779" t="s">
        <v>1043</v>
      </c>
      <c r="I1779">
        <v>185349003</v>
      </c>
      <c r="J1779" t="s">
        <v>1038</v>
      </c>
      <c r="K1779">
        <v>85.55</v>
      </c>
      <c r="L1779">
        <v>370.71</v>
      </c>
      <c r="M1779">
        <v>296.56</v>
      </c>
      <c r="O1779" t="s">
        <v>34</v>
      </c>
    </row>
    <row r="1780" spans="1:15">
      <c r="A1780" t="s">
        <v>3167</v>
      </c>
      <c r="B1780" s="2">
        <v>43830.770231481481</v>
      </c>
      <c r="C1780" s="2">
        <v>43830.781631944446</v>
      </c>
      <c r="D1780" t="s">
        <v>458</v>
      </c>
      <c r="E1780" t="s">
        <v>3072</v>
      </c>
      <c r="F1780" t="s">
        <v>3073</v>
      </c>
      <c r="G1780" t="s">
        <v>1023</v>
      </c>
      <c r="H1780" t="s">
        <v>1031</v>
      </c>
      <c r="I1780">
        <v>185345009</v>
      </c>
      <c r="J1780" t="s">
        <v>1032</v>
      </c>
      <c r="K1780">
        <v>85.55</v>
      </c>
      <c r="L1780">
        <v>377.19</v>
      </c>
      <c r="M1780">
        <v>301.75</v>
      </c>
      <c r="N1780">
        <v>10509002</v>
      </c>
      <c r="O1780" t="s">
        <v>1033</v>
      </c>
    </row>
    <row r="1781" spans="1:15">
      <c r="A1781" t="s">
        <v>3168</v>
      </c>
      <c r="B1781" s="2">
        <v>43837.770231481481</v>
      </c>
      <c r="C1781" s="2">
        <v>43837.929108796299</v>
      </c>
      <c r="D1781" t="s">
        <v>458</v>
      </c>
      <c r="E1781" t="s">
        <v>3072</v>
      </c>
      <c r="F1781" t="s">
        <v>3073</v>
      </c>
      <c r="G1781" t="s">
        <v>1023</v>
      </c>
      <c r="H1781" t="s">
        <v>1031</v>
      </c>
      <c r="I1781">
        <v>185349003</v>
      </c>
      <c r="J1781" t="s">
        <v>1038</v>
      </c>
      <c r="K1781">
        <v>85.55</v>
      </c>
      <c r="L1781">
        <v>3536.75</v>
      </c>
      <c r="M1781">
        <v>2829.4</v>
      </c>
      <c r="N1781">
        <v>66383009</v>
      </c>
      <c r="O1781" t="s">
        <v>1209</v>
      </c>
    </row>
    <row r="1782" spans="1:15">
      <c r="A1782" t="s">
        <v>3169</v>
      </c>
      <c r="B1782" s="2">
        <v>43844.770231481481</v>
      </c>
      <c r="C1782" s="2">
        <v>43844.870451388888</v>
      </c>
      <c r="D1782" t="s">
        <v>458</v>
      </c>
      <c r="E1782" t="s">
        <v>3072</v>
      </c>
      <c r="F1782" t="s">
        <v>3073</v>
      </c>
      <c r="G1782" t="s">
        <v>1023</v>
      </c>
      <c r="H1782" t="s">
        <v>1031</v>
      </c>
      <c r="I1782">
        <v>185347001</v>
      </c>
      <c r="J1782" t="s">
        <v>1124</v>
      </c>
      <c r="K1782">
        <v>85.55</v>
      </c>
      <c r="L1782">
        <v>1811.15</v>
      </c>
      <c r="M1782">
        <v>1448.92</v>
      </c>
      <c r="N1782">
        <v>62479008</v>
      </c>
      <c r="O1782" t="s">
        <v>3074</v>
      </c>
    </row>
    <row r="1783" spans="1:15">
      <c r="A1783" t="s">
        <v>3170</v>
      </c>
      <c r="B1783" s="2">
        <v>43872.770231481481</v>
      </c>
      <c r="C1783" s="2">
        <v>43872.79415509259</v>
      </c>
      <c r="D1783" t="s">
        <v>458</v>
      </c>
      <c r="E1783" t="s">
        <v>3072</v>
      </c>
      <c r="F1783" t="s">
        <v>3073</v>
      </c>
      <c r="G1783" t="s">
        <v>1023</v>
      </c>
      <c r="H1783" t="s">
        <v>1020</v>
      </c>
      <c r="I1783">
        <v>162673000</v>
      </c>
      <c r="J1783" t="s">
        <v>1021</v>
      </c>
      <c r="K1783">
        <v>136.80000000000001</v>
      </c>
      <c r="L1783">
        <v>717.36</v>
      </c>
      <c r="M1783">
        <v>573.88</v>
      </c>
      <c r="O1783" t="s">
        <v>34</v>
      </c>
    </row>
    <row r="1784" spans="1:15">
      <c r="A1784" t="s">
        <v>3171</v>
      </c>
      <c r="B1784" s="2">
        <v>43886.770231481481</v>
      </c>
      <c r="C1784" s="2">
        <v>43886.886631944442</v>
      </c>
      <c r="D1784" t="s">
        <v>458</v>
      </c>
      <c r="E1784" t="s">
        <v>3072</v>
      </c>
      <c r="F1784" t="s">
        <v>3073</v>
      </c>
      <c r="G1784" t="s">
        <v>1023</v>
      </c>
      <c r="H1784" t="s">
        <v>1031</v>
      </c>
      <c r="I1784">
        <v>185349003</v>
      </c>
      <c r="J1784" t="s">
        <v>1038</v>
      </c>
      <c r="K1784">
        <v>85.55</v>
      </c>
      <c r="L1784">
        <v>2673.95</v>
      </c>
      <c r="M1784">
        <v>2139.16</v>
      </c>
      <c r="N1784">
        <v>66383009</v>
      </c>
      <c r="O1784" t="s">
        <v>1209</v>
      </c>
    </row>
    <row r="1785" spans="1:15">
      <c r="A1785" t="s">
        <v>3172</v>
      </c>
      <c r="B1785" s="2">
        <v>43964.912118055552</v>
      </c>
      <c r="C1785" s="2">
        <v>43964.947650462964</v>
      </c>
      <c r="D1785" t="s">
        <v>458</v>
      </c>
      <c r="E1785" t="s">
        <v>3072</v>
      </c>
      <c r="F1785" t="s">
        <v>3073</v>
      </c>
      <c r="G1785" t="s">
        <v>1023</v>
      </c>
      <c r="H1785" t="s">
        <v>1031</v>
      </c>
      <c r="I1785">
        <v>185347001</v>
      </c>
      <c r="J1785" t="s">
        <v>1124</v>
      </c>
      <c r="K1785">
        <v>85.55</v>
      </c>
      <c r="L1785">
        <v>948.35</v>
      </c>
      <c r="M1785">
        <v>758.68</v>
      </c>
      <c r="N1785">
        <v>62479008</v>
      </c>
      <c r="O1785" t="s">
        <v>3074</v>
      </c>
    </row>
    <row r="1786" spans="1:15">
      <c r="A1786" t="s">
        <v>3173</v>
      </c>
      <c r="B1786" s="2">
        <v>44084.947650462964</v>
      </c>
      <c r="C1786" s="2">
        <v>44084.988553240742</v>
      </c>
      <c r="D1786" t="s">
        <v>458</v>
      </c>
      <c r="E1786" t="s">
        <v>3072</v>
      </c>
      <c r="F1786" t="s">
        <v>3073</v>
      </c>
      <c r="G1786" t="s">
        <v>1023</v>
      </c>
      <c r="H1786" t="s">
        <v>1031</v>
      </c>
      <c r="I1786">
        <v>185347001</v>
      </c>
      <c r="J1786" t="s">
        <v>1124</v>
      </c>
      <c r="K1786">
        <v>85.55</v>
      </c>
      <c r="L1786">
        <v>1220.3499999999999</v>
      </c>
      <c r="M1786">
        <v>0</v>
      </c>
      <c r="N1786">
        <v>62479008</v>
      </c>
      <c r="O1786" t="s">
        <v>3074</v>
      </c>
    </row>
    <row r="1787" spans="1:15">
      <c r="A1787" t="s">
        <v>3174</v>
      </c>
      <c r="B1787" s="2">
        <v>44110.811898148146</v>
      </c>
      <c r="C1787" s="2">
        <v>44110.840798611112</v>
      </c>
      <c r="D1787" t="s">
        <v>458</v>
      </c>
      <c r="E1787" t="s">
        <v>3072</v>
      </c>
      <c r="F1787" t="s">
        <v>3073</v>
      </c>
      <c r="G1787" t="s">
        <v>1023</v>
      </c>
      <c r="H1787" t="s">
        <v>1043</v>
      </c>
      <c r="I1787">
        <v>185349003</v>
      </c>
      <c r="J1787" t="s">
        <v>1038</v>
      </c>
      <c r="K1787">
        <v>85.55</v>
      </c>
      <c r="L1787">
        <v>666.11</v>
      </c>
      <c r="M1787">
        <v>447.8</v>
      </c>
      <c r="O1787" t="s">
        <v>34</v>
      </c>
    </row>
    <row r="1788" spans="1:15">
      <c r="A1788" t="s">
        <v>3175</v>
      </c>
      <c r="B1788" s="2">
        <v>44124.811898148146</v>
      </c>
      <c r="C1788" s="2">
        <v>44125.098946759259</v>
      </c>
      <c r="D1788" t="s">
        <v>458</v>
      </c>
      <c r="E1788" t="s">
        <v>3072</v>
      </c>
      <c r="F1788" t="s">
        <v>3073</v>
      </c>
      <c r="G1788" t="s">
        <v>1023</v>
      </c>
      <c r="H1788" t="s">
        <v>1031</v>
      </c>
      <c r="I1788">
        <v>185349003</v>
      </c>
      <c r="J1788" t="s">
        <v>1038</v>
      </c>
      <c r="K1788">
        <v>85.55</v>
      </c>
      <c r="L1788">
        <v>4399.55</v>
      </c>
      <c r="M1788">
        <v>3519.64</v>
      </c>
      <c r="N1788">
        <v>66383009</v>
      </c>
      <c r="O1788" t="s">
        <v>1209</v>
      </c>
    </row>
    <row r="1789" spans="1:15">
      <c r="A1789" t="s">
        <v>3176</v>
      </c>
      <c r="B1789" s="2">
        <v>44234.946886574071</v>
      </c>
      <c r="C1789" s="2">
        <v>44235.019270833334</v>
      </c>
      <c r="D1789" t="s">
        <v>458</v>
      </c>
      <c r="E1789" t="s">
        <v>3072</v>
      </c>
      <c r="F1789" t="s">
        <v>3073</v>
      </c>
      <c r="G1789" t="s">
        <v>1023</v>
      </c>
      <c r="H1789" t="s">
        <v>1031</v>
      </c>
      <c r="I1789">
        <v>185347001</v>
      </c>
      <c r="J1789" t="s">
        <v>1124</v>
      </c>
      <c r="K1789">
        <v>85.55</v>
      </c>
      <c r="L1789">
        <v>1947.15</v>
      </c>
      <c r="M1789">
        <v>1557.72</v>
      </c>
      <c r="N1789">
        <v>62479008</v>
      </c>
      <c r="O1789" t="s">
        <v>3074</v>
      </c>
    </row>
    <row r="1790" spans="1:15">
      <c r="A1790" t="s">
        <v>3177</v>
      </c>
      <c r="B1790" s="2">
        <v>44243.770231481481</v>
      </c>
      <c r="C1790" s="2">
        <v>44243.809988425928</v>
      </c>
      <c r="D1790" t="s">
        <v>458</v>
      </c>
      <c r="E1790" t="s">
        <v>3072</v>
      </c>
      <c r="F1790" t="s">
        <v>3073</v>
      </c>
      <c r="G1790" t="s">
        <v>1023</v>
      </c>
      <c r="H1790" t="s">
        <v>1020</v>
      </c>
      <c r="I1790">
        <v>162673000</v>
      </c>
      <c r="J1790" t="s">
        <v>1021</v>
      </c>
      <c r="K1790">
        <v>136.80000000000001</v>
      </c>
      <c r="L1790">
        <v>853.36</v>
      </c>
      <c r="M1790">
        <v>682.68</v>
      </c>
      <c r="O1790" t="s">
        <v>34</v>
      </c>
    </row>
    <row r="1791" spans="1:15">
      <c r="A1791" t="s">
        <v>3178</v>
      </c>
      <c r="B1791" s="2">
        <v>44257.770231481481</v>
      </c>
      <c r="C1791" s="2">
        <v>44257.912349537037</v>
      </c>
      <c r="D1791" t="s">
        <v>458</v>
      </c>
      <c r="E1791" t="s">
        <v>3072</v>
      </c>
      <c r="F1791" t="s">
        <v>3073</v>
      </c>
      <c r="G1791" t="s">
        <v>1023</v>
      </c>
      <c r="H1791" t="s">
        <v>1031</v>
      </c>
      <c r="I1791">
        <v>185349003</v>
      </c>
      <c r="J1791" t="s">
        <v>1038</v>
      </c>
      <c r="K1791">
        <v>85.55</v>
      </c>
      <c r="L1791">
        <v>3536.75</v>
      </c>
      <c r="M1791">
        <v>2829.4</v>
      </c>
      <c r="N1791">
        <v>103697008</v>
      </c>
      <c r="O1791" t="s">
        <v>1039</v>
      </c>
    </row>
    <row r="1792" spans="1:15">
      <c r="A1792" t="s">
        <v>3179</v>
      </c>
      <c r="B1792" s="2">
        <v>44355.060937499999</v>
      </c>
      <c r="C1792" s="2">
        <v>44355.098668981482</v>
      </c>
      <c r="D1792" t="s">
        <v>458</v>
      </c>
      <c r="E1792" t="s">
        <v>3072</v>
      </c>
      <c r="F1792" t="s">
        <v>3073</v>
      </c>
      <c r="G1792" t="s">
        <v>1023</v>
      </c>
      <c r="H1792" t="s">
        <v>1031</v>
      </c>
      <c r="I1792">
        <v>185347001</v>
      </c>
      <c r="J1792" t="s">
        <v>1124</v>
      </c>
      <c r="K1792">
        <v>85.55</v>
      </c>
      <c r="L1792">
        <v>948.35</v>
      </c>
      <c r="M1792">
        <v>758.68</v>
      </c>
      <c r="N1792">
        <v>62479008</v>
      </c>
      <c r="O1792" t="s">
        <v>3074</v>
      </c>
    </row>
    <row r="1793" spans="1:15">
      <c r="A1793" t="s">
        <v>3180</v>
      </c>
      <c r="B1793" s="2">
        <v>44481.811898148146</v>
      </c>
      <c r="C1793" s="2">
        <v>44481.822314814817</v>
      </c>
      <c r="D1793" t="s">
        <v>458</v>
      </c>
      <c r="E1793" t="s">
        <v>3072</v>
      </c>
      <c r="F1793" t="s">
        <v>3073</v>
      </c>
      <c r="G1793" t="s">
        <v>1023</v>
      </c>
      <c r="H1793" t="s">
        <v>1043</v>
      </c>
      <c r="I1793">
        <v>33879002</v>
      </c>
      <c r="J1793" t="s">
        <v>1044</v>
      </c>
      <c r="K1793">
        <v>142.58000000000001</v>
      </c>
      <c r="L1793">
        <v>278.58</v>
      </c>
      <c r="M1793">
        <v>0</v>
      </c>
      <c r="O1793" t="s">
        <v>34</v>
      </c>
    </row>
    <row r="1794" spans="1:15">
      <c r="A1794" t="s">
        <v>3181</v>
      </c>
      <c r="B1794" s="2">
        <v>44502.811898148146</v>
      </c>
      <c r="C1794" s="2">
        <v>44502.822314814817</v>
      </c>
      <c r="D1794" t="s">
        <v>458</v>
      </c>
      <c r="E1794" t="s">
        <v>3072</v>
      </c>
      <c r="F1794" t="s">
        <v>3073</v>
      </c>
      <c r="G1794" t="s">
        <v>1023</v>
      </c>
      <c r="H1794" t="s">
        <v>1043</v>
      </c>
      <c r="I1794">
        <v>33879002</v>
      </c>
      <c r="J1794" t="s">
        <v>1044</v>
      </c>
      <c r="K1794">
        <v>142.58000000000001</v>
      </c>
      <c r="L1794">
        <v>278.58</v>
      </c>
      <c r="M1794">
        <v>0</v>
      </c>
      <c r="O1794" t="s">
        <v>34</v>
      </c>
    </row>
    <row r="1795" spans="1:15">
      <c r="A1795" t="s">
        <v>3182</v>
      </c>
      <c r="B1795" s="2">
        <v>44505.098668981482</v>
      </c>
      <c r="C1795" s="2">
        <v>44505.14267361111</v>
      </c>
      <c r="D1795" t="s">
        <v>458</v>
      </c>
      <c r="E1795" t="s">
        <v>3072</v>
      </c>
      <c r="F1795" t="s">
        <v>3073</v>
      </c>
      <c r="G1795" t="s">
        <v>1023</v>
      </c>
      <c r="H1795" t="s">
        <v>1031</v>
      </c>
      <c r="I1795">
        <v>185347001</v>
      </c>
      <c r="J1795" t="s">
        <v>1124</v>
      </c>
      <c r="K1795">
        <v>85.55</v>
      </c>
      <c r="L1795">
        <v>948.35</v>
      </c>
      <c r="M1795">
        <v>38.01</v>
      </c>
      <c r="N1795">
        <v>62479008</v>
      </c>
      <c r="O1795" t="s">
        <v>3074</v>
      </c>
    </row>
    <row r="1796" spans="1:15">
      <c r="A1796" t="s">
        <v>3183</v>
      </c>
      <c r="B1796" s="2">
        <v>44614.770231481481</v>
      </c>
      <c r="C1796" s="2">
        <v>44614.808993055558</v>
      </c>
      <c r="D1796" t="s">
        <v>458</v>
      </c>
      <c r="E1796" t="s">
        <v>3072</v>
      </c>
      <c r="F1796" t="s">
        <v>3073</v>
      </c>
      <c r="G1796" t="s">
        <v>1023</v>
      </c>
      <c r="H1796" t="s">
        <v>1020</v>
      </c>
      <c r="I1796">
        <v>162673000</v>
      </c>
      <c r="J1796" t="s">
        <v>1021</v>
      </c>
      <c r="K1796">
        <v>136.80000000000001</v>
      </c>
      <c r="L1796">
        <v>1143.6400000000001</v>
      </c>
      <c r="M1796">
        <v>914.9</v>
      </c>
      <c r="O1796" t="s">
        <v>34</v>
      </c>
    </row>
    <row r="1797" spans="1:15">
      <c r="A1797" t="s">
        <v>3184</v>
      </c>
      <c r="B1797" s="2">
        <v>44655.14267361111</v>
      </c>
      <c r="C1797" s="2">
        <v>44655.236817129633</v>
      </c>
      <c r="D1797" t="s">
        <v>458</v>
      </c>
      <c r="E1797" t="s">
        <v>3072</v>
      </c>
      <c r="F1797" t="s">
        <v>3073</v>
      </c>
      <c r="G1797" t="s">
        <v>1023</v>
      </c>
      <c r="H1797" t="s">
        <v>1031</v>
      </c>
      <c r="I1797">
        <v>185347001</v>
      </c>
      <c r="J1797" t="s">
        <v>1124</v>
      </c>
      <c r="K1797">
        <v>85.55</v>
      </c>
      <c r="L1797">
        <v>1811.15</v>
      </c>
      <c r="M1797">
        <v>1448.92</v>
      </c>
      <c r="N1797">
        <v>62479008</v>
      </c>
      <c r="O1797" t="s">
        <v>3074</v>
      </c>
    </row>
    <row r="1798" spans="1:15">
      <c r="A1798" t="s">
        <v>3185</v>
      </c>
      <c r="B1798" s="2">
        <v>44782.811898148146</v>
      </c>
      <c r="C1798" s="2">
        <v>44782.839849537035</v>
      </c>
      <c r="D1798" t="s">
        <v>458</v>
      </c>
      <c r="E1798" t="s">
        <v>3139</v>
      </c>
      <c r="F1798" t="s">
        <v>3140</v>
      </c>
      <c r="G1798" t="s">
        <v>1107</v>
      </c>
      <c r="H1798" t="s">
        <v>1159</v>
      </c>
      <c r="I1798">
        <v>702927004</v>
      </c>
      <c r="J1798" t="s">
        <v>1160</v>
      </c>
      <c r="K1798">
        <v>142.58000000000001</v>
      </c>
      <c r="L1798">
        <v>723.14</v>
      </c>
      <c r="M1798">
        <v>0</v>
      </c>
      <c r="O1798" t="s">
        <v>34</v>
      </c>
    </row>
    <row r="1799" spans="1:15">
      <c r="A1799" t="s">
        <v>3186</v>
      </c>
      <c r="B1799" s="2">
        <v>44789.811898148146</v>
      </c>
      <c r="C1799" s="2">
        <v>44789.822314814817</v>
      </c>
      <c r="D1799" t="s">
        <v>458</v>
      </c>
      <c r="E1799" t="s">
        <v>3139</v>
      </c>
      <c r="F1799" t="s">
        <v>3140</v>
      </c>
      <c r="G1799" t="s">
        <v>1107</v>
      </c>
      <c r="H1799" t="s">
        <v>1159</v>
      </c>
      <c r="I1799">
        <v>702927004</v>
      </c>
      <c r="J1799" t="s">
        <v>1160</v>
      </c>
      <c r="K1799">
        <v>142.58000000000001</v>
      </c>
      <c r="L1799">
        <v>291.74</v>
      </c>
      <c r="M1799">
        <v>0</v>
      </c>
      <c r="O1799" t="s">
        <v>34</v>
      </c>
    </row>
    <row r="1800" spans="1:15">
      <c r="A1800" t="s">
        <v>3187</v>
      </c>
      <c r="B1800" s="2">
        <v>44796.811898148146</v>
      </c>
      <c r="C1800" s="2">
        <v>44796.836446759262</v>
      </c>
      <c r="D1800" t="s">
        <v>458</v>
      </c>
      <c r="E1800" t="s">
        <v>3072</v>
      </c>
      <c r="F1800" t="s">
        <v>3073</v>
      </c>
      <c r="G1800" t="s">
        <v>1107</v>
      </c>
      <c r="H1800" t="s">
        <v>1043</v>
      </c>
      <c r="I1800">
        <v>185349003</v>
      </c>
      <c r="J1800" t="s">
        <v>1038</v>
      </c>
      <c r="K1800">
        <v>85.55</v>
      </c>
      <c r="L1800">
        <v>666.11</v>
      </c>
      <c r="M1800">
        <v>0</v>
      </c>
      <c r="O1800" t="s">
        <v>34</v>
      </c>
    </row>
    <row r="1801" spans="1:15">
      <c r="A1801" t="s">
        <v>3188</v>
      </c>
      <c r="B1801" s="2">
        <v>44803.811898148146</v>
      </c>
      <c r="C1801" s="2">
        <v>44803.822314814817</v>
      </c>
      <c r="D1801" t="s">
        <v>458</v>
      </c>
      <c r="E1801" t="s">
        <v>3139</v>
      </c>
      <c r="F1801" t="s">
        <v>3140</v>
      </c>
      <c r="G1801" t="s">
        <v>1107</v>
      </c>
      <c r="H1801" t="s">
        <v>1159</v>
      </c>
      <c r="I1801">
        <v>702927004</v>
      </c>
      <c r="J1801" t="s">
        <v>1160</v>
      </c>
      <c r="K1801">
        <v>142.58000000000001</v>
      </c>
      <c r="L1801">
        <v>1154.54</v>
      </c>
      <c r="M1801">
        <v>0</v>
      </c>
      <c r="O1801" t="s">
        <v>34</v>
      </c>
    </row>
    <row r="1802" spans="1:15">
      <c r="A1802" t="s">
        <v>3189</v>
      </c>
      <c r="B1802" s="2">
        <v>44810.811898148146</v>
      </c>
      <c r="C1802" s="2">
        <v>44810.848854166667</v>
      </c>
      <c r="D1802" t="s">
        <v>458</v>
      </c>
      <c r="E1802" t="s">
        <v>3072</v>
      </c>
      <c r="F1802" t="s">
        <v>3073</v>
      </c>
      <c r="G1802" t="s">
        <v>1107</v>
      </c>
      <c r="H1802" t="s">
        <v>1043</v>
      </c>
      <c r="I1802">
        <v>185349003</v>
      </c>
      <c r="J1802" t="s">
        <v>1038</v>
      </c>
      <c r="K1802">
        <v>85.55</v>
      </c>
      <c r="L1802">
        <v>666.11</v>
      </c>
      <c r="M1802">
        <v>0</v>
      </c>
      <c r="O1802" t="s">
        <v>34</v>
      </c>
    </row>
    <row r="1803" spans="1:15">
      <c r="A1803" t="s">
        <v>3190</v>
      </c>
      <c r="B1803" s="2">
        <v>44817.811898148146</v>
      </c>
      <c r="C1803" s="2">
        <v>44818.010567129626</v>
      </c>
      <c r="D1803" t="s">
        <v>458</v>
      </c>
      <c r="E1803" t="s">
        <v>3072</v>
      </c>
      <c r="F1803" t="s">
        <v>3073</v>
      </c>
      <c r="G1803" t="s">
        <v>1107</v>
      </c>
      <c r="H1803" t="s">
        <v>1031</v>
      </c>
      <c r="I1803">
        <v>185349003</v>
      </c>
      <c r="J1803" t="s">
        <v>1038</v>
      </c>
      <c r="K1803">
        <v>85.55</v>
      </c>
      <c r="L1803">
        <v>3536.75</v>
      </c>
      <c r="M1803">
        <v>2328.14</v>
      </c>
      <c r="N1803">
        <v>103697008</v>
      </c>
      <c r="O1803" t="s">
        <v>1039</v>
      </c>
    </row>
    <row r="1804" spans="1:15">
      <c r="A1804" t="s">
        <v>3191</v>
      </c>
      <c r="B1804" s="2">
        <v>44824.811898148146</v>
      </c>
      <c r="C1804" s="2">
        <v>44824.842233796298</v>
      </c>
      <c r="D1804" t="s">
        <v>458</v>
      </c>
      <c r="E1804" t="s">
        <v>3072</v>
      </c>
      <c r="F1804" t="s">
        <v>3073</v>
      </c>
      <c r="G1804" t="s">
        <v>1107</v>
      </c>
      <c r="H1804" t="s">
        <v>1031</v>
      </c>
      <c r="I1804">
        <v>185347001</v>
      </c>
      <c r="J1804" t="s">
        <v>1124</v>
      </c>
      <c r="K1804">
        <v>85.55</v>
      </c>
      <c r="L1804">
        <v>948.35</v>
      </c>
      <c r="M1804">
        <v>663.84</v>
      </c>
      <c r="N1804">
        <v>62479008</v>
      </c>
      <c r="O1804" t="s">
        <v>3074</v>
      </c>
    </row>
    <row r="1805" spans="1:15">
      <c r="A1805" t="s">
        <v>3192</v>
      </c>
      <c r="B1805" s="2">
        <v>44831.811898148146</v>
      </c>
      <c r="C1805" s="2">
        <v>44831.822314814817</v>
      </c>
      <c r="D1805" t="s">
        <v>458</v>
      </c>
      <c r="E1805" t="s">
        <v>3072</v>
      </c>
      <c r="F1805" t="s">
        <v>3073</v>
      </c>
      <c r="G1805" t="s">
        <v>1107</v>
      </c>
      <c r="H1805" t="s">
        <v>1031</v>
      </c>
      <c r="I1805">
        <v>185345009</v>
      </c>
      <c r="J1805" t="s">
        <v>1032</v>
      </c>
      <c r="K1805">
        <v>85.55</v>
      </c>
      <c r="L1805">
        <v>85.55</v>
      </c>
      <c r="M1805">
        <v>59.88</v>
      </c>
      <c r="N1805">
        <v>444814009</v>
      </c>
      <c r="O1805" t="s">
        <v>1035</v>
      </c>
    </row>
    <row r="1806" spans="1:15">
      <c r="A1806" t="s">
        <v>3193</v>
      </c>
      <c r="B1806" s="2">
        <v>44838.811898148146</v>
      </c>
      <c r="C1806" s="2">
        <v>44838.843726851854</v>
      </c>
      <c r="D1806" t="s">
        <v>458</v>
      </c>
      <c r="E1806" t="s">
        <v>3139</v>
      </c>
      <c r="F1806" t="s">
        <v>3140</v>
      </c>
      <c r="G1806" t="s">
        <v>1107</v>
      </c>
      <c r="H1806" t="s">
        <v>1159</v>
      </c>
      <c r="I1806">
        <v>702927004</v>
      </c>
      <c r="J1806" t="s">
        <v>1160</v>
      </c>
      <c r="K1806">
        <v>142.58000000000001</v>
      </c>
      <c r="L1806">
        <v>723.14</v>
      </c>
      <c r="M1806">
        <v>506.21</v>
      </c>
      <c r="O1806" t="s">
        <v>34</v>
      </c>
    </row>
    <row r="1807" spans="1:15">
      <c r="A1807" t="s">
        <v>3194</v>
      </c>
      <c r="B1807" s="2">
        <v>44845.811898148146</v>
      </c>
      <c r="C1807" s="2">
        <v>44845.822314814817</v>
      </c>
      <c r="D1807" t="s">
        <v>458</v>
      </c>
      <c r="E1807" t="s">
        <v>3072</v>
      </c>
      <c r="F1807" t="s">
        <v>3073</v>
      </c>
      <c r="G1807" t="s">
        <v>1107</v>
      </c>
      <c r="H1807" t="s">
        <v>1043</v>
      </c>
      <c r="I1807">
        <v>185349003</v>
      </c>
      <c r="J1807" t="s">
        <v>1038</v>
      </c>
      <c r="K1807">
        <v>85.55</v>
      </c>
      <c r="L1807">
        <v>234.71</v>
      </c>
      <c r="M1807">
        <v>164.3</v>
      </c>
      <c r="O1807" t="s">
        <v>34</v>
      </c>
    </row>
    <row r="1808" spans="1:15">
      <c r="A1808" t="s">
        <v>3195</v>
      </c>
      <c r="B1808" s="2">
        <v>44974.800567129627</v>
      </c>
      <c r="C1808" s="2">
        <v>44974.846805555557</v>
      </c>
      <c r="D1808" t="s">
        <v>458</v>
      </c>
      <c r="E1808" t="s">
        <v>3072</v>
      </c>
      <c r="F1808" t="s">
        <v>3073</v>
      </c>
      <c r="G1808" t="s">
        <v>1107</v>
      </c>
      <c r="H1808" t="s">
        <v>1031</v>
      </c>
      <c r="I1808">
        <v>185347001</v>
      </c>
      <c r="J1808" t="s">
        <v>1124</v>
      </c>
      <c r="K1808">
        <v>85.55</v>
      </c>
      <c r="L1808">
        <v>948.35</v>
      </c>
      <c r="M1808">
        <v>663.84</v>
      </c>
      <c r="N1808">
        <v>62479008</v>
      </c>
      <c r="O1808" t="s">
        <v>3074</v>
      </c>
    </row>
    <row r="1809" spans="1:15">
      <c r="A1809" t="s">
        <v>3196</v>
      </c>
      <c r="B1809" s="2">
        <v>44985.770231481481</v>
      </c>
      <c r="C1809" s="2">
        <v>44985.81108796296</v>
      </c>
      <c r="D1809" t="s">
        <v>458</v>
      </c>
      <c r="E1809" t="s">
        <v>3072</v>
      </c>
      <c r="F1809" t="s">
        <v>3073</v>
      </c>
      <c r="G1809" t="s">
        <v>1107</v>
      </c>
      <c r="H1809" t="s">
        <v>1020</v>
      </c>
      <c r="I1809">
        <v>162673000</v>
      </c>
      <c r="J1809" t="s">
        <v>1021</v>
      </c>
      <c r="K1809">
        <v>136.80000000000001</v>
      </c>
      <c r="L1809">
        <v>1430.01</v>
      </c>
      <c r="M1809">
        <v>1001.02</v>
      </c>
      <c r="O1809" t="s">
        <v>34</v>
      </c>
    </row>
    <row r="1810" spans="1:15">
      <c r="A1810" t="s">
        <v>3197</v>
      </c>
      <c r="B1810" s="2">
        <v>45124.888472222221</v>
      </c>
      <c r="C1810" s="2">
        <v>45124.972048611111</v>
      </c>
      <c r="D1810" t="s">
        <v>458</v>
      </c>
      <c r="E1810" t="s">
        <v>3072</v>
      </c>
      <c r="F1810" t="s">
        <v>3073</v>
      </c>
      <c r="G1810" t="s">
        <v>1107</v>
      </c>
      <c r="H1810" t="s">
        <v>1031</v>
      </c>
      <c r="I1810">
        <v>185347001</v>
      </c>
      <c r="J1810" t="s">
        <v>1124</v>
      </c>
      <c r="K1810">
        <v>85.55</v>
      </c>
      <c r="L1810">
        <v>1811.15</v>
      </c>
      <c r="M1810">
        <v>0</v>
      </c>
      <c r="N1810">
        <v>62479008</v>
      </c>
      <c r="O1810" t="s">
        <v>3074</v>
      </c>
    </row>
    <row r="1811" spans="1:15">
      <c r="A1811" t="s">
        <v>3198</v>
      </c>
      <c r="B1811" s="2">
        <v>45132.811898148146</v>
      </c>
      <c r="C1811" s="2">
        <v>45160.484282407408</v>
      </c>
      <c r="D1811" t="s">
        <v>458</v>
      </c>
      <c r="E1811" t="s">
        <v>3072</v>
      </c>
      <c r="F1811" t="s">
        <v>3073</v>
      </c>
      <c r="G1811" t="s">
        <v>1107</v>
      </c>
      <c r="H1811" t="s">
        <v>1263</v>
      </c>
      <c r="I1811">
        <v>305336008</v>
      </c>
      <c r="J1811" t="s">
        <v>1264</v>
      </c>
      <c r="K1811">
        <v>137.53</v>
      </c>
      <c r="L1811">
        <v>11353.93</v>
      </c>
      <c r="M1811">
        <v>6065.56</v>
      </c>
      <c r="O1811" t="s">
        <v>34</v>
      </c>
    </row>
    <row r="1812" spans="1:15">
      <c r="A1812" t="s">
        <v>3199</v>
      </c>
      <c r="B1812" s="2">
        <v>45160.811898148146</v>
      </c>
      <c r="C1812" s="2">
        <v>45160.822314814817</v>
      </c>
      <c r="D1812" t="s">
        <v>458</v>
      </c>
      <c r="E1812" t="s">
        <v>3072</v>
      </c>
      <c r="F1812" t="s">
        <v>3073</v>
      </c>
      <c r="G1812" t="s">
        <v>1107</v>
      </c>
      <c r="H1812" t="s">
        <v>1020</v>
      </c>
      <c r="I1812">
        <v>308646001</v>
      </c>
      <c r="J1812" t="s">
        <v>1708</v>
      </c>
      <c r="K1812">
        <v>136.80000000000001</v>
      </c>
      <c r="L1812">
        <v>211.38</v>
      </c>
      <c r="M1812">
        <v>147.97</v>
      </c>
      <c r="N1812">
        <v>62479008</v>
      </c>
      <c r="O1812" t="s">
        <v>3074</v>
      </c>
    </row>
    <row r="1813" spans="1:15">
      <c r="A1813" t="s">
        <v>3200</v>
      </c>
      <c r="B1813" s="2">
        <v>30970.160671296297</v>
      </c>
      <c r="C1813" s="2">
        <v>30971.160671296297</v>
      </c>
      <c r="D1813" t="s">
        <v>466</v>
      </c>
      <c r="E1813" t="s">
        <v>1303</v>
      </c>
      <c r="F1813" t="s">
        <v>1304</v>
      </c>
      <c r="G1813" t="s">
        <v>1093</v>
      </c>
      <c r="H1813" t="s">
        <v>1431</v>
      </c>
      <c r="I1813">
        <v>67799006</v>
      </c>
      <c r="J1813" t="s">
        <v>3201</v>
      </c>
      <c r="K1813">
        <v>146.18</v>
      </c>
      <c r="L1813">
        <v>1612.94</v>
      </c>
      <c r="M1813">
        <v>1562.94</v>
      </c>
      <c r="N1813">
        <v>190905008</v>
      </c>
      <c r="O1813" t="s">
        <v>3202</v>
      </c>
    </row>
    <row r="1814" spans="1:15">
      <c r="A1814" t="s">
        <v>3203</v>
      </c>
      <c r="B1814" s="2">
        <v>31521.467523148149</v>
      </c>
      <c r="C1814" s="2">
        <v>31521.53261574074</v>
      </c>
      <c r="D1814" t="s">
        <v>466</v>
      </c>
      <c r="E1814" t="s">
        <v>3204</v>
      </c>
      <c r="F1814" t="s">
        <v>3205</v>
      </c>
      <c r="G1814" t="s">
        <v>1974</v>
      </c>
      <c r="H1814" t="s">
        <v>1076</v>
      </c>
      <c r="I1814">
        <v>50849002</v>
      </c>
      <c r="J1814" t="s">
        <v>1163</v>
      </c>
      <c r="K1814">
        <v>146.18</v>
      </c>
      <c r="L1814">
        <v>1674.86</v>
      </c>
      <c r="M1814">
        <v>1639.86</v>
      </c>
      <c r="N1814">
        <v>65710008</v>
      </c>
      <c r="O1814" t="s">
        <v>3206</v>
      </c>
    </row>
    <row r="1815" spans="1:15">
      <c r="A1815" t="s">
        <v>3207</v>
      </c>
      <c r="B1815" s="2">
        <v>34487.449363425927</v>
      </c>
      <c r="C1815" s="2">
        <v>34487.481412037036</v>
      </c>
      <c r="D1815" t="s">
        <v>466</v>
      </c>
      <c r="E1815" t="s">
        <v>1303</v>
      </c>
      <c r="F1815" t="s">
        <v>1304</v>
      </c>
      <c r="G1815" t="s">
        <v>1974</v>
      </c>
      <c r="H1815" t="s">
        <v>1031</v>
      </c>
      <c r="I1815">
        <v>185349003</v>
      </c>
      <c r="J1815" t="s">
        <v>1038</v>
      </c>
      <c r="K1815">
        <v>85.55</v>
      </c>
      <c r="L1815">
        <v>1178.78</v>
      </c>
      <c r="M1815">
        <v>1143.78</v>
      </c>
      <c r="N1815">
        <v>190905008</v>
      </c>
      <c r="O1815" t="s">
        <v>3202</v>
      </c>
    </row>
    <row r="1816" spans="1:15">
      <c r="A1816" t="s">
        <v>3208</v>
      </c>
      <c r="B1816" s="2">
        <v>35017.679108796299</v>
      </c>
      <c r="C1816" s="2">
        <v>35017.847361111111</v>
      </c>
      <c r="D1816" t="s">
        <v>466</v>
      </c>
      <c r="E1816" t="s">
        <v>1303</v>
      </c>
      <c r="F1816" t="s">
        <v>1304</v>
      </c>
      <c r="G1816" t="s">
        <v>1974</v>
      </c>
      <c r="H1816" t="s">
        <v>1031</v>
      </c>
      <c r="I1816">
        <v>185349003</v>
      </c>
      <c r="J1816" t="s">
        <v>1038</v>
      </c>
      <c r="K1816">
        <v>85.55</v>
      </c>
      <c r="L1816">
        <v>14522.22</v>
      </c>
      <c r="M1816">
        <v>14487.22</v>
      </c>
      <c r="N1816">
        <v>190905008</v>
      </c>
      <c r="O1816" t="s">
        <v>3202</v>
      </c>
    </row>
    <row r="1817" spans="1:15">
      <c r="A1817" t="s">
        <v>3209</v>
      </c>
      <c r="B1817" s="2">
        <v>35366.119004629632</v>
      </c>
      <c r="C1817" s="2">
        <v>35366.129421296297</v>
      </c>
      <c r="D1817" t="s">
        <v>466</v>
      </c>
      <c r="E1817" t="s">
        <v>3210</v>
      </c>
      <c r="F1817" t="s">
        <v>3211</v>
      </c>
      <c r="G1817" t="s">
        <v>1974</v>
      </c>
      <c r="H1817" t="s">
        <v>1020</v>
      </c>
      <c r="I1817">
        <v>410620009</v>
      </c>
      <c r="J1817" t="s">
        <v>1054</v>
      </c>
      <c r="K1817">
        <v>136.80000000000001</v>
      </c>
      <c r="L1817">
        <v>1303.79</v>
      </c>
      <c r="M1817">
        <v>1268.79</v>
      </c>
      <c r="O1817" t="s">
        <v>34</v>
      </c>
    </row>
    <row r="1818" spans="1:15">
      <c r="A1818" t="s">
        <v>3212</v>
      </c>
      <c r="B1818" s="2">
        <v>35387.119004629632</v>
      </c>
      <c r="C1818" s="2">
        <v>35387.172488425924</v>
      </c>
      <c r="D1818" t="s">
        <v>466</v>
      </c>
      <c r="E1818" t="s">
        <v>1303</v>
      </c>
      <c r="F1818" t="s">
        <v>1304</v>
      </c>
      <c r="G1818" t="s">
        <v>1974</v>
      </c>
      <c r="H1818" t="s">
        <v>1031</v>
      </c>
      <c r="I1818">
        <v>185347001</v>
      </c>
      <c r="J1818" t="s">
        <v>1124</v>
      </c>
      <c r="K1818">
        <v>85.55</v>
      </c>
      <c r="L1818">
        <v>1379.75</v>
      </c>
      <c r="M1818">
        <v>1344.75</v>
      </c>
      <c r="N1818">
        <v>37320007</v>
      </c>
      <c r="O1818" t="s">
        <v>1125</v>
      </c>
    </row>
    <row r="1819" spans="1:15">
      <c r="A1819" t="s">
        <v>3213</v>
      </c>
      <c r="B1819" s="2">
        <v>35737.119004629632</v>
      </c>
      <c r="C1819" s="2">
        <v>35737.129421296297</v>
      </c>
      <c r="D1819" t="s">
        <v>466</v>
      </c>
      <c r="E1819" t="s">
        <v>3210</v>
      </c>
      <c r="F1819" t="s">
        <v>3211</v>
      </c>
      <c r="G1819" t="s">
        <v>1974</v>
      </c>
      <c r="H1819" t="s">
        <v>1020</v>
      </c>
      <c r="I1819">
        <v>410620009</v>
      </c>
      <c r="J1819" t="s">
        <v>1054</v>
      </c>
      <c r="K1819">
        <v>136.80000000000001</v>
      </c>
      <c r="L1819">
        <v>860.16</v>
      </c>
      <c r="M1819">
        <v>825.16</v>
      </c>
      <c r="O1819" t="s">
        <v>34</v>
      </c>
    </row>
    <row r="1820" spans="1:15">
      <c r="A1820" t="s">
        <v>3214</v>
      </c>
      <c r="B1820" s="2">
        <v>37592.119004629632</v>
      </c>
      <c r="C1820" s="2">
        <v>37592.154016203705</v>
      </c>
      <c r="D1820" t="s">
        <v>466</v>
      </c>
      <c r="E1820" t="s">
        <v>3210</v>
      </c>
      <c r="F1820" t="s">
        <v>3211</v>
      </c>
      <c r="G1820" t="s">
        <v>1093</v>
      </c>
      <c r="H1820" t="s">
        <v>1020</v>
      </c>
      <c r="I1820">
        <v>162673000</v>
      </c>
      <c r="J1820" t="s">
        <v>1021</v>
      </c>
      <c r="K1820">
        <v>136.80000000000001</v>
      </c>
      <c r="L1820">
        <v>1722.96</v>
      </c>
      <c r="M1820">
        <v>1672.96</v>
      </c>
      <c r="O1820" t="s">
        <v>34</v>
      </c>
    </row>
    <row r="1821" spans="1:15">
      <c r="A1821" t="s">
        <v>3215</v>
      </c>
      <c r="B1821" s="2">
        <v>38334.119004629632</v>
      </c>
      <c r="C1821" s="2">
        <v>38334.147893518515</v>
      </c>
      <c r="D1821" t="s">
        <v>466</v>
      </c>
      <c r="E1821" t="s">
        <v>3210</v>
      </c>
      <c r="F1821" t="s">
        <v>3211</v>
      </c>
      <c r="G1821" t="s">
        <v>1974</v>
      </c>
      <c r="H1821" t="s">
        <v>1020</v>
      </c>
      <c r="I1821">
        <v>162673000</v>
      </c>
      <c r="J1821" t="s">
        <v>1021</v>
      </c>
      <c r="K1821">
        <v>136.80000000000001</v>
      </c>
      <c r="L1821">
        <v>996.16</v>
      </c>
      <c r="M1821">
        <v>961.16</v>
      </c>
      <c r="O1821" t="s">
        <v>34</v>
      </c>
    </row>
    <row r="1822" spans="1:15">
      <c r="A1822" t="s">
        <v>3216</v>
      </c>
      <c r="B1822" s="2">
        <v>38425.119004629632</v>
      </c>
      <c r="C1822" s="2">
        <v>38425.160671296297</v>
      </c>
      <c r="D1822" t="s">
        <v>466</v>
      </c>
      <c r="E1822" t="s">
        <v>3204</v>
      </c>
      <c r="F1822" t="s">
        <v>3205</v>
      </c>
      <c r="G1822" t="s">
        <v>1974</v>
      </c>
      <c r="H1822" t="s">
        <v>1076</v>
      </c>
      <c r="I1822">
        <v>50849002</v>
      </c>
      <c r="J1822" t="s">
        <v>1163</v>
      </c>
      <c r="K1822">
        <v>146.18</v>
      </c>
      <c r="L1822">
        <v>869.54</v>
      </c>
      <c r="M1822">
        <v>834.54</v>
      </c>
      <c r="O1822" t="s">
        <v>34</v>
      </c>
    </row>
    <row r="1823" spans="1:15">
      <c r="A1823" t="s">
        <v>3217</v>
      </c>
      <c r="B1823" s="2">
        <v>38705.119004629632</v>
      </c>
      <c r="C1823" s="2">
        <v>38705.15693287037</v>
      </c>
      <c r="D1823" t="s">
        <v>466</v>
      </c>
      <c r="E1823" t="s">
        <v>3210</v>
      </c>
      <c r="F1823" t="s">
        <v>3211</v>
      </c>
      <c r="G1823" t="s">
        <v>1974</v>
      </c>
      <c r="H1823" t="s">
        <v>1020</v>
      </c>
      <c r="I1823">
        <v>162673000</v>
      </c>
      <c r="J1823" t="s">
        <v>1021</v>
      </c>
      <c r="K1823">
        <v>136.80000000000001</v>
      </c>
      <c r="L1823">
        <v>1063.94</v>
      </c>
      <c r="M1823">
        <v>1028.94</v>
      </c>
      <c r="O1823" t="s">
        <v>34</v>
      </c>
    </row>
    <row r="1824" spans="1:15">
      <c r="A1824" t="s">
        <v>3218</v>
      </c>
      <c r="B1824" s="2">
        <v>38726.119004629632</v>
      </c>
      <c r="C1824" s="2">
        <v>38726.129421296297</v>
      </c>
      <c r="D1824" t="s">
        <v>466</v>
      </c>
      <c r="E1824" t="s">
        <v>1303</v>
      </c>
      <c r="F1824" t="s">
        <v>1304</v>
      </c>
      <c r="G1824" t="s">
        <v>1974</v>
      </c>
      <c r="H1824" t="s">
        <v>1031</v>
      </c>
      <c r="I1824">
        <v>424441002</v>
      </c>
      <c r="J1824" t="s">
        <v>1059</v>
      </c>
      <c r="K1824">
        <v>142.58000000000001</v>
      </c>
      <c r="L1824">
        <v>41763.29</v>
      </c>
      <c r="M1824">
        <v>41728.29</v>
      </c>
      <c r="N1824">
        <v>72892002</v>
      </c>
      <c r="O1824" t="s">
        <v>1060</v>
      </c>
    </row>
    <row r="1825" spans="1:15">
      <c r="A1825" t="s">
        <v>3219</v>
      </c>
      <c r="B1825" s="2">
        <v>38888.286574074074</v>
      </c>
      <c r="C1825" s="2">
        <v>38888.317129629628</v>
      </c>
      <c r="D1825" t="s">
        <v>466</v>
      </c>
      <c r="E1825" t="s">
        <v>1303</v>
      </c>
      <c r="F1825" t="s">
        <v>1304</v>
      </c>
      <c r="G1825" t="s">
        <v>1974</v>
      </c>
      <c r="H1825" t="s">
        <v>1031</v>
      </c>
      <c r="I1825">
        <v>36228007</v>
      </c>
      <c r="J1825" t="s">
        <v>1705</v>
      </c>
      <c r="K1825">
        <v>142.58000000000001</v>
      </c>
      <c r="L1825">
        <v>2730.98</v>
      </c>
      <c r="M1825">
        <v>2695.98</v>
      </c>
      <c r="O1825" t="s">
        <v>34</v>
      </c>
    </row>
    <row r="1826" spans="1:15">
      <c r="A1826" t="s">
        <v>3220</v>
      </c>
      <c r="B1826" s="2">
        <v>38894.160671296297</v>
      </c>
      <c r="C1826" s="2">
        <v>38894.171087962961</v>
      </c>
      <c r="D1826" t="s">
        <v>466</v>
      </c>
      <c r="E1826" t="s">
        <v>1303</v>
      </c>
      <c r="F1826" t="s">
        <v>1304</v>
      </c>
      <c r="G1826" t="s">
        <v>1974</v>
      </c>
      <c r="H1826" t="s">
        <v>1031</v>
      </c>
      <c r="I1826">
        <v>424619006</v>
      </c>
      <c r="J1826" t="s">
        <v>1062</v>
      </c>
      <c r="K1826">
        <v>142.58000000000001</v>
      </c>
      <c r="L1826">
        <v>5750.27</v>
      </c>
      <c r="M1826">
        <v>5715.27</v>
      </c>
      <c r="N1826">
        <v>72892002</v>
      </c>
      <c r="O1826" t="s">
        <v>1060</v>
      </c>
    </row>
    <row r="1827" spans="1:15">
      <c r="A1827" t="s">
        <v>3221</v>
      </c>
      <c r="B1827" s="2">
        <v>38914.147233796299</v>
      </c>
      <c r="C1827" s="2">
        <v>38914.328668981485</v>
      </c>
      <c r="D1827" t="s">
        <v>466</v>
      </c>
      <c r="E1827" t="s">
        <v>1303</v>
      </c>
      <c r="F1827" t="s">
        <v>1304</v>
      </c>
      <c r="G1827" t="s">
        <v>1974</v>
      </c>
      <c r="H1827" t="s">
        <v>1031</v>
      </c>
      <c r="I1827">
        <v>185349003</v>
      </c>
      <c r="J1827" t="s">
        <v>1038</v>
      </c>
      <c r="K1827">
        <v>85.55</v>
      </c>
      <c r="L1827">
        <v>4601.3999999999996</v>
      </c>
      <c r="M1827">
        <v>4566.3999999999996</v>
      </c>
      <c r="N1827">
        <v>190905008</v>
      </c>
      <c r="O1827" t="s">
        <v>3202</v>
      </c>
    </row>
    <row r="1828" spans="1:15">
      <c r="A1828" t="s">
        <v>3222</v>
      </c>
      <c r="B1828" s="2">
        <v>38922.160671296297</v>
      </c>
      <c r="C1828" s="2">
        <v>38922.171087962961</v>
      </c>
      <c r="D1828" t="s">
        <v>466</v>
      </c>
      <c r="E1828" t="s">
        <v>1303</v>
      </c>
      <c r="F1828" t="s">
        <v>1304</v>
      </c>
      <c r="G1828" t="s">
        <v>1974</v>
      </c>
      <c r="H1828" t="s">
        <v>1031</v>
      </c>
      <c r="I1828">
        <v>424619006</v>
      </c>
      <c r="J1828" t="s">
        <v>1062</v>
      </c>
      <c r="K1828">
        <v>142.58000000000001</v>
      </c>
      <c r="L1828">
        <v>8976.36</v>
      </c>
      <c r="M1828">
        <v>8941.36</v>
      </c>
      <c r="N1828">
        <v>72892002</v>
      </c>
      <c r="O1828" t="s">
        <v>1060</v>
      </c>
    </row>
    <row r="1829" spans="1:15">
      <c r="A1829" t="s">
        <v>3223</v>
      </c>
      <c r="B1829" s="2">
        <v>38936.160671296297</v>
      </c>
      <c r="C1829" s="2">
        <v>38936.202337962961</v>
      </c>
      <c r="D1829" t="s">
        <v>466</v>
      </c>
      <c r="E1829" t="s">
        <v>3204</v>
      </c>
      <c r="F1829" t="s">
        <v>3205</v>
      </c>
      <c r="G1829" t="s">
        <v>1974</v>
      </c>
      <c r="H1829" t="s">
        <v>1076</v>
      </c>
      <c r="I1829">
        <v>183460006</v>
      </c>
      <c r="J1829" t="s">
        <v>1077</v>
      </c>
      <c r="K1829">
        <v>146.18</v>
      </c>
      <c r="L1829">
        <v>4624.83</v>
      </c>
      <c r="M1829">
        <v>4589.83</v>
      </c>
      <c r="N1829">
        <v>72892002</v>
      </c>
      <c r="O1829" t="s">
        <v>1060</v>
      </c>
    </row>
    <row r="1830" spans="1:15">
      <c r="A1830" t="s">
        <v>3224</v>
      </c>
      <c r="B1830" s="2">
        <v>38978.160671296297</v>
      </c>
      <c r="C1830" s="2">
        <v>38978.171087962961</v>
      </c>
      <c r="D1830" t="s">
        <v>466</v>
      </c>
      <c r="E1830" t="s">
        <v>1303</v>
      </c>
      <c r="F1830" t="s">
        <v>1304</v>
      </c>
      <c r="G1830" t="s">
        <v>1974</v>
      </c>
      <c r="H1830" t="s">
        <v>1031</v>
      </c>
      <c r="I1830">
        <v>169762003</v>
      </c>
      <c r="J1830" t="s">
        <v>1079</v>
      </c>
      <c r="K1830">
        <v>142.58000000000001</v>
      </c>
      <c r="L1830">
        <v>2113.65</v>
      </c>
      <c r="M1830">
        <v>2078.65</v>
      </c>
      <c r="O1830" t="s">
        <v>34</v>
      </c>
    </row>
    <row r="1831" spans="1:15">
      <c r="A1831" t="s">
        <v>3225</v>
      </c>
      <c r="B1831" s="2">
        <v>39011.328668981485</v>
      </c>
      <c r="C1831" s="2">
        <v>39011.350682870368</v>
      </c>
      <c r="D1831" t="s">
        <v>466</v>
      </c>
      <c r="E1831" t="s">
        <v>1303</v>
      </c>
      <c r="F1831" t="s">
        <v>1304</v>
      </c>
      <c r="G1831" t="s">
        <v>1122</v>
      </c>
      <c r="H1831" t="s">
        <v>1031</v>
      </c>
      <c r="I1831">
        <v>185349003</v>
      </c>
      <c r="J1831" t="s">
        <v>1038</v>
      </c>
      <c r="K1831">
        <v>85.55</v>
      </c>
      <c r="L1831">
        <v>1066.01</v>
      </c>
      <c r="M1831">
        <v>666.41</v>
      </c>
      <c r="N1831">
        <v>190905008</v>
      </c>
      <c r="O1831" t="s">
        <v>3202</v>
      </c>
    </row>
    <row r="1832" spans="1:15">
      <c r="A1832" t="s">
        <v>3226</v>
      </c>
      <c r="B1832" s="2">
        <v>39076.119004629632</v>
      </c>
      <c r="C1832" s="2">
        <v>39076.145312499997</v>
      </c>
      <c r="D1832" t="s">
        <v>466</v>
      </c>
      <c r="E1832" t="s">
        <v>3210</v>
      </c>
      <c r="F1832" t="s">
        <v>3211</v>
      </c>
      <c r="G1832" t="s">
        <v>1122</v>
      </c>
      <c r="H1832" t="s">
        <v>1020</v>
      </c>
      <c r="I1832">
        <v>162673000</v>
      </c>
      <c r="J1832" t="s">
        <v>1021</v>
      </c>
      <c r="K1832">
        <v>136.80000000000001</v>
      </c>
      <c r="L1832">
        <v>1262.6300000000001</v>
      </c>
      <c r="M1832">
        <v>1010.1</v>
      </c>
      <c r="O1832" t="s">
        <v>34</v>
      </c>
    </row>
    <row r="1833" spans="1:15">
      <c r="A1833" t="s">
        <v>3227</v>
      </c>
      <c r="B1833" s="2">
        <v>39102.309016203704</v>
      </c>
      <c r="C1833" s="2">
        <v>39102.435763888891</v>
      </c>
      <c r="D1833" t="s">
        <v>466</v>
      </c>
      <c r="E1833" t="s">
        <v>3204</v>
      </c>
      <c r="F1833" t="s">
        <v>3205</v>
      </c>
      <c r="G1833" t="s">
        <v>1122</v>
      </c>
      <c r="H1833" t="s">
        <v>1076</v>
      </c>
      <c r="I1833">
        <v>50849002</v>
      </c>
      <c r="J1833" t="s">
        <v>1163</v>
      </c>
      <c r="K1833">
        <v>146.18</v>
      </c>
      <c r="L1833">
        <v>1008.98</v>
      </c>
      <c r="M1833">
        <v>807.18</v>
      </c>
      <c r="N1833">
        <v>448417001</v>
      </c>
      <c r="O1833" t="s">
        <v>3228</v>
      </c>
    </row>
    <row r="1834" spans="1:15">
      <c r="A1834" t="s">
        <v>3229</v>
      </c>
      <c r="B1834" s="2">
        <v>39174.160671296297</v>
      </c>
      <c r="C1834" s="2">
        <v>39174.202303240738</v>
      </c>
      <c r="D1834" t="s">
        <v>466</v>
      </c>
      <c r="E1834" t="s">
        <v>2176</v>
      </c>
      <c r="F1834" t="s">
        <v>2177</v>
      </c>
      <c r="G1834" t="s">
        <v>1122</v>
      </c>
      <c r="H1834" t="s">
        <v>1159</v>
      </c>
      <c r="I1834">
        <v>702927004</v>
      </c>
      <c r="J1834" t="s">
        <v>1160</v>
      </c>
      <c r="K1834">
        <v>142.58000000000001</v>
      </c>
      <c r="L1834">
        <v>938.84</v>
      </c>
      <c r="M1834">
        <v>751.06</v>
      </c>
      <c r="O1834" t="s">
        <v>34</v>
      </c>
    </row>
    <row r="1835" spans="1:15">
      <c r="A1835" t="s">
        <v>3230</v>
      </c>
      <c r="B1835" s="2">
        <v>39181.160671296297</v>
      </c>
      <c r="C1835" s="2">
        <v>39181.171087962961</v>
      </c>
      <c r="D1835" t="s">
        <v>466</v>
      </c>
      <c r="E1835" t="s">
        <v>2176</v>
      </c>
      <c r="F1835" t="s">
        <v>2177</v>
      </c>
      <c r="G1835" t="s">
        <v>1122</v>
      </c>
      <c r="H1835" t="s">
        <v>1159</v>
      </c>
      <c r="I1835">
        <v>702927004</v>
      </c>
      <c r="J1835" t="s">
        <v>1160</v>
      </c>
      <c r="K1835">
        <v>142.58000000000001</v>
      </c>
      <c r="L1835">
        <v>556.15</v>
      </c>
      <c r="M1835">
        <v>444.92</v>
      </c>
      <c r="O1835" t="s">
        <v>34</v>
      </c>
    </row>
    <row r="1836" spans="1:15">
      <c r="A1836" t="s">
        <v>3231</v>
      </c>
      <c r="B1836" s="2">
        <v>39188.160671296297</v>
      </c>
      <c r="C1836" s="2">
        <v>39188.178564814814</v>
      </c>
      <c r="D1836" t="s">
        <v>466</v>
      </c>
      <c r="E1836" t="s">
        <v>1303</v>
      </c>
      <c r="F1836" t="s">
        <v>1304</v>
      </c>
      <c r="G1836" t="s">
        <v>1122</v>
      </c>
      <c r="H1836" t="s">
        <v>1031</v>
      </c>
      <c r="I1836">
        <v>185349003</v>
      </c>
      <c r="J1836" t="s">
        <v>1038</v>
      </c>
      <c r="K1836">
        <v>85.55</v>
      </c>
      <c r="L1836">
        <v>1038.77</v>
      </c>
      <c r="M1836">
        <v>831.02</v>
      </c>
      <c r="N1836">
        <v>190905008</v>
      </c>
      <c r="O1836" t="s">
        <v>3202</v>
      </c>
    </row>
    <row r="1837" spans="1:15">
      <c r="A1837" t="s">
        <v>3232</v>
      </c>
      <c r="B1837" s="2">
        <v>39195.160671296297</v>
      </c>
      <c r="C1837" s="2">
        <v>39195.292291666665</v>
      </c>
      <c r="D1837" t="s">
        <v>466</v>
      </c>
      <c r="E1837" t="s">
        <v>1303</v>
      </c>
      <c r="F1837" t="s">
        <v>1304</v>
      </c>
      <c r="G1837" t="s">
        <v>1122</v>
      </c>
      <c r="H1837" t="s">
        <v>1031</v>
      </c>
      <c r="I1837">
        <v>185349003</v>
      </c>
      <c r="J1837" t="s">
        <v>1038</v>
      </c>
      <c r="K1837">
        <v>85.55</v>
      </c>
      <c r="L1837">
        <v>3536.75</v>
      </c>
      <c r="M1837">
        <v>2829.4</v>
      </c>
      <c r="N1837">
        <v>103697008</v>
      </c>
      <c r="O1837" t="s">
        <v>1039</v>
      </c>
    </row>
    <row r="1838" spans="1:15">
      <c r="A1838" t="s">
        <v>3233</v>
      </c>
      <c r="B1838" s="2">
        <v>39202.160671296297</v>
      </c>
      <c r="C1838" s="2">
        <v>39202.171087962961</v>
      </c>
      <c r="D1838" t="s">
        <v>466</v>
      </c>
      <c r="E1838" t="s">
        <v>1303</v>
      </c>
      <c r="F1838" t="s">
        <v>1304</v>
      </c>
      <c r="G1838" t="s">
        <v>1122</v>
      </c>
      <c r="H1838" t="s">
        <v>1031</v>
      </c>
      <c r="I1838">
        <v>185345009</v>
      </c>
      <c r="J1838" t="s">
        <v>1032</v>
      </c>
      <c r="K1838">
        <v>85.55</v>
      </c>
      <c r="L1838">
        <v>85.55</v>
      </c>
      <c r="M1838">
        <v>68.44</v>
      </c>
      <c r="N1838">
        <v>444814009</v>
      </c>
      <c r="O1838" t="s">
        <v>1035</v>
      </c>
    </row>
    <row r="1839" spans="1:15">
      <c r="A1839" t="s">
        <v>3234</v>
      </c>
      <c r="B1839" s="2">
        <v>39218.299097222225</v>
      </c>
      <c r="C1839" s="2">
        <v>39218.329652777778</v>
      </c>
      <c r="D1839" t="s">
        <v>466</v>
      </c>
      <c r="E1839" t="s">
        <v>1303</v>
      </c>
      <c r="F1839" t="s">
        <v>1304</v>
      </c>
      <c r="G1839" t="s">
        <v>1122</v>
      </c>
      <c r="H1839" t="s">
        <v>1031</v>
      </c>
      <c r="I1839">
        <v>36228007</v>
      </c>
      <c r="J1839" t="s">
        <v>1705</v>
      </c>
      <c r="K1839">
        <v>142.58000000000001</v>
      </c>
      <c r="L1839">
        <v>2730.98</v>
      </c>
      <c r="M1839">
        <v>2184.7800000000002</v>
      </c>
      <c r="O1839" t="s">
        <v>34</v>
      </c>
    </row>
    <row r="1840" spans="1:15">
      <c r="A1840" t="s">
        <v>3235</v>
      </c>
      <c r="B1840" s="2">
        <v>39273.178564814814</v>
      </c>
      <c r="C1840" s="2">
        <v>39273.211076388892</v>
      </c>
      <c r="D1840" t="s">
        <v>466</v>
      </c>
      <c r="E1840" t="s">
        <v>1303</v>
      </c>
      <c r="F1840" t="s">
        <v>1304</v>
      </c>
      <c r="G1840" t="s">
        <v>1122</v>
      </c>
      <c r="H1840" t="s">
        <v>1031</v>
      </c>
      <c r="I1840">
        <v>185349003</v>
      </c>
      <c r="J1840" t="s">
        <v>1038</v>
      </c>
      <c r="K1840">
        <v>85.55</v>
      </c>
      <c r="L1840">
        <v>1140.53</v>
      </c>
      <c r="M1840">
        <v>912.42</v>
      </c>
      <c r="N1840">
        <v>190905008</v>
      </c>
      <c r="O1840" t="s">
        <v>3202</v>
      </c>
    </row>
    <row r="1841" spans="1:15">
      <c r="A1841" t="s">
        <v>3236</v>
      </c>
      <c r="B1841" s="2">
        <v>39363.211076388892</v>
      </c>
      <c r="C1841" s="2">
        <v>39363.233240740738</v>
      </c>
      <c r="D1841" t="s">
        <v>466</v>
      </c>
      <c r="E1841" t="s">
        <v>1303</v>
      </c>
      <c r="F1841" t="s">
        <v>1304</v>
      </c>
      <c r="G1841" t="s">
        <v>1974</v>
      </c>
      <c r="H1841" t="s">
        <v>1031</v>
      </c>
      <c r="I1841">
        <v>185349003</v>
      </c>
      <c r="J1841" t="s">
        <v>1038</v>
      </c>
      <c r="K1841">
        <v>85.55</v>
      </c>
      <c r="L1841">
        <v>1115.1400000000001</v>
      </c>
      <c r="M1841">
        <v>1080.1400000000001</v>
      </c>
      <c r="N1841">
        <v>190905008</v>
      </c>
      <c r="O1841" t="s">
        <v>3202</v>
      </c>
    </row>
    <row r="1842" spans="1:15">
      <c r="A1842" t="s">
        <v>3237</v>
      </c>
      <c r="B1842" s="2">
        <v>39426.119004629632</v>
      </c>
      <c r="C1842" s="2">
        <v>39426.129421296297</v>
      </c>
      <c r="D1842" t="s">
        <v>466</v>
      </c>
      <c r="E1842" t="s">
        <v>1303</v>
      </c>
      <c r="F1842" t="s">
        <v>1304</v>
      </c>
      <c r="G1842" t="s">
        <v>1974</v>
      </c>
      <c r="H1842" t="s">
        <v>1031</v>
      </c>
      <c r="I1842">
        <v>424441002</v>
      </c>
      <c r="J1842" t="s">
        <v>1059</v>
      </c>
      <c r="K1842">
        <v>142.58000000000001</v>
      </c>
      <c r="L1842">
        <v>44043.4</v>
      </c>
      <c r="M1842">
        <v>44008.4</v>
      </c>
      <c r="N1842">
        <v>72892002</v>
      </c>
      <c r="O1842" t="s">
        <v>1060</v>
      </c>
    </row>
    <row r="1843" spans="1:15">
      <c r="A1843" t="s">
        <v>3238</v>
      </c>
      <c r="B1843" s="2">
        <v>39447.119004629632</v>
      </c>
      <c r="C1843" s="2">
        <v>39447.151342592595</v>
      </c>
      <c r="D1843" t="s">
        <v>466</v>
      </c>
      <c r="E1843" t="s">
        <v>3210</v>
      </c>
      <c r="F1843" t="s">
        <v>3211</v>
      </c>
      <c r="G1843" t="s">
        <v>1974</v>
      </c>
      <c r="H1843" t="s">
        <v>1020</v>
      </c>
      <c r="I1843">
        <v>162673000</v>
      </c>
      <c r="J1843" t="s">
        <v>1021</v>
      </c>
      <c r="K1843">
        <v>136.80000000000001</v>
      </c>
      <c r="L1843">
        <v>717.36</v>
      </c>
      <c r="M1843">
        <v>717.36</v>
      </c>
      <c r="O1843" t="s">
        <v>34</v>
      </c>
    </row>
    <row r="1844" spans="1:15">
      <c r="A1844" t="s">
        <v>3239</v>
      </c>
      <c r="B1844" s="2">
        <v>39454.119004629632</v>
      </c>
      <c r="C1844" s="2">
        <v>39454.129421296297</v>
      </c>
      <c r="D1844" t="s">
        <v>466</v>
      </c>
      <c r="E1844" t="s">
        <v>1303</v>
      </c>
      <c r="F1844" t="s">
        <v>1304</v>
      </c>
      <c r="G1844" t="s">
        <v>1974</v>
      </c>
      <c r="H1844" t="s">
        <v>1031</v>
      </c>
      <c r="I1844">
        <v>424619006</v>
      </c>
      <c r="J1844" t="s">
        <v>1062</v>
      </c>
      <c r="K1844">
        <v>142.58000000000001</v>
      </c>
      <c r="L1844">
        <v>7266.74</v>
      </c>
      <c r="M1844">
        <v>7231.74</v>
      </c>
      <c r="N1844">
        <v>72892002</v>
      </c>
      <c r="O1844" t="s">
        <v>1060</v>
      </c>
    </row>
    <row r="1845" spans="1:15">
      <c r="A1845" t="s">
        <v>3240</v>
      </c>
      <c r="B1845" s="2">
        <v>39459.191574074073</v>
      </c>
      <c r="C1845" s="2">
        <v>39459.212442129632</v>
      </c>
      <c r="D1845" t="s">
        <v>466</v>
      </c>
      <c r="E1845" t="s">
        <v>1303</v>
      </c>
      <c r="F1845" t="s">
        <v>1304</v>
      </c>
      <c r="G1845" t="s">
        <v>1974</v>
      </c>
      <c r="H1845" t="s">
        <v>1031</v>
      </c>
      <c r="I1845">
        <v>185349003</v>
      </c>
      <c r="J1845" t="s">
        <v>1038</v>
      </c>
      <c r="K1845">
        <v>85.55</v>
      </c>
      <c r="L1845">
        <v>1057.3800000000001</v>
      </c>
      <c r="M1845">
        <v>1022.38</v>
      </c>
      <c r="N1845">
        <v>190905008</v>
      </c>
      <c r="O1845" t="s">
        <v>3202</v>
      </c>
    </row>
    <row r="1846" spans="1:15">
      <c r="A1846" t="s">
        <v>3241</v>
      </c>
      <c r="B1846" s="2">
        <v>39482.119004629632</v>
      </c>
      <c r="C1846" s="2">
        <v>39482.129421296297</v>
      </c>
      <c r="D1846" t="s">
        <v>466</v>
      </c>
      <c r="E1846" t="s">
        <v>1303</v>
      </c>
      <c r="F1846" t="s">
        <v>1304</v>
      </c>
      <c r="G1846" t="s">
        <v>1974</v>
      </c>
      <c r="H1846" t="s">
        <v>1031</v>
      </c>
      <c r="I1846">
        <v>424619006</v>
      </c>
      <c r="J1846" t="s">
        <v>1062</v>
      </c>
      <c r="K1846">
        <v>142.58000000000001</v>
      </c>
      <c r="L1846">
        <v>15837.07</v>
      </c>
      <c r="M1846">
        <v>15802.07</v>
      </c>
      <c r="N1846">
        <v>72892002</v>
      </c>
      <c r="O1846" t="s">
        <v>1060</v>
      </c>
    </row>
    <row r="1847" spans="1:15">
      <c r="A1847" t="s">
        <v>3242</v>
      </c>
      <c r="B1847" s="2">
        <v>39510.119004629632</v>
      </c>
      <c r="C1847" s="2">
        <v>39510.129421296297</v>
      </c>
      <c r="D1847" t="s">
        <v>466</v>
      </c>
      <c r="E1847" t="s">
        <v>1303</v>
      </c>
      <c r="F1847" t="s">
        <v>1304</v>
      </c>
      <c r="G1847" t="s">
        <v>1974</v>
      </c>
      <c r="H1847" t="s">
        <v>1031</v>
      </c>
      <c r="I1847">
        <v>424619006</v>
      </c>
      <c r="J1847" t="s">
        <v>1062</v>
      </c>
      <c r="K1847">
        <v>142.58000000000001</v>
      </c>
      <c r="L1847">
        <v>14994.24</v>
      </c>
      <c r="M1847">
        <v>14959.24</v>
      </c>
      <c r="N1847">
        <v>72892002</v>
      </c>
      <c r="O1847" t="s">
        <v>1060</v>
      </c>
    </row>
    <row r="1848" spans="1:15">
      <c r="A1848" t="s">
        <v>3243</v>
      </c>
      <c r="B1848" s="2">
        <v>39538.160671296297</v>
      </c>
      <c r="C1848" s="2">
        <v>39538.171087962961</v>
      </c>
      <c r="D1848" t="s">
        <v>466</v>
      </c>
      <c r="E1848" t="s">
        <v>1303</v>
      </c>
      <c r="F1848" t="s">
        <v>1304</v>
      </c>
      <c r="G1848" t="s">
        <v>1974</v>
      </c>
      <c r="H1848" t="s">
        <v>1031</v>
      </c>
      <c r="I1848">
        <v>424619006</v>
      </c>
      <c r="J1848" t="s">
        <v>1062</v>
      </c>
      <c r="K1848">
        <v>142.58000000000001</v>
      </c>
      <c r="L1848">
        <v>12888.23</v>
      </c>
      <c r="M1848">
        <v>12853.23</v>
      </c>
      <c r="N1848">
        <v>72892002</v>
      </c>
      <c r="O1848" t="s">
        <v>1060</v>
      </c>
    </row>
    <row r="1849" spans="1:15">
      <c r="A1849" t="s">
        <v>3244</v>
      </c>
      <c r="B1849" s="2">
        <v>39543.254108796296</v>
      </c>
      <c r="C1849" s="2">
        <v>39543.286898148152</v>
      </c>
      <c r="D1849" t="s">
        <v>466</v>
      </c>
      <c r="E1849" t="s">
        <v>1303</v>
      </c>
      <c r="F1849" t="s">
        <v>1304</v>
      </c>
      <c r="G1849" t="s">
        <v>1974</v>
      </c>
      <c r="H1849" t="s">
        <v>1031</v>
      </c>
      <c r="I1849">
        <v>185349003</v>
      </c>
      <c r="J1849" t="s">
        <v>1038</v>
      </c>
      <c r="K1849">
        <v>85.55</v>
      </c>
      <c r="L1849">
        <v>1638.59</v>
      </c>
      <c r="M1849">
        <v>1603.59</v>
      </c>
      <c r="N1849">
        <v>190905008</v>
      </c>
      <c r="O1849" t="s">
        <v>3202</v>
      </c>
    </row>
    <row r="1850" spans="1:15">
      <c r="A1850" t="s">
        <v>3245</v>
      </c>
      <c r="B1850" s="2">
        <v>39566.160671296297</v>
      </c>
      <c r="C1850" s="2">
        <v>39566.171087962961</v>
      </c>
      <c r="D1850" t="s">
        <v>466</v>
      </c>
      <c r="E1850" t="s">
        <v>1303</v>
      </c>
      <c r="F1850" t="s">
        <v>1304</v>
      </c>
      <c r="G1850" t="s">
        <v>1974</v>
      </c>
      <c r="H1850" t="s">
        <v>1031</v>
      </c>
      <c r="I1850">
        <v>424619006</v>
      </c>
      <c r="J1850" t="s">
        <v>1062</v>
      </c>
      <c r="K1850">
        <v>142.58000000000001</v>
      </c>
      <c r="L1850">
        <v>15880.19</v>
      </c>
      <c r="M1850">
        <v>15845.19</v>
      </c>
      <c r="N1850">
        <v>72892002</v>
      </c>
      <c r="O1850" t="s">
        <v>1060</v>
      </c>
    </row>
    <row r="1851" spans="1:15">
      <c r="A1851" t="s">
        <v>3246</v>
      </c>
      <c r="B1851" s="2">
        <v>39578.310358796298</v>
      </c>
      <c r="C1851" s="2">
        <v>39578.340914351851</v>
      </c>
      <c r="D1851" t="s">
        <v>466</v>
      </c>
      <c r="E1851" t="s">
        <v>1303</v>
      </c>
      <c r="F1851" t="s">
        <v>1304</v>
      </c>
      <c r="G1851" t="s">
        <v>1974</v>
      </c>
      <c r="H1851" t="s">
        <v>1031</v>
      </c>
      <c r="I1851">
        <v>36228007</v>
      </c>
      <c r="J1851" t="s">
        <v>1705</v>
      </c>
      <c r="K1851">
        <v>142.58000000000001</v>
      </c>
      <c r="L1851">
        <v>2730.98</v>
      </c>
      <c r="M1851">
        <v>2695.98</v>
      </c>
      <c r="O1851" t="s">
        <v>34</v>
      </c>
    </row>
    <row r="1852" spans="1:15">
      <c r="A1852" t="s">
        <v>3247</v>
      </c>
      <c r="B1852" s="2">
        <v>39594.160671296297</v>
      </c>
      <c r="C1852" s="2">
        <v>39594.171087962961</v>
      </c>
      <c r="D1852" t="s">
        <v>466</v>
      </c>
      <c r="E1852" t="s">
        <v>1303</v>
      </c>
      <c r="F1852" t="s">
        <v>1304</v>
      </c>
      <c r="G1852" t="s">
        <v>1974</v>
      </c>
      <c r="H1852" t="s">
        <v>1031</v>
      </c>
      <c r="I1852">
        <v>424619006</v>
      </c>
      <c r="J1852" t="s">
        <v>1062</v>
      </c>
      <c r="K1852">
        <v>142.58000000000001</v>
      </c>
      <c r="L1852">
        <v>10076.780000000001</v>
      </c>
      <c r="M1852">
        <v>10041.780000000001</v>
      </c>
      <c r="N1852">
        <v>72892002</v>
      </c>
      <c r="O1852" t="s">
        <v>1060</v>
      </c>
    </row>
    <row r="1853" spans="1:15">
      <c r="A1853" t="s">
        <v>3248</v>
      </c>
      <c r="B1853" s="2">
        <v>39622.160671296297</v>
      </c>
      <c r="C1853" s="2">
        <v>39622.171087962961</v>
      </c>
      <c r="D1853" t="s">
        <v>466</v>
      </c>
      <c r="E1853" t="s">
        <v>1303</v>
      </c>
      <c r="F1853" t="s">
        <v>1304</v>
      </c>
      <c r="G1853" t="s">
        <v>1974</v>
      </c>
      <c r="H1853" t="s">
        <v>1031</v>
      </c>
      <c r="I1853">
        <v>424619006</v>
      </c>
      <c r="J1853" t="s">
        <v>1062</v>
      </c>
      <c r="K1853">
        <v>142.58000000000001</v>
      </c>
      <c r="L1853">
        <v>8429.07</v>
      </c>
      <c r="M1853">
        <v>8394.07</v>
      </c>
      <c r="N1853">
        <v>72892002</v>
      </c>
      <c r="O1853" t="s">
        <v>1060</v>
      </c>
    </row>
    <row r="1854" spans="1:15">
      <c r="A1854" t="s">
        <v>3249</v>
      </c>
      <c r="B1854" s="2">
        <v>39636.160671296297</v>
      </c>
      <c r="C1854" s="2">
        <v>39636.202337962961</v>
      </c>
      <c r="D1854" t="s">
        <v>466</v>
      </c>
      <c r="E1854" t="s">
        <v>3204</v>
      </c>
      <c r="F1854" t="s">
        <v>3205</v>
      </c>
      <c r="G1854" t="s">
        <v>1974</v>
      </c>
      <c r="H1854" t="s">
        <v>1076</v>
      </c>
      <c r="I1854">
        <v>183460006</v>
      </c>
      <c r="J1854" t="s">
        <v>1077</v>
      </c>
      <c r="K1854">
        <v>146.18</v>
      </c>
      <c r="L1854">
        <v>577.58000000000004</v>
      </c>
      <c r="M1854">
        <v>542.58000000000004</v>
      </c>
      <c r="N1854">
        <v>72892002</v>
      </c>
      <c r="O1854" t="s">
        <v>1060</v>
      </c>
    </row>
    <row r="1855" spans="1:15">
      <c r="A1855" t="s">
        <v>3250</v>
      </c>
      <c r="B1855" s="2">
        <v>39636.286898148152</v>
      </c>
      <c r="C1855" s="2">
        <v>39636.316412037035</v>
      </c>
      <c r="D1855" t="s">
        <v>466</v>
      </c>
      <c r="E1855" t="s">
        <v>1303</v>
      </c>
      <c r="F1855" t="s">
        <v>1304</v>
      </c>
      <c r="G1855" t="s">
        <v>1974</v>
      </c>
      <c r="H1855" t="s">
        <v>1031</v>
      </c>
      <c r="I1855">
        <v>185349003</v>
      </c>
      <c r="J1855" t="s">
        <v>1038</v>
      </c>
      <c r="K1855">
        <v>85.55</v>
      </c>
      <c r="L1855">
        <v>1279.6600000000001</v>
      </c>
      <c r="M1855">
        <v>1244.6600000000001</v>
      </c>
      <c r="N1855">
        <v>190905008</v>
      </c>
      <c r="O1855" t="s">
        <v>3202</v>
      </c>
    </row>
    <row r="1856" spans="1:15">
      <c r="A1856" t="s">
        <v>3251</v>
      </c>
      <c r="B1856" s="2">
        <v>39678.160671296297</v>
      </c>
      <c r="C1856" s="2">
        <v>39678.171087962961</v>
      </c>
      <c r="D1856" t="s">
        <v>466</v>
      </c>
      <c r="E1856" t="s">
        <v>1303</v>
      </c>
      <c r="F1856" t="s">
        <v>1304</v>
      </c>
      <c r="G1856" t="s">
        <v>1974</v>
      </c>
      <c r="H1856" t="s">
        <v>1031</v>
      </c>
      <c r="I1856">
        <v>169762003</v>
      </c>
      <c r="J1856" t="s">
        <v>1079</v>
      </c>
      <c r="K1856">
        <v>142.58000000000001</v>
      </c>
      <c r="L1856">
        <v>2113.65</v>
      </c>
      <c r="M1856">
        <v>2078.65</v>
      </c>
      <c r="O1856" t="s">
        <v>34</v>
      </c>
    </row>
    <row r="1857" spans="1:15">
      <c r="A1857" t="s">
        <v>3252</v>
      </c>
      <c r="B1857" s="2">
        <v>39705.160671296297</v>
      </c>
      <c r="C1857" s="2">
        <v>39705.171087962961</v>
      </c>
      <c r="D1857" t="s">
        <v>466</v>
      </c>
      <c r="E1857" t="s">
        <v>1303</v>
      </c>
      <c r="F1857" t="s">
        <v>1304</v>
      </c>
      <c r="G1857" t="s">
        <v>1974</v>
      </c>
      <c r="H1857" t="s">
        <v>1043</v>
      </c>
      <c r="I1857">
        <v>698314001</v>
      </c>
      <c r="J1857" t="s">
        <v>1190</v>
      </c>
      <c r="K1857">
        <v>142.58000000000001</v>
      </c>
      <c r="L1857">
        <v>142.58000000000001</v>
      </c>
      <c r="M1857">
        <v>107.58</v>
      </c>
      <c r="N1857">
        <v>389095005</v>
      </c>
      <c r="O1857" t="s">
        <v>1191</v>
      </c>
    </row>
    <row r="1858" spans="1:15">
      <c r="A1858" t="s">
        <v>3253</v>
      </c>
      <c r="B1858" s="2">
        <v>39721.316412037035</v>
      </c>
      <c r="C1858" s="2">
        <v>39721.475416666668</v>
      </c>
      <c r="D1858" t="s">
        <v>466</v>
      </c>
      <c r="E1858" t="s">
        <v>1303</v>
      </c>
      <c r="F1858" t="s">
        <v>1304</v>
      </c>
      <c r="G1858" t="s">
        <v>1974</v>
      </c>
      <c r="H1858" t="s">
        <v>1031</v>
      </c>
      <c r="I1858">
        <v>185349003</v>
      </c>
      <c r="J1858" t="s">
        <v>1038</v>
      </c>
      <c r="K1858">
        <v>85.55</v>
      </c>
      <c r="L1858">
        <v>14361.59</v>
      </c>
      <c r="M1858">
        <v>14326.59</v>
      </c>
      <c r="N1858">
        <v>190905008</v>
      </c>
      <c r="O1858" t="s">
        <v>3202</v>
      </c>
    </row>
    <row r="1859" spans="1:15">
      <c r="A1859" t="s">
        <v>3254</v>
      </c>
      <c r="B1859" s="2">
        <v>39809.433749999997</v>
      </c>
      <c r="C1859" s="2">
        <v>39809.465925925928</v>
      </c>
      <c r="D1859" t="s">
        <v>466</v>
      </c>
      <c r="E1859" t="s">
        <v>1303</v>
      </c>
      <c r="F1859" t="s">
        <v>1304</v>
      </c>
      <c r="G1859" t="s">
        <v>1974</v>
      </c>
      <c r="H1859" t="s">
        <v>1031</v>
      </c>
      <c r="I1859">
        <v>185349003</v>
      </c>
      <c r="J1859" t="s">
        <v>1038</v>
      </c>
      <c r="K1859">
        <v>85.55</v>
      </c>
      <c r="L1859">
        <v>1287.08</v>
      </c>
      <c r="M1859">
        <v>1252.08</v>
      </c>
      <c r="N1859">
        <v>190905008</v>
      </c>
      <c r="O1859" t="s">
        <v>3202</v>
      </c>
    </row>
    <row r="1860" spans="1:15">
      <c r="A1860" t="s">
        <v>3255</v>
      </c>
      <c r="B1860" s="2">
        <v>39818.119004629632</v>
      </c>
      <c r="C1860" s="2">
        <v>39818.15483796296</v>
      </c>
      <c r="D1860" t="s">
        <v>466</v>
      </c>
      <c r="E1860" t="s">
        <v>3210</v>
      </c>
      <c r="F1860" t="s">
        <v>3211</v>
      </c>
      <c r="G1860" t="s">
        <v>1974</v>
      </c>
      <c r="H1860" t="s">
        <v>1020</v>
      </c>
      <c r="I1860">
        <v>162673000</v>
      </c>
      <c r="J1860" t="s">
        <v>1021</v>
      </c>
      <c r="K1860">
        <v>136.80000000000001</v>
      </c>
      <c r="L1860">
        <v>860.16</v>
      </c>
      <c r="M1860">
        <v>860.16</v>
      </c>
      <c r="O1860" t="s">
        <v>34</v>
      </c>
    </row>
    <row r="1861" spans="1:15">
      <c r="A1861" t="s">
        <v>3256</v>
      </c>
      <c r="B1861" s="2">
        <v>39832.119004629632</v>
      </c>
      <c r="C1861" s="2">
        <v>39832.231944444444</v>
      </c>
      <c r="D1861" t="s">
        <v>466</v>
      </c>
      <c r="E1861" t="s">
        <v>1303</v>
      </c>
      <c r="F1861" t="s">
        <v>1304</v>
      </c>
      <c r="G1861" t="s">
        <v>1974</v>
      </c>
      <c r="H1861" t="s">
        <v>1031</v>
      </c>
      <c r="I1861">
        <v>185349003</v>
      </c>
      <c r="J1861" t="s">
        <v>1038</v>
      </c>
      <c r="K1861">
        <v>85.55</v>
      </c>
      <c r="L1861">
        <v>3105.35</v>
      </c>
      <c r="M1861">
        <v>3070.35</v>
      </c>
      <c r="N1861">
        <v>66383009</v>
      </c>
      <c r="O1861" t="s">
        <v>1209</v>
      </c>
    </row>
    <row r="1862" spans="1:15">
      <c r="A1862" t="s">
        <v>3257</v>
      </c>
      <c r="B1862" s="2">
        <v>39898.507592592592</v>
      </c>
      <c r="C1862" s="2">
        <v>39898.531655092593</v>
      </c>
      <c r="D1862" t="s">
        <v>466</v>
      </c>
      <c r="E1862" t="s">
        <v>1303</v>
      </c>
      <c r="F1862" t="s">
        <v>1304</v>
      </c>
      <c r="G1862" t="s">
        <v>1974</v>
      </c>
      <c r="H1862" t="s">
        <v>1031</v>
      </c>
      <c r="I1862">
        <v>185349003</v>
      </c>
      <c r="J1862" t="s">
        <v>1038</v>
      </c>
      <c r="K1862">
        <v>85.55</v>
      </c>
      <c r="L1862">
        <v>1256.6500000000001</v>
      </c>
      <c r="M1862">
        <v>1221.6500000000001</v>
      </c>
      <c r="N1862">
        <v>190905008</v>
      </c>
      <c r="O1862" t="s">
        <v>3202</v>
      </c>
    </row>
    <row r="1863" spans="1:15">
      <c r="A1863" t="s">
        <v>3258</v>
      </c>
      <c r="B1863" s="2">
        <v>39938.322060185186</v>
      </c>
      <c r="C1863" s="2">
        <v>39938.35261574074</v>
      </c>
      <c r="D1863" t="s">
        <v>466</v>
      </c>
      <c r="E1863" t="s">
        <v>1303</v>
      </c>
      <c r="F1863" t="s">
        <v>1304</v>
      </c>
      <c r="G1863" t="s">
        <v>1974</v>
      </c>
      <c r="H1863" t="s">
        <v>1031</v>
      </c>
      <c r="I1863">
        <v>36228007</v>
      </c>
      <c r="J1863" t="s">
        <v>1705</v>
      </c>
      <c r="K1863">
        <v>142.58000000000001</v>
      </c>
      <c r="L1863">
        <v>2730.98</v>
      </c>
      <c r="M1863">
        <v>2695.98</v>
      </c>
      <c r="O1863" t="s">
        <v>34</v>
      </c>
    </row>
    <row r="1864" spans="1:15">
      <c r="A1864" t="s">
        <v>3259</v>
      </c>
      <c r="B1864" s="2">
        <v>39987.531655092593</v>
      </c>
      <c r="C1864" s="2">
        <v>39987.565787037034</v>
      </c>
      <c r="D1864" t="s">
        <v>466</v>
      </c>
      <c r="E1864" t="s">
        <v>1303</v>
      </c>
      <c r="F1864" t="s">
        <v>1304</v>
      </c>
      <c r="G1864" t="s">
        <v>1974</v>
      </c>
      <c r="H1864" t="s">
        <v>1031</v>
      </c>
      <c r="I1864">
        <v>185349003</v>
      </c>
      <c r="J1864" t="s">
        <v>1038</v>
      </c>
      <c r="K1864">
        <v>85.55</v>
      </c>
      <c r="L1864">
        <v>990.77</v>
      </c>
      <c r="M1864">
        <v>955.77</v>
      </c>
      <c r="N1864">
        <v>190905008</v>
      </c>
      <c r="O1864" t="s">
        <v>3202</v>
      </c>
    </row>
    <row r="1865" spans="1:15">
      <c r="A1865" t="s">
        <v>3260</v>
      </c>
      <c r="B1865" s="2">
        <v>40082.565787037034</v>
      </c>
      <c r="C1865" s="2">
        <v>40082.592106481483</v>
      </c>
      <c r="D1865" t="s">
        <v>466</v>
      </c>
      <c r="E1865" t="s">
        <v>1303</v>
      </c>
      <c r="F1865" t="s">
        <v>1304</v>
      </c>
      <c r="G1865" t="s">
        <v>1974</v>
      </c>
      <c r="H1865" t="s">
        <v>1031</v>
      </c>
      <c r="I1865">
        <v>185349003</v>
      </c>
      <c r="J1865" t="s">
        <v>1038</v>
      </c>
      <c r="K1865">
        <v>85.55</v>
      </c>
      <c r="L1865">
        <v>983.82</v>
      </c>
      <c r="M1865">
        <v>948.82</v>
      </c>
      <c r="N1865">
        <v>190905008</v>
      </c>
      <c r="O1865" t="s">
        <v>3202</v>
      </c>
    </row>
    <row r="1866" spans="1:15">
      <c r="A1866" t="s">
        <v>3261</v>
      </c>
      <c r="B1866" s="2">
        <v>40177.550439814811</v>
      </c>
      <c r="C1866" s="2">
        <v>40177.57476851852</v>
      </c>
      <c r="D1866" t="s">
        <v>466</v>
      </c>
      <c r="E1866" t="s">
        <v>1303</v>
      </c>
      <c r="F1866" t="s">
        <v>1304</v>
      </c>
      <c r="G1866" t="s">
        <v>1974</v>
      </c>
      <c r="H1866" t="s">
        <v>1031</v>
      </c>
      <c r="I1866">
        <v>185349003</v>
      </c>
      <c r="J1866" t="s">
        <v>1038</v>
      </c>
      <c r="K1866">
        <v>85.55</v>
      </c>
      <c r="L1866">
        <v>1191.69</v>
      </c>
      <c r="M1866">
        <v>1156.69</v>
      </c>
      <c r="N1866">
        <v>190905008</v>
      </c>
      <c r="O1866" t="s">
        <v>3202</v>
      </c>
    </row>
    <row r="1867" spans="1:15">
      <c r="A1867" t="s">
        <v>3262</v>
      </c>
      <c r="B1867" s="2">
        <v>40189.119004629632</v>
      </c>
      <c r="C1867" s="2">
        <v>40189.144328703704</v>
      </c>
      <c r="D1867" t="s">
        <v>466</v>
      </c>
      <c r="E1867" t="s">
        <v>3210</v>
      </c>
      <c r="F1867" t="s">
        <v>3211</v>
      </c>
      <c r="G1867" t="s">
        <v>1974</v>
      </c>
      <c r="H1867" t="s">
        <v>1020</v>
      </c>
      <c r="I1867">
        <v>162673000</v>
      </c>
      <c r="J1867" t="s">
        <v>1021</v>
      </c>
      <c r="K1867">
        <v>136.80000000000001</v>
      </c>
      <c r="L1867">
        <v>860.16</v>
      </c>
      <c r="M1867">
        <v>860.16</v>
      </c>
      <c r="O1867" t="s">
        <v>34</v>
      </c>
    </row>
    <row r="1868" spans="1:15">
      <c r="A1868" t="s">
        <v>3263</v>
      </c>
      <c r="B1868" s="2">
        <v>40203.119004629632</v>
      </c>
      <c r="C1868" s="2">
        <v>40203.355532407404</v>
      </c>
      <c r="D1868" t="s">
        <v>466</v>
      </c>
      <c r="E1868" t="s">
        <v>1303</v>
      </c>
      <c r="F1868" t="s">
        <v>1304</v>
      </c>
      <c r="G1868" t="s">
        <v>1974</v>
      </c>
      <c r="H1868" t="s">
        <v>1031</v>
      </c>
      <c r="I1868">
        <v>185349003</v>
      </c>
      <c r="J1868" t="s">
        <v>1038</v>
      </c>
      <c r="K1868">
        <v>85.55</v>
      </c>
      <c r="L1868">
        <v>4830.95</v>
      </c>
      <c r="M1868">
        <v>4795.95</v>
      </c>
      <c r="N1868">
        <v>66383009</v>
      </c>
      <c r="O1868" t="s">
        <v>1209</v>
      </c>
    </row>
    <row r="1869" spans="1:15">
      <c r="A1869" t="s">
        <v>3264</v>
      </c>
      <c r="B1869" s="2">
        <v>40245.119004629632</v>
      </c>
      <c r="C1869" s="2">
        <v>40245.152685185189</v>
      </c>
      <c r="D1869" t="s">
        <v>466</v>
      </c>
      <c r="E1869" t="s">
        <v>1303</v>
      </c>
      <c r="F1869" t="s">
        <v>1304</v>
      </c>
      <c r="G1869" t="s">
        <v>1974</v>
      </c>
      <c r="H1869" t="s">
        <v>1043</v>
      </c>
      <c r="I1869">
        <v>185349003</v>
      </c>
      <c r="J1869" t="s">
        <v>1038</v>
      </c>
      <c r="K1869">
        <v>85.55</v>
      </c>
      <c r="L1869">
        <v>900.83</v>
      </c>
      <c r="M1869">
        <v>865.83</v>
      </c>
      <c r="O1869" t="s">
        <v>34</v>
      </c>
    </row>
    <row r="1870" spans="1:15">
      <c r="A1870" t="s">
        <v>3265</v>
      </c>
      <c r="B1870" s="2">
        <v>40252.160671296297</v>
      </c>
      <c r="C1870" s="2">
        <v>40252.171087962961</v>
      </c>
      <c r="D1870" t="s">
        <v>466</v>
      </c>
      <c r="E1870" t="s">
        <v>1303</v>
      </c>
      <c r="F1870" t="s">
        <v>1304</v>
      </c>
      <c r="G1870" t="s">
        <v>1974</v>
      </c>
      <c r="H1870" t="s">
        <v>1031</v>
      </c>
      <c r="I1870">
        <v>185345009</v>
      </c>
      <c r="J1870" t="s">
        <v>1032</v>
      </c>
      <c r="K1870">
        <v>85.55</v>
      </c>
      <c r="L1870">
        <v>85.55</v>
      </c>
      <c r="M1870">
        <v>50.55</v>
      </c>
      <c r="N1870">
        <v>444814009</v>
      </c>
      <c r="O1870" t="s">
        <v>1035</v>
      </c>
    </row>
    <row r="1871" spans="1:15">
      <c r="A1871" t="s">
        <v>3266</v>
      </c>
      <c r="B1871" s="2">
        <v>40268.616435185184</v>
      </c>
      <c r="C1871" s="2">
        <v>40268.654641203706</v>
      </c>
      <c r="D1871" t="s">
        <v>466</v>
      </c>
      <c r="E1871" t="s">
        <v>1303</v>
      </c>
      <c r="F1871" t="s">
        <v>1304</v>
      </c>
      <c r="G1871" t="s">
        <v>1974</v>
      </c>
      <c r="H1871" t="s">
        <v>1031</v>
      </c>
      <c r="I1871">
        <v>185349003</v>
      </c>
      <c r="J1871" t="s">
        <v>1038</v>
      </c>
      <c r="K1871">
        <v>85.55</v>
      </c>
      <c r="L1871">
        <v>1035.1099999999999</v>
      </c>
      <c r="M1871">
        <v>1000.11</v>
      </c>
      <c r="N1871">
        <v>190905008</v>
      </c>
      <c r="O1871" t="s">
        <v>3202</v>
      </c>
    </row>
    <row r="1872" spans="1:15">
      <c r="A1872" t="s">
        <v>3267</v>
      </c>
      <c r="B1872" s="2">
        <v>40268.333611111113</v>
      </c>
      <c r="C1872" s="2">
        <v>40268.364166666666</v>
      </c>
      <c r="D1872" t="s">
        <v>466</v>
      </c>
      <c r="E1872" t="s">
        <v>1303</v>
      </c>
      <c r="F1872" t="s">
        <v>1304</v>
      </c>
      <c r="G1872" t="s">
        <v>1974</v>
      </c>
      <c r="H1872" t="s">
        <v>1031</v>
      </c>
      <c r="I1872">
        <v>36228007</v>
      </c>
      <c r="J1872" t="s">
        <v>1705</v>
      </c>
      <c r="K1872">
        <v>142.58000000000001</v>
      </c>
      <c r="L1872">
        <v>2730.98</v>
      </c>
      <c r="M1872">
        <v>2695.98</v>
      </c>
      <c r="O1872" t="s">
        <v>34</v>
      </c>
    </row>
    <row r="1873" spans="1:15">
      <c r="A1873" t="s">
        <v>3268</v>
      </c>
      <c r="B1873" s="2">
        <v>40353.654641203706</v>
      </c>
      <c r="C1873" s="2">
        <v>40353.688333333332</v>
      </c>
      <c r="D1873" t="s">
        <v>466</v>
      </c>
      <c r="E1873" t="s">
        <v>1303</v>
      </c>
      <c r="F1873" t="s">
        <v>1304</v>
      </c>
      <c r="G1873" t="s">
        <v>1974</v>
      </c>
      <c r="H1873" t="s">
        <v>1031</v>
      </c>
      <c r="I1873">
        <v>185349003</v>
      </c>
      <c r="J1873" t="s">
        <v>1038</v>
      </c>
      <c r="K1873">
        <v>85.55</v>
      </c>
      <c r="L1873">
        <v>982.86</v>
      </c>
      <c r="M1873">
        <v>947.86</v>
      </c>
      <c r="N1873">
        <v>190905008</v>
      </c>
      <c r="O1873" t="s">
        <v>3202</v>
      </c>
    </row>
    <row r="1874" spans="1:15">
      <c r="A1874" t="s">
        <v>3269</v>
      </c>
      <c r="B1874" s="2">
        <v>40385.160671296297</v>
      </c>
      <c r="C1874" s="2">
        <v>40385.171087962961</v>
      </c>
      <c r="D1874" t="s">
        <v>466</v>
      </c>
      <c r="E1874" t="s">
        <v>1303</v>
      </c>
      <c r="F1874" t="s">
        <v>1304</v>
      </c>
      <c r="G1874" t="s">
        <v>1974</v>
      </c>
      <c r="H1874" t="s">
        <v>1031</v>
      </c>
      <c r="I1874">
        <v>424441002</v>
      </c>
      <c r="J1874" t="s">
        <v>1059</v>
      </c>
      <c r="K1874">
        <v>142.58000000000001</v>
      </c>
      <c r="L1874">
        <v>9208.9699999999993</v>
      </c>
      <c r="M1874">
        <v>9173.9699999999993</v>
      </c>
      <c r="N1874">
        <v>72892002</v>
      </c>
      <c r="O1874" t="s">
        <v>1060</v>
      </c>
    </row>
    <row r="1875" spans="1:15">
      <c r="A1875" t="s">
        <v>3270</v>
      </c>
      <c r="B1875" s="2">
        <v>40405.160671296297</v>
      </c>
      <c r="C1875" s="2">
        <v>40409.869004629632</v>
      </c>
      <c r="D1875" t="s">
        <v>466</v>
      </c>
      <c r="E1875" t="s">
        <v>1303</v>
      </c>
      <c r="F1875" t="s">
        <v>1304</v>
      </c>
      <c r="G1875" t="s">
        <v>1974</v>
      </c>
      <c r="H1875" t="s">
        <v>1431</v>
      </c>
      <c r="I1875">
        <v>305408004</v>
      </c>
      <c r="J1875" t="s">
        <v>1626</v>
      </c>
      <c r="K1875">
        <v>146.18</v>
      </c>
      <c r="L1875">
        <v>3990.68</v>
      </c>
      <c r="M1875">
        <v>3955.68</v>
      </c>
      <c r="N1875">
        <v>79586000</v>
      </c>
      <c r="O1875" t="s">
        <v>1780</v>
      </c>
    </row>
    <row r="1876" spans="1:15">
      <c r="A1876" t="s">
        <v>3271</v>
      </c>
      <c r="B1876" s="2">
        <v>40417.869004629632</v>
      </c>
      <c r="C1876" s="2">
        <v>40417.879421296297</v>
      </c>
      <c r="D1876" t="s">
        <v>466</v>
      </c>
      <c r="E1876" t="s">
        <v>1303</v>
      </c>
      <c r="F1876" t="s">
        <v>1304</v>
      </c>
      <c r="G1876" t="s">
        <v>1974</v>
      </c>
      <c r="H1876" t="s">
        <v>1031</v>
      </c>
      <c r="I1876">
        <v>424619006</v>
      </c>
      <c r="J1876" t="s">
        <v>1062</v>
      </c>
      <c r="K1876">
        <v>142.58000000000001</v>
      </c>
      <c r="L1876">
        <v>5438.48</v>
      </c>
      <c r="M1876">
        <v>5403.48</v>
      </c>
      <c r="N1876">
        <v>79586000</v>
      </c>
      <c r="O1876" t="s">
        <v>1780</v>
      </c>
    </row>
    <row r="1877" spans="1:15">
      <c r="A1877" t="s">
        <v>3272</v>
      </c>
      <c r="B1877" s="2">
        <v>40443.688333333332</v>
      </c>
      <c r="C1877" s="2">
        <v>40443.721643518518</v>
      </c>
      <c r="D1877" t="s">
        <v>466</v>
      </c>
      <c r="E1877" t="s">
        <v>1303</v>
      </c>
      <c r="F1877" t="s">
        <v>1304</v>
      </c>
      <c r="G1877" t="s">
        <v>1974</v>
      </c>
      <c r="H1877" t="s">
        <v>1031</v>
      </c>
      <c r="I1877">
        <v>185349003</v>
      </c>
      <c r="J1877" t="s">
        <v>1038</v>
      </c>
      <c r="K1877">
        <v>85.55</v>
      </c>
      <c r="L1877">
        <v>1308.96</v>
      </c>
      <c r="M1877">
        <v>1273.96</v>
      </c>
      <c r="N1877">
        <v>190905008</v>
      </c>
      <c r="O1877" t="s">
        <v>3202</v>
      </c>
    </row>
    <row r="1878" spans="1:15">
      <c r="A1878" t="s">
        <v>3273</v>
      </c>
      <c r="B1878" s="2">
        <v>40533.679976851854</v>
      </c>
      <c r="C1878" s="2">
        <v>40533.837106481478</v>
      </c>
      <c r="D1878" t="s">
        <v>466</v>
      </c>
      <c r="E1878" t="s">
        <v>1303</v>
      </c>
      <c r="F1878" t="s">
        <v>1304</v>
      </c>
      <c r="G1878" t="s">
        <v>1974</v>
      </c>
      <c r="H1878" t="s">
        <v>1031</v>
      </c>
      <c r="I1878">
        <v>185349003</v>
      </c>
      <c r="J1878" t="s">
        <v>1038</v>
      </c>
      <c r="K1878">
        <v>85.55</v>
      </c>
      <c r="L1878">
        <v>14319.29</v>
      </c>
      <c r="M1878">
        <v>14284.29</v>
      </c>
      <c r="N1878">
        <v>190905008</v>
      </c>
      <c r="O1878" t="s">
        <v>3202</v>
      </c>
    </row>
    <row r="1879" spans="1:15">
      <c r="A1879" t="s">
        <v>3274</v>
      </c>
      <c r="B1879" s="2">
        <v>40546.119004629632</v>
      </c>
      <c r="C1879" s="2">
        <v>40546.129421296297</v>
      </c>
      <c r="D1879" t="s">
        <v>466</v>
      </c>
      <c r="E1879" t="s">
        <v>1303</v>
      </c>
      <c r="F1879" t="s">
        <v>1304</v>
      </c>
      <c r="G1879" t="s">
        <v>1974</v>
      </c>
      <c r="H1879" t="s">
        <v>1031</v>
      </c>
      <c r="I1879">
        <v>424441002</v>
      </c>
      <c r="J1879" t="s">
        <v>1059</v>
      </c>
      <c r="K1879">
        <v>142.58000000000001</v>
      </c>
      <c r="L1879">
        <v>44993.71</v>
      </c>
      <c r="M1879">
        <v>44958.71</v>
      </c>
      <c r="N1879">
        <v>72892002</v>
      </c>
      <c r="O1879" t="s">
        <v>1060</v>
      </c>
    </row>
    <row r="1880" spans="1:15">
      <c r="A1880" t="s">
        <v>3275</v>
      </c>
      <c r="B1880" s="2">
        <v>40560.119004629632</v>
      </c>
      <c r="C1880" s="2">
        <v>40560.145532407405</v>
      </c>
      <c r="D1880" t="s">
        <v>466</v>
      </c>
      <c r="E1880" t="s">
        <v>3210</v>
      </c>
      <c r="F1880" t="s">
        <v>3211</v>
      </c>
      <c r="G1880" t="s">
        <v>1974</v>
      </c>
      <c r="H1880" t="s">
        <v>1020</v>
      </c>
      <c r="I1880">
        <v>162673000</v>
      </c>
      <c r="J1880" t="s">
        <v>1021</v>
      </c>
      <c r="K1880">
        <v>136.80000000000001</v>
      </c>
      <c r="L1880">
        <v>934.74</v>
      </c>
      <c r="M1880">
        <v>934.74</v>
      </c>
      <c r="O1880" t="s">
        <v>34</v>
      </c>
    </row>
    <row r="1881" spans="1:15">
      <c r="A1881" t="s">
        <v>3276</v>
      </c>
      <c r="B1881" s="2">
        <v>40574.119004629632</v>
      </c>
      <c r="C1881" s="2">
        <v>40574.129421296297</v>
      </c>
      <c r="D1881" t="s">
        <v>466</v>
      </c>
      <c r="E1881" t="s">
        <v>1303</v>
      </c>
      <c r="F1881" t="s">
        <v>1304</v>
      </c>
      <c r="G1881" t="s">
        <v>1974</v>
      </c>
      <c r="H1881" t="s">
        <v>1031</v>
      </c>
      <c r="I1881">
        <v>424619006</v>
      </c>
      <c r="J1881" t="s">
        <v>1062</v>
      </c>
      <c r="K1881">
        <v>142.58000000000001</v>
      </c>
      <c r="L1881">
        <v>14902.22</v>
      </c>
      <c r="M1881">
        <v>14867.22</v>
      </c>
      <c r="N1881">
        <v>72892002</v>
      </c>
      <c r="O1881" t="s">
        <v>1060</v>
      </c>
    </row>
    <row r="1882" spans="1:15">
      <c r="A1882" t="s">
        <v>3277</v>
      </c>
      <c r="B1882" s="2">
        <v>40598.304571759261</v>
      </c>
      <c r="C1882" s="2">
        <v>40598.335127314815</v>
      </c>
      <c r="D1882" t="s">
        <v>466</v>
      </c>
      <c r="E1882" t="s">
        <v>1303</v>
      </c>
      <c r="F1882" t="s">
        <v>1304</v>
      </c>
      <c r="G1882" t="s">
        <v>1974</v>
      </c>
      <c r="H1882" t="s">
        <v>1031</v>
      </c>
      <c r="I1882">
        <v>36228007</v>
      </c>
      <c r="J1882" t="s">
        <v>1705</v>
      </c>
      <c r="K1882">
        <v>142.58000000000001</v>
      </c>
      <c r="L1882">
        <v>2730.98</v>
      </c>
      <c r="M1882">
        <v>2695.98</v>
      </c>
      <c r="O1882" t="s">
        <v>34</v>
      </c>
    </row>
    <row r="1883" spans="1:15">
      <c r="A1883" t="s">
        <v>3278</v>
      </c>
      <c r="B1883" s="2">
        <v>40602.119004629632</v>
      </c>
      <c r="C1883" s="2">
        <v>40602.129421296297</v>
      </c>
      <c r="D1883" t="s">
        <v>466</v>
      </c>
      <c r="E1883" t="s">
        <v>1303</v>
      </c>
      <c r="F1883" t="s">
        <v>1304</v>
      </c>
      <c r="G1883" t="s">
        <v>1974</v>
      </c>
      <c r="H1883" t="s">
        <v>1031</v>
      </c>
      <c r="I1883">
        <v>424619006</v>
      </c>
      <c r="J1883" t="s">
        <v>1062</v>
      </c>
      <c r="K1883">
        <v>142.58000000000001</v>
      </c>
      <c r="L1883">
        <v>12507.22</v>
      </c>
      <c r="M1883">
        <v>12472.22</v>
      </c>
      <c r="N1883">
        <v>72892002</v>
      </c>
      <c r="O1883" t="s">
        <v>1060</v>
      </c>
    </row>
    <row r="1884" spans="1:15">
      <c r="A1884" t="s">
        <v>3279</v>
      </c>
      <c r="B1884" s="2">
        <v>40618.87877314815</v>
      </c>
      <c r="C1884" s="2">
        <v>40618.916886574072</v>
      </c>
      <c r="D1884" t="s">
        <v>466</v>
      </c>
      <c r="E1884" t="s">
        <v>1303</v>
      </c>
      <c r="F1884" t="s">
        <v>1304</v>
      </c>
      <c r="G1884" t="s">
        <v>1974</v>
      </c>
      <c r="H1884" t="s">
        <v>1031</v>
      </c>
      <c r="I1884">
        <v>185349003</v>
      </c>
      <c r="J1884" t="s">
        <v>1038</v>
      </c>
      <c r="K1884">
        <v>85.55</v>
      </c>
      <c r="L1884">
        <v>1392.76</v>
      </c>
      <c r="M1884">
        <v>1357.76</v>
      </c>
      <c r="N1884">
        <v>190905008</v>
      </c>
      <c r="O1884" t="s">
        <v>3202</v>
      </c>
    </row>
    <row r="1885" spans="1:15">
      <c r="A1885" t="s">
        <v>3280</v>
      </c>
      <c r="B1885" s="2">
        <v>40630.160671296297</v>
      </c>
      <c r="C1885" s="2">
        <v>40630.171087962961</v>
      </c>
      <c r="D1885" t="s">
        <v>466</v>
      </c>
      <c r="E1885" t="s">
        <v>1303</v>
      </c>
      <c r="F1885" t="s">
        <v>1304</v>
      </c>
      <c r="G1885" t="s">
        <v>1974</v>
      </c>
      <c r="H1885" t="s">
        <v>1031</v>
      </c>
      <c r="I1885">
        <v>424619006</v>
      </c>
      <c r="J1885" t="s">
        <v>1062</v>
      </c>
      <c r="K1885">
        <v>142.58000000000001</v>
      </c>
      <c r="L1885">
        <v>6076.08</v>
      </c>
      <c r="M1885">
        <v>6041.08</v>
      </c>
      <c r="N1885">
        <v>72892002</v>
      </c>
      <c r="O1885" t="s">
        <v>1060</v>
      </c>
    </row>
    <row r="1886" spans="1:15">
      <c r="A1886" t="s">
        <v>3281</v>
      </c>
      <c r="B1886" s="2">
        <v>40658.160671296297</v>
      </c>
      <c r="C1886" s="2">
        <v>40658.171087962961</v>
      </c>
      <c r="D1886" t="s">
        <v>466</v>
      </c>
      <c r="E1886" t="s">
        <v>1303</v>
      </c>
      <c r="F1886" t="s">
        <v>1304</v>
      </c>
      <c r="G1886" t="s">
        <v>1974</v>
      </c>
      <c r="H1886" t="s">
        <v>1031</v>
      </c>
      <c r="I1886">
        <v>424619006</v>
      </c>
      <c r="J1886" t="s">
        <v>1062</v>
      </c>
      <c r="K1886">
        <v>142.58000000000001</v>
      </c>
      <c r="L1886">
        <v>5931.58</v>
      </c>
      <c r="M1886">
        <v>5896.58</v>
      </c>
      <c r="N1886">
        <v>72892002</v>
      </c>
      <c r="O1886" t="s">
        <v>1060</v>
      </c>
    </row>
    <row r="1887" spans="1:15">
      <c r="A1887" t="s">
        <v>3282</v>
      </c>
      <c r="B1887" s="2">
        <v>40686.160671296297</v>
      </c>
      <c r="C1887" s="2">
        <v>40686.171087962961</v>
      </c>
      <c r="D1887" t="s">
        <v>466</v>
      </c>
      <c r="E1887" t="s">
        <v>1303</v>
      </c>
      <c r="F1887" t="s">
        <v>1304</v>
      </c>
      <c r="G1887" t="s">
        <v>1974</v>
      </c>
      <c r="H1887" t="s">
        <v>1031</v>
      </c>
      <c r="I1887">
        <v>424619006</v>
      </c>
      <c r="J1887" t="s">
        <v>1062</v>
      </c>
      <c r="K1887">
        <v>142.58000000000001</v>
      </c>
      <c r="L1887">
        <v>21455.17</v>
      </c>
      <c r="M1887">
        <v>21420.17</v>
      </c>
      <c r="N1887">
        <v>72892002</v>
      </c>
      <c r="O1887" t="s">
        <v>1060</v>
      </c>
    </row>
    <row r="1888" spans="1:15">
      <c r="A1888" t="s">
        <v>3283</v>
      </c>
      <c r="B1888" s="2">
        <v>40706.916886574072</v>
      </c>
      <c r="C1888" s="2">
        <v>40706.946493055555</v>
      </c>
      <c r="D1888" t="s">
        <v>466</v>
      </c>
      <c r="E1888" t="s">
        <v>1303</v>
      </c>
      <c r="F1888" t="s">
        <v>1304</v>
      </c>
      <c r="G1888" t="s">
        <v>1974</v>
      </c>
      <c r="H1888" t="s">
        <v>1031</v>
      </c>
      <c r="I1888">
        <v>185349003</v>
      </c>
      <c r="J1888" t="s">
        <v>1038</v>
      </c>
      <c r="K1888">
        <v>85.55</v>
      </c>
      <c r="L1888">
        <v>1186.29</v>
      </c>
      <c r="M1888">
        <v>1151.29</v>
      </c>
      <c r="N1888">
        <v>190905008</v>
      </c>
      <c r="O1888" t="s">
        <v>3202</v>
      </c>
    </row>
    <row r="1889" spans="1:15">
      <c r="A1889" t="s">
        <v>3284</v>
      </c>
      <c r="B1889" s="2">
        <v>40714.160671296297</v>
      </c>
      <c r="C1889" s="2">
        <v>40714.171087962961</v>
      </c>
      <c r="D1889" t="s">
        <v>466</v>
      </c>
      <c r="E1889" t="s">
        <v>1303</v>
      </c>
      <c r="F1889" t="s">
        <v>1304</v>
      </c>
      <c r="G1889" t="s">
        <v>1974</v>
      </c>
      <c r="H1889" t="s">
        <v>1031</v>
      </c>
      <c r="I1889">
        <v>424619006</v>
      </c>
      <c r="J1889" t="s">
        <v>1062</v>
      </c>
      <c r="K1889">
        <v>142.58000000000001</v>
      </c>
      <c r="L1889">
        <v>11451.02</v>
      </c>
      <c r="M1889">
        <v>11416.02</v>
      </c>
      <c r="N1889">
        <v>72892002</v>
      </c>
      <c r="O1889" t="s">
        <v>1060</v>
      </c>
    </row>
    <row r="1890" spans="1:15">
      <c r="A1890" t="s">
        <v>3285</v>
      </c>
      <c r="B1890" s="2">
        <v>40742.160671296297</v>
      </c>
      <c r="C1890" s="2">
        <v>40742.171087962961</v>
      </c>
      <c r="D1890" t="s">
        <v>466</v>
      </c>
      <c r="E1890" t="s">
        <v>1303</v>
      </c>
      <c r="F1890" t="s">
        <v>1304</v>
      </c>
      <c r="G1890" t="s">
        <v>1974</v>
      </c>
      <c r="H1890" t="s">
        <v>1031</v>
      </c>
      <c r="I1890">
        <v>424619006</v>
      </c>
      <c r="J1890" t="s">
        <v>1062</v>
      </c>
      <c r="K1890">
        <v>142.58000000000001</v>
      </c>
      <c r="L1890">
        <v>7876.12</v>
      </c>
      <c r="M1890">
        <v>7841.12</v>
      </c>
      <c r="N1890">
        <v>72892002</v>
      </c>
      <c r="O1890" t="s">
        <v>1060</v>
      </c>
    </row>
    <row r="1891" spans="1:15">
      <c r="A1891" t="s">
        <v>3286</v>
      </c>
      <c r="B1891" s="2">
        <v>40756.160671296297</v>
      </c>
      <c r="C1891" s="2">
        <v>40756.171087962961</v>
      </c>
      <c r="D1891" t="s">
        <v>466</v>
      </c>
      <c r="E1891" t="s">
        <v>1303</v>
      </c>
      <c r="F1891" t="s">
        <v>1304</v>
      </c>
      <c r="G1891" t="s">
        <v>1974</v>
      </c>
      <c r="H1891" t="s">
        <v>1031</v>
      </c>
      <c r="I1891">
        <v>424619006</v>
      </c>
      <c r="J1891" t="s">
        <v>1062</v>
      </c>
      <c r="K1891">
        <v>142.58000000000001</v>
      </c>
      <c r="L1891">
        <v>6895.38</v>
      </c>
      <c r="M1891">
        <v>6860.38</v>
      </c>
      <c r="N1891">
        <v>72892002</v>
      </c>
      <c r="O1891" t="s">
        <v>1060</v>
      </c>
    </row>
    <row r="1892" spans="1:15">
      <c r="A1892" t="s">
        <v>3287</v>
      </c>
      <c r="B1892" s="2">
        <v>40763.160671296297</v>
      </c>
      <c r="C1892" s="2">
        <v>40763.202337962961</v>
      </c>
      <c r="D1892" t="s">
        <v>466</v>
      </c>
      <c r="E1892" t="s">
        <v>3204</v>
      </c>
      <c r="F1892" t="s">
        <v>3205</v>
      </c>
      <c r="G1892" t="s">
        <v>1974</v>
      </c>
      <c r="H1892" t="s">
        <v>1076</v>
      </c>
      <c r="I1892">
        <v>183460006</v>
      </c>
      <c r="J1892" t="s">
        <v>1077</v>
      </c>
      <c r="K1892">
        <v>146.18</v>
      </c>
      <c r="L1892">
        <v>577.58000000000004</v>
      </c>
      <c r="M1892">
        <v>542.58000000000004</v>
      </c>
      <c r="N1892">
        <v>72892002</v>
      </c>
      <c r="O1892" t="s">
        <v>1060</v>
      </c>
    </row>
    <row r="1893" spans="1:15">
      <c r="A1893" t="s">
        <v>3288</v>
      </c>
      <c r="B1893" s="2">
        <v>40794.946493055555</v>
      </c>
      <c r="C1893" s="2">
        <v>40794.985381944447</v>
      </c>
      <c r="D1893" t="s">
        <v>466</v>
      </c>
      <c r="E1893" t="s">
        <v>1303</v>
      </c>
      <c r="F1893" t="s">
        <v>1304</v>
      </c>
      <c r="G1893" t="s">
        <v>1974</v>
      </c>
      <c r="H1893" t="s">
        <v>1031</v>
      </c>
      <c r="I1893">
        <v>185349003</v>
      </c>
      <c r="J1893" t="s">
        <v>1038</v>
      </c>
      <c r="K1893">
        <v>85.55</v>
      </c>
      <c r="L1893">
        <v>1187.6199999999999</v>
      </c>
      <c r="M1893">
        <v>1152.6199999999999</v>
      </c>
      <c r="N1893">
        <v>190905008</v>
      </c>
      <c r="O1893" t="s">
        <v>3202</v>
      </c>
    </row>
    <row r="1894" spans="1:15">
      <c r="A1894" t="s">
        <v>3289</v>
      </c>
      <c r="B1894" s="2">
        <v>40805.160671296297</v>
      </c>
      <c r="C1894" s="2">
        <v>40805.171087962961</v>
      </c>
      <c r="D1894" t="s">
        <v>466</v>
      </c>
      <c r="E1894" t="s">
        <v>1303</v>
      </c>
      <c r="F1894" t="s">
        <v>1304</v>
      </c>
      <c r="G1894" t="s">
        <v>1974</v>
      </c>
      <c r="H1894" t="s">
        <v>1031</v>
      </c>
      <c r="I1894">
        <v>169762003</v>
      </c>
      <c r="J1894" t="s">
        <v>1079</v>
      </c>
      <c r="K1894">
        <v>142.58000000000001</v>
      </c>
      <c r="L1894">
        <v>2113.65</v>
      </c>
      <c r="M1894">
        <v>2078.65</v>
      </c>
      <c r="O1894" t="s">
        <v>34</v>
      </c>
    </row>
    <row r="1895" spans="1:15">
      <c r="A1895" t="s">
        <v>3290</v>
      </c>
      <c r="B1895" s="2">
        <v>40882.943715277775</v>
      </c>
      <c r="C1895" s="2">
        <v>40882.974976851852</v>
      </c>
      <c r="D1895" t="s">
        <v>466</v>
      </c>
      <c r="E1895" t="s">
        <v>1303</v>
      </c>
      <c r="F1895" t="s">
        <v>1304</v>
      </c>
      <c r="G1895" t="s">
        <v>1974</v>
      </c>
      <c r="H1895" t="s">
        <v>1031</v>
      </c>
      <c r="I1895">
        <v>185349003</v>
      </c>
      <c r="J1895" t="s">
        <v>1038</v>
      </c>
      <c r="K1895">
        <v>85.55</v>
      </c>
      <c r="L1895">
        <v>1032.93</v>
      </c>
      <c r="M1895">
        <v>997.93</v>
      </c>
      <c r="N1895">
        <v>190905008</v>
      </c>
      <c r="O1895" t="s">
        <v>3202</v>
      </c>
    </row>
    <row r="1896" spans="1:15">
      <c r="A1896" t="s">
        <v>3291</v>
      </c>
      <c r="B1896" s="2">
        <v>40931.119004629632</v>
      </c>
      <c r="C1896" s="2">
        <v>40931.14875</v>
      </c>
      <c r="D1896" t="s">
        <v>466</v>
      </c>
      <c r="E1896" t="s">
        <v>3210</v>
      </c>
      <c r="F1896" t="s">
        <v>3211</v>
      </c>
      <c r="G1896" t="s">
        <v>1974</v>
      </c>
      <c r="H1896" t="s">
        <v>1020</v>
      </c>
      <c r="I1896">
        <v>162673000</v>
      </c>
      <c r="J1896" t="s">
        <v>1021</v>
      </c>
      <c r="K1896">
        <v>136.80000000000001</v>
      </c>
      <c r="L1896">
        <v>860.16</v>
      </c>
      <c r="M1896">
        <v>860.16</v>
      </c>
      <c r="O1896" t="s">
        <v>34</v>
      </c>
    </row>
    <row r="1897" spans="1:15">
      <c r="A1897" t="s">
        <v>3292</v>
      </c>
      <c r="B1897" s="2">
        <v>40958.316828703704</v>
      </c>
      <c r="C1897" s="2">
        <v>40958.347384259258</v>
      </c>
      <c r="D1897" t="s">
        <v>466</v>
      </c>
      <c r="E1897" t="s">
        <v>1303</v>
      </c>
      <c r="F1897" t="s">
        <v>1304</v>
      </c>
      <c r="G1897" t="s">
        <v>1974</v>
      </c>
      <c r="H1897" t="s">
        <v>1031</v>
      </c>
      <c r="I1897">
        <v>36228007</v>
      </c>
      <c r="J1897" t="s">
        <v>1705</v>
      </c>
      <c r="K1897">
        <v>142.58000000000001</v>
      </c>
      <c r="L1897">
        <v>2730.98</v>
      </c>
      <c r="M1897">
        <v>2695.98</v>
      </c>
      <c r="O1897" t="s">
        <v>34</v>
      </c>
    </row>
    <row r="1898" spans="1:15">
      <c r="A1898" t="s">
        <v>3293</v>
      </c>
      <c r="B1898" s="2">
        <v>40974.974976851852</v>
      </c>
      <c r="C1898" s="2">
        <v>40975.006516203706</v>
      </c>
      <c r="D1898" t="s">
        <v>466</v>
      </c>
      <c r="E1898" t="s">
        <v>1303</v>
      </c>
      <c r="F1898" t="s">
        <v>1304</v>
      </c>
      <c r="G1898" t="s">
        <v>1974</v>
      </c>
      <c r="H1898" t="s">
        <v>1031</v>
      </c>
      <c r="I1898">
        <v>185349003</v>
      </c>
      <c r="J1898" t="s">
        <v>1038</v>
      </c>
      <c r="K1898">
        <v>85.55</v>
      </c>
      <c r="L1898">
        <v>1055.48</v>
      </c>
      <c r="M1898">
        <v>1020.48</v>
      </c>
      <c r="N1898">
        <v>190905008</v>
      </c>
      <c r="O1898" t="s">
        <v>3202</v>
      </c>
    </row>
    <row r="1899" spans="1:15">
      <c r="A1899" t="s">
        <v>3294</v>
      </c>
      <c r="B1899" s="2">
        <v>41065.048182870371</v>
      </c>
      <c r="C1899" s="2">
        <v>41065.075127314813</v>
      </c>
      <c r="D1899" t="s">
        <v>466</v>
      </c>
      <c r="E1899" t="s">
        <v>1303</v>
      </c>
      <c r="F1899" t="s">
        <v>1304</v>
      </c>
      <c r="G1899" t="s">
        <v>1974</v>
      </c>
      <c r="H1899" t="s">
        <v>1031</v>
      </c>
      <c r="I1899">
        <v>185349003</v>
      </c>
      <c r="J1899" t="s">
        <v>1038</v>
      </c>
      <c r="K1899">
        <v>85.55</v>
      </c>
      <c r="L1899">
        <v>1130.17</v>
      </c>
      <c r="M1899">
        <v>1095.17</v>
      </c>
      <c r="N1899">
        <v>190905008</v>
      </c>
      <c r="O1899" t="s">
        <v>3202</v>
      </c>
    </row>
    <row r="1900" spans="1:15">
      <c r="A1900" t="s">
        <v>3295</v>
      </c>
      <c r="B1900" s="2">
        <v>41134.160671296297</v>
      </c>
      <c r="C1900" s="2">
        <v>41134.171087962961</v>
      </c>
      <c r="D1900" t="s">
        <v>466</v>
      </c>
      <c r="E1900" t="s">
        <v>1303</v>
      </c>
      <c r="F1900" t="s">
        <v>1304</v>
      </c>
      <c r="G1900" t="s">
        <v>1974</v>
      </c>
      <c r="H1900" t="s">
        <v>1031</v>
      </c>
      <c r="I1900">
        <v>424441002</v>
      </c>
      <c r="J1900" t="s">
        <v>1059</v>
      </c>
      <c r="K1900">
        <v>142.58000000000001</v>
      </c>
      <c r="L1900">
        <v>48126.1</v>
      </c>
      <c r="M1900">
        <v>48091.1</v>
      </c>
      <c r="N1900">
        <v>72892002</v>
      </c>
      <c r="O1900" t="s">
        <v>1060</v>
      </c>
    </row>
    <row r="1901" spans="1:15">
      <c r="A1901" t="s">
        <v>3296</v>
      </c>
      <c r="B1901" s="2">
        <v>41154.075127314813</v>
      </c>
      <c r="C1901" s="2">
        <v>41154.104201388887</v>
      </c>
      <c r="D1901" t="s">
        <v>466</v>
      </c>
      <c r="E1901" t="s">
        <v>1303</v>
      </c>
      <c r="F1901" t="s">
        <v>1304</v>
      </c>
      <c r="G1901" t="s">
        <v>1974</v>
      </c>
      <c r="H1901" t="s">
        <v>1031</v>
      </c>
      <c r="I1901">
        <v>185349003</v>
      </c>
      <c r="J1901" t="s">
        <v>1038</v>
      </c>
      <c r="K1901">
        <v>85.55</v>
      </c>
      <c r="L1901">
        <v>1638.59</v>
      </c>
      <c r="M1901">
        <v>1603.59</v>
      </c>
      <c r="N1901">
        <v>190905008</v>
      </c>
      <c r="O1901" t="s">
        <v>3202</v>
      </c>
    </row>
    <row r="1902" spans="1:15">
      <c r="A1902" t="s">
        <v>3297</v>
      </c>
      <c r="B1902" s="2">
        <v>41162.160671296297</v>
      </c>
      <c r="C1902" s="2">
        <v>41162.171087962961</v>
      </c>
      <c r="D1902" t="s">
        <v>466</v>
      </c>
      <c r="E1902" t="s">
        <v>1303</v>
      </c>
      <c r="F1902" t="s">
        <v>1304</v>
      </c>
      <c r="G1902" t="s">
        <v>1974</v>
      </c>
      <c r="H1902" t="s">
        <v>1031</v>
      </c>
      <c r="I1902">
        <v>424619006</v>
      </c>
      <c r="J1902" t="s">
        <v>1062</v>
      </c>
      <c r="K1902">
        <v>142.58000000000001</v>
      </c>
      <c r="L1902">
        <v>13824.29</v>
      </c>
      <c r="M1902">
        <v>13789.29</v>
      </c>
      <c r="N1902">
        <v>72892002</v>
      </c>
      <c r="O1902" t="s">
        <v>1060</v>
      </c>
    </row>
    <row r="1903" spans="1:15">
      <c r="A1903" t="s">
        <v>3298</v>
      </c>
      <c r="B1903" s="2">
        <v>41190.160671296297</v>
      </c>
      <c r="C1903" s="2">
        <v>41190.171087962961</v>
      </c>
      <c r="D1903" t="s">
        <v>466</v>
      </c>
      <c r="E1903" t="s">
        <v>1303</v>
      </c>
      <c r="F1903" t="s">
        <v>1304</v>
      </c>
      <c r="G1903" t="s">
        <v>1974</v>
      </c>
      <c r="H1903" t="s">
        <v>1031</v>
      </c>
      <c r="I1903">
        <v>424619006</v>
      </c>
      <c r="J1903" t="s">
        <v>1062</v>
      </c>
      <c r="K1903">
        <v>142.58000000000001</v>
      </c>
      <c r="L1903">
        <v>142.58000000000001</v>
      </c>
      <c r="M1903">
        <v>107.58</v>
      </c>
      <c r="N1903">
        <v>72892002</v>
      </c>
      <c r="O1903" t="s">
        <v>1060</v>
      </c>
    </row>
    <row r="1904" spans="1:15">
      <c r="A1904" t="s">
        <v>3299</v>
      </c>
      <c r="B1904" s="2">
        <v>41201.160671296297</v>
      </c>
      <c r="C1904" s="2">
        <v>41201.171087962961</v>
      </c>
      <c r="D1904" t="s">
        <v>466</v>
      </c>
      <c r="E1904" t="s">
        <v>1303</v>
      </c>
      <c r="F1904" t="s">
        <v>1304</v>
      </c>
      <c r="G1904" t="s">
        <v>1974</v>
      </c>
      <c r="H1904" t="s">
        <v>1031</v>
      </c>
      <c r="I1904">
        <v>424619006</v>
      </c>
      <c r="J1904" t="s">
        <v>1062</v>
      </c>
      <c r="K1904">
        <v>142.58000000000001</v>
      </c>
      <c r="L1904">
        <v>2113.65</v>
      </c>
      <c r="M1904">
        <v>2078.65</v>
      </c>
      <c r="N1904">
        <v>267253006</v>
      </c>
      <c r="O1904" t="s">
        <v>1593</v>
      </c>
    </row>
    <row r="1905" spans="1:15">
      <c r="A1905" t="s">
        <v>3300</v>
      </c>
      <c r="B1905" s="2">
        <v>41211.160671296297</v>
      </c>
      <c r="C1905" s="2">
        <v>41211.171087962961</v>
      </c>
      <c r="D1905" t="s">
        <v>466</v>
      </c>
      <c r="E1905" t="s">
        <v>1303</v>
      </c>
      <c r="F1905" t="s">
        <v>1304</v>
      </c>
      <c r="G1905" t="s">
        <v>1974</v>
      </c>
      <c r="H1905" t="s">
        <v>1043</v>
      </c>
      <c r="I1905">
        <v>698314001</v>
      </c>
      <c r="J1905" t="s">
        <v>1190</v>
      </c>
      <c r="K1905">
        <v>142.58000000000001</v>
      </c>
      <c r="L1905">
        <v>142.58000000000001</v>
      </c>
      <c r="M1905">
        <v>107.58</v>
      </c>
      <c r="N1905">
        <v>389095005</v>
      </c>
      <c r="O1905" t="s">
        <v>1191</v>
      </c>
    </row>
    <row r="1906" spans="1:15">
      <c r="A1906" t="s">
        <v>3301</v>
      </c>
      <c r="B1906" s="2">
        <v>41238.062534722223</v>
      </c>
      <c r="C1906" s="2">
        <v>41238.093993055554</v>
      </c>
      <c r="D1906" t="s">
        <v>466</v>
      </c>
      <c r="E1906" t="s">
        <v>1303</v>
      </c>
      <c r="F1906" t="s">
        <v>1304</v>
      </c>
      <c r="G1906" t="s">
        <v>1974</v>
      </c>
      <c r="H1906" t="s">
        <v>1031</v>
      </c>
      <c r="I1906">
        <v>185349003</v>
      </c>
      <c r="J1906" t="s">
        <v>1038</v>
      </c>
      <c r="K1906">
        <v>85.55</v>
      </c>
      <c r="L1906">
        <v>1638.59</v>
      </c>
      <c r="M1906">
        <v>1603.59</v>
      </c>
      <c r="N1906">
        <v>190905008</v>
      </c>
      <c r="O1906" t="s">
        <v>3202</v>
      </c>
    </row>
    <row r="1907" spans="1:15">
      <c r="A1907" t="s">
        <v>3302</v>
      </c>
      <c r="B1907" s="2">
        <v>41288.328229166669</v>
      </c>
      <c r="C1907" s="2">
        <v>41288.358784722222</v>
      </c>
      <c r="D1907" t="s">
        <v>466</v>
      </c>
      <c r="E1907" t="s">
        <v>1303</v>
      </c>
      <c r="F1907" t="s">
        <v>1304</v>
      </c>
      <c r="G1907" t="s">
        <v>1974</v>
      </c>
      <c r="H1907" t="s">
        <v>1031</v>
      </c>
      <c r="I1907">
        <v>36228007</v>
      </c>
      <c r="J1907" t="s">
        <v>1705</v>
      </c>
      <c r="K1907">
        <v>142.58000000000001</v>
      </c>
      <c r="L1907">
        <v>2730.98</v>
      </c>
      <c r="M1907">
        <v>2695.98</v>
      </c>
      <c r="O1907" t="s">
        <v>34</v>
      </c>
    </row>
    <row r="1908" spans="1:15">
      <c r="A1908" t="s">
        <v>3303</v>
      </c>
      <c r="B1908" s="2">
        <v>41302.119004629632</v>
      </c>
      <c r="C1908" s="2">
        <v>41302.158680555556</v>
      </c>
      <c r="D1908" t="s">
        <v>466</v>
      </c>
      <c r="E1908" t="s">
        <v>3210</v>
      </c>
      <c r="F1908" t="s">
        <v>3211</v>
      </c>
      <c r="G1908" t="s">
        <v>1974</v>
      </c>
      <c r="H1908" t="s">
        <v>1020</v>
      </c>
      <c r="I1908">
        <v>162673000</v>
      </c>
      <c r="J1908" t="s">
        <v>1021</v>
      </c>
      <c r="K1908">
        <v>136.80000000000001</v>
      </c>
      <c r="L1908">
        <v>860.16</v>
      </c>
      <c r="M1908">
        <v>860.16</v>
      </c>
      <c r="O1908" t="s">
        <v>34</v>
      </c>
    </row>
    <row r="1909" spans="1:15">
      <c r="A1909" t="s">
        <v>3304</v>
      </c>
      <c r="B1909" s="2">
        <v>41316.119004629632</v>
      </c>
      <c r="C1909" s="2">
        <v>41316.378946759258</v>
      </c>
      <c r="D1909" t="s">
        <v>466</v>
      </c>
      <c r="E1909" t="s">
        <v>1303</v>
      </c>
      <c r="F1909" t="s">
        <v>1304</v>
      </c>
      <c r="G1909" t="s">
        <v>1974</v>
      </c>
      <c r="H1909" t="s">
        <v>1031</v>
      </c>
      <c r="I1909">
        <v>185349003</v>
      </c>
      <c r="J1909" t="s">
        <v>1038</v>
      </c>
      <c r="K1909">
        <v>85.55</v>
      </c>
      <c r="L1909">
        <v>5262.35</v>
      </c>
      <c r="M1909">
        <v>5227.3500000000004</v>
      </c>
      <c r="N1909">
        <v>66383009</v>
      </c>
      <c r="O1909" t="s">
        <v>1209</v>
      </c>
    </row>
    <row r="1910" spans="1:15">
      <c r="A1910" t="s">
        <v>3305</v>
      </c>
      <c r="B1910" s="2">
        <v>41335.093993055554</v>
      </c>
      <c r="C1910" s="2">
        <v>41335.265023148146</v>
      </c>
      <c r="D1910" t="s">
        <v>466</v>
      </c>
      <c r="E1910" t="s">
        <v>1303</v>
      </c>
      <c r="F1910" t="s">
        <v>1304</v>
      </c>
      <c r="G1910" t="s">
        <v>1974</v>
      </c>
      <c r="H1910" t="s">
        <v>1031</v>
      </c>
      <c r="I1910">
        <v>185349003</v>
      </c>
      <c r="J1910" t="s">
        <v>1038</v>
      </c>
      <c r="K1910">
        <v>85.55</v>
      </c>
      <c r="L1910">
        <v>14327.63</v>
      </c>
      <c r="M1910">
        <v>14292.63</v>
      </c>
      <c r="N1910">
        <v>190905008</v>
      </c>
      <c r="O1910" t="s">
        <v>3202</v>
      </c>
    </row>
    <row r="1911" spans="1:15">
      <c r="A1911" t="s">
        <v>3306</v>
      </c>
      <c r="B1911" s="2">
        <v>41420.306689814817</v>
      </c>
      <c r="C1911" s="2">
        <v>41420.334363425929</v>
      </c>
      <c r="D1911" t="s">
        <v>466</v>
      </c>
      <c r="E1911" t="s">
        <v>1303</v>
      </c>
      <c r="F1911" t="s">
        <v>1304</v>
      </c>
      <c r="G1911" t="s">
        <v>1974</v>
      </c>
      <c r="H1911" t="s">
        <v>1031</v>
      </c>
      <c r="I1911">
        <v>185349003</v>
      </c>
      <c r="J1911" t="s">
        <v>1038</v>
      </c>
      <c r="K1911">
        <v>85.55</v>
      </c>
      <c r="L1911">
        <v>1300.6600000000001</v>
      </c>
      <c r="M1911">
        <v>1265.6600000000001</v>
      </c>
      <c r="N1911">
        <v>190905008</v>
      </c>
      <c r="O1911" t="s">
        <v>3202</v>
      </c>
    </row>
    <row r="1912" spans="1:15">
      <c r="A1912" t="s">
        <v>3307</v>
      </c>
      <c r="B1912" s="2">
        <v>41514.334363425929</v>
      </c>
      <c r="C1912" s="2">
        <v>41514.355902777781</v>
      </c>
      <c r="D1912" t="s">
        <v>466</v>
      </c>
      <c r="E1912" t="s">
        <v>1303</v>
      </c>
      <c r="F1912" t="s">
        <v>1304</v>
      </c>
      <c r="G1912" t="s">
        <v>1974</v>
      </c>
      <c r="H1912" t="s">
        <v>1031</v>
      </c>
      <c r="I1912">
        <v>185349003</v>
      </c>
      <c r="J1912" t="s">
        <v>1038</v>
      </c>
      <c r="K1912">
        <v>85.55</v>
      </c>
      <c r="L1912">
        <v>1094.1500000000001</v>
      </c>
      <c r="M1912">
        <v>1059.1500000000001</v>
      </c>
      <c r="N1912">
        <v>190905008</v>
      </c>
      <c r="O1912" t="s">
        <v>3202</v>
      </c>
    </row>
    <row r="1913" spans="1:15">
      <c r="A1913" t="s">
        <v>3308</v>
      </c>
      <c r="B1913" s="2">
        <v>41600.314236111109</v>
      </c>
      <c r="C1913" s="2">
        <v>41600.34065972222</v>
      </c>
      <c r="D1913" t="s">
        <v>466</v>
      </c>
      <c r="E1913" t="s">
        <v>1303</v>
      </c>
      <c r="F1913" t="s">
        <v>1304</v>
      </c>
      <c r="G1913" t="s">
        <v>1974</v>
      </c>
      <c r="H1913" t="s">
        <v>1031</v>
      </c>
      <c r="I1913">
        <v>185349003</v>
      </c>
      <c r="J1913" t="s">
        <v>1038</v>
      </c>
      <c r="K1913">
        <v>85.55</v>
      </c>
      <c r="L1913">
        <v>1277.1099999999999</v>
      </c>
      <c r="M1913">
        <v>1242.1099999999999</v>
      </c>
      <c r="N1913">
        <v>190905008</v>
      </c>
      <c r="O1913" t="s">
        <v>3202</v>
      </c>
    </row>
    <row r="1914" spans="1:15">
      <c r="A1914" t="s">
        <v>3309</v>
      </c>
      <c r="B1914" s="2">
        <v>41618.340451388889</v>
      </c>
      <c r="C1914" s="2">
        <v>41618.371006944442</v>
      </c>
      <c r="D1914" t="s">
        <v>466</v>
      </c>
      <c r="E1914" t="s">
        <v>1303</v>
      </c>
      <c r="F1914" t="s">
        <v>1304</v>
      </c>
      <c r="G1914" t="s">
        <v>1974</v>
      </c>
      <c r="H1914" t="s">
        <v>1031</v>
      </c>
      <c r="I1914">
        <v>36228007</v>
      </c>
      <c r="J1914" t="s">
        <v>1705</v>
      </c>
      <c r="K1914">
        <v>142.58000000000001</v>
      </c>
      <c r="L1914">
        <v>2730.98</v>
      </c>
      <c r="M1914">
        <v>2695.98</v>
      </c>
      <c r="O1914" t="s">
        <v>34</v>
      </c>
    </row>
    <row r="1915" spans="1:15">
      <c r="A1915" t="s">
        <v>3310</v>
      </c>
      <c r="B1915" s="2">
        <v>41648.220520833333</v>
      </c>
      <c r="C1915" s="2">
        <v>41648.259131944447</v>
      </c>
      <c r="D1915" t="s">
        <v>466</v>
      </c>
      <c r="E1915" t="s">
        <v>1303</v>
      </c>
      <c r="F1915" t="s">
        <v>1304</v>
      </c>
      <c r="G1915" t="s">
        <v>1974</v>
      </c>
      <c r="H1915" t="s">
        <v>1031</v>
      </c>
      <c r="I1915">
        <v>185347001</v>
      </c>
      <c r="J1915" t="s">
        <v>1124</v>
      </c>
      <c r="K1915">
        <v>85.55</v>
      </c>
      <c r="L1915">
        <v>1379.75</v>
      </c>
      <c r="M1915">
        <v>1344.75</v>
      </c>
      <c r="N1915">
        <v>37320007</v>
      </c>
      <c r="O1915" t="s">
        <v>1125</v>
      </c>
    </row>
    <row r="1916" spans="1:15">
      <c r="A1916" t="s">
        <v>3311</v>
      </c>
      <c r="B1916" s="2">
        <v>41673.119004629632</v>
      </c>
      <c r="C1916" s="2">
        <v>41673.146909722222</v>
      </c>
      <c r="D1916" t="s">
        <v>466</v>
      </c>
      <c r="E1916" t="s">
        <v>3210</v>
      </c>
      <c r="F1916" t="s">
        <v>3211</v>
      </c>
      <c r="G1916" t="s">
        <v>1974</v>
      </c>
      <c r="H1916" t="s">
        <v>1020</v>
      </c>
      <c r="I1916">
        <v>162673000</v>
      </c>
      <c r="J1916" t="s">
        <v>1021</v>
      </c>
      <c r="K1916">
        <v>136.80000000000001</v>
      </c>
      <c r="L1916">
        <v>860.16</v>
      </c>
      <c r="M1916">
        <v>860.16</v>
      </c>
      <c r="O1916" t="s">
        <v>34</v>
      </c>
    </row>
    <row r="1917" spans="1:15">
      <c r="A1917" t="s">
        <v>3312</v>
      </c>
      <c r="B1917" s="2">
        <v>41680.119004629632</v>
      </c>
      <c r="C1917" s="2">
        <v>41680.158321759256</v>
      </c>
      <c r="D1917" t="s">
        <v>466</v>
      </c>
      <c r="E1917" t="s">
        <v>1303</v>
      </c>
      <c r="F1917" t="s">
        <v>1304</v>
      </c>
      <c r="G1917" t="s">
        <v>1974</v>
      </c>
      <c r="H1917" t="s">
        <v>1031</v>
      </c>
      <c r="I1917">
        <v>390906007</v>
      </c>
      <c r="J1917" t="s">
        <v>1255</v>
      </c>
      <c r="K1917">
        <v>85.55</v>
      </c>
      <c r="L1917">
        <v>516.95000000000005</v>
      </c>
      <c r="M1917">
        <v>481.95</v>
      </c>
      <c r="N1917">
        <v>37320007</v>
      </c>
      <c r="O1917" t="s">
        <v>1125</v>
      </c>
    </row>
    <row r="1918" spans="1:15">
      <c r="A1918" t="s">
        <v>3313</v>
      </c>
      <c r="B1918" s="2">
        <v>41687.119004629632</v>
      </c>
      <c r="C1918" s="2">
        <v>41687.129421296297</v>
      </c>
      <c r="D1918" t="s">
        <v>466</v>
      </c>
      <c r="E1918" t="s">
        <v>1303</v>
      </c>
      <c r="F1918" t="s">
        <v>1304</v>
      </c>
      <c r="G1918" t="s">
        <v>1974</v>
      </c>
      <c r="H1918" t="s">
        <v>1043</v>
      </c>
      <c r="I1918">
        <v>185347001</v>
      </c>
      <c r="J1918" t="s">
        <v>1124</v>
      </c>
      <c r="K1918">
        <v>85.55</v>
      </c>
      <c r="L1918">
        <v>85.55</v>
      </c>
      <c r="M1918">
        <v>50.55</v>
      </c>
      <c r="N1918">
        <v>82423001</v>
      </c>
      <c r="O1918" t="s">
        <v>1542</v>
      </c>
    </row>
    <row r="1919" spans="1:15">
      <c r="A1919" t="s">
        <v>3314</v>
      </c>
      <c r="B1919" s="2">
        <v>41694.119004629632</v>
      </c>
      <c r="C1919" s="2">
        <v>41694.245462962965</v>
      </c>
      <c r="D1919" t="s">
        <v>466</v>
      </c>
      <c r="E1919" t="s">
        <v>1303</v>
      </c>
      <c r="F1919" t="s">
        <v>1304</v>
      </c>
      <c r="G1919" t="s">
        <v>1974</v>
      </c>
      <c r="H1919" t="s">
        <v>1031</v>
      </c>
      <c r="I1919">
        <v>185349003</v>
      </c>
      <c r="J1919" t="s">
        <v>1038</v>
      </c>
      <c r="K1919">
        <v>85.55</v>
      </c>
      <c r="L1919">
        <v>2673.95</v>
      </c>
      <c r="M1919">
        <v>2638.95</v>
      </c>
      <c r="N1919">
        <v>103697008</v>
      </c>
      <c r="O1919" t="s">
        <v>1039</v>
      </c>
    </row>
    <row r="1920" spans="1:15">
      <c r="A1920" t="s">
        <v>3315</v>
      </c>
      <c r="B1920" s="2">
        <v>41708.160671296297</v>
      </c>
      <c r="C1920" s="2">
        <v>41708.182337962964</v>
      </c>
      <c r="D1920" t="s">
        <v>466</v>
      </c>
      <c r="E1920" t="s">
        <v>1303</v>
      </c>
      <c r="F1920" t="s">
        <v>1304</v>
      </c>
      <c r="G1920" t="s">
        <v>1974</v>
      </c>
      <c r="H1920" t="s">
        <v>1031</v>
      </c>
      <c r="I1920">
        <v>185349003</v>
      </c>
      <c r="J1920" t="s">
        <v>1038</v>
      </c>
      <c r="K1920">
        <v>85.55</v>
      </c>
      <c r="L1920">
        <v>1638.59</v>
      </c>
      <c r="M1920">
        <v>1603.59</v>
      </c>
      <c r="N1920">
        <v>190905008</v>
      </c>
      <c r="O1920" t="s">
        <v>3202</v>
      </c>
    </row>
    <row r="1921" spans="1:15">
      <c r="A1921" t="s">
        <v>3316</v>
      </c>
      <c r="B1921" s="2">
        <v>41793.182337962964</v>
      </c>
      <c r="C1921" s="2">
        <v>41793.214849537035</v>
      </c>
      <c r="D1921" t="s">
        <v>466</v>
      </c>
      <c r="E1921" t="s">
        <v>1303</v>
      </c>
      <c r="F1921" t="s">
        <v>1304</v>
      </c>
      <c r="G1921" t="s">
        <v>1974</v>
      </c>
      <c r="H1921" t="s">
        <v>1031</v>
      </c>
      <c r="I1921">
        <v>185349003</v>
      </c>
      <c r="J1921" t="s">
        <v>1038</v>
      </c>
      <c r="K1921">
        <v>85.55</v>
      </c>
      <c r="L1921">
        <v>1171.69</v>
      </c>
      <c r="M1921">
        <v>1136.69</v>
      </c>
      <c r="N1921">
        <v>190905008</v>
      </c>
      <c r="O1921" t="s">
        <v>3202</v>
      </c>
    </row>
    <row r="1922" spans="1:15">
      <c r="A1922" t="s">
        <v>3317</v>
      </c>
      <c r="B1922" s="2">
        <v>41820.160671296297</v>
      </c>
      <c r="C1922" s="2">
        <v>41820.187164351853</v>
      </c>
      <c r="D1922" t="s">
        <v>466</v>
      </c>
      <c r="E1922" t="s">
        <v>1303</v>
      </c>
      <c r="F1922" t="s">
        <v>1304</v>
      </c>
      <c r="G1922" t="s">
        <v>1974</v>
      </c>
      <c r="H1922" t="s">
        <v>1043</v>
      </c>
      <c r="I1922">
        <v>185349003</v>
      </c>
      <c r="J1922" t="s">
        <v>1038</v>
      </c>
      <c r="K1922">
        <v>85.55</v>
      </c>
      <c r="L1922">
        <v>951.27</v>
      </c>
      <c r="M1922">
        <v>916.27</v>
      </c>
      <c r="O1922" t="s">
        <v>34</v>
      </c>
    </row>
    <row r="1923" spans="1:15">
      <c r="A1923" t="s">
        <v>3318</v>
      </c>
      <c r="B1923" s="2">
        <v>41848.160671296297</v>
      </c>
      <c r="C1923" s="2">
        <v>41848.19091435185</v>
      </c>
      <c r="D1923" t="s">
        <v>466</v>
      </c>
      <c r="E1923" t="s">
        <v>1303</v>
      </c>
      <c r="F1923" t="s">
        <v>1304</v>
      </c>
      <c r="G1923" t="s">
        <v>1974</v>
      </c>
      <c r="H1923" t="s">
        <v>1043</v>
      </c>
      <c r="I1923">
        <v>185349003</v>
      </c>
      <c r="J1923" t="s">
        <v>1038</v>
      </c>
      <c r="K1923">
        <v>85.55</v>
      </c>
      <c r="L1923">
        <v>815.27</v>
      </c>
      <c r="M1923">
        <v>780.27</v>
      </c>
      <c r="O1923" t="s">
        <v>34</v>
      </c>
    </row>
    <row r="1924" spans="1:15">
      <c r="A1924" t="s">
        <v>3319</v>
      </c>
      <c r="B1924" s="2">
        <v>41880.214849537035</v>
      </c>
      <c r="C1924" s="2">
        <v>41880.245358796295</v>
      </c>
      <c r="D1924" t="s">
        <v>466</v>
      </c>
      <c r="E1924" t="s">
        <v>1303</v>
      </c>
      <c r="F1924" t="s">
        <v>1304</v>
      </c>
      <c r="G1924" t="s">
        <v>1974</v>
      </c>
      <c r="H1924" t="s">
        <v>1031</v>
      </c>
      <c r="I1924">
        <v>185349003</v>
      </c>
      <c r="J1924" t="s">
        <v>1038</v>
      </c>
      <c r="K1924">
        <v>85.55</v>
      </c>
      <c r="L1924">
        <v>1638.59</v>
      </c>
      <c r="M1924">
        <v>1603.59</v>
      </c>
      <c r="N1924">
        <v>190905008</v>
      </c>
      <c r="O1924" t="s">
        <v>3202</v>
      </c>
    </row>
    <row r="1925" spans="1:15">
      <c r="A1925" t="s">
        <v>3320</v>
      </c>
      <c r="B1925" s="2">
        <v>41911.160671296297</v>
      </c>
      <c r="C1925" s="2">
        <v>41911.188287037039</v>
      </c>
      <c r="D1925" t="s">
        <v>466</v>
      </c>
      <c r="E1925" t="s">
        <v>1303</v>
      </c>
      <c r="F1925" t="s">
        <v>1304</v>
      </c>
      <c r="G1925" t="s">
        <v>1974</v>
      </c>
      <c r="H1925" t="s">
        <v>1043</v>
      </c>
      <c r="I1925">
        <v>185349003</v>
      </c>
      <c r="J1925" t="s">
        <v>1038</v>
      </c>
      <c r="K1925">
        <v>85.55</v>
      </c>
      <c r="L1925">
        <v>1030.97</v>
      </c>
      <c r="M1925">
        <v>995.97</v>
      </c>
      <c r="O1925" t="s">
        <v>34</v>
      </c>
    </row>
    <row r="1926" spans="1:15">
      <c r="A1926" t="s">
        <v>3321</v>
      </c>
      <c r="B1926" s="2">
        <v>41965.203692129631</v>
      </c>
      <c r="C1926" s="2">
        <v>41965.227268518516</v>
      </c>
      <c r="D1926" t="s">
        <v>466</v>
      </c>
      <c r="E1926" t="s">
        <v>1303</v>
      </c>
      <c r="F1926" t="s">
        <v>1304</v>
      </c>
      <c r="G1926" t="s">
        <v>1093</v>
      </c>
      <c r="H1926" t="s">
        <v>1031</v>
      </c>
      <c r="I1926">
        <v>185349003</v>
      </c>
      <c r="J1926" t="s">
        <v>1038</v>
      </c>
      <c r="K1926">
        <v>85.55</v>
      </c>
      <c r="L1926">
        <v>982.86</v>
      </c>
      <c r="M1926">
        <v>832.86</v>
      </c>
      <c r="N1926">
        <v>190905008</v>
      </c>
      <c r="O1926" t="s">
        <v>3202</v>
      </c>
    </row>
    <row r="1927" spans="1:15">
      <c r="A1927" t="s">
        <v>3322</v>
      </c>
      <c r="B1927" s="2">
        <v>41978.352083333331</v>
      </c>
      <c r="C1927" s="2">
        <v>41978.382638888892</v>
      </c>
      <c r="D1927" t="s">
        <v>466</v>
      </c>
      <c r="E1927" t="s">
        <v>1303</v>
      </c>
      <c r="F1927" t="s">
        <v>1304</v>
      </c>
      <c r="G1927" t="s">
        <v>1093</v>
      </c>
      <c r="H1927" t="s">
        <v>1031</v>
      </c>
      <c r="I1927">
        <v>36228007</v>
      </c>
      <c r="J1927" t="s">
        <v>1705</v>
      </c>
      <c r="K1927">
        <v>142.58000000000001</v>
      </c>
      <c r="L1927">
        <v>2730.98</v>
      </c>
      <c r="M1927">
        <v>2680.98</v>
      </c>
      <c r="O1927" t="s">
        <v>34</v>
      </c>
    </row>
    <row r="1928" spans="1:15">
      <c r="A1928" t="s">
        <v>3323</v>
      </c>
      <c r="B1928" s="2">
        <v>42002.119004629632</v>
      </c>
      <c r="C1928" s="2">
        <v>42002.156446759262</v>
      </c>
      <c r="D1928" t="s">
        <v>466</v>
      </c>
      <c r="E1928" t="s">
        <v>1303</v>
      </c>
      <c r="F1928" t="s">
        <v>1304</v>
      </c>
      <c r="G1928" t="s">
        <v>1093</v>
      </c>
      <c r="H1928" t="s">
        <v>1043</v>
      </c>
      <c r="I1928">
        <v>185349003</v>
      </c>
      <c r="J1928" t="s">
        <v>1038</v>
      </c>
      <c r="K1928">
        <v>85.55</v>
      </c>
      <c r="L1928">
        <v>1175.6600000000001</v>
      </c>
      <c r="M1928">
        <v>1125.6600000000001</v>
      </c>
      <c r="O1928" t="s">
        <v>34</v>
      </c>
    </row>
    <row r="1929" spans="1:15">
      <c r="A1929" t="s">
        <v>3324</v>
      </c>
      <c r="B1929" s="2">
        <v>42009.119004629632</v>
      </c>
      <c r="C1929" s="2">
        <v>42009.129421296297</v>
      </c>
      <c r="D1929" t="s">
        <v>466</v>
      </c>
      <c r="E1929" t="s">
        <v>1303</v>
      </c>
      <c r="F1929" t="s">
        <v>1304</v>
      </c>
      <c r="G1929" t="s">
        <v>1093</v>
      </c>
      <c r="H1929" t="s">
        <v>1031</v>
      </c>
      <c r="I1929">
        <v>424441002</v>
      </c>
      <c r="J1929" t="s">
        <v>1059</v>
      </c>
      <c r="K1929">
        <v>142.58000000000001</v>
      </c>
      <c r="L1929">
        <v>49563.64</v>
      </c>
      <c r="M1929">
        <v>49513.64</v>
      </c>
      <c r="N1929">
        <v>72892002</v>
      </c>
      <c r="O1929" t="s">
        <v>1060</v>
      </c>
    </row>
    <row r="1930" spans="1:15">
      <c r="A1930" t="s">
        <v>3325</v>
      </c>
      <c r="B1930" s="2">
        <v>42016.119004629632</v>
      </c>
      <c r="C1930" s="2">
        <v>42016.271215277775</v>
      </c>
      <c r="D1930" t="s">
        <v>466</v>
      </c>
      <c r="E1930" t="s">
        <v>1303</v>
      </c>
      <c r="F1930" t="s">
        <v>1304</v>
      </c>
      <c r="G1930" t="s">
        <v>1093</v>
      </c>
      <c r="H1930" t="s">
        <v>1031</v>
      </c>
      <c r="I1930">
        <v>185349003</v>
      </c>
      <c r="J1930" t="s">
        <v>1038</v>
      </c>
      <c r="K1930">
        <v>85.55</v>
      </c>
      <c r="L1930">
        <v>3968.15</v>
      </c>
      <c r="M1930">
        <v>3918.15</v>
      </c>
      <c r="N1930">
        <v>66383009</v>
      </c>
      <c r="O1930" t="s">
        <v>1209</v>
      </c>
    </row>
    <row r="1931" spans="1:15">
      <c r="A1931" t="s">
        <v>3326</v>
      </c>
      <c r="B1931" s="2">
        <v>42037.119004629632</v>
      </c>
      <c r="C1931" s="2">
        <v>42037.129421296297</v>
      </c>
      <c r="D1931" t="s">
        <v>466</v>
      </c>
      <c r="E1931" t="s">
        <v>1303</v>
      </c>
      <c r="F1931" t="s">
        <v>1304</v>
      </c>
      <c r="G1931" t="s">
        <v>1093</v>
      </c>
      <c r="H1931" t="s">
        <v>1031</v>
      </c>
      <c r="I1931">
        <v>424619006</v>
      </c>
      <c r="J1931" t="s">
        <v>1062</v>
      </c>
      <c r="K1931">
        <v>142.58000000000001</v>
      </c>
      <c r="L1931">
        <v>9560.51</v>
      </c>
      <c r="M1931">
        <v>9510.51</v>
      </c>
      <c r="N1931">
        <v>72892002</v>
      </c>
      <c r="O1931" t="s">
        <v>1060</v>
      </c>
    </row>
    <row r="1932" spans="1:15">
      <c r="A1932" t="s">
        <v>3327</v>
      </c>
      <c r="B1932" s="2">
        <v>42044.119004629632</v>
      </c>
      <c r="C1932" s="2">
        <v>42044.14603009259</v>
      </c>
      <c r="D1932" t="s">
        <v>466</v>
      </c>
      <c r="E1932" t="s">
        <v>3210</v>
      </c>
      <c r="F1932" t="s">
        <v>3211</v>
      </c>
      <c r="G1932" t="s">
        <v>1093</v>
      </c>
      <c r="H1932" t="s">
        <v>1020</v>
      </c>
      <c r="I1932">
        <v>162673000</v>
      </c>
      <c r="J1932" t="s">
        <v>1021</v>
      </c>
      <c r="K1932">
        <v>136.80000000000001</v>
      </c>
      <c r="L1932">
        <v>1729.32</v>
      </c>
      <c r="M1932">
        <v>1729.32</v>
      </c>
      <c r="O1932" t="s">
        <v>34</v>
      </c>
    </row>
    <row r="1933" spans="1:15">
      <c r="A1933" t="s">
        <v>3328</v>
      </c>
      <c r="B1933" s="2">
        <v>42058.119004629632</v>
      </c>
      <c r="C1933" s="2">
        <v>42058.240891203706</v>
      </c>
      <c r="D1933" t="s">
        <v>466</v>
      </c>
      <c r="E1933" t="s">
        <v>1303</v>
      </c>
      <c r="F1933" t="s">
        <v>1304</v>
      </c>
      <c r="G1933" t="s">
        <v>1093</v>
      </c>
      <c r="H1933" t="s">
        <v>1031</v>
      </c>
      <c r="I1933">
        <v>185349003</v>
      </c>
      <c r="J1933" t="s">
        <v>1038</v>
      </c>
      <c r="K1933">
        <v>85.55</v>
      </c>
      <c r="L1933">
        <v>3105.35</v>
      </c>
      <c r="M1933">
        <v>3055.35</v>
      </c>
      <c r="N1933">
        <v>66383009</v>
      </c>
      <c r="O1933" t="s">
        <v>1209</v>
      </c>
    </row>
    <row r="1934" spans="1:15">
      <c r="A1934" t="s">
        <v>3329</v>
      </c>
      <c r="B1934" s="2">
        <v>42065.119004629632</v>
      </c>
      <c r="C1934" s="2">
        <v>42065.129421296297</v>
      </c>
      <c r="D1934" t="s">
        <v>466</v>
      </c>
      <c r="E1934" t="s">
        <v>1303</v>
      </c>
      <c r="F1934" t="s">
        <v>1304</v>
      </c>
      <c r="G1934" t="s">
        <v>1093</v>
      </c>
      <c r="H1934" t="s">
        <v>1031</v>
      </c>
      <c r="I1934">
        <v>424619006</v>
      </c>
      <c r="J1934" t="s">
        <v>1062</v>
      </c>
      <c r="K1934">
        <v>142.58000000000001</v>
      </c>
      <c r="L1934">
        <v>10545.06</v>
      </c>
      <c r="M1934">
        <v>10495.06</v>
      </c>
      <c r="N1934">
        <v>72892002</v>
      </c>
      <c r="O1934" t="s">
        <v>1060</v>
      </c>
    </row>
    <row r="1935" spans="1:15">
      <c r="A1935" t="s">
        <v>3330</v>
      </c>
      <c r="B1935" s="2">
        <v>42072.160671296297</v>
      </c>
      <c r="C1935" s="2">
        <v>42072.375949074078</v>
      </c>
      <c r="D1935" t="s">
        <v>466</v>
      </c>
      <c r="E1935" t="s">
        <v>1303</v>
      </c>
      <c r="F1935" t="s">
        <v>1304</v>
      </c>
      <c r="G1935" t="s">
        <v>1093</v>
      </c>
      <c r="H1935" t="s">
        <v>1031</v>
      </c>
      <c r="I1935">
        <v>185349003</v>
      </c>
      <c r="J1935" t="s">
        <v>1038</v>
      </c>
      <c r="K1935">
        <v>85.55</v>
      </c>
      <c r="L1935">
        <v>14975.02</v>
      </c>
      <c r="M1935">
        <v>14925.02</v>
      </c>
      <c r="N1935">
        <v>190905008</v>
      </c>
      <c r="O1935" t="s">
        <v>3202</v>
      </c>
    </row>
    <row r="1936" spans="1:15">
      <c r="A1936" t="s">
        <v>3331</v>
      </c>
      <c r="B1936" s="2">
        <v>42093.160671296297</v>
      </c>
      <c r="C1936" s="2">
        <v>42093.171087962961</v>
      </c>
      <c r="D1936" t="s">
        <v>466</v>
      </c>
      <c r="E1936" t="s">
        <v>1303</v>
      </c>
      <c r="F1936" t="s">
        <v>1304</v>
      </c>
      <c r="G1936" t="s">
        <v>1093</v>
      </c>
      <c r="H1936" t="s">
        <v>1031</v>
      </c>
      <c r="I1936">
        <v>424619006</v>
      </c>
      <c r="J1936" t="s">
        <v>1062</v>
      </c>
      <c r="K1936">
        <v>142.58000000000001</v>
      </c>
      <c r="L1936">
        <v>16896.16</v>
      </c>
      <c r="M1936">
        <v>16846.16</v>
      </c>
      <c r="N1936">
        <v>72892002</v>
      </c>
      <c r="O1936" t="s">
        <v>1060</v>
      </c>
    </row>
    <row r="1937" spans="1:15">
      <c r="A1937" t="s">
        <v>3332</v>
      </c>
      <c r="B1937" s="2">
        <v>42104.285671296297</v>
      </c>
      <c r="C1937" s="2">
        <v>42104.296111111114</v>
      </c>
      <c r="D1937" t="s">
        <v>466</v>
      </c>
      <c r="E1937" t="s">
        <v>1303</v>
      </c>
      <c r="F1937" t="s">
        <v>1304</v>
      </c>
      <c r="G1937" t="s">
        <v>1093</v>
      </c>
      <c r="H1937" t="s">
        <v>1031</v>
      </c>
      <c r="I1937">
        <v>185345009</v>
      </c>
      <c r="J1937" t="s">
        <v>1032</v>
      </c>
      <c r="K1937">
        <v>85.55</v>
      </c>
      <c r="L1937">
        <v>386.11</v>
      </c>
      <c r="M1937">
        <v>336.11</v>
      </c>
      <c r="N1937">
        <v>10509002</v>
      </c>
      <c r="O1937" t="s">
        <v>1033</v>
      </c>
    </row>
    <row r="1938" spans="1:15">
      <c r="A1938" t="s">
        <v>3333</v>
      </c>
      <c r="B1938" s="2">
        <v>42114.160671296297</v>
      </c>
      <c r="C1938" s="2">
        <v>42114.202337962961</v>
      </c>
      <c r="D1938" t="s">
        <v>466</v>
      </c>
      <c r="E1938" t="s">
        <v>3204</v>
      </c>
      <c r="F1938" t="s">
        <v>3205</v>
      </c>
      <c r="G1938" t="s">
        <v>1093</v>
      </c>
      <c r="H1938" t="s">
        <v>1076</v>
      </c>
      <c r="I1938">
        <v>50849002</v>
      </c>
      <c r="J1938" t="s">
        <v>1163</v>
      </c>
      <c r="K1938">
        <v>146.18</v>
      </c>
      <c r="L1938">
        <v>1874.7</v>
      </c>
      <c r="M1938">
        <v>1824.7</v>
      </c>
      <c r="O1938" t="s">
        <v>34</v>
      </c>
    </row>
    <row r="1939" spans="1:15">
      <c r="A1939" t="s">
        <v>3334</v>
      </c>
      <c r="B1939" s="2">
        <v>42121.160671296297</v>
      </c>
      <c r="C1939" s="2">
        <v>42121.171087962961</v>
      </c>
      <c r="D1939" t="s">
        <v>466</v>
      </c>
      <c r="E1939" t="s">
        <v>1303</v>
      </c>
      <c r="F1939" t="s">
        <v>1304</v>
      </c>
      <c r="G1939" t="s">
        <v>1093</v>
      </c>
      <c r="H1939" t="s">
        <v>1031</v>
      </c>
      <c r="I1939">
        <v>424619006</v>
      </c>
      <c r="J1939" t="s">
        <v>1062</v>
      </c>
      <c r="K1939">
        <v>142.58000000000001</v>
      </c>
      <c r="L1939">
        <v>11451.02</v>
      </c>
      <c r="M1939">
        <v>11401.02</v>
      </c>
      <c r="N1939">
        <v>72892002</v>
      </c>
      <c r="O1939" t="s">
        <v>1060</v>
      </c>
    </row>
    <row r="1940" spans="1:15">
      <c r="A1940" t="s">
        <v>3335</v>
      </c>
      <c r="B1940" s="2">
        <v>42149.160671296297</v>
      </c>
      <c r="C1940" s="2">
        <v>42149.171087962961</v>
      </c>
      <c r="D1940" t="s">
        <v>466</v>
      </c>
      <c r="E1940" t="s">
        <v>1303</v>
      </c>
      <c r="F1940" t="s">
        <v>1304</v>
      </c>
      <c r="G1940" t="s">
        <v>1093</v>
      </c>
      <c r="H1940" t="s">
        <v>1031</v>
      </c>
      <c r="I1940">
        <v>424619006</v>
      </c>
      <c r="J1940" t="s">
        <v>1062</v>
      </c>
      <c r="K1940">
        <v>142.58000000000001</v>
      </c>
      <c r="L1940">
        <v>19704.29</v>
      </c>
      <c r="M1940">
        <v>19654.29</v>
      </c>
      <c r="N1940">
        <v>72892002</v>
      </c>
      <c r="O1940" t="s">
        <v>1060</v>
      </c>
    </row>
    <row r="1941" spans="1:15">
      <c r="A1941" t="s">
        <v>3336</v>
      </c>
      <c r="B1941" s="2">
        <v>42161.375949074078</v>
      </c>
      <c r="C1941" s="2">
        <v>42161.395243055558</v>
      </c>
      <c r="D1941" t="s">
        <v>466</v>
      </c>
      <c r="E1941" t="s">
        <v>1303</v>
      </c>
      <c r="F1941" t="s">
        <v>1304</v>
      </c>
      <c r="G1941" t="s">
        <v>1093</v>
      </c>
      <c r="H1941" t="s">
        <v>1031</v>
      </c>
      <c r="I1941">
        <v>185349003</v>
      </c>
      <c r="J1941" t="s">
        <v>1038</v>
      </c>
      <c r="K1941">
        <v>85.55</v>
      </c>
      <c r="L1941">
        <v>1497.68</v>
      </c>
      <c r="M1941">
        <v>1447.68</v>
      </c>
      <c r="N1941">
        <v>190905008</v>
      </c>
      <c r="O1941" t="s">
        <v>3202</v>
      </c>
    </row>
    <row r="1942" spans="1:15">
      <c r="A1942" t="s">
        <v>3337</v>
      </c>
      <c r="B1942" s="2">
        <v>42177.160671296297</v>
      </c>
      <c r="C1942" s="2">
        <v>42177.171087962961</v>
      </c>
      <c r="D1942" t="s">
        <v>466</v>
      </c>
      <c r="E1942" t="s">
        <v>1303</v>
      </c>
      <c r="F1942" t="s">
        <v>1304</v>
      </c>
      <c r="G1942" t="s">
        <v>1093</v>
      </c>
      <c r="H1942" t="s">
        <v>1031</v>
      </c>
      <c r="I1942">
        <v>424619006</v>
      </c>
      <c r="J1942" t="s">
        <v>1062</v>
      </c>
      <c r="K1942">
        <v>142.58000000000001</v>
      </c>
      <c r="L1942">
        <v>4665.96</v>
      </c>
      <c r="M1942">
        <v>4615.96</v>
      </c>
      <c r="N1942">
        <v>72892002</v>
      </c>
      <c r="O1942" t="s">
        <v>1060</v>
      </c>
    </row>
    <row r="1943" spans="1:15">
      <c r="A1943" t="s">
        <v>3338</v>
      </c>
      <c r="B1943" s="2">
        <v>42205.160671296297</v>
      </c>
      <c r="C1943" s="2">
        <v>42205.171087962961</v>
      </c>
      <c r="D1943" t="s">
        <v>466</v>
      </c>
      <c r="E1943" t="s">
        <v>1303</v>
      </c>
      <c r="F1943" t="s">
        <v>1304</v>
      </c>
      <c r="G1943" t="s">
        <v>1093</v>
      </c>
      <c r="H1943" t="s">
        <v>1031</v>
      </c>
      <c r="I1943">
        <v>424619006</v>
      </c>
      <c r="J1943" t="s">
        <v>1062</v>
      </c>
      <c r="K1943">
        <v>142.58000000000001</v>
      </c>
      <c r="L1943">
        <v>8395.56</v>
      </c>
      <c r="M1943">
        <v>8345.56</v>
      </c>
      <c r="N1943">
        <v>72892002</v>
      </c>
      <c r="O1943" t="s">
        <v>1060</v>
      </c>
    </row>
    <row r="1944" spans="1:15">
      <c r="A1944" t="s">
        <v>3339</v>
      </c>
      <c r="B1944" s="2">
        <v>42219.160671296297</v>
      </c>
      <c r="C1944" s="2">
        <v>42219.171087962961</v>
      </c>
      <c r="D1944" t="s">
        <v>466</v>
      </c>
      <c r="E1944" t="s">
        <v>1303</v>
      </c>
      <c r="F1944" t="s">
        <v>1304</v>
      </c>
      <c r="G1944" t="s">
        <v>1093</v>
      </c>
      <c r="H1944" t="s">
        <v>1031</v>
      </c>
      <c r="I1944">
        <v>424619006</v>
      </c>
      <c r="J1944" t="s">
        <v>1062</v>
      </c>
      <c r="K1944">
        <v>142.58000000000001</v>
      </c>
      <c r="L1944">
        <v>4981.26</v>
      </c>
      <c r="M1944">
        <v>4931.26</v>
      </c>
      <c r="N1944">
        <v>72892002</v>
      </c>
      <c r="O1944" t="s">
        <v>1060</v>
      </c>
    </row>
    <row r="1945" spans="1:15">
      <c r="A1945" t="s">
        <v>3340</v>
      </c>
      <c r="B1945" s="2">
        <v>42226.160671296297</v>
      </c>
      <c r="C1945" s="2">
        <v>42226.202337962961</v>
      </c>
      <c r="D1945" t="s">
        <v>466</v>
      </c>
      <c r="E1945" t="s">
        <v>3204</v>
      </c>
      <c r="F1945" t="s">
        <v>3205</v>
      </c>
      <c r="G1945" t="s">
        <v>1093</v>
      </c>
      <c r="H1945" t="s">
        <v>1076</v>
      </c>
      <c r="I1945">
        <v>183460006</v>
      </c>
      <c r="J1945" t="s">
        <v>1077</v>
      </c>
      <c r="K1945">
        <v>146.18</v>
      </c>
      <c r="L1945">
        <v>4648.71</v>
      </c>
      <c r="M1945">
        <v>4598.71</v>
      </c>
      <c r="N1945">
        <v>72892002</v>
      </c>
      <c r="O1945" t="s">
        <v>1060</v>
      </c>
    </row>
    <row r="1946" spans="1:15">
      <c r="A1946" t="s">
        <v>3341</v>
      </c>
      <c r="B1946" s="2">
        <v>42240.160671296297</v>
      </c>
      <c r="C1946" s="2">
        <v>42240.195416666669</v>
      </c>
      <c r="D1946" t="s">
        <v>466</v>
      </c>
      <c r="E1946" t="s">
        <v>2176</v>
      </c>
      <c r="F1946" t="s">
        <v>2177</v>
      </c>
      <c r="G1946" t="s">
        <v>1093</v>
      </c>
      <c r="H1946" t="s">
        <v>1159</v>
      </c>
      <c r="I1946">
        <v>702927004</v>
      </c>
      <c r="J1946" t="s">
        <v>1160</v>
      </c>
      <c r="K1946">
        <v>142.58000000000001</v>
      </c>
      <c r="L1946">
        <v>872.3</v>
      </c>
      <c r="M1946">
        <v>822.3</v>
      </c>
      <c r="O1946" t="s">
        <v>34</v>
      </c>
    </row>
    <row r="1947" spans="1:15">
      <c r="A1947" t="s">
        <v>3342</v>
      </c>
      <c r="B1947" s="2">
        <v>42249.395243055558</v>
      </c>
      <c r="C1947" s="2">
        <v>42249.417523148149</v>
      </c>
      <c r="D1947" t="s">
        <v>466</v>
      </c>
      <c r="E1947" t="s">
        <v>1303</v>
      </c>
      <c r="F1947" t="s">
        <v>1304</v>
      </c>
      <c r="G1947" t="s">
        <v>1093</v>
      </c>
      <c r="H1947" t="s">
        <v>1031</v>
      </c>
      <c r="I1947">
        <v>185349003</v>
      </c>
      <c r="J1947" t="s">
        <v>1038</v>
      </c>
      <c r="K1947">
        <v>85.55</v>
      </c>
      <c r="L1947">
        <v>1638.59</v>
      </c>
      <c r="M1947">
        <v>1588.59</v>
      </c>
      <c r="N1947">
        <v>190905008</v>
      </c>
      <c r="O1947" t="s">
        <v>3202</v>
      </c>
    </row>
    <row r="1948" spans="1:15">
      <c r="A1948" t="s">
        <v>3343</v>
      </c>
      <c r="B1948" s="2">
        <v>42254.160671296297</v>
      </c>
      <c r="C1948" s="2">
        <v>42254.29247685185</v>
      </c>
      <c r="D1948" t="s">
        <v>466</v>
      </c>
      <c r="E1948" t="s">
        <v>1303</v>
      </c>
      <c r="F1948" t="s">
        <v>1304</v>
      </c>
      <c r="G1948" t="s">
        <v>1093</v>
      </c>
      <c r="H1948" t="s">
        <v>1031</v>
      </c>
      <c r="I1948">
        <v>185349003</v>
      </c>
      <c r="J1948" t="s">
        <v>1038</v>
      </c>
      <c r="K1948">
        <v>85.55</v>
      </c>
      <c r="L1948">
        <v>3536.75</v>
      </c>
      <c r="M1948">
        <v>3486.75</v>
      </c>
      <c r="N1948">
        <v>66383009</v>
      </c>
      <c r="O1948" t="s">
        <v>1209</v>
      </c>
    </row>
    <row r="1949" spans="1:15">
      <c r="A1949" t="s">
        <v>3344</v>
      </c>
      <c r="B1949" s="2">
        <v>42268.160671296297</v>
      </c>
      <c r="C1949" s="2">
        <v>42268.171087962961</v>
      </c>
      <c r="D1949" t="s">
        <v>466</v>
      </c>
      <c r="E1949" t="s">
        <v>1303</v>
      </c>
      <c r="F1949" t="s">
        <v>1304</v>
      </c>
      <c r="G1949" t="s">
        <v>1093</v>
      </c>
      <c r="H1949" t="s">
        <v>1031</v>
      </c>
      <c r="I1949">
        <v>169762003</v>
      </c>
      <c r="J1949" t="s">
        <v>1079</v>
      </c>
      <c r="K1949">
        <v>142.58000000000001</v>
      </c>
      <c r="L1949">
        <v>3612.9</v>
      </c>
      <c r="M1949">
        <v>3562.9</v>
      </c>
      <c r="O1949" t="s">
        <v>34</v>
      </c>
    </row>
    <row r="1950" spans="1:15">
      <c r="A1950" t="s">
        <v>3345</v>
      </c>
      <c r="B1950" s="2">
        <v>42291.160671296297</v>
      </c>
      <c r="C1950" s="2">
        <v>42291.171087962961</v>
      </c>
      <c r="D1950" t="s">
        <v>466</v>
      </c>
      <c r="E1950" t="s">
        <v>1303</v>
      </c>
      <c r="F1950" t="s">
        <v>1304</v>
      </c>
      <c r="G1950" t="s">
        <v>1974</v>
      </c>
      <c r="H1950" t="s">
        <v>1043</v>
      </c>
      <c r="I1950">
        <v>698314001</v>
      </c>
      <c r="J1950" t="s">
        <v>1190</v>
      </c>
      <c r="K1950">
        <v>142.58000000000001</v>
      </c>
      <c r="L1950">
        <v>142.58000000000001</v>
      </c>
      <c r="M1950">
        <v>107.58</v>
      </c>
      <c r="N1950">
        <v>389095005</v>
      </c>
      <c r="O1950" t="s">
        <v>1191</v>
      </c>
    </row>
    <row r="1951" spans="1:15">
      <c r="A1951" t="s">
        <v>3346</v>
      </c>
      <c r="B1951" s="2">
        <v>42308.405497685184</v>
      </c>
      <c r="C1951" s="2">
        <v>42308.436053240737</v>
      </c>
      <c r="D1951" t="s">
        <v>466</v>
      </c>
      <c r="E1951" t="s">
        <v>1303</v>
      </c>
      <c r="F1951" t="s">
        <v>1304</v>
      </c>
      <c r="G1951" t="s">
        <v>1974</v>
      </c>
      <c r="H1951" t="s">
        <v>1031</v>
      </c>
      <c r="I1951">
        <v>36228007</v>
      </c>
      <c r="J1951" t="s">
        <v>1705</v>
      </c>
      <c r="K1951">
        <v>142.58000000000001</v>
      </c>
      <c r="L1951">
        <v>2730.98</v>
      </c>
      <c r="M1951">
        <v>2695.98</v>
      </c>
      <c r="O1951" t="s">
        <v>34</v>
      </c>
    </row>
    <row r="1952" spans="1:15">
      <c r="A1952" t="s">
        <v>3347</v>
      </c>
      <c r="B1952" s="2">
        <v>42340.375856481478</v>
      </c>
      <c r="C1952" s="2">
        <v>42340.405775462961</v>
      </c>
      <c r="D1952" t="s">
        <v>466</v>
      </c>
      <c r="E1952" t="s">
        <v>1303</v>
      </c>
      <c r="F1952" t="s">
        <v>1304</v>
      </c>
      <c r="G1952" t="s">
        <v>1974</v>
      </c>
      <c r="H1952" t="s">
        <v>1031</v>
      </c>
      <c r="I1952">
        <v>185349003</v>
      </c>
      <c r="J1952" t="s">
        <v>1038</v>
      </c>
      <c r="K1952">
        <v>85.55</v>
      </c>
      <c r="L1952">
        <v>982.86</v>
      </c>
      <c r="M1952">
        <v>947.86</v>
      </c>
      <c r="N1952">
        <v>190905008</v>
      </c>
      <c r="O1952" t="s">
        <v>3202</v>
      </c>
    </row>
    <row r="1953" spans="1:15">
      <c r="A1953" t="s">
        <v>3348</v>
      </c>
      <c r="B1953" s="2">
        <v>42359.119004629632</v>
      </c>
      <c r="C1953" s="2">
        <v>42359.140856481485</v>
      </c>
      <c r="D1953" t="s">
        <v>466</v>
      </c>
      <c r="E1953" t="s">
        <v>1303</v>
      </c>
      <c r="F1953" t="s">
        <v>1304</v>
      </c>
      <c r="G1953" t="s">
        <v>1974</v>
      </c>
      <c r="H1953" t="s">
        <v>1043</v>
      </c>
      <c r="I1953">
        <v>185349003</v>
      </c>
      <c r="J1953" t="s">
        <v>1038</v>
      </c>
      <c r="K1953">
        <v>85.55</v>
      </c>
      <c r="L1953">
        <v>1814.07</v>
      </c>
      <c r="M1953">
        <v>1779.07</v>
      </c>
      <c r="O1953" t="s">
        <v>34</v>
      </c>
    </row>
    <row r="1954" spans="1:15">
      <c r="A1954" t="s">
        <v>3349</v>
      </c>
      <c r="B1954" s="2">
        <v>42387.119004629632</v>
      </c>
      <c r="C1954" s="2">
        <v>42387.159988425927</v>
      </c>
      <c r="D1954" t="s">
        <v>466</v>
      </c>
      <c r="E1954" t="s">
        <v>1303</v>
      </c>
      <c r="F1954" t="s">
        <v>1304</v>
      </c>
      <c r="G1954" t="s">
        <v>1974</v>
      </c>
      <c r="H1954" t="s">
        <v>1043</v>
      </c>
      <c r="I1954">
        <v>185349003</v>
      </c>
      <c r="J1954" t="s">
        <v>1038</v>
      </c>
      <c r="K1954">
        <v>85.55</v>
      </c>
      <c r="L1954">
        <v>889.85</v>
      </c>
      <c r="M1954">
        <v>854.85</v>
      </c>
      <c r="O1954" t="s">
        <v>34</v>
      </c>
    </row>
    <row r="1955" spans="1:15">
      <c r="A1955" t="s">
        <v>3350</v>
      </c>
      <c r="B1955" s="2">
        <v>42415.119004629632</v>
      </c>
      <c r="C1955" s="2">
        <v>42415.155659722222</v>
      </c>
      <c r="D1955" t="s">
        <v>466</v>
      </c>
      <c r="E1955" t="s">
        <v>3210</v>
      </c>
      <c r="F1955" t="s">
        <v>3211</v>
      </c>
      <c r="G1955" t="s">
        <v>1974</v>
      </c>
      <c r="H1955" t="s">
        <v>1020</v>
      </c>
      <c r="I1955">
        <v>162673000</v>
      </c>
      <c r="J1955" t="s">
        <v>1021</v>
      </c>
      <c r="K1955">
        <v>136.80000000000001</v>
      </c>
      <c r="L1955">
        <v>866.52</v>
      </c>
      <c r="M1955">
        <v>866.52</v>
      </c>
      <c r="O1955" t="s">
        <v>34</v>
      </c>
    </row>
    <row r="1956" spans="1:15">
      <c r="A1956" t="s">
        <v>3351</v>
      </c>
      <c r="B1956" s="2">
        <v>42431.405775462961</v>
      </c>
      <c r="C1956" s="2">
        <v>42431.439004629632</v>
      </c>
      <c r="D1956" t="s">
        <v>466</v>
      </c>
      <c r="E1956" t="s">
        <v>1303</v>
      </c>
      <c r="F1956" t="s">
        <v>1304</v>
      </c>
      <c r="G1956" t="s">
        <v>1974</v>
      </c>
      <c r="H1956" t="s">
        <v>1031</v>
      </c>
      <c r="I1956">
        <v>185349003</v>
      </c>
      <c r="J1956" t="s">
        <v>1038</v>
      </c>
      <c r="K1956">
        <v>85.55</v>
      </c>
      <c r="L1956">
        <v>1022.76</v>
      </c>
      <c r="M1956">
        <v>987.76</v>
      </c>
      <c r="N1956">
        <v>190905008</v>
      </c>
      <c r="O1956" t="s">
        <v>3202</v>
      </c>
    </row>
    <row r="1957" spans="1:15">
      <c r="A1957" t="s">
        <v>3352</v>
      </c>
      <c r="B1957" s="2">
        <v>42524.480671296296</v>
      </c>
      <c r="C1957" s="2">
        <v>42524.570462962962</v>
      </c>
      <c r="D1957" t="s">
        <v>466</v>
      </c>
      <c r="E1957" t="s">
        <v>3204</v>
      </c>
      <c r="F1957" t="s">
        <v>3205</v>
      </c>
      <c r="G1957" t="s">
        <v>1974</v>
      </c>
      <c r="H1957" t="s">
        <v>1076</v>
      </c>
      <c r="I1957">
        <v>50849002</v>
      </c>
      <c r="J1957" t="s">
        <v>1163</v>
      </c>
      <c r="K1957">
        <v>146.18</v>
      </c>
      <c r="L1957">
        <v>1008.98</v>
      </c>
      <c r="M1957">
        <v>973.98</v>
      </c>
      <c r="N1957">
        <v>448417001</v>
      </c>
      <c r="O1957" t="s">
        <v>3228</v>
      </c>
    </row>
    <row r="1958" spans="1:15">
      <c r="A1958" t="s">
        <v>3353</v>
      </c>
      <c r="B1958" s="2">
        <v>42534.160671296297</v>
      </c>
      <c r="C1958" s="2">
        <v>42534.171087962961</v>
      </c>
      <c r="D1958" t="s">
        <v>466</v>
      </c>
      <c r="E1958" t="s">
        <v>3210</v>
      </c>
      <c r="F1958" t="s">
        <v>3211</v>
      </c>
      <c r="G1958" t="s">
        <v>1974</v>
      </c>
      <c r="H1958" t="s">
        <v>1020</v>
      </c>
      <c r="I1958">
        <v>308646001</v>
      </c>
      <c r="J1958" t="s">
        <v>1708</v>
      </c>
      <c r="K1958">
        <v>136.80000000000001</v>
      </c>
      <c r="L1958">
        <v>211.38</v>
      </c>
      <c r="M1958">
        <v>211.38</v>
      </c>
      <c r="N1958">
        <v>448813005</v>
      </c>
      <c r="O1958" t="s">
        <v>3354</v>
      </c>
    </row>
    <row r="1959" spans="1:15">
      <c r="A1959" t="s">
        <v>3355</v>
      </c>
      <c r="B1959" s="2">
        <v>24867.228564814814</v>
      </c>
      <c r="C1959" s="2">
        <v>24867.238981481481</v>
      </c>
      <c r="D1959" t="s">
        <v>475</v>
      </c>
      <c r="E1959" t="s">
        <v>1276</v>
      </c>
      <c r="F1959" t="s">
        <v>1277</v>
      </c>
      <c r="G1959" t="s">
        <v>1019</v>
      </c>
      <c r="H1959" t="s">
        <v>1031</v>
      </c>
      <c r="I1959">
        <v>185345009</v>
      </c>
      <c r="J1959" t="s">
        <v>1032</v>
      </c>
      <c r="K1959">
        <v>85.55</v>
      </c>
      <c r="L1959">
        <v>92.93</v>
      </c>
      <c r="M1959">
        <v>0</v>
      </c>
      <c r="N1959">
        <v>75498004</v>
      </c>
      <c r="O1959" t="s">
        <v>1174</v>
      </c>
    </row>
    <row r="1960" spans="1:15">
      <c r="A1960" t="s">
        <v>3356</v>
      </c>
      <c r="B1960" s="2">
        <v>27212.811898148149</v>
      </c>
      <c r="C1960" s="2">
        <v>27212.822314814814</v>
      </c>
      <c r="D1960" t="s">
        <v>475</v>
      </c>
      <c r="E1960" t="s">
        <v>1850</v>
      </c>
      <c r="F1960" t="s">
        <v>1851</v>
      </c>
      <c r="G1960" t="s">
        <v>1019</v>
      </c>
      <c r="H1960" t="s">
        <v>1020</v>
      </c>
      <c r="I1960">
        <v>410620009</v>
      </c>
      <c r="J1960" t="s">
        <v>1054</v>
      </c>
      <c r="K1960">
        <v>136.80000000000001</v>
      </c>
      <c r="L1960">
        <v>704.2</v>
      </c>
      <c r="M1960">
        <v>0</v>
      </c>
      <c r="O1960" t="s">
        <v>34</v>
      </c>
    </row>
    <row r="1961" spans="1:15">
      <c r="A1961" t="s">
        <v>3357</v>
      </c>
      <c r="B1961" s="2">
        <v>29809.811898148149</v>
      </c>
      <c r="C1961" s="2">
        <v>29809.822314814814</v>
      </c>
      <c r="D1961" t="s">
        <v>475</v>
      </c>
      <c r="E1961" t="s">
        <v>1850</v>
      </c>
      <c r="F1961" t="s">
        <v>1851</v>
      </c>
      <c r="G1961" t="s">
        <v>1019</v>
      </c>
      <c r="H1961" t="s">
        <v>1020</v>
      </c>
      <c r="I1961">
        <v>410620009</v>
      </c>
      <c r="J1961" t="s">
        <v>1054</v>
      </c>
      <c r="K1961">
        <v>136.80000000000001</v>
      </c>
      <c r="L1961">
        <v>704.2</v>
      </c>
      <c r="M1961">
        <v>0</v>
      </c>
      <c r="O1961" t="s">
        <v>34</v>
      </c>
    </row>
    <row r="1962" spans="1:15">
      <c r="A1962" t="s">
        <v>3358</v>
      </c>
      <c r="B1962" s="2">
        <v>30180.811898148149</v>
      </c>
      <c r="C1962" s="2">
        <v>30180.837094907409</v>
      </c>
      <c r="D1962" t="s">
        <v>475</v>
      </c>
      <c r="E1962" t="s">
        <v>1850</v>
      </c>
      <c r="F1962" t="s">
        <v>1851</v>
      </c>
      <c r="G1962" t="s">
        <v>1019</v>
      </c>
      <c r="H1962" t="s">
        <v>1020</v>
      </c>
      <c r="I1962">
        <v>162673000</v>
      </c>
      <c r="J1962" t="s">
        <v>1021</v>
      </c>
      <c r="K1962">
        <v>136.80000000000001</v>
      </c>
      <c r="L1962">
        <v>919.9</v>
      </c>
      <c r="M1962">
        <v>0</v>
      </c>
      <c r="O1962" t="s">
        <v>34</v>
      </c>
    </row>
    <row r="1963" spans="1:15">
      <c r="A1963" t="s">
        <v>3359</v>
      </c>
      <c r="B1963" s="2">
        <v>36046.811898148146</v>
      </c>
      <c r="C1963" s="2">
        <v>36046.845648148148</v>
      </c>
      <c r="D1963" t="s">
        <v>475</v>
      </c>
      <c r="E1963" t="s">
        <v>1850</v>
      </c>
      <c r="F1963" t="s">
        <v>1851</v>
      </c>
      <c r="G1963" t="s">
        <v>1019</v>
      </c>
      <c r="H1963" t="s">
        <v>1020</v>
      </c>
      <c r="I1963">
        <v>162673000</v>
      </c>
      <c r="J1963" t="s">
        <v>1021</v>
      </c>
      <c r="K1963">
        <v>136.80000000000001</v>
      </c>
      <c r="L1963">
        <v>853.36</v>
      </c>
      <c r="M1963">
        <v>0</v>
      </c>
      <c r="O1963" t="s">
        <v>34</v>
      </c>
    </row>
    <row r="1964" spans="1:15">
      <c r="A1964" t="s">
        <v>3360</v>
      </c>
      <c r="B1964" s="2">
        <v>38167.811898148146</v>
      </c>
      <c r="C1964" s="2">
        <v>38167.839930555558</v>
      </c>
      <c r="D1964" t="s">
        <v>475</v>
      </c>
      <c r="E1964" t="s">
        <v>1850</v>
      </c>
      <c r="F1964" t="s">
        <v>1851</v>
      </c>
      <c r="G1964" t="s">
        <v>1019</v>
      </c>
      <c r="H1964" t="s">
        <v>1020</v>
      </c>
      <c r="I1964">
        <v>162673000</v>
      </c>
      <c r="J1964" t="s">
        <v>1021</v>
      </c>
      <c r="K1964">
        <v>136.80000000000001</v>
      </c>
      <c r="L1964">
        <v>914.78</v>
      </c>
      <c r="M1964">
        <v>0</v>
      </c>
      <c r="O1964" t="s">
        <v>34</v>
      </c>
    </row>
    <row r="1965" spans="1:15">
      <c r="A1965" t="s">
        <v>3361</v>
      </c>
      <c r="B1965" s="2">
        <v>38669.311898148146</v>
      </c>
      <c r="C1965" s="2">
        <v>38669.322314814817</v>
      </c>
      <c r="D1965" t="s">
        <v>475</v>
      </c>
      <c r="E1965" t="s">
        <v>1276</v>
      </c>
      <c r="F1965" t="s">
        <v>1277</v>
      </c>
      <c r="G1965" t="s">
        <v>1019</v>
      </c>
      <c r="H1965" t="s">
        <v>1031</v>
      </c>
      <c r="I1965">
        <v>185345009</v>
      </c>
      <c r="J1965" t="s">
        <v>1032</v>
      </c>
      <c r="K1965">
        <v>85.55</v>
      </c>
      <c r="L1965">
        <v>85.55</v>
      </c>
      <c r="M1965">
        <v>0</v>
      </c>
      <c r="N1965">
        <v>195662009</v>
      </c>
      <c r="O1965" t="s">
        <v>1130</v>
      </c>
    </row>
    <row r="1966" spans="1:15">
      <c r="A1966" t="s">
        <v>3362</v>
      </c>
      <c r="B1966" s="2">
        <v>38902.811898148146</v>
      </c>
      <c r="C1966" s="2">
        <v>38902.839467592596</v>
      </c>
      <c r="D1966" t="s">
        <v>475</v>
      </c>
      <c r="E1966" t="s">
        <v>1850</v>
      </c>
      <c r="F1966" t="s">
        <v>1851</v>
      </c>
      <c r="G1966" t="s">
        <v>1107</v>
      </c>
      <c r="H1966" t="s">
        <v>1020</v>
      </c>
      <c r="I1966">
        <v>162673000</v>
      </c>
      <c r="J1966" t="s">
        <v>1021</v>
      </c>
      <c r="K1966">
        <v>136.80000000000001</v>
      </c>
      <c r="L1966">
        <v>2062.7399999999998</v>
      </c>
      <c r="M1966">
        <v>0</v>
      </c>
      <c r="O1966" t="s">
        <v>34</v>
      </c>
    </row>
    <row r="1967" spans="1:15">
      <c r="A1967" t="s">
        <v>3363</v>
      </c>
      <c r="B1967" s="2">
        <v>38916.811898148146</v>
      </c>
      <c r="C1967" s="2">
        <v>38916.947638888887</v>
      </c>
      <c r="D1967" t="s">
        <v>475</v>
      </c>
      <c r="E1967" t="s">
        <v>1276</v>
      </c>
      <c r="F1967" t="s">
        <v>1277</v>
      </c>
      <c r="G1967" t="s">
        <v>1107</v>
      </c>
      <c r="H1967" t="s">
        <v>1031</v>
      </c>
      <c r="I1967">
        <v>185349003</v>
      </c>
      <c r="J1967" t="s">
        <v>1038</v>
      </c>
      <c r="K1967">
        <v>85.55</v>
      </c>
      <c r="L1967">
        <v>2673.95</v>
      </c>
      <c r="M1967">
        <v>165.68</v>
      </c>
      <c r="N1967">
        <v>66383009</v>
      </c>
      <c r="O1967" t="s">
        <v>1209</v>
      </c>
    </row>
    <row r="1968" spans="1:15">
      <c r="A1968" t="s">
        <v>3364</v>
      </c>
      <c r="B1968" s="2">
        <v>38923.811898148146</v>
      </c>
      <c r="C1968" s="2">
        <v>38923.822314814817</v>
      </c>
      <c r="D1968" t="s">
        <v>475</v>
      </c>
      <c r="E1968" t="s">
        <v>1276</v>
      </c>
      <c r="F1968" t="s">
        <v>1277</v>
      </c>
      <c r="G1968" t="s">
        <v>1107</v>
      </c>
      <c r="H1968" t="s">
        <v>1031</v>
      </c>
      <c r="I1968">
        <v>390906007</v>
      </c>
      <c r="J1968" t="s">
        <v>1255</v>
      </c>
      <c r="K1968">
        <v>85.55</v>
      </c>
      <c r="L1968">
        <v>85.55</v>
      </c>
      <c r="M1968">
        <v>59.88</v>
      </c>
      <c r="N1968">
        <v>55822004</v>
      </c>
      <c r="O1968" t="s">
        <v>2010</v>
      </c>
    </row>
    <row r="1969" spans="1:15">
      <c r="A1969" t="s">
        <v>3365</v>
      </c>
      <c r="B1969" s="2">
        <v>39027.728564814817</v>
      </c>
      <c r="C1969" s="2">
        <v>39027.738981481481</v>
      </c>
      <c r="D1969" t="s">
        <v>475</v>
      </c>
      <c r="E1969" t="s">
        <v>1276</v>
      </c>
      <c r="F1969" t="s">
        <v>1277</v>
      </c>
      <c r="G1969" t="s">
        <v>1107</v>
      </c>
      <c r="H1969" t="s">
        <v>1031</v>
      </c>
      <c r="I1969">
        <v>185345009</v>
      </c>
      <c r="J1969" t="s">
        <v>1032</v>
      </c>
      <c r="K1969">
        <v>85.55</v>
      </c>
      <c r="L1969">
        <v>85.55</v>
      </c>
      <c r="M1969">
        <v>59.88</v>
      </c>
      <c r="N1969">
        <v>10509002</v>
      </c>
      <c r="O1969" t="s">
        <v>1033</v>
      </c>
    </row>
    <row r="1970" spans="1:15">
      <c r="A1970" t="s">
        <v>3366</v>
      </c>
      <c r="B1970" s="2">
        <v>39035.770231481481</v>
      </c>
      <c r="C1970" s="2">
        <v>39035.804525462961</v>
      </c>
      <c r="D1970" t="s">
        <v>475</v>
      </c>
      <c r="E1970" t="s">
        <v>1276</v>
      </c>
      <c r="F1970" t="s">
        <v>1277</v>
      </c>
      <c r="G1970" t="s">
        <v>1107</v>
      </c>
      <c r="H1970" t="s">
        <v>1043</v>
      </c>
      <c r="I1970">
        <v>185349003</v>
      </c>
      <c r="J1970" t="s">
        <v>1038</v>
      </c>
      <c r="K1970">
        <v>85.55</v>
      </c>
      <c r="L1970">
        <v>652.95000000000005</v>
      </c>
      <c r="M1970">
        <v>457.06</v>
      </c>
      <c r="O1970" t="s">
        <v>34</v>
      </c>
    </row>
    <row r="1971" spans="1:15">
      <c r="A1971" t="s">
        <v>3367</v>
      </c>
      <c r="B1971" s="2">
        <v>39288.811898148146</v>
      </c>
      <c r="C1971" s="2">
        <v>39288.822314814817</v>
      </c>
      <c r="D1971" t="s">
        <v>475</v>
      </c>
      <c r="E1971" t="s">
        <v>1276</v>
      </c>
      <c r="F1971" t="s">
        <v>1277</v>
      </c>
      <c r="G1971" t="s">
        <v>1107</v>
      </c>
      <c r="H1971" t="s">
        <v>1031</v>
      </c>
      <c r="I1971">
        <v>390906007</v>
      </c>
      <c r="J1971" t="s">
        <v>1255</v>
      </c>
      <c r="K1971">
        <v>85.55</v>
      </c>
      <c r="L1971">
        <v>234.71</v>
      </c>
      <c r="M1971">
        <v>0</v>
      </c>
      <c r="N1971">
        <v>55822004</v>
      </c>
      <c r="O1971" t="s">
        <v>2010</v>
      </c>
    </row>
    <row r="1972" spans="1:15">
      <c r="A1972" t="s">
        <v>3368</v>
      </c>
      <c r="B1972" s="2">
        <v>39431.270231481481</v>
      </c>
      <c r="C1972" s="2">
        <v>39431.280648148146</v>
      </c>
      <c r="D1972" t="s">
        <v>475</v>
      </c>
      <c r="E1972" t="s">
        <v>1276</v>
      </c>
      <c r="F1972" t="s">
        <v>1277</v>
      </c>
      <c r="G1972" t="s">
        <v>1107</v>
      </c>
      <c r="H1972" t="s">
        <v>1031</v>
      </c>
      <c r="I1972">
        <v>185345009</v>
      </c>
      <c r="J1972" t="s">
        <v>1032</v>
      </c>
      <c r="K1972">
        <v>85.55</v>
      </c>
      <c r="L1972">
        <v>85.55</v>
      </c>
      <c r="M1972">
        <v>0</v>
      </c>
      <c r="N1972">
        <v>444814009</v>
      </c>
      <c r="O1972" t="s">
        <v>1035</v>
      </c>
    </row>
    <row r="1973" spans="1:15">
      <c r="A1973" t="s">
        <v>3369</v>
      </c>
      <c r="B1973" s="2">
        <v>39637.811898148146</v>
      </c>
      <c r="C1973" s="2">
        <v>39637.835162037038</v>
      </c>
      <c r="D1973" t="s">
        <v>475</v>
      </c>
      <c r="E1973" t="s">
        <v>1850</v>
      </c>
      <c r="F1973" t="s">
        <v>1851</v>
      </c>
      <c r="G1973" t="s">
        <v>1023</v>
      </c>
      <c r="H1973" t="s">
        <v>1020</v>
      </c>
      <c r="I1973">
        <v>162673000</v>
      </c>
      <c r="J1973" t="s">
        <v>1021</v>
      </c>
      <c r="K1973">
        <v>136.80000000000001</v>
      </c>
      <c r="L1973">
        <v>1567</v>
      </c>
      <c r="M1973">
        <v>88.9</v>
      </c>
      <c r="O1973" t="s">
        <v>34</v>
      </c>
    </row>
    <row r="1974" spans="1:15">
      <c r="A1974" t="s">
        <v>3370</v>
      </c>
      <c r="B1974" s="2">
        <v>39651.811898148146</v>
      </c>
      <c r="C1974" s="2">
        <v>39651.958472222221</v>
      </c>
      <c r="D1974" t="s">
        <v>475</v>
      </c>
      <c r="E1974" t="s">
        <v>1276</v>
      </c>
      <c r="F1974" t="s">
        <v>1277</v>
      </c>
      <c r="G1974" t="s">
        <v>1023</v>
      </c>
      <c r="H1974" t="s">
        <v>1031</v>
      </c>
      <c r="I1974">
        <v>185349003</v>
      </c>
      <c r="J1974" t="s">
        <v>1038</v>
      </c>
      <c r="K1974">
        <v>85.55</v>
      </c>
      <c r="L1974">
        <v>3105.35</v>
      </c>
      <c r="M1974">
        <v>2484.2800000000002</v>
      </c>
      <c r="N1974">
        <v>103697008</v>
      </c>
      <c r="O1974" t="s">
        <v>1039</v>
      </c>
    </row>
    <row r="1975" spans="1:15">
      <c r="A1975" t="s">
        <v>3371</v>
      </c>
      <c r="B1975" s="2">
        <v>39653.811898148146</v>
      </c>
      <c r="C1975" s="2">
        <v>39653.822314814817</v>
      </c>
      <c r="D1975" t="s">
        <v>475</v>
      </c>
      <c r="E1975" t="s">
        <v>1276</v>
      </c>
      <c r="F1975" t="s">
        <v>1277</v>
      </c>
      <c r="G1975" t="s">
        <v>1023</v>
      </c>
      <c r="H1975" t="s">
        <v>1031</v>
      </c>
      <c r="I1975">
        <v>390906007</v>
      </c>
      <c r="J1975" t="s">
        <v>1255</v>
      </c>
      <c r="K1975">
        <v>85.55</v>
      </c>
      <c r="L1975">
        <v>234.71</v>
      </c>
      <c r="M1975">
        <v>187.76</v>
      </c>
      <c r="N1975">
        <v>55822004</v>
      </c>
      <c r="O1975" t="s">
        <v>2010</v>
      </c>
    </row>
    <row r="1976" spans="1:15">
      <c r="A1976" t="s">
        <v>3372</v>
      </c>
      <c r="B1976" s="2">
        <v>39667.811898148146</v>
      </c>
      <c r="C1976" s="2">
        <v>39667.822314814817</v>
      </c>
      <c r="D1976" t="s">
        <v>475</v>
      </c>
      <c r="E1976" t="s">
        <v>1276</v>
      </c>
      <c r="F1976" t="s">
        <v>1277</v>
      </c>
      <c r="G1976" t="s">
        <v>1023</v>
      </c>
      <c r="H1976" t="s">
        <v>1031</v>
      </c>
      <c r="I1976">
        <v>390906007</v>
      </c>
      <c r="J1976" t="s">
        <v>1255</v>
      </c>
      <c r="K1976">
        <v>85.55</v>
      </c>
      <c r="L1976">
        <v>85.55</v>
      </c>
      <c r="M1976">
        <v>68.44</v>
      </c>
      <c r="N1976">
        <v>59621000</v>
      </c>
      <c r="O1976" t="s">
        <v>1461</v>
      </c>
    </row>
    <row r="1977" spans="1:15">
      <c r="A1977" t="s">
        <v>3373</v>
      </c>
      <c r="B1977" s="2">
        <v>39727.811898148146</v>
      </c>
      <c r="C1977" s="2">
        <v>39727.822314814817</v>
      </c>
      <c r="D1977" t="s">
        <v>475</v>
      </c>
      <c r="E1977" t="s">
        <v>1276</v>
      </c>
      <c r="F1977" t="s">
        <v>1277</v>
      </c>
      <c r="G1977" t="s">
        <v>1023</v>
      </c>
      <c r="H1977" t="s">
        <v>1031</v>
      </c>
      <c r="I1977">
        <v>390906007</v>
      </c>
      <c r="J1977" t="s">
        <v>1255</v>
      </c>
      <c r="K1977">
        <v>85.55</v>
      </c>
      <c r="L1977">
        <v>85.55</v>
      </c>
      <c r="M1977">
        <v>68.44</v>
      </c>
      <c r="N1977">
        <v>59621000</v>
      </c>
      <c r="O1977" t="s">
        <v>1461</v>
      </c>
    </row>
    <row r="1978" spans="1:15">
      <c r="A1978" t="s">
        <v>3374</v>
      </c>
      <c r="B1978" s="2">
        <v>39787.770231481481</v>
      </c>
      <c r="C1978" s="2">
        <v>39787.780648148146</v>
      </c>
      <c r="D1978" t="s">
        <v>475</v>
      </c>
      <c r="E1978" t="s">
        <v>1276</v>
      </c>
      <c r="F1978" t="s">
        <v>1277</v>
      </c>
      <c r="G1978" t="s">
        <v>1023</v>
      </c>
      <c r="H1978" t="s">
        <v>1031</v>
      </c>
      <c r="I1978">
        <v>390906007</v>
      </c>
      <c r="J1978" t="s">
        <v>1255</v>
      </c>
      <c r="K1978">
        <v>85.55</v>
      </c>
      <c r="L1978">
        <v>85.55</v>
      </c>
      <c r="M1978">
        <v>68.44</v>
      </c>
      <c r="N1978">
        <v>59621000</v>
      </c>
      <c r="O1978" t="s">
        <v>1461</v>
      </c>
    </row>
    <row r="1979" spans="1:15">
      <c r="A1979" t="s">
        <v>3375</v>
      </c>
      <c r="B1979" s="2">
        <v>40008.811898148146</v>
      </c>
      <c r="C1979" s="2">
        <v>40008.845127314817</v>
      </c>
      <c r="D1979" t="s">
        <v>475</v>
      </c>
      <c r="E1979" t="s">
        <v>1850</v>
      </c>
      <c r="F1979" t="s">
        <v>1851</v>
      </c>
      <c r="G1979" t="s">
        <v>1023</v>
      </c>
      <c r="H1979" t="s">
        <v>1020</v>
      </c>
      <c r="I1979">
        <v>162673000</v>
      </c>
      <c r="J1979" t="s">
        <v>1021</v>
      </c>
      <c r="K1979">
        <v>136.80000000000001</v>
      </c>
      <c r="L1979">
        <v>1069.06</v>
      </c>
      <c r="M1979">
        <v>0</v>
      </c>
      <c r="O1979" t="s">
        <v>34</v>
      </c>
    </row>
    <row r="1980" spans="1:15">
      <c r="A1980" t="s">
        <v>3376</v>
      </c>
      <c r="B1980" s="2">
        <v>40018.811898148146</v>
      </c>
      <c r="C1980" s="2">
        <v>40018.822314814817</v>
      </c>
      <c r="D1980" t="s">
        <v>475</v>
      </c>
      <c r="E1980" t="s">
        <v>1276</v>
      </c>
      <c r="F1980" t="s">
        <v>1277</v>
      </c>
      <c r="G1980" t="s">
        <v>1023</v>
      </c>
      <c r="H1980" t="s">
        <v>1031</v>
      </c>
      <c r="I1980">
        <v>390906007</v>
      </c>
      <c r="J1980" t="s">
        <v>1255</v>
      </c>
      <c r="K1980">
        <v>85.55</v>
      </c>
      <c r="L1980">
        <v>234.71</v>
      </c>
      <c r="M1980">
        <v>0</v>
      </c>
      <c r="N1980">
        <v>55822004</v>
      </c>
      <c r="O1980" t="s">
        <v>2010</v>
      </c>
    </row>
    <row r="1981" spans="1:15">
      <c r="A1981" t="s">
        <v>3377</v>
      </c>
      <c r="B1981" s="2">
        <v>40125.811898148146</v>
      </c>
      <c r="C1981" s="2">
        <v>40125.853564814817</v>
      </c>
      <c r="D1981" t="s">
        <v>475</v>
      </c>
      <c r="E1981" t="s">
        <v>1642</v>
      </c>
      <c r="F1981" t="s">
        <v>1643</v>
      </c>
      <c r="G1981" t="s">
        <v>1023</v>
      </c>
      <c r="H1981" t="s">
        <v>1076</v>
      </c>
      <c r="I1981">
        <v>50849002</v>
      </c>
      <c r="J1981" t="s">
        <v>1163</v>
      </c>
      <c r="K1981">
        <v>146.18</v>
      </c>
      <c r="L1981">
        <v>146.18</v>
      </c>
      <c r="M1981">
        <v>32.31</v>
      </c>
      <c r="N1981">
        <v>384709000</v>
      </c>
      <c r="O1981" t="s">
        <v>1164</v>
      </c>
    </row>
    <row r="1982" spans="1:15">
      <c r="A1982" t="s">
        <v>3378</v>
      </c>
      <c r="B1982" s="2">
        <v>40134.770231481481</v>
      </c>
      <c r="C1982" s="2">
        <v>40134.780648148146</v>
      </c>
      <c r="D1982" t="s">
        <v>475</v>
      </c>
      <c r="E1982" t="s">
        <v>1276</v>
      </c>
      <c r="F1982" t="s">
        <v>1277</v>
      </c>
      <c r="G1982" t="s">
        <v>1023</v>
      </c>
      <c r="H1982" t="s">
        <v>1043</v>
      </c>
      <c r="I1982">
        <v>185345009</v>
      </c>
      <c r="J1982" t="s">
        <v>1032</v>
      </c>
      <c r="K1982">
        <v>85.55</v>
      </c>
      <c r="L1982">
        <v>85.55</v>
      </c>
      <c r="M1982">
        <v>68.44</v>
      </c>
      <c r="N1982">
        <v>65363002</v>
      </c>
      <c r="O1982" t="s">
        <v>1335</v>
      </c>
    </row>
    <row r="1983" spans="1:15">
      <c r="A1983" t="s">
        <v>3379</v>
      </c>
      <c r="B1983" s="2">
        <v>40188.770231481481</v>
      </c>
      <c r="C1983" s="2">
        <v>40188.780648148146</v>
      </c>
      <c r="D1983" t="s">
        <v>475</v>
      </c>
      <c r="E1983" t="s">
        <v>1276</v>
      </c>
      <c r="F1983" t="s">
        <v>1277</v>
      </c>
      <c r="G1983" t="s">
        <v>1023</v>
      </c>
      <c r="H1983" t="s">
        <v>1043</v>
      </c>
      <c r="I1983">
        <v>698314001</v>
      </c>
      <c r="J1983" t="s">
        <v>1190</v>
      </c>
      <c r="K1983">
        <v>142.58000000000001</v>
      </c>
      <c r="L1983">
        <v>142.58000000000001</v>
      </c>
      <c r="M1983">
        <v>114.06</v>
      </c>
      <c r="N1983">
        <v>183996000</v>
      </c>
      <c r="O1983" t="s">
        <v>1622</v>
      </c>
    </row>
    <row r="1984" spans="1:15">
      <c r="A1984" t="s">
        <v>3380</v>
      </c>
      <c r="B1984" s="2">
        <v>40203.770231481481</v>
      </c>
      <c r="C1984" s="2">
        <v>40203.845925925925</v>
      </c>
      <c r="D1984" t="s">
        <v>475</v>
      </c>
      <c r="E1984" t="s">
        <v>1276</v>
      </c>
      <c r="F1984" t="s">
        <v>1277</v>
      </c>
      <c r="G1984" t="s">
        <v>1023</v>
      </c>
      <c r="H1984" t="s">
        <v>1043</v>
      </c>
      <c r="I1984">
        <v>308335008</v>
      </c>
      <c r="J1984" t="s">
        <v>1194</v>
      </c>
      <c r="K1984">
        <v>142.58000000000001</v>
      </c>
      <c r="L1984">
        <v>22810.18</v>
      </c>
      <c r="M1984">
        <v>18248.14</v>
      </c>
      <c r="N1984">
        <v>183996000</v>
      </c>
      <c r="O1984" t="s">
        <v>1622</v>
      </c>
    </row>
    <row r="1985" spans="1:15">
      <c r="A1985" t="s">
        <v>3381</v>
      </c>
      <c r="B1985" s="2">
        <v>40379.811898148146</v>
      </c>
      <c r="C1985" s="2">
        <v>40379.851701388892</v>
      </c>
      <c r="D1985" t="s">
        <v>475</v>
      </c>
      <c r="E1985" t="s">
        <v>1850</v>
      </c>
      <c r="F1985" t="s">
        <v>1851</v>
      </c>
      <c r="G1985" t="s">
        <v>1023</v>
      </c>
      <c r="H1985" t="s">
        <v>1020</v>
      </c>
      <c r="I1985">
        <v>162673000</v>
      </c>
      <c r="J1985" t="s">
        <v>1021</v>
      </c>
      <c r="K1985">
        <v>136.80000000000001</v>
      </c>
      <c r="L1985">
        <v>1090.6199999999999</v>
      </c>
      <c r="M1985">
        <v>0</v>
      </c>
      <c r="O1985" t="s">
        <v>34</v>
      </c>
    </row>
    <row r="1986" spans="1:15">
      <c r="A1986" t="s">
        <v>3382</v>
      </c>
      <c r="B1986" s="2">
        <v>40383.811898148146</v>
      </c>
      <c r="C1986" s="2">
        <v>40383.822314814817</v>
      </c>
      <c r="D1986" t="s">
        <v>475</v>
      </c>
      <c r="E1986" t="s">
        <v>1276</v>
      </c>
      <c r="F1986" t="s">
        <v>1277</v>
      </c>
      <c r="G1986" t="s">
        <v>1023</v>
      </c>
      <c r="H1986" t="s">
        <v>1031</v>
      </c>
      <c r="I1986">
        <v>390906007</v>
      </c>
      <c r="J1986" t="s">
        <v>1255</v>
      </c>
      <c r="K1986">
        <v>85.55</v>
      </c>
      <c r="L1986">
        <v>234.71</v>
      </c>
      <c r="M1986">
        <v>0</v>
      </c>
      <c r="N1986">
        <v>55822004</v>
      </c>
      <c r="O1986" t="s">
        <v>2010</v>
      </c>
    </row>
    <row r="1987" spans="1:15">
      <c r="A1987" t="s">
        <v>3383</v>
      </c>
      <c r="B1987" s="2">
        <v>40750.811898148146</v>
      </c>
      <c r="C1987" s="2">
        <v>40750.834999999999</v>
      </c>
      <c r="D1987" t="s">
        <v>475</v>
      </c>
      <c r="E1987" t="s">
        <v>1850</v>
      </c>
      <c r="F1987" t="s">
        <v>1851</v>
      </c>
      <c r="G1987" t="s">
        <v>1023</v>
      </c>
      <c r="H1987" t="s">
        <v>1020</v>
      </c>
      <c r="I1987">
        <v>162673000</v>
      </c>
      <c r="J1987" t="s">
        <v>1021</v>
      </c>
      <c r="K1987">
        <v>136.80000000000001</v>
      </c>
      <c r="L1987">
        <v>704.2</v>
      </c>
      <c r="M1987">
        <v>0</v>
      </c>
      <c r="O1987" t="s">
        <v>34</v>
      </c>
    </row>
    <row r="1988" spans="1:15">
      <c r="A1988" t="s">
        <v>3384</v>
      </c>
      <c r="B1988" s="2">
        <v>40757.811898148146</v>
      </c>
      <c r="C1988" s="2">
        <v>40757.822314814817</v>
      </c>
      <c r="D1988" t="s">
        <v>475</v>
      </c>
      <c r="E1988" t="s">
        <v>1276</v>
      </c>
      <c r="F1988" t="s">
        <v>1277</v>
      </c>
      <c r="G1988" t="s">
        <v>1023</v>
      </c>
      <c r="H1988" t="s">
        <v>1031</v>
      </c>
      <c r="I1988">
        <v>390906007</v>
      </c>
      <c r="J1988" t="s">
        <v>1255</v>
      </c>
      <c r="K1988">
        <v>85.55</v>
      </c>
      <c r="L1988">
        <v>234.71</v>
      </c>
      <c r="M1988">
        <v>0</v>
      </c>
      <c r="N1988">
        <v>55822004</v>
      </c>
      <c r="O1988" t="s">
        <v>2010</v>
      </c>
    </row>
    <row r="1989" spans="1:15">
      <c r="A1989" t="s">
        <v>3385</v>
      </c>
      <c r="B1989" s="2">
        <v>40764.811898148146</v>
      </c>
      <c r="C1989" s="2">
        <v>40764.943055555559</v>
      </c>
      <c r="D1989" t="s">
        <v>475</v>
      </c>
      <c r="E1989" t="s">
        <v>1276</v>
      </c>
      <c r="F1989" t="s">
        <v>1277</v>
      </c>
      <c r="G1989" t="s">
        <v>1023</v>
      </c>
      <c r="H1989" t="s">
        <v>1031</v>
      </c>
      <c r="I1989">
        <v>185349003</v>
      </c>
      <c r="J1989" t="s">
        <v>1038</v>
      </c>
      <c r="K1989">
        <v>85.55</v>
      </c>
      <c r="L1989">
        <v>3105.35</v>
      </c>
      <c r="M1989">
        <v>2071.0700000000002</v>
      </c>
      <c r="N1989">
        <v>103697008</v>
      </c>
      <c r="O1989" t="s">
        <v>1039</v>
      </c>
    </row>
    <row r="1990" spans="1:15">
      <c r="A1990" t="s">
        <v>3386</v>
      </c>
      <c r="B1990" s="2">
        <v>41121.811898148146</v>
      </c>
      <c r="C1990" s="2">
        <v>41121.848553240743</v>
      </c>
      <c r="D1990" t="s">
        <v>475</v>
      </c>
      <c r="E1990" t="s">
        <v>1850</v>
      </c>
      <c r="F1990" t="s">
        <v>1851</v>
      </c>
      <c r="G1990" t="s">
        <v>1023</v>
      </c>
      <c r="H1990" t="s">
        <v>1020</v>
      </c>
      <c r="I1990">
        <v>162673000</v>
      </c>
      <c r="J1990" t="s">
        <v>1021</v>
      </c>
      <c r="K1990">
        <v>136.80000000000001</v>
      </c>
      <c r="L1990">
        <v>1058</v>
      </c>
      <c r="M1990">
        <v>0</v>
      </c>
      <c r="O1990" t="s">
        <v>34</v>
      </c>
    </row>
    <row r="1991" spans="1:15">
      <c r="A1991" t="s">
        <v>3387</v>
      </c>
      <c r="B1991" s="2">
        <v>41122.811898148146</v>
      </c>
      <c r="C1991" s="2">
        <v>41122.822314814817</v>
      </c>
      <c r="D1991" t="s">
        <v>475</v>
      </c>
      <c r="E1991" t="s">
        <v>1276</v>
      </c>
      <c r="F1991" t="s">
        <v>1277</v>
      </c>
      <c r="G1991" t="s">
        <v>1023</v>
      </c>
      <c r="H1991" t="s">
        <v>1031</v>
      </c>
      <c r="I1991">
        <v>390906007</v>
      </c>
      <c r="J1991" t="s">
        <v>1255</v>
      </c>
      <c r="K1991">
        <v>85.55</v>
      </c>
      <c r="L1991">
        <v>234.71</v>
      </c>
      <c r="M1991">
        <v>0</v>
      </c>
      <c r="N1991">
        <v>55822004</v>
      </c>
      <c r="O1991" t="s">
        <v>2010</v>
      </c>
    </row>
    <row r="1992" spans="1:15">
      <c r="A1992" t="s">
        <v>3388</v>
      </c>
      <c r="B1992" s="2">
        <v>41469.895231481481</v>
      </c>
      <c r="C1992" s="2">
        <v>41469.905648148146</v>
      </c>
      <c r="D1992" t="s">
        <v>475</v>
      </c>
      <c r="E1992" t="s">
        <v>1276</v>
      </c>
      <c r="F1992" t="s">
        <v>1277</v>
      </c>
      <c r="G1992" t="s">
        <v>1023</v>
      </c>
      <c r="H1992" t="s">
        <v>1031</v>
      </c>
      <c r="I1992">
        <v>185345009</v>
      </c>
      <c r="J1992" t="s">
        <v>1032</v>
      </c>
      <c r="K1992">
        <v>85.55</v>
      </c>
      <c r="L1992">
        <v>85.55</v>
      </c>
      <c r="M1992">
        <v>0</v>
      </c>
      <c r="N1992">
        <v>10509002</v>
      </c>
      <c r="O1992" t="s">
        <v>1033</v>
      </c>
    </row>
    <row r="1993" spans="1:15">
      <c r="A1993" t="s">
        <v>3389</v>
      </c>
      <c r="B1993" s="2">
        <v>41478.811898148146</v>
      </c>
      <c r="C1993" s="2">
        <v>41478.843090277776</v>
      </c>
      <c r="D1993" t="s">
        <v>475</v>
      </c>
      <c r="E1993" t="s">
        <v>3390</v>
      </c>
      <c r="F1993" t="s">
        <v>3391</v>
      </c>
      <c r="G1993" t="s">
        <v>1023</v>
      </c>
      <c r="H1993" t="s">
        <v>1159</v>
      </c>
      <c r="I1993">
        <v>702927004</v>
      </c>
      <c r="J1993" t="s">
        <v>1160</v>
      </c>
      <c r="K1993">
        <v>142.58000000000001</v>
      </c>
      <c r="L1993">
        <v>709.98</v>
      </c>
      <c r="M1993">
        <v>0</v>
      </c>
      <c r="O1993" t="s">
        <v>34</v>
      </c>
    </row>
    <row r="1994" spans="1:15">
      <c r="A1994" t="s">
        <v>3392</v>
      </c>
      <c r="B1994" s="2">
        <v>41485.811898148146</v>
      </c>
      <c r="C1994" s="2">
        <v>41485.822314814817</v>
      </c>
      <c r="D1994" t="s">
        <v>475</v>
      </c>
      <c r="E1994" t="s">
        <v>1276</v>
      </c>
      <c r="F1994" t="s">
        <v>1277</v>
      </c>
      <c r="G1994" t="s">
        <v>1023</v>
      </c>
      <c r="H1994" t="s">
        <v>1043</v>
      </c>
      <c r="I1994">
        <v>185349003</v>
      </c>
      <c r="J1994" t="s">
        <v>1038</v>
      </c>
      <c r="K1994">
        <v>85.55</v>
      </c>
      <c r="L1994">
        <v>301.25</v>
      </c>
      <c r="M1994">
        <v>0</v>
      </c>
      <c r="O1994" t="s">
        <v>34</v>
      </c>
    </row>
    <row r="1995" spans="1:15">
      <c r="A1995" t="s">
        <v>3393</v>
      </c>
      <c r="B1995" s="2">
        <v>41492.811898148146</v>
      </c>
      <c r="C1995" s="2">
        <v>41492.843113425923</v>
      </c>
      <c r="D1995" t="s">
        <v>475</v>
      </c>
      <c r="E1995" t="s">
        <v>1850</v>
      </c>
      <c r="F1995" t="s">
        <v>1851</v>
      </c>
      <c r="G1995" t="s">
        <v>1023</v>
      </c>
      <c r="H1995" t="s">
        <v>1020</v>
      </c>
      <c r="I1995">
        <v>162673000</v>
      </c>
      <c r="J1995" t="s">
        <v>1021</v>
      </c>
      <c r="K1995">
        <v>136.80000000000001</v>
      </c>
      <c r="L1995">
        <v>1051.42</v>
      </c>
      <c r="M1995">
        <v>637.58000000000004</v>
      </c>
      <c r="O1995" t="s">
        <v>34</v>
      </c>
    </row>
    <row r="1996" spans="1:15">
      <c r="A1996" t="s">
        <v>3394</v>
      </c>
      <c r="B1996" s="2">
        <v>41499.811898148146</v>
      </c>
      <c r="C1996" s="2">
        <v>41499.932395833333</v>
      </c>
      <c r="D1996" t="s">
        <v>475</v>
      </c>
      <c r="E1996" t="s">
        <v>1276</v>
      </c>
      <c r="F1996" t="s">
        <v>1277</v>
      </c>
      <c r="G1996" t="s">
        <v>1023</v>
      </c>
      <c r="H1996" t="s">
        <v>1031</v>
      </c>
      <c r="I1996">
        <v>185349003</v>
      </c>
      <c r="J1996" t="s">
        <v>1038</v>
      </c>
      <c r="K1996">
        <v>85.55</v>
      </c>
      <c r="L1996">
        <v>2673.95</v>
      </c>
      <c r="M1996">
        <v>2139.16</v>
      </c>
      <c r="N1996">
        <v>103697008</v>
      </c>
      <c r="O1996" t="s">
        <v>1039</v>
      </c>
    </row>
    <row r="1997" spans="1:15">
      <c r="A1997" t="s">
        <v>3395</v>
      </c>
      <c r="B1997" s="2">
        <v>41506.811898148146</v>
      </c>
      <c r="C1997" s="2">
        <v>41506.822314814817</v>
      </c>
      <c r="D1997" t="s">
        <v>475</v>
      </c>
      <c r="E1997" t="s">
        <v>1276</v>
      </c>
      <c r="F1997" t="s">
        <v>1277</v>
      </c>
      <c r="G1997" t="s">
        <v>1023</v>
      </c>
      <c r="H1997" t="s">
        <v>1031</v>
      </c>
      <c r="I1997">
        <v>390906007</v>
      </c>
      <c r="J1997" t="s">
        <v>1255</v>
      </c>
      <c r="K1997">
        <v>85.55</v>
      </c>
      <c r="L1997">
        <v>234.71</v>
      </c>
      <c r="M1997">
        <v>187.76</v>
      </c>
      <c r="N1997">
        <v>55822004</v>
      </c>
      <c r="O1997" t="s">
        <v>2010</v>
      </c>
    </row>
    <row r="1998" spans="1:15">
      <c r="A1998" t="s">
        <v>3396</v>
      </c>
      <c r="B1998" s="2">
        <v>41814.811898148146</v>
      </c>
      <c r="C1998" s="2">
        <v>41814.843078703707</v>
      </c>
      <c r="D1998" t="s">
        <v>475</v>
      </c>
      <c r="E1998" t="s">
        <v>1276</v>
      </c>
      <c r="F1998" t="s">
        <v>1277</v>
      </c>
      <c r="G1998" t="s">
        <v>1023</v>
      </c>
      <c r="H1998" t="s">
        <v>1031</v>
      </c>
      <c r="I1998">
        <v>185349003</v>
      </c>
      <c r="J1998" t="s">
        <v>1038</v>
      </c>
      <c r="K1998">
        <v>85.55</v>
      </c>
      <c r="L1998">
        <v>17981.53</v>
      </c>
      <c r="M1998">
        <v>13218.82</v>
      </c>
      <c r="N1998">
        <v>275978004</v>
      </c>
      <c r="O1998" t="s">
        <v>1449</v>
      </c>
    </row>
    <row r="1999" spans="1:15">
      <c r="A1999" t="s">
        <v>3397</v>
      </c>
      <c r="B1999" s="2">
        <v>41863.811898148146</v>
      </c>
      <c r="C1999" s="2">
        <v>41863.837488425925</v>
      </c>
      <c r="D1999" t="s">
        <v>475</v>
      </c>
      <c r="E1999" t="s">
        <v>1850</v>
      </c>
      <c r="F1999" t="s">
        <v>1851</v>
      </c>
      <c r="G1999" t="s">
        <v>1023</v>
      </c>
      <c r="H1999" t="s">
        <v>1020</v>
      </c>
      <c r="I1999">
        <v>162673000</v>
      </c>
      <c r="J1999" t="s">
        <v>1021</v>
      </c>
      <c r="K1999">
        <v>136.80000000000001</v>
      </c>
      <c r="L1999">
        <v>914.78</v>
      </c>
      <c r="M1999">
        <v>731.82</v>
      </c>
      <c r="O1999" t="s">
        <v>34</v>
      </c>
    </row>
    <row r="2000" spans="1:15">
      <c r="A2000" t="s">
        <v>3398</v>
      </c>
      <c r="B2000" s="2">
        <v>41877.811898148146</v>
      </c>
      <c r="C2000" s="2">
        <v>41877.950486111113</v>
      </c>
      <c r="D2000" t="s">
        <v>475</v>
      </c>
      <c r="E2000" t="s">
        <v>1276</v>
      </c>
      <c r="F2000" t="s">
        <v>1277</v>
      </c>
      <c r="G2000" t="s">
        <v>1023</v>
      </c>
      <c r="H2000" t="s">
        <v>1031</v>
      </c>
      <c r="I2000">
        <v>185349003</v>
      </c>
      <c r="J2000" t="s">
        <v>1038</v>
      </c>
      <c r="K2000">
        <v>85.55</v>
      </c>
      <c r="L2000">
        <v>3105.35</v>
      </c>
      <c r="M2000">
        <v>2484.2800000000002</v>
      </c>
      <c r="N2000">
        <v>66383009</v>
      </c>
      <c r="O2000" t="s">
        <v>1209</v>
      </c>
    </row>
    <row r="2001" spans="1:15">
      <c r="A2001" t="s">
        <v>3399</v>
      </c>
      <c r="B2001" s="2">
        <v>41884.811898148146</v>
      </c>
      <c r="C2001" s="2">
        <v>41884.822314814817</v>
      </c>
      <c r="D2001" t="s">
        <v>475</v>
      </c>
      <c r="E2001" t="s">
        <v>1276</v>
      </c>
      <c r="F2001" t="s">
        <v>1277</v>
      </c>
      <c r="G2001" t="s">
        <v>1023</v>
      </c>
      <c r="H2001" t="s">
        <v>1031</v>
      </c>
      <c r="I2001">
        <v>390906007</v>
      </c>
      <c r="J2001" t="s">
        <v>1255</v>
      </c>
      <c r="K2001">
        <v>85.55</v>
      </c>
      <c r="L2001">
        <v>234.71</v>
      </c>
      <c r="M2001">
        <v>187.76</v>
      </c>
      <c r="N2001">
        <v>55822004</v>
      </c>
      <c r="O2001" t="s">
        <v>2010</v>
      </c>
    </row>
    <row r="2002" spans="1:15">
      <c r="A2002" t="s">
        <v>3400</v>
      </c>
      <c r="B2002" s="2">
        <v>42038.770231481481</v>
      </c>
      <c r="C2002" s="2">
        <v>42043.895231481481</v>
      </c>
      <c r="D2002" t="s">
        <v>475</v>
      </c>
      <c r="E2002" t="s">
        <v>1642</v>
      </c>
      <c r="F2002" t="s">
        <v>1643</v>
      </c>
      <c r="G2002" t="s">
        <v>1023</v>
      </c>
      <c r="H2002" t="s">
        <v>1076</v>
      </c>
      <c r="I2002">
        <v>185347001</v>
      </c>
      <c r="J2002" t="s">
        <v>1124</v>
      </c>
      <c r="K2002">
        <v>87.71</v>
      </c>
      <c r="L2002">
        <v>33650.17</v>
      </c>
      <c r="M2002">
        <v>26920.13</v>
      </c>
      <c r="N2002">
        <v>91302008</v>
      </c>
      <c r="O2002" t="s">
        <v>1951</v>
      </c>
    </row>
    <row r="2003" spans="1:15">
      <c r="A2003" t="s">
        <v>3401</v>
      </c>
      <c r="B2003" s="2">
        <v>22035.90960648148</v>
      </c>
      <c r="C2003" s="2">
        <v>22035.936203703703</v>
      </c>
      <c r="D2003" t="s">
        <v>482</v>
      </c>
      <c r="E2003" t="s">
        <v>3402</v>
      </c>
      <c r="F2003" t="s">
        <v>3403</v>
      </c>
      <c r="G2003" t="s">
        <v>1093</v>
      </c>
      <c r="H2003" t="s">
        <v>1043</v>
      </c>
      <c r="I2003">
        <v>185349003</v>
      </c>
      <c r="J2003" t="s">
        <v>1038</v>
      </c>
      <c r="K2003">
        <v>85.55</v>
      </c>
      <c r="L2003">
        <v>957.53</v>
      </c>
      <c r="M2003">
        <v>807.53</v>
      </c>
      <c r="O2003" t="s">
        <v>34</v>
      </c>
    </row>
    <row r="2004" spans="1:15">
      <c r="A2004" t="s">
        <v>3404</v>
      </c>
      <c r="B2004" s="2">
        <v>32255.90960648148</v>
      </c>
      <c r="C2004" s="2">
        <v>32255.931215277778</v>
      </c>
      <c r="D2004" t="s">
        <v>482</v>
      </c>
      <c r="E2004" t="s">
        <v>3405</v>
      </c>
      <c r="F2004" t="s">
        <v>3406</v>
      </c>
      <c r="G2004" t="s">
        <v>1093</v>
      </c>
      <c r="H2004" t="s">
        <v>1020</v>
      </c>
      <c r="I2004">
        <v>162673000</v>
      </c>
      <c r="J2004" t="s">
        <v>1021</v>
      </c>
      <c r="K2004">
        <v>136.80000000000001</v>
      </c>
      <c r="L2004">
        <v>1571.74</v>
      </c>
      <c r="M2004">
        <v>1421.74</v>
      </c>
      <c r="O2004" t="s">
        <v>34</v>
      </c>
    </row>
    <row r="2005" spans="1:15">
      <c r="A2005" t="s">
        <v>3407</v>
      </c>
      <c r="B2005" s="2">
        <v>35712.90960648148</v>
      </c>
      <c r="C2005" s="2">
        <v>35712.920023148145</v>
      </c>
      <c r="D2005" t="s">
        <v>482</v>
      </c>
      <c r="E2005" t="s">
        <v>3402</v>
      </c>
      <c r="F2005" t="s">
        <v>3403</v>
      </c>
      <c r="G2005" t="s">
        <v>1093</v>
      </c>
      <c r="H2005" t="s">
        <v>1031</v>
      </c>
      <c r="I2005">
        <v>185347001</v>
      </c>
      <c r="J2005" t="s">
        <v>1124</v>
      </c>
      <c r="K2005">
        <v>85.55</v>
      </c>
      <c r="L2005">
        <v>85.55</v>
      </c>
      <c r="M2005">
        <v>35.549999999999997</v>
      </c>
      <c r="N2005">
        <v>90560007</v>
      </c>
      <c r="O2005" t="s">
        <v>3408</v>
      </c>
    </row>
    <row r="2006" spans="1:15">
      <c r="A2006" t="s">
        <v>3409</v>
      </c>
      <c r="B2006" s="2">
        <v>35923.90960648148</v>
      </c>
      <c r="C2006" s="2">
        <v>35923.948599537034</v>
      </c>
      <c r="D2006" t="s">
        <v>482</v>
      </c>
      <c r="E2006" t="s">
        <v>3405</v>
      </c>
      <c r="F2006" t="s">
        <v>3406</v>
      </c>
      <c r="G2006" t="s">
        <v>1093</v>
      </c>
      <c r="H2006" t="s">
        <v>1020</v>
      </c>
      <c r="I2006">
        <v>162673000</v>
      </c>
      <c r="J2006" t="s">
        <v>1021</v>
      </c>
      <c r="K2006">
        <v>136.80000000000001</v>
      </c>
      <c r="L2006">
        <v>1236.28</v>
      </c>
      <c r="M2006">
        <v>1086.28</v>
      </c>
      <c r="O2006" t="s">
        <v>34</v>
      </c>
    </row>
    <row r="2007" spans="1:15">
      <c r="A2007" t="s">
        <v>3410</v>
      </c>
      <c r="B2007" s="2">
        <v>35930.90960648148</v>
      </c>
      <c r="C2007" s="2">
        <v>35930.951273148145</v>
      </c>
      <c r="D2007" t="s">
        <v>482</v>
      </c>
      <c r="E2007" t="s">
        <v>3411</v>
      </c>
      <c r="F2007" t="s">
        <v>3412</v>
      </c>
      <c r="G2007" t="s">
        <v>1093</v>
      </c>
      <c r="H2007" t="s">
        <v>1076</v>
      </c>
      <c r="I2007">
        <v>183452005</v>
      </c>
      <c r="J2007" t="s">
        <v>2003</v>
      </c>
      <c r="K2007">
        <v>87.71</v>
      </c>
      <c r="L2007">
        <v>87.71</v>
      </c>
      <c r="M2007">
        <v>37.71</v>
      </c>
      <c r="N2007">
        <v>82423001</v>
      </c>
      <c r="O2007" t="s">
        <v>1542</v>
      </c>
    </row>
    <row r="2008" spans="1:15">
      <c r="A2008" t="s">
        <v>3413</v>
      </c>
      <c r="B2008" s="2">
        <v>37407.90960648148</v>
      </c>
      <c r="C2008" s="2">
        <v>37407.945810185185</v>
      </c>
      <c r="D2008" t="s">
        <v>482</v>
      </c>
      <c r="E2008" t="s">
        <v>3405</v>
      </c>
      <c r="F2008" t="s">
        <v>3406</v>
      </c>
      <c r="G2008" t="s">
        <v>1093</v>
      </c>
      <c r="H2008" t="s">
        <v>1020</v>
      </c>
      <c r="I2008">
        <v>162673000</v>
      </c>
      <c r="J2008" t="s">
        <v>1021</v>
      </c>
      <c r="K2008">
        <v>136.80000000000001</v>
      </c>
      <c r="L2008">
        <v>5202.49</v>
      </c>
      <c r="M2008">
        <v>5052.49</v>
      </c>
      <c r="O2008" t="s">
        <v>34</v>
      </c>
    </row>
    <row r="2009" spans="1:15">
      <c r="A2009" t="s">
        <v>3414</v>
      </c>
      <c r="B2009" s="2">
        <v>42044.867939814816</v>
      </c>
      <c r="C2009" s="2">
        <v>42044.90960648148</v>
      </c>
      <c r="D2009" t="s">
        <v>482</v>
      </c>
      <c r="E2009" t="s">
        <v>1226</v>
      </c>
      <c r="F2009" t="s">
        <v>1227</v>
      </c>
      <c r="G2009" t="s">
        <v>1974</v>
      </c>
      <c r="H2009" t="s">
        <v>1076</v>
      </c>
      <c r="I2009">
        <v>50849002</v>
      </c>
      <c r="J2009" t="s">
        <v>1163</v>
      </c>
      <c r="K2009">
        <v>146.18</v>
      </c>
      <c r="L2009">
        <v>8283.7900000000009</v>
      </c>
      <c r="M2009">
        <v>8248.7900000000009</v>
      </c>
      <c r="N2009">
        <v>22298006</v>
      </c>
      <c r="O2009" t="s">
        <v>2648</v>
      </c>
    </row>
    <row r="2010" spans="1:15">
      <c r="A2010" t="s">
        <v>3415</v>
      </c>
      <c r="B2010" s="2">
        <v>42044.888067129628</v>
      </c>
      <c r="C2010" s="2">
        <v>42045.888067129628</v>
      </c>
      <c r="D2010" t="s">
        <v>482</v>
      </c>
      <c r="E2010" t="s">
        <v>1226</v>
      </c>
      <c r="F2010" t="s">
        <v>1227</v>
      </c>
      <c r="G2010" t="s">
        <v>1974</v>
      </c>
      <c r="H2010" t="s">
        <v>1431</v>
      </c>
      <c r="I2010">
        <v>32485007</v>
      </c>
      <c r="J2010" t="s">
        <v>1837</v>
      </c>
      <c r="K2010">
        <v>146.18</v>
      </c>
      <c r="L2010">
        <v>38096.089999999997</v>
      </c>
      <c r="M2010">
        <v>38061.089999999997</v>
      </c>
      <c r="N2010">
        <v>401303003</v>
      </c>
      <c r="O2010" t="s">
        <v>1709</v>
      </c>
    </row>
    <row r="2011" spans="1:15">
      <c r="A2011" t="s">
        <v>3416</v>
      </c>
      <c r="B2011" s="2">
        <v>42230.90960648148</v>
      </c>
      <c r="C2011" s="2">
        <v>42230.938819444447</v>
      </c>
      <c r="D2011" t="s">
        <v>482</v>
      </c>
      <c r="E2011" t="s">
        <v>3405</v>
      </c>
      <c r="F2011" t="s">
        <v>3406</v>
      </c>
      <c r="G2011" t="s">
        <v>1974</v>
      </c>
      <c r="H2011" t="s">
        <v>1020</v>
      </c>
      <c r="I2011">
        <v>162673000</v>
      </c>
      <c r="J2011" t="s">
        <v>1021</v>
      </c>
      <c r="K2011">
        <v>136.80000000000001</v>
      </c>
      <c r="L2011">
        <v>778.78</v>
      </c>
      <c r="M2011">
        <v>778.78</v>
      </c>
      <c r="O2011" t="s">
        <v>34</v>
      </c>
    </row>
    <row r="2012" spans="1:15">
      <c r="A2012" t="s">
        <v>3417</v>
      </c>
      <c r="B2012" s="2">
        <v>42601.90960648148</v>
      </c>
      <c r="C2012" s="2">
        <v>42601.935046296298</v>
      </c>
      <c r="D2012" t="s">
        <v>482</v>
      </c>
      <c r="E2012" t="s">
        <v>3405</v>
      </c>
      <c r="F2012" t="s">
        <v>3406</v>
      </c>
      <c r="G2012" t="s">
        <v>1974</v>
      </c>
      <c r="H2012" t="s">
        <v>1020</v>
      </c>
      <c r="I2012">
        <v>162673000</v>
      </c>
      <c r="J2012" t="s">
        <v>1021</v>
      </c>
      <c r="K2012">
        <v>136.80000000000001</v>
      </c>
      <c r="L2012">
        <v>919.9</v>
      </c>
      <c r="M2012">
        <v>919.9</v>
      </c>
      <c r="O2012" t="s">
        <v>34</v>
      </c>
    </row>
    <row r="2013" spans="1:15">
      <c r="A2013" t="s">
        <v>3418</v>
      </c>
      <c r="B2013" s="2">
        <v>42608.90960648148</v>
      </c>
      <c r="C2013" s="2">
        <v>42608.937534722223</v>
      </c>
      <c r="D2013" t="s">
        <v>482</v>
      </c>
      <c r="E2013" t="s">
        <v>1226</v>
      </c>
      <c r="F2013" t="s">
        <v>1227</v>
      </c>
      <c r="G2013" t="s">
        <v>1974</v>
      </c>
      <c r="H2013" t="s">
        <v>1031</v>
      </c>
      <c r="I2013">
        <v>185347001</v>
      </c>
      <c r="J2013" t="s">
        <v>1124</v>
      </c>
      <c r="K2013">
        <v>85.55</v>
      </c>
      <c r="L2013">
        <v>516.95000000000005</v>
      </c>
      <c r="M2013">
        <v>481.95</v>
      </c>
      <c r="N2013">
        <v>414545008</v>
      </c>
      <c r="O2013" t="s">
        <v>1228</v>
      </c>
    </row>
    <row r="2014" spans="1:15">
      <c r="A2014" t="s">
        <v>3419</v>
      </c>
      <c r="B2014" s="2">
        <v>42610.062534722223</v>
      </c>
      <c r="C2014" s="2">
        <v>42610.294351851851</v>
      </c>
      <c r="D2014" t="s">
        <v>482</v>
      </c>
      <c r="E2014" t="s">
        <v>1226</v>
      </c>
      <c r="F2014" t="s">
        <v>1227</v>
      </c>
      <c r="G2014" t="s">
        <v>1974</v>
      </c>
      <c r="H2014" t="s">
        <v>1031</v>
      </c>
      <c r="I2014">
        <v>185347001</v>
      </c>
      <c r="J2014" t="s">
        <v>1124</v>
      </c>
      <c r="K2014">
        <v>85.55</v>
      </c>
      <c r="L2014">
        <v>1444.46</v>
      </c>
      <c r="M2014">
        <v>1409.46</v>
      </c>
      <c r="N2014">
        <v>414545008</v>
      </c>
      <c r="O2014" t="s">
        <v>1228</v>
      </c>
    </row>
    <row r="2015" spans="1:15">
      <c r="A2015" t="s">
        <v>3420</v>
      </c>
      <c r="B2015" s="2">
        <v>42622.90960648148</v>
      </c>
      <c r="C2015" s="2">
        <v>42623.062534722223</v>
      </c>
      <c r="D2015" t="s">
        <v>482</v>
      </c>
      <c r="E2015" t="s">
        <v>3402</v>
      </c>
      <c r="F2015" t="s">
        <v>3403</v>
      </c>
      <c r="G2015" t="s">
        <v>1974</v>
      </c>
      <c r="H2015" t="s">
        <v>1031</v>
      </c>
      <c r="I2015">
        <v>185349003</v>
      </c>
      <c r="J2015" t="s">
        <v>1038</v>
      </c>
      <c r="K2015">
        <v>85.55</v>
      </c>
      <c r="L2015">
        <v>3536.75</v>
      </c>
      <c r="M2015">
        <v>3501.75</v>
      </c>
      <c r="N2015">
        <v>103697008</v>
      </c>
      <c r="O2015" t="s">
        <v>1039</v>
      </c>
    </row>
    <row r="2016" spans="1:15">
      <c r="A2016" t="s">
        <v>3421</v>
      </c>
      <c r="B2016" s="2">
        <v>42629.90960648148</v>
      </c>
      <c r="C2016" s="2">
        <v>42629.941724537035</v>
      </c>
      <c r="D2016" t="s">
        <v>482</v>
      </c>
      <c r="E2016" t="s">
        <v>1226</v>
      </c>
      <c r="F2016" t="s">
        <v>1227</v>
      </c>
      <c r="G2016" t="s">
        <v>1974</v>
      </c>
      <c r="H2016" t="s">
        <v>1031</v>
      </c>
      <c r="I2016">
        <v>185347001</v>
      </c>
      <c r="J2016" t="s">
        <v>1124</v>
      </c>
      <c r="K2016">
        <v>85.55</v>
      </c>
      <c r="L2016">
        <v>24346.32</v>
      </c>
      <c r="M2016">
        <v>24311.32</v>
      </c>
      <c r="N2016">
        <v>414545008</v>
      </c>
      <c r="O2016" t="s">
        <v>1228</v>
      </c>
    </row>
    <row r="2017" spans="1:15">
      <c r="A2017" t="s">
        <v>3422</v>
      </c>
      <c r="B2017" s="2">
        <v>42643.90960648148</v>
      </c>
      <c r="C2017" s="2">
        <v>42643.934548611112</v>
      </c>
      <c r="D2017" t="s">
        <v>482</v>
      </c>
      <c r="E2017" t="s">
        <v>3402</v>
      </c>
      <c r="F2017" t="s">
        <v>3403</v>
      </c>
      <c r="G2017" t="s">
        <v>1974</v>
      </c>
      <c r="H2017" t="s">
        <v>1043</v>
      </c>
      <c r="I2017">
        <v>185349003</v>
      </c>
      <c r="J2017" t="s">
        <v>1038</v>
      </c>
      <c r="K2017">
        <v>85.55</v>
      </c>
      <c r="L2017">
        <v>732.65</v>
      </c>
      <c r="M2017">
        <v>697.65</v>
      </c>
      <c r="O2017" t="s">
        <v>34</v>
      </c>
    </row>
    <row r="2018" spans="1:15">
      <c r="A2018" t="s">
        <v>3423</v>
      </c>
      <c r="B2018" s="2">
        <v>42650.90960648148</v>
      </c>
      <c r="C2018" s="2">
        <v>42650.920023148145</v>
      </c>
      <c r="D2018" t="s">
        <v>482</v>
      </c>
      <c r="E2018" t="s">
        <v>3402</v>
      </c>
      <c r="F2018" t="s">
        <v>3403</v>
      </c>
      <c r="G2018" t="s">
        <v>1974</v>
      </c>
      <c r="H2018" t="s">
        <v>1031</v>
      </c>
      <c r="I2018">
        <v>185345009</v>
      </c>
      <c r="J2018" t="s">
        <v>1032</v>
      </c>
      <c r="K2018">
        <v>85.55</v>
      </c>
      <c r="L2018">
        <v>85.55</v>
      </c>
      <c r="M2018">
        <v>50.55</v>
      </c>
      <c r="N2018">
        <v>195662009</v>
      </c>
      <c r="O2018" t="s">
        <v>1130</v>
      </c>
    </row>
    <row r="2019" spans="1:15">
      <c r="A2019" t="s">
        <v>3424</v>
      </c>
      <c r="B2019" s="2">
        <v>42972.90960648148</v>
      </c>
      <c r="C2019" s="2">
        <v>42972.93378472222</v>
      </c>
      <c r="D2019" t="s">
        <v>482</v>
      </c>
      <c r="E2019" t="s">
        <v>3405</v>
      </c>
      <c r="F2019" t="s">
        <v>3406</v>
      </c>
      <c r="G2019" t="s">
        <v>1974</v>
      </c>
      <c r="H2019" t="s">
        <v>1020</v>
      </c>
      <c r="I2019">
        <v>162673000</v>
      </c>
      <c r="J2019" t="s">
        <v>1021</v>
      </c>
      <c r="K2019">
        <v>136.80000000000001</v>
      </c>
      <c r="L2019">
        <v>704.2</v>
      </c>
      <c r="M2019">
        <v>704.2</v>
      </c>
      <c r="O2019" t="s">
        <v>34</v>
      </c>
    </row>
    <row r="2020" spans="1:15">
      <c r="A2020" t="s">
        <v>3425</v>
      </c>
      <c r="B2020" s="2">
        <v>43343.90960648148</v>
      </c>
      <c r="C2020" s="2">
        <v>43343.932199074072</v>
      </c>
      <c r="D2020" t="s">
        <v>482</v>
      </c>
      <c r="E2020" t="s">
        <v>3405</v>
      </c>
      <c r="F2020" t="s">
        <v>3406</v>
      </c>
      <c r="G2020" t="s">
        <v>1093</v>
      </c>
      <c r="H2020" t="s">
        <v>1020</v>
      </c>
      <c r="I2020">
        <v>162673000</v>
      </c>
      <c r="J2020" t="s">
        <v>1021</v>
      </c>
      <c r="K2020">
        <v>136.80000000000001</v>
      </c>
      <c r="L2020">
        <v>1589.53</v>
      </c>
      <c r="M2020">
        <v>1489.53</v>
      </c>
      <c r="O2020" t="s">
        <v>34</v>
      </c>
    </row>
    <row r="2021" spans="1:15">
      <c r="A2021" t="s">
        <v>3426</v>
      </c>
      <c r="B2021" s="2">
        <v>43357.90960648148</v>
      </c>
      <c r="C2021" s="2">
        <v>43358.069710648146</v>
      </c>
      <c r="D2021" t="s">
        <v>482</v>
      </c>
      <c r="E2021" t="s">
        <v>3402</v>
      </c>
      <c r="F2021" t="s">
        <v>3403</v>
      </c>
      <c r="G2021" t="s">
        <v>1093</v>
      </c>
      <c r="H2021" t="s">
        <v>1031</v>
      </c>
      <c r="I2021">
        <v>185349003</v>
      </c>
      <c r="J2021" t="s">
        <v>1038</v>
      </c>
      <c r="K2021">
        <v>85.55</v>
      </c>
      <c r="L2021">
        <v>3105.35</v>
      </c>
      <c r="M2021">
        <v>3055.35</v>
      </c>
      <c r="N2021">
        <v>103697008</v>
      </c>
      <c r="O2021" t="s">
        <v>1039</v>
      </c>
    </row>
    <row r="2022" spans="1:15">
      <c r="A2022" t="s">
        <v>3427</v>
      </c>
      <c r="B2022" s="2">
        <v>43714.90960648148</v>
      </c>
      <c r="C2022" s="2">
        <v>43714.950949074075</v>
      </c>
      <c r="D2022" t="s">
        <v>482</v>
      </c>
      <c r="E2022" t="s">
        <v>3405</v>
      </c>
      <c r="F2022" t="s">
        <v>3406</v>
      </c>
      <c r="G2022" t="s">
        <v>1122</v>
      </c>
      <c r="H2022" t="s">
        <v>1020</v>
      </c>
      <c r="I2022">
        <v>162673000</v>
      </c>
      <c r="J2022" t="s">
        <v>1021</v>
      </c>
      <c r="K2022">
        <v>136.80000000000001</v>
      </c>
      <c r="L2022">
        <v>1465.64</v>
      </c>
      <c r="M2022">
        <v>987.28</v>
      </c>
      <c r="O2022" t="s">
        <v>34</v>
      </c>
    </row>
    <row r="2023" spans="1:15">
      <c r="A2023" t="s">
        <v>3428</v>
      </c>
      <c r="B2023" s="2">
        <v>43952.90960648148</v>
      </c>
      <c r="C2023" s="2">
        <v>43952.920023148145</v>
      </c>
      <c r="D2023" t="s">
        <v>482</v>
      </c>
      <c r="E2023" t="s">
        <v>2236</v>
      </c>
      <c r="F2023" t="s">
        <v>2237</v>
      </c>
      <c r="G2023" t="s">
        <v>1974</v>
      </c>
      <c r="H2023" t="s">
        <v>1159</v>
      </c>
      <c r="I2023">
        <v>308335008</v>
      </c>
      <c r="J2023" t="s">
        <v>1194</v>
      </c>
      <c r="K2023">
        <v>142.58000000000001</v>
      </c>
      <c r="L2023">
        <v>573.98</v>
      </c>
      <c r="M2023">
        <v>538.98</v>
      </c>
      <c r="N2023">
        <v>1871000124103</v>
      </c>
      <c r="O2023" t="s">
        <v>2839</v>
      </c>
    </row>
    <row r="2024" spans="1:15">
      <c r="A2024" t="s">
        <v>3429</v>
      </c>
      <c r="B2024" s="2">
        <v>43953.886689814812</v>
      </c>
      <c r="C2024" s="2">
        <v>43953.897106481483</v>
      </c>
      <c r="D2024" t="s">
        <v>482</v>
      </c>
      <c r="E2024" t="s">
        <v>3430</v>
      </c>
      <c r="F2024" t="s">
        <v>3431</v>
      </c>
      <c r="G2024" t="s">
        <v>1974</v>
      </c>
      <c r="H2024" t="s">
        <v>2843</v>
      </c>
      <c r="I2024">
        <v>439708006</v>
      </c>
      <c r="J2024" t="s">
        <v>2844</v>
      </c>
      <c r="K2024">
        <v>128.53</v>
      </c>
      <c r="L2024">
        <v>1854.13</v>
      </c>
      <c r="M2024">
        <v>1819.13</v>
      </c>
      <c r="N2024">
        <v>1871000124103</v>
      </c>
      <c r="O2024" t="s">
        <v>2839</v>
      </c>
    </row>
    <row r="2025" spans="1:15">
      <c r="A2025" t="s">
        <v>3432</v>
      </c>
      <c r="B2025" s="2">
        <v>43954.886689814812</v>
      </c>
      <c r="C2025" s="2">
        <v>43954.897106481483</v>
      </c>
      <c r="D2025" t="s">
        <v>482</v>
      </c>
      <c r="E2025" t="s">
        <v>3430</v>
      </c>
      <c r="F2025" t="s">
        <v>3431</v>
      </c>
      <c r="G2025" t="s">
        <v>1974</v>
      </c>
      <c r="H2025" t="s">
        <v>2843</v>
      </c>
      <c r="I2025">
        <v>439708006</v>
      </c>
      <c r="J2025" t="s">
        <v>2844</v>
      </c>
      <c r="K2025">
        <v>128.53</v>
      </c>
      <c r="L2025">
        <v>559.92999999999995</v>
      </c>
      <c r="M2025">
        <v>524.92999999999995</v>
      </c>
      <c r="N2025">
        <v>1871000124103</v>
      </c>
      <c r="O2025" t="s">
        <v>2839</v>
      </c>
    </row>
    <row r="2026" spans="1:15">
      <c r="A2026" t="s">
        <v>3433</v>
      </c>
      <c r="B2026" s="2">
        <v>43955.886689814812</v>
      </c>
      <c r="C2026" s="2">
        <v>43955.897106481483</v>
      </c>
      <c r="D2026" t="s">
        <v>482</v>
      </c>
      <c r="E2026" t="s">
        <v>3430</v>
      </c>
      <c r="F2026" t="s">
        <v>3431</v>
      </c>
      <c r="G2026" t="s">
        <v>1974</v>
      </c>
      <c r="H2026" t="s">
        <v>2843</v>
      </c>
      <c r="I2026">
        <v>439708006</v>
      </c>
      <c r="J2026" t="s">
        <v>2844</v>
      </c>
      <c r="K2026">
        <v>128.53</v>
      </c>
      <c r="L2026">
        <v>559.92999999999995</v>
      </c>
      <c r="M2026">
        <v>524.92999999999995</v>
      </c>
      <c r="N2026">
        <v>1871000124103</v>
      </c>
      <c r="O2026" t="s">
        <v>2839</v>
      </c>
    </row>
    <row r="2027" spans="1:15">
      <c r="A2027" t="s">
        <v>3434</v>
      </c>
      <c r="B2027" s="2">
        <v>43956.886689814812</v>
      </c>
      <c r="C2027" s="2">
        <v>43956.897106481483</v>
      </c>
      <c r="D2027" t="s">
        <v>482</v>
      </c>
      <c r="E2027" t="s">
        <v>3430</v>
      </c>
      <c r="F2027" t="s">
        <v>3431</v>
      </c>
      <c r="G2027" t="s">
        <v>1974</v>
      </c>
      <c r="H2027" t="s">
        <v>2843</v>
      </c>
      <c r="I2027">
        <v>439708006</v>
      </c>
      <c r="J2027" t="s">
        <v>2844</v>
      </c>
      <c r="K2027">
        <v>128.53</v>
      </c>
      <c r="L2027">
        <v>559.92999999999995</v>
      </c>
      <c r="M2027">
        <v>524.92999999999995</v>
      </c>
      <c r="N2027">
        <v>1871000124103</v>
      </c>
      <c r="O2027" t="s">
        <v>2839</v>
      </c>
    </row>
    <row r="2028" spans="1:15">
      <c r="A2028" t="s">
        <v>3435</v>
      </c>
      <c r="B2028" s="2">
        <v>43957.886689814812</v>
      </c>
      <c r="C2028" s="2">
        <v>43957.897106481483</v>
      </c>
      <c r="D2028" t="s">
        <v>482</v>
      </c>
      <c r="E2028" t="s">
        <v>3430</v>
      </c>
      <c r="F2028" t="s">
        <v>3431</v>
      </c>
      <c r="G2028" t="s">
        <v>1974</v>
      </c>
      <c r="H2028" t="s">
        <v>2843</v>
      </c>
      <c r="I2028">
        <v>439708006</v>
      </c>
      <c r="J2028" t="s">
        <v>2844</v>
      </c>
      <c r="K2028">
        <v>128.53</v>
      </c>
      <c r="L2028">
        <v>559.92999999999995</v>
      </c>
      <c r="M2028">
        <v>524.92999999999995</v>
      </c>
      <c r="N2028">
        <v>1871000124103</v>
      </c>
      <c r="O2028" t="s">
        <v>2839</v>
      </c>
    </row>
    <row r="2029" spans="1:15">
      <c r="A2029" t="s">
        <v>3436</v>
      </c>
      <c r="B2029" s="2">
        <v>43958.886689814812</v>
      </c>
      <c r="C2029" s="2">
        <v>43958.897106481483</v>
      </c>
      <c r="D2029" t="s">
        <v>482</v>
      </c>
      <c r="E2029" t="s">
        <v>3430</v>
      </c>
      <c r="F2029" t="s">
        <v>3431</v>
      </c>
      <c r="G2029" t="s">
        <v>1974</v>
      </c>
      <c r="H2029" t="s">
        <v>2843</v>
      </c>
      <c r="I2029">
        <v>439708006</v>
      </c>
      <c r="J2029" t="s">
        <v>2844</v>
      </c>
      <c r="K2029">
        <v>128.53</v>
      </c>
      <c r="L2029">
        <v>559.92999999999995</v>
      </c>
      <c r="M2029">
        <v>524.92999999999995</v>
      </c>
      <c r="N2029">
        <v>1871000124103</v>
      </c>
      <c r="O2029" t="s">
        <v>2839</v>
      </c>
    </row>
    <row r="2030" spans="1:15">
      <c r="A2030" t="s">
        <v>3437</v>
      </c>
      <c r="B2030" s="2">
        <v>43959.886689814812</v>
      </c>
      <c r="C2030" s="2">
        <v>43959.897106481483</v>
      </c>
      <c r="D2030" t="s">
        <v>482</v>
      </c>
      <c r="E2030" t="s">
        <v>3430</v>
      </c>
      <c r="F2030" t="s">
        <v>3431</v>
      </c>
      <c r="G2030" t="s">
        <v>1974</v>
      </c>
      <c r="H2030" t="s">
        <v>2843</v>
      </c>
      <c r="I2030">
        <v>439708006</v>
      </c>
      <c r="J2030" t="s">
        <v>2844</v>
      </c>
      <c r="K2030">
        <v>128.53</v>
      </c>
      <c r="L2030">
        <v>559.92999999999995</v>
      </c>
      <c r="M2030">
        <v>524.92999999999995</v>
      </c>
      <c r="N2030">
        <v>1871000124103</v>
      </c>
      <c r="O2030" t="s">
        <v>2839</v>
      </c>
    </row>
    <row r="2031" spans="1:15">
      <c r="A2031" t="s">
        <v>3438</v>
      </c>
      <c r="B2031" s="2">
        <v>43960.886689814812</v>
      </c>
      <c r="C2031" s="2">
        <v>43960.897106481483</v>
      </c>
      <c r="D2031" t="s">
        <v>482</v>
      </c>
      <c r="E2031" t="s">
        <v>3430</v>
      </c>
      <c r="F2031" t="s">
        <v>3431</v>
      </c>
      <c r="G2031" t="s">
        <v>1974</v>
      </c>
      <c r="H2031" t="s">
        <v>2843</v>
      </c>
      <c r="I2031">
        <v>439708006</v>
      </c>
      <c r="J2031" t="s">
        <v>2844</v>
      </c>
      <c r="K2031">
        <v>128.53</v>
      </c>
      <c r="L2031">
        <v>559.92999999999995</v>
      </c>
      <c r="M2031">
        <v>524.92999999999995</v>
      </c>
      <c r="N2031">
        <v>1871000124103</v>
      </c>
      <c r="O2031" t="s">
        <v>2839</v>
      </c>
    </row>
    <row r="2032" spans="1:15">
      <c r="A2032" t="s">
        <v>3439</v>
      </c>
      <c r="B2032" s="2">
        <v>43961.886689814812</v>
      </c>
      <c r="C2032" s="2">
        <v>43961.897106481483</v>
      </c>
      <c r="D2032" t="s">
        <v>482</v>
      </c>
      <c r="E2032" t="s">
        <v>3430</v>
      </c>
      <c r="F2032" t="s">
        <v>3431</v>
      </c>
      <c r="G2032" t="s">
        <v>1974</v>
      </c>
      <c r="H2032" t="s">
        <v>2843</v>
      </c>
      <c r="I2032">
        <v>439708006</v>
      </c>
      <c r="J2032" t="s">
        <v>2844</v>
      </c>
      <c r="K2032">
        <v>128.53</v>
      </c>
      <c r="L2032">
        <v>559.92999999999995</v>
      </c>
      <c r="M2032">
        <v>524.92999999999995</v>
      </c>
      <c r="N2032">
        <v>1871000124103</v>
      </c>
      <c r="O2032" t="s">
        <v>2839</v>
      </c>
    </row>
    <row r="2033" spans="1:15">
      <c r="A2033" t="s">
        <v>3440</v>
      </c>
      <c r="B2033" s="2">
        <v>43962.886689814812</v>
      </c>
      <c r="C2033" s="2">
        <v>43962.897106481483</v>
      </c>
      <c r="D2033" t="s">
        <v>482</v>
      </c>
      <c r="E2033" t="s">
        <v>3430</v>
      </c>
      <c r="F2033" t="s">
        <v>3431</v>
      </c>
      <c r="G2033" t="s">
        <v>1974</v>
      </c>
      <c r="H2033" t="s">
        <v>2843</v>
      </c>
      <c r="I2033">
        <v>439708006</v>
      </c>
      <c r="J2033" t="s">
        <v>2844</v>
      </c>
      <c r="K2033">
        <v>128.53</v>
      </c>
      <c r="L2033">
        <v>559.92999999999995</v>
      </c>
      <c r="M2033">
        <v>524.92999999999995</v>
      </c>
      <c r="N2033">
        <v>1871000124103</v>
      </c>
      <c r="O2033" t="s">
        <v>2839</v>
      </c>
    </row>
    <row r="2034" spans="1:15">
      <c r="A2034" t="s">
        <v>3441</v>
      </c>
      <c r="B2034" s="2">
        <v>43963.886689814812</v>
      </c>
      <c r="C2034" s="2">
        <v>43963.897106481483</v>
      </c>
      <c r="D2034" t="s">
        <v>482</v>
      </c>
      <c r="E2034" t="s">
        <v>3430</v>
      </c>
      <c r="F2034" t="s">
        <v>3431</v>
      </c>
      <c r="G2034" t="s">
        <v>1974</v>
      </c>
      <c r="H2034" t="s">
        <v>2843</v>
      </c>
      <c r="I2034">
        <v>439708006</v>
      </c>
      <c r="J2034" t="s">
        <v>2844</v>
      </c>
      <c r="K2034">
        <v>128.53</v>
      </c>
      <c r="L2034">
        <v>559.92999999999995</v>
      </c>
      <c r="M2034">
        <v>524.92999999999995</v>
      </c>
      <c r="N2034">
        <v>1871000124103</v>
      </c>
      <c r="O2034" t="s">
        <v>2839</v>
      </c>
    </row>
    <row r="2035" spans="1:15">
      <c r="A2035" t="s">
        <v>3442</v>
      </c>
      <c r="B2035" s="2">
        <v>43964.886689814812</v>
      </c>
      <c r="C2035" s="2">
        <v>43964.897106481483</v>
      </c>
      <c r="D2035" t="s">
        <v>482</v>
      </c>
      <c r="E2035" t="s">
        <v>3430</v>
      </c>
      <c r="F2035" t="s">
        <v>3431</v>
      </c>
      <c r="G2035" t="s">
        <v>1974</v>
      </c>
      <c r="H2035" t="s">
        <v>2843</v>
      </c>
      <c r="I2035">
        <v>439708006</v>
      </c>
      <c r="J2035" t="s">
        <v>2844</v>
      </c>
      <c r="K2035">
        <v>128.53</v>
      </c>
      <c r="L2035">
        <v>559.92999999999995</v>
      </c>
      <c r="M2035">
        <v>524.92999999999995</v>
      </c>
      <c r="N2035">
        <v>1871000124103</v>
      </c>
      <c r="O2035" t="s">
        <v>2839</v>
      </c>
    </row>
    <row r="2036" spans="1:15">
      <c r="A2036" t="s">
        <v>3443</v>
      </c>
      <c r="B2036" s="2">
        <v>43965.886689814812</v>
      </c>
      <c r="C2036" s="2">
        <v>43965.897106481483</v>
      </c>
      <c r="D2036" t="s">
        <v>482</v>
      </c>
      <c r="E2036" t="s">
        <v>3430</v>
      </c>
      <c r="F2036" t="s">
        <v>3431</v>
      </c>
      <c r="G2036" t="s">
        <v>1974</v>
      </c>
      <c r="H2036" t="s">
        <v>2843</v>
      </c>
      <c r="I2036">
        <v>439708006</v>
      </c>
      <c r="J2036" t="s">
        <v>2844</v>
      </c>
      <c r="K2036">
        <v>128.53</v>
      </c>
      <c r="L2036">
        <v>559.92999999999995</v>
      </c>
      <c r="M2036">
        <v>524.92999999999995</v>
      </c>
      <c r="N2036">
        <v>1871000124103</v>
      </c>
      <c r="O2036" t="s">
        <v>2839</v>
      </c>
    </row>
    <row r="2037" spans="1:15">
      <c r="A2037" t="s">
        <v>3444</v>
      </c>
      <c r="B2037" s="2">
        <v>43966.886689814812</v>
      </c>
      <c r="C2037" s="2">
        <v>43966.897106481483</v>
      </c>
      <c r="D2037" t="s">
        <v>482</v>
      </c>
      <c r="E2037" t="s">
        <v>3430</v>
      </c>
      <c r="F2037" t="s">
        <v>3431</v>
      </c>
      <c r="G2037" t="s">
        <v>1974</v>
      </c>
      <c r="H2037" t="s">
        <v>2843</v>
      </c>
      <c r="I2037">
        <v>439708006</v>
      </c>
      <c r="J2037" t="s">
        <v>2844</v>
      </c>
      <c r="K2037">
        <v>128.53</v>
      </c>
      <c r="L2037">
        <v>559.92999999999995</v>
      </c>
      <c r="M2037">
        <v>524.92999999999995</v>
      </c>
      <c r="N2037">
        <v>1871000124103</v>
      </c>
      <c r="O2037" t="s">
        <v>2839</v>
      </c>
    </row>
    <row r="2038" spans="1:15">
      <c r="A2038" t="s">
        <v>3445</v>
      </c>
      <c r="B2038" s="2">
        <v>43967.886689814812</v>
      </c>
      <c r="C2038" s="2">
        <v>43967.897106481483</v>
      </c>
      <c r="D2038" t="s">
        <v>482</v>
      </c>
      <c r="E2038" t="s">
        <v>3430</v>
      </c>
      <c r="F2038" t="s">
        <v>3431</v>
      </c>
      <c r="G2038" t="s">
        <v>1974</v>
      </c>
      <c r="H2038" t="s">
        <v>2843</v>
      </c>
      <c r="I2038">
        <v>439708006</v>
      </c>
      <c r="J2038" t="s">
        <v>2844</v>
      </c>
      <c r="K2038">
        <v>128.53</v>
      </c>
      <c r="L2038">
        <v>758.14</v>
      </c>
      <c r="M2038">
        <v>723.14</v>
      </c>
      <c r="N2038">
        <v>1871000124103</v>
      </c>
      <c r="O2038" t="s">
        <v>2839</v>
      </c>
    </row>
    <row r="2039" spans="1:15">
      <c r="A2039" t="s">
        <v>3446</v>
      </c>
      <c r="B2039" s="2">
        <v>43968.886689814812</v>
      </c>
      <c r="C2039" s="2">
        <v>43968.897106481483</v>
      </c>
      <c r="D2039" t="s">
        <v>482</v>
      </c>
      <c r="E2039" t="s">
        <v>3430</v>
      </c>
      <c r="F2039" t="s">
        <v>3431</v>
      </c>
      <c r="G2039" t="s">
        <v>1974</v>
      </c>
      <c r="H2039" t="s">
        <v>2843</v>
      </c>
      <c r="I2039">
        <v>439708006</v>
      </c>
      <c r="J2039" t="s">
        <v>2844</v>
      </c>
      <c r="K2039">
        <v>128.53</v>
      </c>
      <c r="L2039">
        <v>559.92999999999995</v>
      </c>
      <c r="M2039">
        <v>524.92999999999995</v>
      </c>
      <c r="N2039">
        <v>1871000124103</v>
      </c>
      <c r="O2039" t="s">
        <v>2839</v>
      </c>
    </row>
    <row r="2040" spans="1:15">
      <c r="A2040" t="s">
        <v>3447</v>
      </c>
      <c r="B2040" s="2">
        <v>43969.886689814812</v>
      </c>
      <c r="C2040" s="2">
        <v>43969.897106481483</v>
      </c>
      <c r="D2040" t="s">
        <v>482</v>
      </c>
      <c r="E2040" t="s">
        <v>3430</v>
      </c>
      <c r="F2040" t="s">
        <v>3431</v>
      </c>
      <c r="G2040" t="s">
        <v>1974</v>
      </c>
      <c r="H2040" t="s">
        <v>2843</v>
      </c>
      <c r="I2040">
        <v>439708006</v>
      </c>
      <c r="J2040" t="s">
        <v>2844</v>
      </c>
      <c r="K2040">
        <v>128.53</v>
      </c>
      <c r="L2040">
        <v>991.33</v>
      </c>
      <c r="M2040">
        <v>956.33</v>
      </c>
      <c r="N2040">
        <v>1871000124103</v>
      </c>
      <c r="O2040" t="s">
        <v>2839</v>
      </c>
    </row>
    <row r="2041" spans="1:15">
      <c r="A2041" t="s">
        <v>3448</v>
      </c>
      <c r="B2041" s="2">
        <v>43970.886689814812</v>
      </c>
      <c r="C2041" s="2">
        <v>43970.897106481483</v>
      </c>
      <c r="D2041" t="s">
        <v>482</v>
      </c>
      <c r="E2041" t="s">
        <v>3430</v>
      </c>
      <c r="F2041" t="s">
        <v>3431</v>
      </c>
      <c r="G2041" t="s">
        <v>1974</v>
      </c>
      <c r="H2041" t="s">
        <v>2843</v>
      </c>
      <c r="I2041">
        <v>439708006</v>
      </c>
      <c r="J2041" t="s">
        <v>2844</v>
      </c>
      <c r="K2041">
        <v>128.53</v>
      </c>
      <c r="L2041">
        <v>991.33</v>
      </c>
      <c r="M2041">
        <v>956.33</v>
      </c>
      <c r="N2041">
        <v>1871000124103</v>
      </c>
      <c r="O2041" t="s">
        <v>2839</v>
      </c>
    </row>
    <row r="2042" spans="1:15">
      <c r="A2042" t="s">
        <v>3449</v>
      </c>
      <c r="B2042" s="2">
        <v>43971.886689814812</v>
      </c>
      <c r="C2042" s="2">
        <v>43971.897106481483</v>
      </c>
      <c r="D2042" t="s">
        <v>482</v>
      </c>
      <c r="E2042" t="s">
        <v>3430</v>
      </c>
      <c r="F2042" t="s">
        <v>3431</v>
      </c>
      <c r="G2042" t="s">
        <v>1974</v>
      </c>
      <c r="H2042" t="s">
        <v>2843</v>
      </c>
      <c r="I2042">
        <v>439708006</v>
      </c>
      <c r="J2042" t="s">
        <v>2844</v>
      </c>
      <c r="K2042">
        <v>128.53</v>
      </c>
      <c r="L2042">
        <v>559.92999999999995</v>
      </c>
      <c r="M2042">
        <v>524.92999999999995</v>
      </c>
      <c r="N2042">
        <v>1871000124103</v>
      </c>
      <c r="O2042" t="s">
        <v>2839</v>
      </c>
    </row>
    <row r="2043" spans="1:15">
      <c r="A2043" t="s">
        <v>3450</v>
      </c>
      <c r="B2043" s="2">
        <v>43972.886689814812</v>
      </c>
      <c r="C2043" s="2">
        <v>43972.897106481483</v>
      </c>
      <c r="D2043" t="s">
        <v>482</v>
      </c>
      <c r="E2043" t="s">
        <v>3430</v>
      </c>
      <c r="F2043" t="s">
        <v>3431</v>
      </c>
      <c r="G2043" t="s">
        <v>1974</v>
      </c>
      <c r="H2043" t="s">
        <v>2843</v>
      </c>
      <c r="I2043">
        <v>439708006</v>
      </c>
      <c r="J2043" t="s">
        <v>2844</v>
      </c>
      <c r="K2043">
        <v>128.53</v>
      </c>
      <c r="L2043">
        <v>559.92999999999995</v>
      </c>
      <c r="M2043">
        <v>524.92999999999995</v>
      </c>
      <c r="N2043">
        <v>1871000124103</v>
      </c>
      <c r="O2043" t="s">
        <v>2839</v>
      </c>
    </row>
    <row r="2044" spans="1:15">
      <c r="A2044" t="s">
        <v>3451</v>
      </c>
      <c r="B2044" s="2">
        <v>43973.886689814812</v>
      </c>
      <c r="C2044" s="2">
        <v>43973.897106481483</v>
      </c>
      <c r="D2044" t="s">
        <v>482</v>
      </c>
      <c r="E2044" t="s">
        <v>3430</v>
      </c>
      <c r="F2044" t="s">
        <v>3431</v>
      </c>
      <c r="G2044" t="s">
        <v>1974</v>
      </c>
      <c r="H2044" t="s">
        <v>2843</v>
      </c>
      <c r="I2044">
        <v>439708006</v>
      </c>
      <c r="J2044" t="s">
        <v>2844</v>
      </c>
      <c r="K2044">
        <v>128.53</v>
      </c>
      <c r="L2044">
        <v>559.92999999999995</v>
      </c>
      <c r="M2044">
        <v>524.92999999999995</v>
      </c>
      <c r="N2044">
        <v>1871000124103</v>
      </c>
      <c r="O2044" t="s">
        <v>2839</v>
      </c>
    </row>
    <row r="2045" spans="1:15">
      <c r="A2045" t="s">
        <v>3452</v>
      </c>
      <c r="B2045" s="2">
        <v>43974.886689814812</v>
      </c>
      <c r="C2045" s="2">
        <v>43974.897106481483</v>
      </c>
      <c r="D2045" t="s">
        <v>482</v>
      </c>
      <c r="E2045" t="s">
        <v>3430</v>
      </c>
      <c r="F2045" t="s">
        <v>3431</v>
      </c>
      <c r="G2045" t="s">
        <v>1974</v>
      </c>
      <c r="H2045" t="s">
        <v>2843</v>
      </c>
      <c r="I2045">
        <v>439708006</v>
      </c>
      <c r="J2045" t="s">
        <v>2844</v>
      </c>
      <c r="K2045">
        <v>128.53</v>
      </c>
      <c r="L2045">
        <v>559.92999999999995</v>
      </c>
      <c r="M2045">
        <v>524.92999999999995</v>
      </c>
      <c r="N2045">
        <v>1871000124103</v>
      </c>
      <c r="O2045" t="s">
        <v>2839</v>
      </c>
    </row>
    <row r="2046" spans="1:15">
      <c r="A2046" t="s">
        <v>3453</v>
      </c>
      <c r="B2046" s="2">
        <v>43975.886689814812</v>
      </c>
      <c r="C2046" s="2">
        <v>43975.897106481483</v>
      </c>
      <c r="D2046" t="s">
        <v>482</v>
      </c>
      <c r="E2046" t="s">
        <v>3430</v>
      </c>
      <c r="F2046" t="s">
        <v>3431</v>
      </c>
      <c r="G2046" t="s">
        <v>1974</v>
      </c>
      <c r="H2046" t="s">
        <v>2843</v>
      </c>
      <c r="I2046">
        <v>439708006</v>
      </c>
      <c r="J2046" t="s">
        <v>2844</v>
      </c>
      <c r="K2046">
        <v>128.53</v>
      </c>
      <c r="L2046">
        <v>559.92999999999995</v>
      </c>
      <c r="M2046">
        <v>524.92999999999995</v>
      </c>
      <c r="N2046">
        <v>1871000124103</v>
      </c>
      <c r="O2046" t="s">
        <v>2839</v>
      </c>
    </row>
    <row r="2047" spans="1:15">
      <c r="A2047" t="s">
        <v>3454</v>
      </c>
      <c r="B2047" s="2">
        <v>43976.886689814812</v>
      </c>
      <c r="C2047" s="2">
        <v>43976.897106481483</v>
      </c>
      <c r="D2047" t="s">
        <v>482</v>
      </c>
      <c r="E2047" t="s">
        <v>3430</v>
      </c>
      <c r="F2047" t="s">
        <v>3431</v>
      </c>
      <c r="G2047" t="s">
        <v>1974</v>
      </c>
      <c r="H2047" t="s">
        <v>2843</v>
      </c>
      <c r="I2047">
        <v>439708006</v>
      </c>
      <c r="J2047" t="s">
        <v>2844</v>
      </c>
      <c r="K2047">
        <v>128.53</v>
      </c>
      <c r="L2047">
        <v>559.92999999999995</v>
      </c>
      <c r="M2047">
        <v>524.92999999999995</v>
      </c>
      <c r="N2047">
        <v>1871000124103</v>
      </c>
      <c r="O2047" t="s">
        <v>2839</v>
      </c>
    </row>
    <row r="2048" spans="1:15">
      <c r="A2048" t="s">
        <v>3455</v>
      </c>
      <c r="B2048" s="2">
        <v>43977.886689814812</v>
      </c>
      <c r="C2048" s="2">
        <v>43977.897106481483</v>
      </c>
      <c r="D2048" t="s">
        <v>482</v>
      </c>
      <c r="E2048" t="s">
        <v>3430</v>
      </c>
      <c r="F2048" t="s">
        <v>3431</v>
      </c>
      <c r="G2048" t="s">
        <v>1974</v>
      </c>
      <c r="H2048" t="s">
        <v>2843</v>
      </c>
      <c r="I2048">
        <v>439708006</v>
      </c>
      <c r="J2048" t="s">
        <v>2844</v>
      </c>
      <c r="K2048">
        <v>128.53</v>
      </c>
      <c r="L2048">
        <v>559.92999999999995</v>
      </c>
      <c r="M2048">
        <v>524.92999999999995</v>
      </c>
      <c r="N2048">
        <v>1871000124103</v>
      </c>
      <c r="O2048" t="s">
        <v>2839</v>
      </c>
    </row>
    <row r="2049" spans="1:15">
      <c r="A2049" t="s">
        <v>3456</v>
      </c>
      <c r="B2049" s="2">
        <v>43978.886689814812</v>
      </c>
      <c r="C2049" s="2">
        <v>43978.897106481483</v>
      </c>
      <c r="D2049" t="s">
        <v>482</v>
      </c>
      <c r="E2049" t="s">
        <v>3430</v>
      </c>
      <c r="F2049" t="s">
        <v>3431</v>
      </c>
      <c r="G2049" t="s">
        <v>1974</v>
      </c>
      <c r="H2049" t="s">
        <v>2843</v>
      </c>
      <c r="I2049">
        <v>439708006</v>
      </c>
      <c r="J2049" t="s">
        <v>2844</v>
      </c>
      <c r="K2049">
        <v>128.53</v>
      </c>
      <c r="L2049">
        <v>775.63</v>
      </c>
      <c r="M2049">
        <v>740.63</v>
      </c>
      <c r="N2049">
        <v>1871000124103</v>
      </c>
      <c r="O2049" t="s">
        <v>2839</v>
      </c>
    </row>
    <row r="2050" spans="1:15">
      <c r="A2050" t="s">
        <v>3457</v>
      </c>
      <c r="B2050" s="2">
        <v>44085.90960648148</v>
      </c>
      <c r="C2050" s="2">
        <v>44085.938194444447</v>
      </c>
      <c r="D2050" t="s">
        <v>482</v>
      </c>
      <c r="E2050" t="s">
        <v>3405</v>
      </c>
      <c r="F2050" t="s">
        <v>3406</v>
      </c>
      <c r="G2050" t="s">
        <v>1974</v>
      </c>
      <c r="H2050" t="s">
        <v>1020</v>
      </c>
      <c r="I2050">
        <v>162673000</v>
      </c>
      <c r="J2050" t="s">
        <v>1021</v>
      </c>
      <c r="K2050">
        <v>136.80000000000001</v>
      </c>
      <c r="L2050">
        <v>1444.34</v>
      </c>
      <c r="M2050">
        <v>1444.34</v>
      </c>
      <c r="O2050" t="s">
        <v>34</v>
      </c>
    </row>
    <row r="2051" spans="1:15">
      <c r="A2051" t="s">
        <v>3458</v>
      </c>
      <c r="B2051" s="2">
        <v>44099.90960648148</v>
      </c>
      <c r="C2051" s="2">
        <v>44100.054895833331</v>
      </c>
      <c r="D2051" t="s">
        <v>482</v>
      </c>
      <c r="E2051" t="s">
        <v>3402</v>
      </c>
      <c r="F2051" t="s">
        <v>3403</v>
      </c>
      <c r="G2051" t="s">
        <v>1974</v>
      </c>
      <c r="H2051" t="s">
        <v>1031</v>
      </c>
      <c r="I2051">
        <v>185349003</v>
      </c>
      <c r="J2051" t="s">
        <v>1038</v>
      </c>
      <c r="K2051">
        <v>85.55</v>
      </c>
      <c r="L2051">
        <v>2673.95</v>
      </c>
      <c r="M2051">
        <v>2638.95</v>
      </c>
      <c r="N2051">
        <v>103697008</v>
      </c>
      <c r="O2051" t="s">
        <v>1039</v>
      </c>
    </row>
    <row r="2052" spans="1:15">
      <c r="A2052" t="s">
        <v>3459</v>
      </c>
      <c r="B2052" s="2">
        <v>44267.867939814816</v>
      </c>
      <c r="C2052" s="2">
        <v>44267.87835648148</v>
      </c>
      <c r="D2052" t="s">
        <v>482</v>
      </c>
      <c r="E2052" t="s">
        <v>3402</v>
      </c>
      <c r="F2052" t="s">
        <v>3403</v>
      </c>
      <c r="G2052" t="s">
        <v>1974</v>
      </c>
      <c r="H2052" t="s">
        <v>1043</v>
      </c>
      <c r="I2052">
        <v>33879002</v>
      </c>
      <c r="J2052" t="s">
        <v>1044</v>
      </c>
      <c r="K2052">
        <v>142.58000000000001</v>
      </c>
      <c r="L2052">
        <v>278.58</v>
      </c>
      <c r="M2052">
        <v>243.58</v>
      </c>
      <c r="O2052" t="s">
        <v>34</v>
      </c>
    </row>
    <row r="2053" spans="1:15">
      <c r="A2053" t="s">
        <v>3460</v>
      </c>
      <c r="B2053" s="2">
        <v>44456.90960648148</v>
      </c>
      <c r="C2053" s="2">
        <v>44456.933171296296</v>
      </c>
      <c r="D2053" t="s">
        <v>482</v>
      </c>
      <c r="E2053" t="s">
        <v>3405</v>
      </c>
      <c r="F2053" t="s">
        <v>3406</v>
      </c>
      <c r="G2053" t="s">
        <v>1974</v>
      </c>
      <c r="H2053" t="s">
        <v>1020</v>
      </c>
      <c r="I2053">
        <v>162673000</v>
      </c>
      <c r="J2053" t="s">
        <v>1021</v>
      </c>
      <c r="K2053">
        <v>136.80000000000001</v>
      </c>
      <c r="L2053">
        <v>1022.26</v>
      </c>
      <c r="M2053">
        <v>1022.26</v>
      </c>
      <c r="O2053" t="s">
        <v>34</v>
      </c>
    </row>
    <row r="2054" spans="1:15">
      <c r="A2054" t="s">
        <v>3461</v>
      </c>
      <c r="B2054" s="2">
        <v>44470.90960648148</v>
      </c>
      <c r="C2054" s="2">
        <v>44471.046539351853</v>
      </c>
      <c r="D2054" t="s">
        <v>482</v>
      </c>
      <c r="E2054" t="s">
        <v>3402</v>
      </c>
      <c r="F2054" t="s">
        <v>3403</v>
      </c>
      <c r="G2054" t="s">
        <v>1974</v>
      </c>
      <c r="H2054" t="s">
        <v>1031</v>
      </c>
      <c r="I2054">
        <v>185349003</v>
      </c>
      <c r="J2054" t="s">
        <v>1038</v>
      </c>
      <c r="K2054">
        <v>85.55</v>
      </c>
      <c r="L2054">
        <v>3105.35</v>
      </c>
      <c r="M2054">
        <v>3070.35</v>
      </c>
      <c r="N2054">
        <v>103697008</v>
      </c>
      <c r="O2054" t="s">
        <v>1039</v>
      </c>
    </row>
    <row r="2055" spans="1:15">
      <c r="A2055" t="s">
        <v>3462</v>
      </c>
      <c r="B2055" s="2">
        <v>44827.90960648148</v>
      </c>
      <c r="C2055" s="2">
        <v>44827.95008101852</v>
      </c>
      <c r="D2055" t="s">
        <v>482</v>
      </c>
      <c r="E2055" t="s">
        <v>3405</v>
      </c>
      <c r="F2055" t="s">
        <v>3406</v>
      </c>
      <c r="G2055" t="s">
        <v>1974</v>
      </c>
      <c r="H2055" t="s">
        <v>1020</v>
      </c>
      <c r="I2055">
        <v>162673000</v>
      </c>
      <c r="J2055" t="s">
        <v>1021</v>
      </c>
      <c r="K2055">
        <v>136.80000000000001</v>
      </c>
      <c r="L2055">
        <v>704.2</v>
      </c>
      <c r="M2055">
        <v>704.2</v>
      </c>
      <c r="O2055" t="s">
        <v>34</v>
      </c>
    </row>
    <row r="2056" spans="1:15">
      <c r="A2056" t="s">
        <v>3463</v>
      </c>
      <c r="B2056" s="2">
        <v>44841.90960648148</v>
      </c>
      <c r="C2056" s="2">
        <v>44842.042118055557</v>
      </c>
      <c r="D2056" t="s">
        <v>482</v>
      </c>
      <c r="E2056" t="s">
        <v>3402</v>
      </c>
      <c r="F2056" t="s">
        <v>3403</v>
      </c>
      <c r="G2056" t="s">
        <v>1974</v>
      </c>
      <c r="H2056" t="s">
        <v>1031</v>
      </c>
      <c r="I2056">
        <v>185349003</v>
      </c>
      <c r="J2056" t="s">
        <v>1038</v>
      </c>
      <c r="K2056">
        <v>85.55</v>
      </c>
      <c r="L2056">
        <v>3105.35</v>
      </c>
      <c r="M2056">
        <v>3070.35</v>
      </c>
      <c r="N2056">
        <v>66383009</v>
      </c>
      <c r="O2056" t="s">
        <v>1209</v>
      </c>
    </row>
    <row r="2057" spans="1:15">
      <c r="A2057" t="s">
        <v>3464</v>
      </c>
      <c r="B2057" s="2">
        <v>44852.40960648148</v>
      </c>
      <c r="C2057" s="2">
        <v>44852.420023148145</v>
      </c>
      <c r="D2057" t="s">
        <v>482</v>
      </c>
      <c r="E2057" t="s">
        <v>3402</v>
      </c>
      <c r="F2057" t="s">
        <v>3403</v>
      </c>
      <c r="G2057" t="s">
        <v>1974</v>
      </c>
      <c r="H2057" t="s">
        <v>1031</v>
      </c>
      <c r="I2057">
        <v>185345009</v>
      </c>
      <c r="J2057" t="s">
        <v>1032</v>
      </c>
      <c r="K2057">
        <v>85.55</v>
      </c>
      <c r="L2057">
        <v>85.55</v>
      </c>
      <c r="M2057">
        <v>50.55</v>
      </c>
      <c r="N2057">
        <v>195662009</v>
      </c>
      <c r="O2057" t="s">
        <v>1130</v>
      </c>
    </row>
    <row r="2058" spans="1:15">
      <c r="A2058" t="s">
        <v>3465</v>
      </c>
      <c r="B2058" s="2">
        <v>44862.90960648148</v>
      </c>
      <c r="C2058" s="2">
        <v>44862.940300925926</v>
      </c>
      <c r="D2058" t="s">
        <v>482</v>
      </c>
      <c r="E2058" t="s">
        <v>3402</v>
      </c>
      <c r="F2058" t="s">
        <v>3403</v>
      </c>
      <c r="G2058" t="s">
        <v>1974</v>
      </c>
      <c r="H2058" t="s">
        <v>1043</v>
      </c>
      <c r="I2058">
        <v>185349003</v>
      </c>
      <c r="J2058" t="s">
        <v>1038</v>
      </c>
      <c r="K2058">
        <v>85.55</v>
      </c>
      <c r="L2058">
        <v>1360.58</v>
      </c>
      <c r="M2058">
        <v>1325.58</v>
      </c>
      <c r="O2058" t="s">
        <v>34</v>
      </c>
    </row>
    <row r="2059" spans="1:15">
      <c r="A2059" t="s">
        <v>3466</v>
      </c>
      <c r="B2059" s="2">
        <v>44876.867939814816</v>
      </c>
      <c r="C2059" s="2">
        <v>44877.00545138889</v>
      </c>
      <c r="D2059" t="s">
        <v>482</v>
      </c>
      <c r="E2059" t="s">
        <v>3402</v>
      </c>
      <c r="F2059" t="s">
        <v>3403</v>
      </c>
      <c r="G2059" t="s">
        <v>1974</v>
      </c>
      <c r="H2059" t="s">
        <v>1031</v>
      </c>
      <c r="I2059">
        <v>185349003</v>
      </c>
      <c r="J2059" t="s">
        <v>1038</v>
      </c>
      <c r="K2059">
        <v>85.55</v>
      </c>
      <c r="L2059">
        <v>3536.75</v>
      </c>
      <c r="M2059">
        <v>3501.75</v>
      </c>
      <c r="N2059">
        <v>103697008</v>
      </c>
      <c r="O2059" t="s">
        <v>1039</v>
      </c>
    </row>
    <row r="2060" spans="1:15">
      <c r="A2060" t="s">
        <v>3467</v>
      </c>
      <c r="B2060" s="2">
        <v>45198.90960648148</v>
      </c>
      <c r="C2060" s="2">
        <v>45198.937696759262</v>
      </c>
      <c r="D2060" t="s">
        <v>482</v>
      </c>
      <c r="E2060" t="s">
        <v>3405</v>
      </c>
      <c r="F2060" t="s">
        <v>3406</v>
      </c>
      <c r="G2060" t="s">
        <v>1974</v>
      </c>
      <c r="H2060" t="s">
        <v>1020</v>
      </c>
      <c r="I2060">
        <v>162673000</v>
      </c>
      <c r="J2060" t="s">
        <v>1021</v>
      </c>
      <c r="K2060">
        <v>136.80000000000001</v>
      </c>
      <c r="L2060">
        <v>704.2</v>
      </c>
      <c r="M2060">
        <v>704.2</v>
      </c>
      <c r="O2060" t="s">
        <v>34</v>
      </c>
    </row>
    <row r="2061" spans="1:15">
      <c r="A2061" t="s">
        <v>3468</v>
      </c>
      <c r="B2061" s="2">
        <v>45235.867939814816</v>
      </c>
      <c r="C2061" s="2">
        <v>45235.87835648148</v>
      </c>
      <c r="D2061" t="s">
        <v>482</v>
      </c>
      <c r="E2061" t="s">
        <v>3402</v>
      </c>
      <c r="F2061" t="s">
        <v>3403</v>
      </c>
      <c r="G2061" t="s">
        <v>1974</v>
      </c>
      <c r="H2061" t="s">
        <v>1031</v>
      </c>
      <c r="I2061">
        <v>185347001</v>
      </c>
      <c r="J2061" t="s">
        <v>1124</v>
      </c>
      <c r="K2061">
        <v>85.55</v>
      </c>
      <c r="L2061">
        <v>85.55</v>
      </c>
      <c r="M2061">
        <v>50.55</v>
      </c>
      <c r="N2061">
        <v>90560007</v>
      </c>
      <c r="O2061" t="s">
        <v>3408</v>
      </c>
    </row>
    <row r="2062" spans="1:15">
      <c r="A2062" t="s">
        <v>3469</v>
      </c>
      <c r="B2062" s="2">
        <v>45569.90960648148</v>
      </c>
      <c r="C2062" s="2">
        <v>45569.941817129627</v>
      </c>
      <c r="D2062" t="s">
        <v>482</v>
      </c>
      <c r="E2062" t="s">
        <v>3405</v>
      </c>
      <c r="F2062" t="s">
        <v>3406</v>
      </c>
      <c r="G2062" t="s">
        <v>1974</v>
      </c>
      <c r="H2062" t="s">
        <v>1020</v>
      </c>
      <c r="I2062">
        <v>162673000</v>
      </c>
      <c r="J2062" t="s">
        <v>1021</v>
      </c>
      <c r="K2062">
        <v>136.80000000000001</v>
      </c>
      <c r="L2062">
        <v>1716.16</v>
      </c>
      <c r="M2062">
        <v>1716.16</v>
      </c>
      <c r="O2062" t="s">
        <v>34</v>
      </c>
    </row>
    <row r="2063" spans="1:15">
      <c r="A2063" t="s">
        <v>3470</v>
      </c>
      <c r="B2063" s="2">
        <v>45639.867939814816</v>
      </c>
      <c r="C2063" s="2">
        <v>45639.889479166668</v>
      </c>
      <c r="D2063" t="s">
        <v>482</v>
      </c>
      <c r="E2063" t="s">
        <v>3402</v>
      </c>
      <c r="F2063" t="s">
        <v>3403</v>
      </c>
      <c r="G2063" t="s">
        <v>1974</v>
      </c>
      <c r="H2063" t="s">
        <v>1043</v>
      </c>
      <c r="I2063">
        <v>185349003</v>
      </c>
      <c r="J2063" t="s">
        <v>1038</v>
      </c>
      <c r="K2063">
        <v>85.55</v>
      </c>
      <c r="L2063">
        <v>868.65</v>
      </c>
      <c r="M2063">
        <v>833.65</v>
      </c>
      <c r="O2063" t="s">
        <v>34</v>
      </c>
    </row>
    <row r="2064" spans="1:15">
      <c r="A2064" t="s">
        <v>3471</v>
      </c>
      <c r="B2064" s="2">
        <v>45646.867939814816</v>
      </c>
      <c r="C2064" s="2">
        <v>45646.87835648148</v>
      </c>
      <c r="D2064" t="s">
        <v>482</v>
      </c>
      <c r="E2064" t="s">
        <v>3402</v>
      </c>
      <c r="F2064" t="s">
        <v>3403</v>
      </c>
      <c r="G2064" t="s">
        <v>1974</v>
      </c>
      <c r="H2064" t="s">
        <v>1031</v>
      </c>
      <c r="I2064">
        <v>185345009</v>
      </c>
      <c r="J2064" t="s">
        <v>1032</v>
      </c>
      <c r="K2064">
        <v>85.55</v>
      </c>
      <c r="L2064">
        <v>85.55</v>
      </c>
      <c r="M2064">
        <v>50.55</v>
      </c>
      <c r="N2064">
        <v>444814009</v>
      </c>
      <c r="O2064" t="s">
        <v>1035</v>
      </c>
    </row>
    <row r="2065" spans="1:15">
      <c r="A2065" t="s">
        <v>3472</v>
      </c>
      <c r="B2065" s="2">
        <v>45940.90960648148</v>
      </c>
      <c r="C2065" s="2">
        <v>45940.93414351852</v>
      </c>
      <c r="D2065" t="s">
        <v>482</v>
      </c>
      <c r="E2065" t="s">
        <v>3405</v>
      </c>
      <c r="F2065" t="s">
        <v>3406</v>
      </c>
      <c r="G2065" t="s">
        <v>1974</v>
      </c>
      <c r="H2065" t="s">
        <v>1020</v>
      </c>
      <c r="I2065">
        <v>162673000</v>
      </c>
      <c r="J2065" t="s">
        <v>1021</v>
      </c>
      <c r="K2065">
        <v>136.80000000000001</v>
      </c>
      <c r="L2065">
        <v>1000.39</v>
      </c>
      <c r="M2065">
        <v>1000.39</v>
      </c>
      <c r="O2065" t="s">
        <v>34</v>
      </c>
    </row>
    <row r="2066" spans="1:15">
      <c r="A2066" t="s">
        <v>3473</v>
      </c>
      <c r="B2066" s="2">
        <v>45954.90960648148</v>
      </c>
      <c r="C2066" s="2">
        <v>45955.085370370369</v>
      </c>
      <c r="D2066" t="s">
        <v>482</v>
      </c>
      <c r="E2066" t="s">
        <v>3402</v>
      </c>
      <c r="F2066" t="s">
        <v>3403</v>
      </c>
      <c r="G2066" t="s">
        <v>1974</v>
      </c>
      <c r="H2066" t="s">
        <v>1031</v>
      </c>
      <c r="I2066">
        <v>185349003</v>
      </c>
      <c r="J2066" t="s">
        <v>1038</v>
      </c>
      <c r="K2066">
        <v>85.55</v>
      </c>
      <c r="L2066">
        <v>3536.75</v>
      </c>
      <c r="M2066">
        <v>3501.75</v>
      </c>
      <c r="N2066">
        <v>103697008</v>
      </c>
      <c r="O2066" t="s">
        <v>1039</v>
      </c>
    </row>
    <row r="2067" spans="1:15">
      <c r="A2067" t="s">
        <v>3474</v>
      </c>
      <c r="B2067" s="2">
        <v>35018.777673611112</v>
      </c>
      <c r="C2067" s="2">
        <v>35018.789895833332</v>
      </c>
      <c r="D2067" t="s">
        <v>492</v>
      </c>
      <c r="E2067" t="s">
        <v>1303</v>
      </c>
      <c r="F2067" t="s">
        <v>1304</v>
      </c>
      <c r="G2067" t="s">
        <v>1093</v>
      </c>
      <c r="H2067" t="s">
        <v>1031</v>
      </c>
      <c r="I2067">
        <v>390906007</v>
      </c>
      <c r="J2067" t="s">
        <v>1255</v>
      </c>
      <c r="K2067">
        <v>85.55</v>
      </c>
      <c r="L2067">
        <v>948.35</v>
      </c>
      <c r="M2067">
        <v>898.35</v>
      </c>
      <c r="N2067">
        <v>203646004</v>
      </c>
      <c r="O2067" t="s">
        <v>3475</v>
      </c>
    </row>
    <row r="2068" spans="1:15">
      <c r="A2068" t="s">
        <v>3476</v>
      </c>
      <c r="B2068" s="2">
        <v>37172.160671296297</v>
      </c>
      <c r="C2068" s="2">
        <v>37172.171087962961</v>
      </c>
      <c r="D2068" t="s">
        <v>492</v>
      </c>
      <c r="E2068" t="s">
        <v>3477</v>
      </c>
      <c r="F2068" t="s">
        <v>3478</v>
      </c>
      <c r="G2068" t="s">
        <v>1093</v>
      </c>
      <c r="H2068" t="s">
        <v>1020</v>
      </c>
      <c r="I2068">
        <v>410620009</v>
      </c>
      <c r="J2068" t="s">
        <v>1054</v>
      </c>
      <c r="K2068">
        <v>136.80000000000001</v>
      </c>
      <c r="L2068">
        <v>994.48</v>
      </c>
      <c r="M2068">
        <v>844.48</v>
      </c>
      <c r="O2068" t="s">
        <v>34</v>
      </c>
    </row>
    <row r="2069" spans="1:15">
      <c r="A2069" t="s">
        <v>3479</v>
      </c>
      <c r="B2069" s="2">
        <v>37543.160671296297</v>
      </c>
      <c r="C2069" s="2">
        <v>37543.185011574074</v>
      </c>
      <c r="D2069" t="s">
        <v>492</v>
      </c>
      <c r="E2069" t="s">
        <v>3477</v>
      </c>
      <c r="F2069" t="s">
        <v>3478</v>
      </c>
      <c r="G2069" t="s">
        <v>1093</v>
      </c>
      <c r="H2069" t="s">
        <v>1020</v>
      </c>
      <c r="I2069">
        <v>162673000</v>
      </c>
      <c r="J2069" t="s">
        <v>1021</v>
      </c>
      <c r="K2069">
        <v>136.80000000000001</v>
      </c>
      <c r="L2069">
        <v>704.2</v>
      </c>
      <c r="M2069">
        <v>554.20000000000005</v>
      </c>
      <c r="O2069" t="s">
        <v>34</v>
      </c>
    </row>
    <row r="2070" spans="1:15">
      <c r="A2070" t="s">
        <v>3480</v>
      </c>
      <c r="B2070" s="2">
        <v>39153.160671296297</v>
      </c>
      <c r="C2070" s="2">
        <v>39153.171087962961</v>
      </c>
      <c r="D2070" t="s">
        <v>492</v>
      </c>
      <c r="E2070" t="s">
        <v>1303</v>
      </c>
      <c r="F2070" t="s">
        <v>1304</v>
      </c>
      <c r="G2070" t="s">
        <v>1093</v>
      </c>
      <c r="H2070" t="s">
        <v>1031</v>
      </c>
      <c r="I2070">
        <v>185345009</v>
      </c>
      <c r="J2070" t="s">
        <v>1032</v>
      </c>
      <c r="K2070">
        <v>85.55</v>
      </c>
      <c r="L2070">
        <v>92.93</v>
      </c>
      <c r="M2070">
        <v>42.93</v>
      </c>
      <c r="N2070">
        <v>75498004</v>
      </c>
      <c r="O2070" t="s">
        <v>1174</v>
      </c>
    </row>
    <row r="2071" spans="1:15">
      <c r="A2071" t="s">
        <v>3481</v>
      </c>
      <c r="B2071" s="2">
        <v>40112.160671296297</v>
      </c>
      <c r="C2071" s="2">
        <v>40112.182800925926</v>
      </c>
      <c r="D2071" t="s">
        <v>492</v>
      </c>
      <c r="E2071" t="s">
        <v>3477</v>
      </c>
      <c r="F2071" t="s">
        <v>3478</v>
      </c>
      <c r="G2071" t="s">
        <v>1093</v>
      </c>
      <c r="H2071" t="s">
        <v>1020</v>
      </c>
      <c r="I2071">
        <v>162673000</v>
      </c>
      <c r="J2071" t="s">
        <v>1021</v>
      </c>
      <c r="K2071">
        <v>136.80000000000001</v>
      </c>
      <c r="L2071">
        <v>1139.03</v>
      </c>
      <c r="M2071">
        <v>1039.03</v>
      </c>
      <c r="O2071" t="s">
        <v>34</v>
      </c>
    </row>
    <row r="2072" spans="1:15">
      <c r="A2072" t="s">
        <v>3482</v>
      </c>
      <c r="B2072" s="2">
        <v>40119.119004629632</v>
      </c>
      <c r="C2072" s="2">
        <v>40119.164733796293</v>
      </c>
      <c r="D2072" t="s">
        <v>492</v>
      </c>
      <c r="E2072" t="s">
        <v>1303</v>
      </c>
      <c r="F2072" t="s">
        <v>1304</v>
      </c>
      <c r="G2072" t="s">
        <v>1093</v>
      </c>
      <c r="H2072" t="s">
        <v>1031</v>
      </c>
      <c r="I2072">
        <v>185347001</v>
      </c>
      <c r="J2072" t="s">
        <v>1124</v>
      </c>
      <c r="K2072">
        <v>85.55</v>
      </c>
      <c r="L2072">
        <v>910.76</v>
      </c>
      <c r="M2072">
        <v>860.76</v>
      </c>
      <c r="N2072">
        <v>271737000</v>
      </c>
      <c r="O2072" t="s">
        <v>1479</v>
      </c>
    </row>
    <row r="2073" spans="1:15">
      <c r="A2073" t="s">
        <v>3483</v>
      </c>
      <c r="B2073" s="2">
        <v>41925.160671296297</v>
      </c>
      <c r="C2073" s="2">
        <v>41925.171087962961</v>
      </c>
      <c r="D2073" t="s">
        <v>492</v>
      </c>
      <c r="E2073" t="s">
        <v>1303</v>
      </c>
      <c r="F2073" t="s">
        <v>1304</v>
      </c>
      <c r="G2073" t="s">
        <v>1093</v>
      </c>
      <c r="H2073" t="s">
        <v>1031</v>
      </c>
      <c r="I2073">
        <v>424441002</v>
      </c>
      <c r="J2073" t="s">
        <v>1059</v>
      </c>
      <c r="K2073">
        <v>142.58000000000001</v>
      </c>
      <c r="L2073">
        <v>37689.040000000001</v>
      </c>
      <c r="M2073">
        <v>37539.040000000001</v>
      </c>
      <c r="N2073">
        <v>72892002</v>
      </c>
      <c r="O2073" t="s">
        <v>1060</v>
      </c>
    </row>
    <row r="2074" spans="1:15">
      <c r="A2074" t="s">
        <v>3484</v>
      </c>
      <c r="B2074" s="2">
        <v>41939.160671296297</v>
      </c>
      <c r="C2074" s="2">
        <v>41939.188587962963</v>
      </c>
      <c r="D2074" t="s">
        <v>492</v>
      </c>
      <c r="E2074" t="s">
        <v>2176</v>
      </c>
      <c r="F2074" t="s">
        <v>2177</v>
      </c>
      <c r="G2074" t="s">
        <v>1093</v>
      </c>
      <c r="H2074" t="s">
        <v>1159</v>
      </c>
      <c r="I2074">
        <v>702927004</v>
      </c>
      <c r="J2074" t="s">
        <v>1160</v>
      </c>
      <c r="K2074">
        <v>142.58000000000001</v>
      </c>
      <c r="L2074">
        <v>865.94</v>
      </c>
      <c r="M2074">
        <v>815.94</v>
      </c>
      <c r="O2074" t="s">
        <v>34</v>
      </c>
    </row>
    <row r="2075" spans="1:15">
      <c r="A2075" t="s">
        <v>3485</v>
      </c>
      <c r="B2075" s="2">
        <v>42002.119004629632</v>
      </c>
      <c r="C2075" s="2">
        <v>42002.129421296297</v>
      </c>
      <c r="D2075" t="s">
        <v>492</v>
      </c>
      <c r="E2075" t="s">
        <v>1303</v>
      </c>
      <c r="F2075" t="s">
        <v>1304</v>
      </c>
      <c r="G2075" t="s">
        <v>1093</v>
      </c>
      <c r="H2075" t="s">
        <v>1031</v>
      </c>
      <c r="I2075">
        <v>424619006</v>
      </c>
      <c r="J2075" t="s">
        <v>1062</v>
      </c>
      <c r="K2075">
        <v>142.58000000000001</v>
      </c>
      <c r="L2075">
        <v>1005.38</v>
      </c>
      <c r="M2075">
        <v>955.38</v>
      </c>
      <c r="N2075">
        <v>267253006</v>
      </c>
      <c r="O2075" t="s">
        <v>1593</v>
      </c>
    </row>
    <row r="2076" spans="1:15">
      <c r="A2076" t="s">
        <v>3486</v>
      </c>
      <c r="B2076" s="2">
        <v>42310.119004629632</v>
      </c>
      <c r="C2076" s="2">
        <v>42310.153923611113</v>
      </c>
      <c r="D2076" t="s">
        <v>492</v>
      </c>
      <c r="E2076" t="s">
        <v>3477</v>
      </c>
      <c r="F2076" t="s">
        <v>3478</v>
      </c>
      <c r="G2076" t="s">
        <v>1093</v>
      </c>
      <c r="H2076" t="s">
        <v>1020</v>
      </c>
      <c r="I2076">
        <v>162673000</v>
      </c>
      <c r="J2076" t="s">
        <v>1021</v>
      </c>
      <c r="K2076">
        <v>136.80000000000001</v>
      </c>
      <c r="L2076">
        <v>921.58</v>
      </c>
      <c r="M2076">
        <v>821.58</v>
      </c>
      <c r="O2076" t="s">
        <v>34</v>
      </c>
    </row>
    <row r="2077" spans="1:15">
      <c r="A2077" t="s">
        <v>3487</v>
      </c>
      <c r="B2077" s="2">
        <v>42581.182835648149</v>
      </c>
      <c r="C2077" s="2">
        <v>42581.193252314813</v>
      </c>
      <c r="D2077" t="s">
        <v>492</v>
      </c>
      <c r="E2077" t="s">
        <v>1303</v>
      </c>
      <c r="F2077" t="s">
        <v>1304</v>
      </c>
      <c r="G2077" t="s">
        <v>1093</v>
      </c>
      <c r="H2077" t="s">
        <v>1043</v>
      </c>
      <c r="I2077">
        <v>698314001</v>
      </c>
      <c r="J2077" t="s">
        <v>1190</v>
      </c>
      <c r="K2077">
        <v>142.58000000000001</v>
      </c>
      <c r="L2077">
        <v>142.58000000000001</v>
      </c>
      <c r="M2077">
        <v>92.58</v>
      </c>
      <c r="N2077">
        <v>389095005</v>
      </c>
      <c r="O2077" t="s">
        <v>1191</v>
      </c>
    </row>
    <row r="2078" spans="1:15">
      <c r="A2078" t="s">
        <v>3488</v>
      </c>
      <c r="B2078" s="2">
        <v>42688.119004629632</v>
      </c>
      <c r="C2078" s="2">
        <v>42688.129421296297</v>
      </c>
      <c r="D2078" t="s">
        <v>492</v>
      </c>
      <c r="E2078" t="s">
        <v>1303</v>
      </c>
      <c r="F2078" t="s">
        <v>1304</v>
      </c>
      <c r="G2078" t="s">
        <v>1093</v>
      </c>
      <c r="H2078" t="s">
        <v>1043</v>
      </c>
      <c r="I2078">
        <v>308335008</v>
      </c>
      <c r="J2078" t="s">
        <v>1194</v>
      </c>
      <c r="K2078">
        <v>142.58000000000001</v>
      </c>
      <c r="L2078">
        <v>1388.85</v>
      </c>
      <c r="M2078">
        <v>1238.8499999999999</v>
      </c>
      <c r="N2078">
        <v>389095005</v>
      </c>
      <c r="O2078" t="s">
        <v>1191</v>
      </c>
    </row>
    <row r="2079" spans="1:15">
      <c r="A2079" t="s">
        <v>3489</v>
      </c>
      <c r="B2079" s="2">
        <v>42779.119004629632</v>
      </c>
      <c r="C2079" s="2">
        <v>42779.129421296297</v>
      </c>
      <c r="D2079" t="s">
        <v>492</v>
      </c>
      <c r="E2079" t="s">
        <v>1303</v>
      </c>
      <c r="F2079" t="s">
        <v>1304</v>
      </c>
      <c r="G2079" t="s">
        <v>1093</v>
      </c>
      <c r="H2079" t="s">
        <v>1043</v>
      </c>
      <c r="I2079">
        <v>308335008</v>
      </c>
      <c r="J2079" t="s">
        <v>1194</v>
      </c>
      <c r="K2079">
        <v>142.58000000000001</v>
      </c>
      <c r="L2079">
        <v>1250.8499999999999</v>
      </c>
      <c r="M2079">
        <v>1200.8499999999999</v>
      </c>
      <c r="N2079">
        <v>389095005</v>
      </c>
      <c r="O2079" t="s">
        <v>1191</v>
      </c>
    </row>
    <row r="2080" spans="1:15">
      <c r="A2080" t="s">
        <v>3490</v>
      </c>
      <c r="B2080" s="2">
        <v>42870.160671296297</v>
      </c>
      <c r="C2080" s="2">
        <v>42870.17454861111</v>
      </c>
      <c r="D2080" t="s">
        <v>492</v>
      </c>
      <c r="E2080" t="s">
        <v>1303</v>
      </c>
      <c r="F2080" t="s">
        <v>1304</v>
      </c>
      <c r="G2080" t="s">
        <v>1093</v>
      </c>
      <c r="H2080" t="s">
        <v>1043</v>
      </c>
      <c r="I2080">
        <v>308335008</v>
      </c>
      <c r="J2080" t="s">
        <v>1194</v>
      </c>
      <c r="K2080">
        <v>142.58000000000001</v>
      </c>
      <c r="L2080">
        <v>1250.8499999999999</v>
      </c>
      <c r="M2080">
        <v>1200.8499999999999</v>
      </c>
      <c r="N2080">
        <v>389095005</v>
      </c>
      <c r="O2080" t="s">
        <v>1191</v>
      </c>
    </row>
    <row r="2081" spans="1:15">
      <c r="A2081" t="s">
        <v>3491</v>
      </c>
      <c r="B2081" s="2">
        <v>42941.182835648149</v>
      </c>
      <c r="C2081" s="2">
        <v>42941.193252314813</v>
      </c>
      <c r="D2081" t="s">
        <v>492</v>
      </c>
      <c r="E2081" t="s">
        <v>1303</v>
      </c>
      <c r="F2081" t="s">
        <v>1304</v>
      </c>
      <c r="G2081" t="s">
        <v>1093</v>
      </c>
      <c r="H2081" t="s">
        <v>1043</v>
      </c>
      <c r="I2081">
        <v>698314001</v>
      </c>
      <c r="J2081" t="s">
        <v>1190</v>
      </c>
      <c r="K2081">
        <v>142.58000000000001</v>
      </c>
      <c r="L2081">
        <v>142.58000000000001</v>
      </c>
      <c r="M2081">
        <v>92.58</v>
      </c>
      <c r="N2081">
        <v>389095005</v>
      </c>
      <c r="O2081" t="s">
        <v>1191</v>
      </c>
    </row>
    <row r="2082" spans="1:15">
      <c r="A2082" t="s">
        <v>3492</v>
      </c>
      <c r="B2082" s="2">
        <v>42961.160671296297</v>
      </c>
      <c r="C2082" s="2">
        <v>42961.171087962961</v>
      </c>
      <c r="D2082" t="s">
        <v>492</v>
      </c>
      <c r="E2082" t="s">
        <v>1303</v>
      </c>
      <c r="F2082" t="s">
        <v>1304</v>
      </c>
      <c r="G2082" t="s">
        <v>1093</v>
      </c>
      <c r="H2082" t="s">
        <v>1043</v>
      </c>
      <c r="I2082">
        <v>308335008</v>
      </c>
      <c r="J2082" t="s">
        <v>1194</v>
      </c>
      <c r="K2082">
        <v>142.58000000000001</v>
      </c>
      <c r="L2082">
        <v>4575.68</v>
      </c>
      <c r="M2082">
        <v>4525.68</v>
      </c>
      <c r="N2082">
        <v>389095005</v>
      </c>
      <c r="O2082" t="s">
        <v>1191</v>
      </c>
    </row>
    <row r="2083" spans="1:15">
      <c r="A2083" t="s">
        <v>3493</v>
      </c>
      <c r="B2083" s="2">
        <v>43052.119004629632</v>
      </c>
      <c r="C2083" s="2">
        <v>43052.129421296297</v>
      </c>
      <c r="D2083" t="s">
        <v>492</v>
      </c>
      <c r="E2083" t="s">
        <v>1303</v>
      </c>
      <c r="F2083" t="s">
        <v>1304</v>
      </c>
      <c r="G2083" t="s">
        <v>1093</v>
      </c>
      <c r="H2083" t="s">
        <v>1043</v>
      </c>
      <c r="I2083">
        <v>308335008</v>
      </c>
      <c r="J2083" t="s">
        <v>1194</v>
      </c>
      <c r="K2083">
        <v>142.58000000000001</v>
      </c>
      <c r="L2083">
        <v>1250.8499999999999</v>
      </c>
      <c r="M2083">
        <v>1100.8499999999999</v>
      </c>
      <c r="N2083">
        <v>389095005</v>
      </c>
      <c r="O2083" t="s">
        <v>1191</v>
      </c>
    </row>
    <row r="2084" spans="1:15">
      <c r="A2084" t="s">
        <v>3494</v>
      </c>
      <c r="B2084" s="2">
        <v>43143.119004629632</v>
      </c>
      <c r="C2084" s="2">
        <v>43143.129421296297</v>
      </c>
      <c r="D2084" t="s">
        <v>492</v>
      </c>
      <c r="E2084" t="s">
        <v>1303</v>
      </c>
      <c r="F2084" t="s">
        <v>1304</v>
      </c>
      <c r="G2084" t="s">
        <v>1093</v>
      </c>
      <c r="H2084" t="s">
        <v>1043</v>
      </c>
      <c r="I2084">
        <v>308335008</v>
      </c>
      <c r="J2084" t="s">
        <v>1194</v>
      </c>
      <c r="K2084">
        <v>142.58000000000001</v>
      </c>
      <c r="L2084">
        <v>1250.8499999999999</v>
      </c>
      <c r="M2084">
        <v>1200.8499999999999</v>
      </c>
      <c r="N2084">
        <v>389095005</v>
      </c>
      <c r="O2084" t="s">
        <v>1191</v>
      </c>
    </row>
    <row r="2085" spans="1:15">
      <c r="A2085" t="s">
        <v>3495</v>
      </c>
      <c r="B2085" s="2">
        <v>43234.160671296297</v>
      </c>
      <c r="C2085" s="2">
        <v>43234.171087962961</v>
      </c>
      <c r="D2085" t="s">
        <v>492</v>
      </c>
      <c r="E2085" t="s">
        <v>1303</v>
      </c>
      <c r="F2085" t="s">
        <v>1304</v>
      </c>
      <c r="G2085" t="s">
        <v>1093</v>
      </c>
      <c r="H2085" t="s">
        <v>1043</v>
      </c>
      <c r="I2085">
        <v>308335008</v>
      </c>
      <c r="J2085" t="s">
        <v>1194</v>
      </c>
      <c r="K2085">
        <v>142.58000000000001</v>
      </c>
      <c r="L2085">
        <v>1369.33</v>
      </c>
      <c r="M2085">
        <v>1319.33</v>
      </c>
      <c r="N2085">
        <v>389095005</v>
      </c>
      <c r="O2085" t="s">
        <v>1191</v>
      </c>
    </row>
    <row r="2086" spans="1:15">
      <c r="A2086" t="s">
        <v>3496</v>
      </c>
      <c r="B2086" s="2">
        <v>43301.182835648149</v>
      </c>
      <c r="C2086" s="2">
        <v>43301.207141203704</v>
      </c>
      <c r="D2086" t="s">
        <v>492</v>
      </c>
      <c r="E2086" t="s">
        <v>1303</v>
      </c>
      <c r="F2086" t="s">
        <v>1304</v>
      </c>
      <c r="G2086" t="s">
        <v>1093</v>
      </c>
      <c r="H2086" t="s">
        <v>1043</v>
      </c>
      <c r="I2086">
        <v>698314001</v>
      </c>
      <c r="J2086" t="s">
        <v>1190</v>
      </c>
      <c r="K2086">
        <v>142.58000000000001</v>
      </c>
      <c r="L2086">
        <v>4052.91</v>
      </c>
      <c r="M2086">
        <v>4002.91</v>
      </c>
      <c r="N2086">
        <v>389095005</v>
      </c>
      <c r="O2086" t="s">
        <v>1191</v>
      </c>
    </row>
    <row r="2087" spans="1:15">
      <c r="A2087" t="s">
        <v>3497</v>
      </c>
      <c r="B2087" s="2">
        <v>43325.160671296297</v>
      </c>
      <c r="C2087" s="2">
        <v>43325.173888888887</v>
      </c>
      <c r="D2087" t="s">
        <v>492</v>
      </c>
      <c r="E2087" t="s">
        <v>1303</v>
      </c>
      <c r="F2087" t="s">
        <v>1304</v>
      </c>
      <c r="G2087" t="s">
        <v>1093</v>
      </c>
      <c r="H2087" t="s">
        <v>1043</v>
      </c>
      <c r="I2087">
        <v>308335008</v>
      </c>
      <c r="J2087" t="s">
        <v>1194</v>
      </c>
      <c r="K2087">
        <v>142.58000000000001</v>
      </c>
      <c r="L2087">
        <v>4575.68</v>
      </c>
      <c r="M2087">
        <v>4525.68</v>
      </c>
      <c r="N2087">
        <v>389095005</v>
      </c>
      <c r="O2087" t="s">
        <v>1191</v>
      </c>
    </row>
    <row r="2088" spans="1:15">
      <c r="A2088" t="s">
        <v>3498</v>
      </c>
      <c r="B2088" s="2">
        <v>43409.119004629632</v>
      </c>
      <c r="C2088" s="2">
        <v>43409.14403935185</v>
      </c>
      <c r="D2088" t="s">
        <v>492</v>
      </c>
      <c r="E2088" t="s">
        <v>3477</v>
      </c>
      <c r="F2088" t="s">
        <v>3478</v>
      </c>
      <c r="G2088" t="s">
        <v>1093</v>
      </c>
      <c r="H2088" t="s">
        <v>1020</v>
      </c>
      <c r="I2088">
        <v>162673000</v>
      </c>
      <c r="J2088" t="s">
        <v>1021</v>
      </c>
      <c r="K2088">
        <v>136.80000000000001</v>
      </c>
      <c r="L2088">
        <v>1150.44</v>
      </c>
      <c r="M2088">
        <v>1050.44</v>
      </c>
      <c r="O2088" t="s">
        <v>34</v>
      </c>
    </row>
    <row r="2089" spans="1:15">
      <c r="A2089" t="s">
        <v>3499</v>
      </c>
      <c r="B2089" s="2">
        <v>43416.119004629632</v>
      </c>
      <c r="C2089" s="2">
        <v>43416.130416666667</v>
      </c>
      <c r="D2089" t="s">
        <v>492</v>
      </c>
      <c r="E2089" t="s">
        <v>1303</v>
      </c>
      <c r="F2089" t="s">
        <v>1304</v>
      </c>
      <c r="G2089" t="s">
        <v>1093</v>
      </c>
      <c r="H2089" t="s">
        <v>1043</v>
      </c>
      <c r="I2089">
        <v>308335008</v>
      </c>
      <c r="J2089" t="s">
        <v>1194</v>
      </c>
      <c r="K2089">
        <v>142.58000000000001</v>
      </c>
      <c r="L2089">
        <v>1250.8499999999999</v>
      </c>
      <c r="M2089">
        <v>1200.8499999999999</v>
      </c>
      <c r="N2089">
        <v>389095005</v>
      </c>
      <c r="O2089" t="s">
        <v>1191</v>
      </c>
    </row>
    <row r="2090" spans="1:15">
      <c r="A2090" t="s">
        <v>3500</v>
      </c>
      <c r="B2090" s="2">
        <v>43423.119004629632</v>
      </c>
      <c r="C2090" s="2">
        <v>43423.237673611111</v>
      </c>
      <c r="D2090" t="s">
        <v>492</v>
      </c>
      <c r="E2090" t="s">
        <v>1303</v>
      </c>
      <c r="F2090" t="s">
        <v>1304</v>
      </c>
      <c r="G2090" t="s">
        <v>1093</v>
      </c>
      <c r="H2090" t="s">
        <v>1031</v>
      </c>
      <c r="I2090">
        <v>185349003</v>
      </c>
      <c r="J2090" t="s">
        <v>1038</v>
      </c>
      <c r="K2090">
        <v>85.55</v>
      </c>
      <c r="L2090">
        <v>2673.95</v>
      </c>
      <c r="M2090">
        <v>2623.95</v>
      </c>
      <c r="N2090">
        <v>103697008</v>
      </c>
      <c r="O2090" t="s">
        <v>1039</v>
      </c>
    </row>
    <row r="2091" spans="1:15">
      <c r="A2091" t="s">
        <v>3501</v>
      </c>
      <c r="B2091" s="2">
        <v>43507.119004629632</v>
      </c>
      <c r="C2091" s="2">
        <v>43507.129421296297</v>
      </c>
      <c r="D2091" t="s">
        <v>492</v>
      </c>
      <c r="E2091" t="s">
        <v>1303</v>
      </c>
      <c r="F2091" t="s">
        <v>1304</v>
      </c>
      <c r="G2091" t="s">
        <v>1093</v>
      </c>
      <c r="H2091" t="s">
        <v>1043</v>
      </c>
      <c r="I2091">
        <v>308335008</v>
      </c>
      <c r="J2091" t="s">
        <v>1194</v>
      </c>
      <c r="K2091">
        <v>142.58000000000001</v>
      </c>
      <c r="L2091">
        <v>2681.56</v>
      </c>
      <c r="M2091">
        <v>2631.56</v>
      </c>
      <c r="N2091">
        <v>389095005</v>
      </c>
      <c r="O2091" t="s">
        <v>1191</v>
      </c>
    </row>
    <row r="2092" spans="1:15">
      <c r="A2092" t="s">
        <v>3502</v>
      </c>
      <c r="B2092" s="2">
        <v>43598.160671296297</v>
      </c>
      <c r="C2092" s="2">
        <v>43598.174317129633</v>
      </c>
      <c r="D2092" t="s">
        <v>492</v>
      </c>
      <c r="E2092" t="s">
        <v>1303</v>
      </c>
      <c r="F2092" t="s">
        <v>1304</v>
      </c>
      <c r="G2092" t="s">
        <v>1093</v>
      </c>
      <c r="H2092" t="s">
        <v>1043</v>
      </c>
      <c r="I2092">
        <v>308335008</v>
      </c>
      <c r="J2092" t="s">
        <v>1194</v>
      </c>
      <c r="K2092">
        <v>142.58000000000001</v>
      </c>
      <c r="L2092">
        <v>1924.02</v>
      </c>
      <c r="M2092">
        <v>1874.02</v>
      </c>
      <c r="N2092">
        <v>389095005</v>
      </c>
      <c r="O2092" t="s">
        <v>1191</v>
      </c>
    </row>
    <row r="2093" spans="1:15">
      <c r="A2093" t="s">
        <v>3503</v>
      </c>
      <c r="B2093" s="2">
        <v>43689.160671296297</v>
      </c>
      <c r="C2093" s="2">
        <v>43689.171990740739</v>
      </c>
      <c r="D2093" t="s">
        <v>492</v>
      </c>
      <c r="E2093" t="s">
        <v>1303</v>
      </c>
      <c r="F2093" t="s">
        <v>1304</v>
      </c>
      <c r="G2093" t="s">
        <v>1093</v>
      </c>
      <c r="H2093" t="s">
        <v>1043</v>
      </c>
      <c r="I2093">
        <v>308335008</v>
      </c>
      <c r="J2093" t="s">
        <v>1194</v>
      </c>
      <c r="K2093">
        <v>142.58000000000001</v>
      </c>
      <c r="L2093">
        <v>4575.68</v>
      </c>
      <c r="M2093">
        <v>4525.68</v>
      </c>
      <c r="N2093">
        <v>389095005</v>
      </c>
      <c r="O2093" t="s">
        <v>1191</v>
      </c>
    </row>
    <row r="2094" spans="1:15">
      <c r="A2094" t="s">
        <v>3504</v>
      </c>
      <c r="B2094" s="2">
        <v>43780.119004629632</v>
      </c>
      <c r="C2094" s="2">
        <v>43780.129421296297</v>
      </c>
      <c r="D2094" t="s">
        <v>492</v>
      </c>
      <c r="E2094" t="s">
        <v>1303</v>
      </c>
      <c r="F2094" t="s">
        <v>1304</v>
      </c>
      <c r="G2094" t="s">
        <v>1093</v>
      </c>
      <c r="H2094" t="s">
        <v>1043</v>
      </c>
      <c r="I2094">
        <v>308335008</v>
      </c>
      <c r="J2094" t="s">
        <v>1194</v>
      </c>
      <c r="K2094">
        <v>142.58000000000001</v>
      </c>
      <c r="L2094">
        <v>4575.68</v>
      </c>
      <c r="M2094">
        <v>4425.68</v>
      </c>
      <c r="N2094">
        <v>389095005</v>
      </c>
      <c r="O2094" t="s">
        <v>1191</v>
      </c>
    </row>
    <row r="2095" spans="1:15">
      <c r="A2095" t="s">
        <v>3505</v>
      </c>
      <c r="B2095" s="2">
        <v>43871.119004629632</v>
      </c>
      <c r="C2095" s="2">
        <v>43871.131643518522</v>
      </c>
      <c r="D2095" t="s">
        <v>492</v>
      </c>
      <c r="E2095" t="s">
        <v>1303</v>
      </c>
      <c r="F2095" t="s">
        <v>1304</v>
      </c>
      <c r="G2095" t="s">
        <v>1093</v>
      </c>
      <c r="H2095" t="s">
        <v>1043</v>
      </c>
      <c r="I2095">
        <v>308335008</v>
      </c>
      <c r="J2095" t="s">
        <v>1194</v>
      </c>
      <c r="K2095">
        <v>142.58000000000001</v>
      </c>
      <c r="L2095">
        <v>4575.68</v>
      </c>
      <c r="M2095">
        <v>4525.68</v>
      </c>
      <c r="N2095">
        <v>389095005</v>
      </c>
      <c r="O2095" t="s">
        <v>1191</v>
      </c>
    </row>
    <row r="2096" spans="1:15">
      <c r="A2096" t="s">
        <v>3506</v>
      </c>
      <c r="B2096" s="2">
        <v>43962.160671296297</v>
      </c>
      <c r="C2096" s="2">
        <v>43962.173622685186</v>
      </c>
      <c r="D2096" t="s">
        <v>492</v>
      </c>
      <c r="E2096" t="s">
        <v>1303</v>
      </c>
      <c r="F2096" t="s">
        <v>1304</v>
      </c>
      <c r="G2096" t="s">
        <v>1093</v>
      </c>
      <c r="H2096" t="s">
        <v>1043</v>
      </c>
      <c r="I2096">
        <v>308335008</v>
      </c>
      <c r="J2096" t="s">
        <v>1194</v>
      </c>
      <c r="K2096">
        <v>142.58000000000001</v>
      </c>
      <c r="L2096">
        <v>1250.8499999999999</v>
      </c>
      <c r="M2096">
        <v>1200.8499999999999</v>
      </c>
      <c r="N2096">
        <v>389095005</v>
      </c>
      <c r="O2096" t="s">
        <v>1191</v>
      </c>
    </row>
    <row r="2097" spans="1:15">
      <c r="A2097" t="s">
        <v>3507</v>
      </c>
      <c r="B2097" s="2">
        <v>44021.207141203704</v>
      </c>
      <c r="C2097" s="2">
        <v>44021.217557870368</v>
      </c>
      <c r="D2097" t="s">
        <v>492</v>
      </c>
      <c r="E2097" t="s">
        <v>1303</v>
      </c>
      <c r="F2097" t="s">
        <v>1304</v>
      </c>
      <c r="G2097" t="s">
        <v>1093</v>
      </c>
      <c r="H2097" t="s">
        <v>1043</v>
      </c>
      <c r="I2097">
        <v>698314001</v>
      </c>
      <c r="J2097" t="s">
        <v>1190</v>
      </c>
      <c r="K2097">
        <v>142.58000000000001</v>
      </c>
      <c r="L2097">
        <v>142.58000000000001</v>
      </c>
      <c r="M2097">
        <v>92.58</v>
      </c>
      <c r="N2097">
        <v>389095005</v>
      </c>
      <c r="O2097" t="s">
        <v>1191</v>
      </c>
    </row>
    <row r="2098" spans="1:15">
      <c r="A2098" t="s">
        <v>3508</v>
      </c>
      <c r="B2098" s="2">
        <v>44023.582141203704</v>
      </c>
      <c r="C2098" s="2">
        <v>44023.620358796295</v>
      </c>
      <c r="D2098" t="s">
        <v>492</v>
      </c>
      <c r="E2098" t="s">
        <v>1303</v>
      </c>
      <c r="F2098" t="s">
        <v>1304</v>
      </c>
      <c r="G2098" t="s">
        <v>1093</v>
      </c>
      <c r="H2098" t="s">
        <v>1043</v>
      </c>
      <c r="I2098">
        <v>308335008</v>
      </c>
      <c r="J2098" t="s">
        <v>1194</v>
      </c>
      <c r="K2098">
        <v>142.58000000000001</v>
      </c>
      <c r="L2098">
        <v>4052.91</v>
      </c>
      <c r="M2098">
        <v>4002.91</v>
      </c>
      <c r="N2098">
        <v>389095005</v>
      </c>
      <c r="O2098" t="s">
        <v>1191</v>
      </c>
    </row>
    <row r="2099" spans="1:15">
      <c r="A2099" t="s">
        <v>3509</v>
      </c>
      <c r="B2099" s="2">
        <v>44053.160671296297</v>
      </c>
      <c r="C2099" s="2">
        <v>44053.171087962961</v>
      </c>
      <c r="D2099" t="s">
        <v>492</v>
      </c>
      <c r="E2099" t="s">
        <v>1303</v>
      </c>
      <c r="F2099" t="s">
        <v>1304</v>
      </c>
      <c r="G2099" t="s">
        <v>1093</v>
      </c>
      <c r="H2099" t="s">
        <v>1043</v>
      </c>
      <c r="I2099">
        <v>308335008</v>
      </c>
      <c r="J2099" t="s">
        <v>1194</v>
      </c>
      <c r="K2099">
        <v>142.58000000000001</v>
      </c>
      <c r="L2099">
        <v>2870.36</v>
      </c>
      <c r="M2099">
        <v>2820.36</v>
      </c>
      <c r="N2099">
        <v>389095005</v>
      </c>
      <c r="O2099" t="s">
        <v>1191</v>
      </c>
    </row>
    <row r="2100" spans="1:15">
      <c r="A2100" t="s">
        <v>3510</v>
      </c>
      <c r="B2100" s="2">
        <v>44144.119004629632</v>
      </c>
      <c r="C2100" s="2">
        <v>44144.132187499999</v>
      </c>
      <c r="D2100" t="s">
        <v>492</v>
      </c>
      <c r="E2100" t="s">
        <v>1303</v>
      </c>
      <c r="F2100" t="s">
        <v>1304</v>
      </c>
      <c r="G2100" t="s">
        <v>1093</v>
      </c>
      <c r="H2100" t="s">
        <v>1043</v>
      </c>
      <c r="I2100">
        <v>308335008</v>
      </c>
      <c r="J2100" t="s">
        <v>1194</v>
      </c>
      <c r="K2100">
        <v>142.58000000000001</v>
      </c>
      <c r="L2100">
        <v>2681.92</v>
      </c>
      <c r="M2100">
        <v>2531.92</v>
      </c>
      <c r="N2100">
        <v>389095005</v>
      </c>
      <c r="O2100" t="s">
        <v>1191</v>
      </c>
    </row>
    <row r="2101" spans="1:15">
      <c r="A2101" t="s">
        <v>3511</v>
      </c>
      <c r="B2101" s="2">
        <v>44235.119004629632</v>
      </c>
      <c r="C2101" s="2">
        <v>44235.130057870374</v>
      </c>
      <c r="D2101" t="s">
        <v>492</v>
      </c>
      <c r="E2101" t="s">
        <v>1303</v>
      </c>
      <c r="F2101" t="s">
        <v>1304</v>
      </c>
      <c r="G2101" t="s">
        <v>1093</v>
      </c>
      <c r="H2101" t="s">
        <v>1043</v>
      </c>
      <c r="I2101">
        <v>308335008</v>
      </c>
      <c r="J2101" t="s">
        <v>1194</v>
      </c>
      <c r="K2101">
        <v>142.58000000000001</v>
      </c>
      <c r="L2101">
        <v>1250.8499999999999</v>
      </c>
      <c r="M2101">
        <v>1200.8499999999999</v>
      </c>
      <c r="N2101">
        <v>389095005</v>
      </c>
      <c r="O2101" t="s">
        <v>1191</v>
      </c>
    </row>
    <row r="2102" spans="1:15">
      <c r="A2102" t="s">
        <v>3512</v>
      </c>
      <c r="B2102" s="2">
        <v>44326.160671296297</v>
      </c>
      <c r="C2102" s="2">
        <v>44326.172210648147</v>
      </c>
      <c r="D2102" t="s">
        <v>492</v>
      </c>
      <c r="E2102" t="s">
        <v>1303</v>
      </c>
      <c r="F2102" t="s">
        <v>1304</v>
      </c>
      <c r="G2102" t="s">
        <v>1093</v>
      </c>
      <c r="H2102" t="s">
        <v>1043</v>
      </c>
      <c r="I2102">
        <v>308335008</v>
      </c>
      <c r="J2102" t="s">
        <v>1194</v>
      </c>
      <c r="K2102">
        <v>142.58000000000001</v>
      </c>
      <c r="L2102">
        <v>1250.8499999999999</v>
      </c>
      <c r="M2102">
        <v>1200.8499999999999</v>
      </c>
      <c r="N2102">
        <v>389095005</v>
      </c>
      <c r="O2102" t="s">
        <v>1191</v>
      </c>
    </row>
    <row r="2103" spans="1:15">
      <c r="A2103" t="s">
        <v>3513</v>
      </c>
      <c r="B2103" s="2">
        <v>44350.910671296297</v>
      </c>
      <c r="C2103" s="2">
        <v>44350.921087962961</v>
      </c>
      <c r="D2103" t="s">
        <v>492</v>
      </c>
      <c r="E2103" t="s">
        <v>1303</v>
      </c>
      <c r="F2103" t="s">
        <v>1304</v>
      </c>
      <c r="G2103" t="s">
        <v>1093</v>
      </c>
      <c r="H2103" t="s">
        <v>1031</v>
      </c>
      <c r="I2103">
        <v>185345009</v>
      </c>
      <c r="J2103" t="s">
        <v>1032</v>
      </c>
      <c r="K2103">
        <v>85.55</v>
      </c>
      <c r="L2103">
        <v>85.55</v>
      </c>
      <c r="M2103">
        <v>35.549999999999997</v>
      </c>
      <c r="N2103">
        <v>444814009</v>
      </c>
      <c r="O2103" t="s">
        <v>1035</v>
      </c>
    </row>
    <row r="2104" spans="1:15">
      <c r="A2104" t="s">
        <v>3514</v>
      </c>
      <c r="B2104" s="2">
        <v>44417.160671296297</v>
      </c>
      <c r="C2104" s="2">
        <v>44417.171087962961</v>
      </c>
      <c r="D2104" t="s">
        <v>492</v>
      </c>
      <c r="E2104" t="s">
        <v>1303</v>
      </c>
      <c r="F2104" t="s">
        <v>1304</v>
      </c>
      <c r="G2104" t="s">
        <v>1093</v>
      </c>
      <c r="H2104" t="s">
        <v>1043</v>
      </c>
      <c r="I2104">
        <v>33879002</v>
      </c>
      <c r="J2104" t="s">
        <v>1044</v>
      </c>
      <c r="K2104">
        <v>142.58000000000001</v>
      </c>
      <c r="L2104">
        <v>278.58</v>
      </c>
      <c r="M2104">
        <v>228.58</v>
      </c>
      <c r="O2104" t="s">
        <v>34</v>
      </c>
    </row>
    <row r="2105" spans="1:15">
      <c r="A2105" t="s">
        <v>3515</v>
      </c>
      <c r="B2105" s="2">
        <v>44417.160671296297</v>
      </c>
      <c r="C2105" s="2">
        <v>44417.171805555554</v>
      </c>
      <c r="D2105" t="s">
        <v>492</v>
      </c>
      <c r="E2105" t="s">
        <v>1303</v>
      </c>
      <c r="F2105" t="s">
        <v>1304</v>
      </c>
      <c r="G2105" t="s">
        <v>1093</v>
      </c>
      <c r="H2105" t="s">
        <v>1043</v>
      </c>
      <c r="I2105">
        <v>308335008</v>
      </c>
      <c r="J2105" t="s">
        <v>1194</v>
      </c>
      <c r="K2105">
        <v>142.58000000000001</v>
      </c>
      <c r="L2105">
        <v>1250.8499999999999</v>
      </c>
      <c r="M2105">
        <v>1200.8499999999999</v>
      </c>
      <c r="N2105">
        <v>389095005</v>
      </c>
      <c r="O2105" t="s">
        <v>1191</v>
      </c>
    </row>
    <row r="2106" spans="1:15">
      <c r="A2106" t="s">
        <v>3516</v>
      </c>
      <c r="B2106" s="2">
        <v>44438.160671296297</v>
      </c>
      <c r="C2106" s="2">
        <v>44438.171087962961</v>
      </c>
      <c r="D2106" t="s">
        <v>492</v>
      </c>
      <c r="E2106" t="s">
        <v>1303</v>
      </c>
      <c r="F2106" t="s">
        <v>1304</v>
      </c>
      <c r="G2106" t="s">
        <v>1093</v>
      </c>
      <c r="H2106" t="s">
        <v>1043</v>
      </c>
      <c r="I2106">
        <v>33879002</v>
      </c>
      <c r="J2106" t="s">
        <v>1044</v>
      </c>
      <c r="K2106">
        <v>142.58000000000001</v>
      </c>
      <c r="L2106">
        <v>278.58</v>
      </c>
      <c r="M2106">
        <v>228.58</v>
      </c>
      <c r="O2106" t="s">
        <v>34</v>
      </c>
    </row>
    <row r="2107" spans="1:15">
      <c r="A2107" t="s">
        <v>3517</v>
      </c>
      <c r="B2107" s="2">
        <v>44508.119004629632</v>
      </c>
      <c r="C2107" s="2">
        <v>44508.150937500002</v>
      </c>
      <c r="D2107" t="s">
        <v>492</v>
      </c>
      <c r="E2107" t="s">
        <v>3477</v>
      </c>
      <c r="F2107" t="s">
        <v>3478</v>
      </c>
      <c r="G2107" t="s">
        <v>1093</v>
      </c>
      <c r="H2107" t="s">
        <v>1020</v>
      </c>
      <c r="I2107">
        <v>162673000</v>
      </c>
      <c r="J2107" t="s">
        <v>1021</v>
      </c>
      <c r="K2107">
        <v>136.80000000000001</v>
      </c>
      <c r="L2107">
        <v>860.16</v>
      </c>
      <c r="M2107">
        <v>760.16</v>
      </c>
      <c r="O2107" t="s">
        <v>34</v>
      </c>
    </row>
    <row r="2108" spans="1:15">
      <c r="A2108" t="s">
        <v>3518</v>
      </c>
      <c r="B2108" s="2">
        <v>44515.119004629632</v>
      </c>
      <c r="C2108" s="2">
        <v>44515.131099537037</v>
      </c>
      <c r="D2108" t="s">
        <v>492</v>
      </c>
      <c r="E2108" t="s">
        <v>1303</v>
      </c>
      <c r="F2108" t="s">
        <v>1304</v>
      </c>
      <c r="G2108" t="s">
        <v>1093</v>
      </c>
      <c r="H2108" t="s">
        <v>1043</v>
      </c>
      <c r="I2108">
        <v>308335008</v>
      </c>
      <c r="J2108" t="s">
        <v>1194</v>
      </c>
      <c r="K2108">
        <v>142.58000000000001</v>
      </c>
      <c r="L2108">
        <v>1250.8499999999999</v>
      </c>
      <c r="M2108">
        <v>1200.8499999999999</v>
      </c>
      <c r="N2108">
        <v>389095005</v>
      </c>
      <c r="O2108" t="s">
        <v>1191</v>
      </c>
    </row>
    <row r="2109" spans="1:15">
      <c r="A2109" t="s">
        <v>3519</v>
      </c>
      <c r="B2109" s="2">
        <v>44613.119004629632</v>
      </c>
      <c r="C2109" s="2">
        <v>44613.129421296297</v>
      </c>
      <c r="D2109" t="s">
        <v>492</v>
      </c>
      <c r="E2109" t="s">
        <v>1303</v>
      </c>
      <c r="F2109" t="s">
        <v>1304</v>
      </c>
      <c r="G2109" t="s">
        <v>1093</v>
      </c>
      <c r="H2109" t="s">
        <v>1031</v>
      </c>
      <c r="I2109">
        <v>424441002</v>
      </c>
      <c r="J2109" t="s">
        <v>1059</v>
      </c>
      <c r="K2109">
        <v>142.58000000000001</v>
      </c>
      <c r="L2109">
        <v>38128.69</v>
      </c>
      <c r="M2109">
        <v>38078.69</v>
      </c>
      <c r="N2109">
        <v>72892002</v>
      </c>
      <c r="O2109" t="s">
        <v>1060</v>
      </c>
    </row>
    <row r="2110" spans="1:15">
      <c r="A2110" t="s">
        <v>3520</v>
      </c>
      <c r="B2110" s="2">
        <v>44641.160671296297</v>
      </c>
      <c r="C2110" s="2">
        <v>44641.171087962961</v>
      </c>
      <c r="D2110" t="s">
        <v>492</v>
      </c>
      <c r="E2110" t="s">
        <v>1303</v>
      </c>
      <c r="F2110" t="s">
        <v>1304</v>
      </c>
      <c r="G2110" t="s">
        <v>1093</v>
      </c>
      <c r="H2110" t="s">
        <v>1031</v>
      </c>
      <c r="I2110">
        <v>424619006</v>
      </c>
      <c r="J2110" t="s">
        <v>1062</v>
      </c>
      <c r="K2110">
        <v>142.58000000000001</v>
      </c>
      <c r="L2110">
        <v>7542.35</v>
      </c>
      <c r="M2110">
        <v>7492.35</v>
      </c>
      <c r="N2110">
        <v>72892002</v>
      </c>
      <c r="O2110" t="s">
        <v>1060</v>
      </c>
    </row>
    <row r="2111" spans="1:15">
      <c r="A2111" t="s">
        <v>3521</v>
      </c>
      <c r="B2111" s="2">
        <v>44669.160671296297</v>
      </c>
      <c r="C2111" s="2">
        <v>44669.171087962961</v>
      </c>
      <c r="D2111" t="s">
        <v>492</v>
      </c>
      <c r="E2111" t="s">
        <v>1303</v>
      </c>
      <c r="F2111" t="s">
        <v>1304</v>
      </c>
      <c r="G2111" t="s">
        <v>1093</v>
      </c>
      <c r="H2111" t="s">
        <v>1031</v>
      </c>
      <c r="I2111">
        <v>424619006</v>
      </c>
      <c r="J2111" t="s">
        <v>1062</v>
      </c>
      <c r="K2111">
        <v>142.58000000000001</v>
      </c>
      <c r="L2111">
        <v>14486.27</v>
      </c>
      <c r="M2111">
        <v>14436.27</v>
      </c>
      <c r="N2111">
        <v>72892002</v>
      </c>
      <c r="O2111" t="s">
        <v>1060</v>
      </c>
    </row>
    <row r="2112" spans="1:15">
      <c r="A2112" t="s">
        <v>3522</v>
      </c>
      <c r="B2112" s="2">
        <v>44697.160671296297</v>
      </c>
      <c r="C2112" s="2">
        <v>44697.171087962961</v>
      </c>
      <c r="D2112" t="s">
        <v>492</v>
      </c>
      <c r="E2112" t="s">
        <v>1303</v>
      </c>
      <c r="F2112" t="s">
        <v>1304</v>
      </c>
      <c r="G2112" t="s">
        <v>1093</v>
      </c>
      <c r="H2112" t="s">
        <v>1031</v>
      </c>
      <c r="I2112">
        <v>424619006</v>
      </c>
      <c r="J2112" t="s">
        <v>1062</v>
      </c>
      <c r="K2112">
        <v>142.58000000000001</v>
      </c>
      <c r="L2112">
        <v>7545.66</v>
      </c>
      <c r="M2112">
        <v>7495.66</v>
      </c>
      <c r="N2112">
        <v>72892002</v>
      </c>
      <c r="O2112" t="s">
        <v>1060</v>
      </c>
    </row>
    <row r="2113" spans="1:15">
      <c r="A2113" t="s">
        <v>3523</v>
      </c>
      <c r="B2113" s="2">
        <v>44725.160671296297</v>
      </c>
      <c r="C2113" s="2">
        <v>44725.171087962961</v>
      </c>
      <c r="D2113" t="s">
        <v>492</v>
      </c>
      <c r="E2113" t="s">
        <v>1303</v>
      </c>
      <c r="F2113" t="s">
        <v>1304</v>
      </c>
      <c r="G2113" t="s">
        <v>1093</v>
      </c>
      <c r="H2113" t="s">
        <v>1031</v>
      </c>
      <c r="I2113">
        <v>424619006</v>
      </c>
      <c r="J2113" t="s">
        <v>1062</v>
      </c>
      <c r="K2113">
        <v>142.58000000000001</v>
      </c>
      <c r="L2113">
        <v>7166.86</v>
      </c>
      <c r="M2113">
        <v>7116.86</v>
      </c>
      <c r="N2113">
        <v>72892002</v>
      </c>
      <c r="O2113" t="s">
        <v>1060</v>
      </c>
    </row>
    <row r="2114" spans="1:15">
      <c r="A2114" t="s">
        <v>3524</v>
      </c>
      <c r="B2114" s="2">
        <v>44753.160671296297</v>
      </c>
      <c r="C2114" s="2">
        <v>44753.171087962961</v>
      </c>
      <c r="D2114" t="s">
        <v>492</v>
      </c>
      <c r="E2114" t="s">
        <v>1303</v>
      </c>
      <c r="F2114" t="s">
        <v>1304</v>
      </c>
      <c r="G2114" t="s">
        <v>1093</v>
      </c>
      <c r="H2114" t="s">
        <v>1031</v>
      </c>
      <c r="I2114">
        <v>424619006</v>
      </c>
      <c r="J2114" t="s">
        <v>1062</v>
      </c>
      <c r="K2114">
        <v>142.58000000000001</v>
      </c>
      <c r="L2114">
        <v>12930.45</v>
      </c>
      <c r="M2114">
        <v>12880.45</v>
      </c>
      <c r="N2114">
        <v>72892002</v>
      </c>
      <c r="O2114" t="s">
        <v>1060</v>
      </c>
    </row>
    <row r="2115" spans="1:15">
      <c r="A2115" t="s">
        <v>3525</v>
      </c>
      <c r="B2115" s="2">
        <v>44781.160671296297</v>
      </c>
      <c r="C2115" s="2">
        <v>44781.171087962961</v>
      </c>
      <c r="D2115" t="s">
        <v>492</v>
      </c>
      <c r="E2115" t="s">
        <v>1303</v>
      </c>
      <c r="F2115" t="s">
        <v>1304</v>
      </c>
      <c r="G2115" t="s">
        <v>1093</v>
      </c>
      <c r="H2115" t="s">
        <v>1031</v>
      </c>
      <c r="I2115">
        <v>424619006</v>
      </c>
      <c r="J2115" t="s">
        <v>1062</v>
      </c>
      <c r="K2115">
        <v>142.58000000000001</v>
      </c>
      <c r="L2115">
        <v>12511.23</v>
      </c>
      <c r="M2115">
        <v>12461.23</v>
      </c>
      <c r="N2115">
        <v>72892002</v>
      </c>
      <c r="O2115" t="s">
        <v>1060</v>
      </c>
    </row>
    <row r="2116" spans="1:15">
      <c r="A2116" t="s">
        <v>3526</v>
      </c>
      <c r="B2116" s="2">
        <v>44809.160671296297</v>
      </c>
      <c r="C2116" s="2">
        <v>44809.171087962961</v>
      </c>
      <c r="D2116" t="s">
        <v>492</v>
      </c>
      <c r="E2116" t="s">
        <v>1303</v>
      </c>
      <c r="F2116" t="s">
        <v>1304</v>
      </c>
      <c r="G2116" t="s">
        <v>1093</v>
      </c>
      <c r="H2116" t="s">
        <v>1031</v>
      </c>
      <c r="I2116">
        <v>424619006</v>
      </c>
      <c r="J2116" t="s">
        <v>1062</v>
      </c>
      <c r="K2116">
        <v>142.58000000000001</v>
      </c>
      <c r="L2116">
        <v>12230.48</v>
      </c>
      <c r="M2116">
        <v>12180.48</v>
      </c>
      <c r="N2116">
        <v>72892002</v>
      </c>
      <c r="O2116" t="s">
        <v>1060</v>
      </c>
    </row>
    <row r="2117" spans="1:15">
      <c r="A2117" t="s">
        <v>3527</v>
      </c>
      <c r="B2117" s="2">
        <v>44823.160671296297</v>
      </c>
      <c r="C2117" s="2">
        <v>44823.171087962961</v>
      </c>
      <c r="D2117" t="s">
        <v>492</v>
      </c>
      <c r="E2117" t="s">
        <v>1303</v>
      </c>
      <c r="F2117" t="s">
        <v>1304</v>
      </c>
      <c r="G2117" t="s">
        <v>1093</v>
      </c>
      <c r="H2117" t="s">
        <v>1031</v>
      </c>
      <c r="I2117">
        <v>424619006</v>
      </c>
      <c r="J2117" t="s">
        <v>1062</v>
      </c>
      <c r="K2117">
        <v>142.58000000000001</v>
      </c>
      <c r="L2117">
        <v>15515.65</v>
      </c>
      <c r="M2117">
        <v>15465.65</v>
      </c>
      <c r="N2117">
        <v>72892002</v>
      </c>
      <c r="O2117" t="s">
        <v>1060</v>
      </c>
    </row>
    <row r="2118" spans="1:15">
      <c r="A2118" t="s">
        <v>3528</v>
      </c>
      <c r="B2118" s="2">
        <v>44830.160671296297</v>
      </c>
      <c r="C2118" s="2">
        <v>44830.171087962961</v>
      </c>
      <c r="D2118" t="s">
        <v>492</v>
      </c>
      <c r="E2118" t="s">
        <v>1303</v>
      </c>
      <c r="F2118" t="s">
        <v>1304</v>
      </c>
      <c r="G2118" t="s">
        <v>1093</v>
      </c>
      <c r="H2118" t="s">
        <v>1031</v>
      </c>
      <c r="I2118">
        <v>424619006</v>
      </c>
      <c r="J2118" t="s">
        <v>1062</v>
      </c>
      <c r="K2118">
        <v>142.58000000000001</v>
      </c>
      <c r="L2118">
        <v>5212.38</v>
      </c>
      <c r="M2118">
        <v>5162.38</v>
      </c>
      <c r="N2118">
        <v>72892002</v>
      </c>
      <c r="O2118" t="s">
        <v>1060</v>
      </c>
    </row>
    <row r="2119" spans="1:15">
      <c r="A2119" t="s">
        <v>3529</v>
      </c>
      <c r="B2119" s="2">
        <v>44837.160671296297</v>
      </c>
      <c r="C2119" s="2">
        <v>44837.202337962961</v>
      </c>
      <c r="D2119" t="s">
        <v>492</v>
      </c>
      <c r="E2119" t="s">
        <v>3204</v>
      </c>
      <c r="F2119" t="s">
        <v>3205</v>
      </c>
      <c r="G2119" t="s">
        <v>1093</v>
      </c>
      <c r="H2119" t="s">
        <v>1076</v>
      </c>
      <c r="I2119">
        <v>183460006</v>
      </c>
      <c r="J2119" t="s">
        <v>1077</v>
      </c>
      <c r="K2119">
        <v>146.18</v>
      </c>
      <c r="L2119">
        <v>2333.2399999999998</v>
      </c>
      <c r="M2119">
        <v>2283.2399999999998</v>
      </c>
      <c r="N2119">
        <v>72892002</v>
      </c>
      <c r="O2119" t="s">
        <v>1060</v>
      </c>
    </row>
    <row r="2120" spans="1:15">
      <c r="A2120" t="s">
        <v>3530</v>
      </c>
      <c r="B2120" s="2">
        <v>44879.119004629632</v>
      </c>
      <c r="C2120" s="2">
        <v>44879.129421296297</v>
      </c>
      <c r="D2120" t="s">
        <v>492</v>
      </c>
      <c r="E2120" t="s">
        <v>1303</v>
      </c>
      <c r="F2120" t="s">
        <v>1304</v>
      </c>
      <c r="G2120" t="s">
        <v>1093</v>
      </c>
      <c r="H2120" t="s">
        <v>1031</v>
      </c>
      <c r="I2120">
        <v>169762003</v>
      </c>
      <c r="J2120" t="s">
        <v>1079</v>
      </c>
      <c r="K2120">
        <v>142.58000000000001</v>
      </c>
      <c r="L2120">
        <v>1005.38</v>
      </c>
      <c r="M2120">
        <v>855.38</v>
      </c>
      <c r="O2120" t="s">
        <v>34</v>
      </c>
    </row>
    <row r="2121" spans="1:15">
      <c r="A2121" t="s">
        <v>3531</v>
      </c>
      <c r="B2121" s="2">
        <v>44886.119004629632</v>
      </c>
      <c r="C2121" s="2">
        <v>44886.129421296297</v>
      </c>
      <c r="D2121" t="s">
        <v>492</v>
      </c>
      <c r="E2121" t="s">
        <v>1303</v>
      </c>
      <c r="F2121" t="s">
        <v>1304</v>
      </c>
      <c r="G2121" t="s">
        <v>1093</v>
      </c>
      <c r="H2121" t="s">
        <v>1043</v>
      </c>
      <c r="I2121">
        <v>698314001</v>
      </c>
      <c r="J2121" t="s">
        <v>1190</v>
      </c>
      <c r="K2121">
        <v>142.58000000000001</v>
      </c>
      <c r="L2121">
        <v>142.58000000000001</v>
      </c>
      <c r="M2121">
        <v>92.58</v>
      </c>
      <c r="N2121">
        <v>389095005</v>
      </c>
      <c r="O2121" t="s">
        <v>1191</v>
      </c>
    </row>
    <row r="2122" spans="1:15">
      <c r="A2122" t="s">
        <v>3532</v>
      </c>
      <c r="B2122" s="2">
        <v>45246.119004629632</v>
      </c>
      <c r="C2122" s="2">
        <v>45246.129421296297</v>
      </c>
      <c r="D2122" t="s">
        <v>492</v>
      </c>
      <c r="E2122" t="s">
        <v>1303</v>
      </c>
      <c r="F2122" t="s">
        <v>1304</v>
      </c>
      <c r="G2122" t="s">
        <v>1093</v>
      </c>
      <c r="H2122" t="s">
        <v>1043</v>
      </c>
      <c r="I2122">
        <v>698314001</v>
      </c>
      <c r="J2122" t="s">
        <v>1190</v>
      </c>
      <c r="K2122">
        <v>142.58000000000001</v>
      </c>
      <c r="L2122">
        <v>142.58000000000001</v>
      </c>
      <c r="M2122">
        <v>92.58</v>
      </c>
      <c r="N2122">
        <v>389095005</v>
      </c>
      <c r="O2122" t="s">
        <v>1191</v>
      </c>
    </row>
    <row r="2123" spans="1:15">
      <c r="A2123" t="s">
        <v>3533</v>
      </c>
      <c r="B2123" s="2">
        <v>45579.160671296297</v>
      </c>
      <c r="C2123" s="2">
        <v>45579.196701388886</v>
      </c>
      <c r="D2123" t="s">
        <v>492</v>
      </c>
      <c r="E2123" t="s">
        <v>3477</v>
      </c>
      <c r="F2123" t="s">
        <v>3478</v>
      </c>
      <c r="G2123" t="s">
        <v>1093</v>
      </c>
      <c r="H2123" t="s">
        <v>1020</v>
      </c>
      <c r="I2123">
        <v>162673000</v>
      </c>
      <c r="J2123" t="s">
        <v>1021</v>
      </c>
      <c r="K2123">
        <v>136.80000000000001</v>
      </c>
      <c r="L2123">
        <v>1852.16</v>
      </c>
      <c r="M2123">
        <v>1752.16</v>
      </c>
      <c r="O2123" t="s">
        <v>34</v>
      </c>
    </row>
    <row r="2124" spans="1:15">
      <c r="A2124" t="s">
        <v>3534</v>
      </c>
      <c r="B2124" s="2">
        <v>45593.160671296297</v>
      </c>
      <c r="C2124" s="2">
        <v>45593.318923611114</v>
      </c>
      <c r="D2124" t="s">
        <v>492</v>
      </c>
      <c r="E2124" t="s">
        <v>1303</v>
      </c>
      <c r="F2124" t="s">
        <v>1304</v>
      </c>
      <c r="G2124" t="s">
        <v>1093</v>
      </c>
      <c r="H2124" t="s">
        <v>1031</v>
      </c>
      <c r="I2124">
        <v>185349003</v>
      </c>
      <c r="J2124" t="s">
        <v>1038</v>
      </c>
      <c r="K2124">
        <v>85.55</v>
      </c>
      <c r="L2124">
        <v>3536.75</v>
      </c>
      <c r="M2124">
        <v>3486.75</v>
      </c>
      <c r="N2124">
        <v>103697008</v>
      </c>
      <c r="O2124" t="s">
        <v>1039</v>
      </c>
    </row>
    <row r="2125" spans="1:15">
      <c r="A2125" t="s">
        <v>3535</v>
      </c>
      <c r="B2125" s="2">
        <v>45670.119004629632</v>
      </c>
      <c r="C2125" s="2">
        <v>45670.129421296297</v>
      </c>
      <c r="D2125" t="s">
        <v>492</v>
      </c>
      <c r="E2125" t="s">
        <v>1303</v>
      </c>
      <c r="F2125" t="s">
        <v>1304</v>
      </c>
      <c r="G2125" t="s">
        <v>1093</v>
      </c>
      <c r="H2125" t="s">
        <v>1031</v>
      </c>
      <c r="I2125">
        <v>424441002</v>
      </c>
      <c r="J2125" t="s">
        <v>1059</v>
      </c>
      <c r="K2125">
        <v>142.58000000000001</v>
      </c>
      <c r="L2125">
        <v>49612.87</v>
      </c>
      <c r="M2125">
        <v>49562.87</v>
      </c>
      <c r="N2125">
        <v>72892002</v>
      </c>
      <c r="O2125" t="s">
        <v>1060</v>
      </c>
    </row>
    <row r="2126" spans="1:15">
      <c r="A2126" t="s">
        <v>3536</v>
      </c>
      <c r="B2126" s="2">
        <v>45698.119004629632</v>
      </c>
      <c r="C2126" s="2">
        <v>45698.129421296297</v>
      </c>
      <c r="D2126" t="s">
        <v>492</v>
      </c>
      <c r="E2126" t="s">
        <v>1303</v>
      </c>
      <c r="F2126" t="s">
        <v>1304</v>
      </c>
      <c r="G2126" t="s">
        <v>1093</v>
      </c>
      <c r="H2126" t="s">
        <v>1031</v>
      </c>
      <c r="I2126">
        <v>424619006</v>
      </c>
      <c r="J2126" t="s">
        <v>1062</v>
      </c>
      <c r="K2126">
        <v>142.58000000000001</v>
      </c>
      <c r="L2126">
        <v>5660.4</v>
      </c>
      <c r="M2126">
        <v>5610.4</v>
      </c>
      <c r="N2126">
        <v>72892002</v>
      </c>
      <c r="O2126" t="s">
        <v>1060</v>
      </c>
    </row>
    <row r="2127" spans="1:15">
      <c r="A2127" t="s">
        <v>3537</v>
      </c>
      <c r="B2127" s="2">
        <v>45726.160671296297</v>
      </c>
      <c r="C2127" s="2">
        <v>45726.171087962961</v>
      </c>
      <c r="D2127" t="s">
        <v>492</v>
      </c>
      <c r="E2127" t="s">
        <v>1303</v>
      </c>
      <c r="F2127" t="s">
        <v>1304</v>
      </c>
      <c r="G2127" t="s">
        <v>1093</v>
      </c>
      <c r="H2127" t="s">
        <v>1031</v>
      </c>
      <c r="I2127">
        <v>424619006</v>
      </c>
      <c r="J2127" t="s">
        <v>1062</v>
      </c>
      <c r="K2127">
        <v>142.58000000000001</v>
      </c>
      <c r="L2127">
        <v>6689.8</v>
      </c>
      <c r="M2127">
        <v>6639.8</v>
      </c>
      <c r="N2127">
        <v>72892002</v>
      </c>
      <c r="O2127" t="s">
        <v>1060</v>
      </c>
    </row>
    <row r="2128" spans="1:15">
      <c r="A2128" t="s">
        <v>3538</v>
      </c>
      <c r="B2128" s="2">
        <v>45754.160671296297</v>
      </c>
      <c r="C2128" s="2">
        <v>45754.171087962961</v>
      </c>
      <c r="D2128" t="s">
        <v>492</v>
      </c>
      <c r="E2128" t="s">
        <v>1303</v>
      </c>
      <c r="F2128" t="s">
        <v>1304</v>
      </c>
      <c r="G2128" t="s">
        <v>1093</v>
      </c>
      <c r="H2128" t="s">
        <v>1031</v>
      </c>
      <c r="I2128">
        <v>424619006</v>
      </c>
      <c r="J2128" t="s">
        <v>1062</v>
      </c>
      <c r="K2128">
        <v>142.58000000000001</v>
      </c>
      <c r="L2128">
        <v>12704.7</v>
      </c>
      <c r="M2128">
        <v>12654.7</v>
      </c>
      <c r="N2128">
        <v>72892002</v>
      </c>
      <c r="O2128" t="s">
        <v>1060</v>
      </c>
    </row>
    <row r="2129" spans="1:15">
      <c r="A2129" t="s">
        <v>3539</v>
      </c>
      <c r="B2129" s="2">
        <v>45782.160671296297</v>
      </c>
      <c r="C2129" s="2">
        <v>45782.171087962961</v>
      </c>
      <c r="D2129" t="s">
        <v>492</v>
      </c>
      <c r="E2129" t="s">
        <v>1303</v>
      </c>
      <c r="F2129" t="s">
        <v>1304</v>
      </c>
      <c r="G2129" t="s">
        <v>1093</v>
      </c>
      <c r="H2129" t="s">
        <v>1031</v>
      </c>
      <c r="I2129">
        <v>424619006</v>
      </c>
      <c r="J2129" t="s">
        <v>1062</v>
      </c>
      <c r="K2129">
        <v>142.58000000000001</v>
      </c>
      <c r="L2129">
        <v>9034.32</v>
      </c>
      <c r="M2129">
        <v>8984.32</v>
      </c>
      <c r="N2129">
        <v>72892002</v>
      </c>
      <c r="O2129" t="s">
        <v>1060</v>
      </c>
    </row>
    <row r="2130" spans="1:15">
      <c r="A2130" t="s">
        <v>3540</v>
      </c>
      <c r="B2130" s="2">
        <v>45810.160671296297</v>
      </c>
      <c r="C2130" s="2">
        <v>45810.171087962961</v>
      </c>
      <c r="D2130" t="s">
        <v>492</v>
      </c>
      <c r="E2130" t="s">
        <v>1303</v>
      </c>
      <c r="F2130" t="s">
        <v>1304</v>
      </c>
      <c r="G2130" t="s">
        <v>1093</v>
      </c>
      <c r="H2130" t="s">
        <v>1031</v>
      </c>
      <c r="I2130">
        <v>424619006</v>
      </c>
      <c r="J2130" t="s">
        <v>1062</v>
      </c>
      <c r="K2130">
        <v>142.58000000000001</v>
      </c>
      <c r="L2130">
        <v>18285.55</v>
      </c>
      <c r="M2130">
        <v>18235.55</v>
      </c>
      <c r="N2130">
        <v>72892002</v>
      </c>
      <c r="O2130" t="s">
        <v>1060</v>
      </c>
    </row>
    <row r="2131" spans="1:15">
      <c r="A2131" t="s">
        <v>3541</v>
      </c>
      <c r="B2131" s="2">
        <v>45838.160671296297</v>
      </c>
      <c r="C2131" s="2">
        <v>45838.171087962961</v>
      </c>
      <c r="D2131" t="s">
        <v>492</v>
      </c>
      <c r="E2131" t="s">
        <v>1303</v>
      </c>
      <c r="F2131" t="s">
        <v>1304</v>
      </c>
      <c r="G2131" t="s">
        <v>1093</v>
      </c>
      <c r="H2131" t="s">
        <v>1031</v>
      </c>
      <c r="I2131">
        <v>424619006</v>
      </c>
      <c r="J2131" t="s">
        <v>1062</v>
      </c>
      <c r="K2131">
        <v>142.58000000000001</v>
      </c>
      <c r="L2131">
        <v>7104.45</v>
      </c>
      <c r="M2131">
        <v>7054.45</v>
      </c>
      <c r="N2131">
        <v>72892002</v>
      </c>
      <c r="O2131" t="s">
        <v>1060</v>
      </c>
    </row>
    <row r="2132" spans="1:15">
      <c r="A2132" t="s">
        <v>3542</v>
      </c>
      <c r="B2132" s="2">
        <v>45866.160671296297</v>
      </c>
      <c r="C2132" s="2">
        <v>45866.171087962961</v>
      </c>
      <c r="D2132" t="s">
        <v>492</v>
      </c>
      <c r="E2132" t="s">
        <v>1303</v>
      </c>
      <c r="F2132" t="s">
        <v>1304</v>
      </c>
      <c r="G2132" t="s">
        <v>1093</v>
      </c>
      <c r="H2132" t="s">
        <v>1031</v>
      </c>
      <c r="I2132">
        <v>424619006</v>
      </c>
      <c r="J2132" t="s">
        <v>1062</v>
      </c>
      <c r="K2132">
        <v>142.58000000000001</v>
      </c>
      <c r="L2132">
        <v>5528.76</v>
      </c>
      <c r="M2132">
        <v>5478.76</v>
      </c>
      <c r="N2132">
        <v>72892002</v>
      </c>
      <c r="O2132" t="s">
        <v>1060</v>
      </c>
    </row>
    <row r="2133" spans="1:15">
      <c r="A2133" t="s">
        <v>3543</v>
      </c>
      <c r="B2133" s="2">
        <v>45880.160671296297</v>
      </c>
      <c r="C2133" s="2">
        <v>45880.171087962961</v>
      </c>
      <c r="D2133" t="s">
        <v>492</v>
      </c>
      <c r="E2133" t="s">
        <v>1303</v>
      </c>
      <c r="F2133" t="s">
        <v>1304</v>
      </c>
      <c r="G2133" t="s">
        <v>1093</v>
      </c>
      <c r="H2133" t="s">
        <v>1031</v>
      </c>
      <c r="I2133">
        <v>424619006</v>
      </c>
      <c r="J2133" t="s">
        <v>1062</v>
      </c>
      <c r="K2133">
        <v>142.58000000000001</v>
      </c>
      <c r="L2133">
        <v>5743.6</v>
      </c>
      <c r="M2133">
        <v>5693.6</v>
      </c>
      <c r="N2133">
        <v>72892002</v>
      </c>
      <c r="O2133" t="s">
        <v>1060</v>
      </c>
    </row>
    <row r="2134" spans="1:15">
      <c r="A2134" t="s">
        <v>3544</v>
      </c>
      <c r="B2134" s="2">
        <v>45887.160671296297</v>
      </c>
      <c r="C2134" s="2">
        <v>45887.202337962961</v>
      </c>
      <c r="D2134" t="s">
        <v>492</v>
      </c>
      <c r="E2134" t="s">
        <v>3204</v>
      </c>
      <c r="F2134" t="s">
        <v>3205</v>
      </c>
      <c r="G2134" t="s">
        <v>1093</v>
      </c>
      <c r="H2134" t="s">
        <v>1076</v>
      </c>
      <c r="I2134">
        <v>183460006</v>
      </c>
      <c r="J2134" t="s">
        <v>1077</v>
      </c>
      <c r="K2134">
        <v>146.18</v>
      </c>
      <c r="L2134">
        <v>13388.46</v>
      </c>
      <c r="M2134">
        <v>13338.46</v>
      </c>
      <c r="N2134">
        <v>72892002</v>
      </c>
      <c r="O2134" t="s">
        <v>1060</v>
      </c>
    </row>
    <row r="2135" spans="1:15">
      <c r="A2135" t="s">
        <v>3545</v>
      </c>
      <c r="B2135" s="2">
        <v>45929.160671296297</v>
      </c>
      <c r="C2135" s="2">
        <v>45929.171087962961</v>
      </c>
      <c r="D2135" t="s">
        <v>492</v>
      </c>
      <c r="E2135" t="s">
        <v>1303</v>
      </c>
      <c r="F2135" t="s">
        <v>1304</v>
      </c>
      <c r="G2135" t="s">
        <v>1093</v>
      </c>
      <c r="H2135" t="s">
        <v>1031</v>
      </c>
      <c r="I2135">
        <v>169762003</v>
      </c>
      <c r="J2135" t="s">
        <v>1079</v>
      </c>
      <c r="K2135">
        <v>142.58000000000001</v>
      </c>
      <c r="L2135">
        <v>1005.38</v>
      </c>
      <c r="M2135">
        <v>955.38</v>
      </c>
      <c r="O2135" t="s">
        <v>34</v>
      </c>
    </row>
    <row r="2136" spans="1:15">
      <c r="A2136" t="s">
        <v>3546</v>
      </c>
      <c r="B2136" s="2">
        <v>45966.119004629632</v>
      </c>
      <c r="C2136" s="2">
        <v>45966.129421296297</v>
      </c>
      <c r="D2136" t="s">
        <v>492</v>
      </c>
      <c r="E2136" t="s">
        <v>1303</v>
      </c>
      <c r="F2136" t="s">
        <v>1304</v>
      </c>
      <c r="G2136" t="s">
        <v>1093</v>
      </c>
      <c r="H2136" t="s">
        <v>1043</v>
      </c>
      <c r="I2136">
        <v>698314001</v>
      </c>
      <c r="J2136" t="s">
        <v>1190</v>
      </c>
      <c r="K2136">
        <v>142.58000000000001</v>
      </c>
      <c r="L2136">
        <v>142.58000000000001</v>
      </c>
      <c r="M2136">
        <v>92.58</v>
      </c>
      <c r="N2136">
        <v>389095005</v>
      </c>
      <c r="O2136" t="s">
        <v>1191</v>
      </c>
    </row>
    <row r="2137" spans="1:15">
      <c r="A2137" t="s">
        <v>3547</v>
      </c>
      <c r="B2137" s="2">
        <v>41390.957291666666</v>
      </c>
      <c r="C2137" s="2">
        <v>41390.980439814812</v>
      </c>
      <c r="D2137" t="s">
        <v>500</v>
      </c>
      <c r="E2137" t="s">
        <v>3548</v>
      </c>
      <c r="F2137" t="s">
        <v>3549</v>
      </c>
      <c r="G2137" t="s">
        <v>1561</v>
      </c>
      <c r="H2137" t="s">
        <v>1020</v>
      </c>
      <c r="I2137">
        <v>162673000</v>
      </c>
      <c r="J2137" t="s">
        <v>1021</v>
      </c>
      <c r="K2137">
        <v>136.80000000000001</v>
      </c>
      <c r="L2137">
        <v>919.9</v>
      </c>
      <c r="M2137">
        <v>0</v>
      </c>
      <c r="O2137" t="s">
        <v>34</v>
      </c>
    </row>
    <row r="2138" spans="1:15">
      <c r="A2138" t="s">
        <v>3550</v>
      </c>
      <c r="B2138" s="2">
        <v>41761.957291666666</v>
      </c>
      <c r="C2138" s="2">
        <v>41761.993425925924</v>
      </c>
      <c r="D2138" t="s">
        <v>500</v>
      </c>
      <c r="E2138" t="s">
        <v>3548</v>
      </c>
      <c r="F2138" t="s">
        <v>3549</v>
      </c>
      <c r="G2138" t="s">
        <v>1561</v>
      </c>
      <c r="H2138" t="s">
        <v>1020</v>
      </c>
      <c r="I2138">
        <v>162673000</v>
      </c>
      <c r="J2138" t="s">
        <v>1021</v>
      </c>
      <c r="K2138">
        <v>136.80000000000001</v>
      </c>
      <c r="L2138">
        <v>1431</v>
      </c>
      <c r="M2138">
        <v>0</v>
      </c>
      <c r="O2138" t="s">
        <v>34</v>
      </c>
    </row>
    <row r="2139" spans="1:15">
      <c r="A2139" t="s">
        <v>3551</v>
      </c>
      <c r="B2139" s="2">
        <v>42860.957291666666</v>
      </c>
      <c r="C2139" s="2">
        <v>42860.986296296294</v>
      </c>
      <c r="D2139" t="s">
        <v>500</v>
      </c>
      <c r="E2139" t="s">
        <v>3548</v>
      </c>
      <c r="F2139" t="s">
        <v>3549</v>
      </c>
      <c r="G2139" t="s">
        <v>1561</v>
      </c>
      <c r="H2139" t="s">
        <v>1020</v>
      </c>
      <c r="I2139">
        <v>162673000</v>
      </c>
      <c r="J2139" t="s">
        <v>1021</v>
      </c>
      <c r="K2139">
        <v>136.80000000000001</v>
      </c>
      <c r="L2139">
        <v>1186.78</v>
      </c>
      <c r="M2139">
        <v>0</v>
      </c>
      <c r="O2139" t="s">
        <v>34</v>
      </c>
    </row>
    <row r="2140" spans="1:15">
      <c r="A2140" t="s">
        <v>3552</v>
      </c>
      <c r="B2140" s="2">
        <v>43468.935520833336</v>
      </c>
      <c r="C2140" s="2">
        <v>43468.945937500001</v>
      </c>
      <c r="D2140" t="s">
        <v>500</v>
      </c>
      <c r="E2140" t="s">
        <v>3553</v>
      </c>
      <c r="F2140" t="s">
        <v>3554</v>
      </c>
      <c r="G2140" t="s">
        <v>1561</v>
      </c>
      <c r="H2140" t="s">
        <v>1031</v>
      </c>
      <c r="I2140">
        <v>185347001</v>
      </c>
      <c r="J2140" t="s">
        <v>1124</v>
      </c>
      <c r="K2140">
        <v>85.55</v>
      </c>
      <c r="L2140">
        <v>85.55</v>
      </c>
      <c r="M2140">
        <v>0</v>
      </c>
      <c r="N2140">
        <v>307731004</v>
      </c>
      <c r="O2140" t="s">
        <v>1902</v>
      </c>
    </row>
    <row r="2141" spans="1:15">
      <c r="A2141" t="s">
        <v>3555</v>
      </c>
      <c r="B2141" s="2">
        <v>43556.977187500001</v>
      </c>
      <c r="C2141" s="2">
        <v>43556.987604166665</v>
      </c>
      <c r="D2141" t="s">
        <v>500</v>
      </c>
      <c r="E2141" t="s">
        <v>3553</v>
      </c>
      <c r="F2141" t="s">
        <v>3554</v>
      </c>
      <c r="G2141" t="s">
        <v>1561</v>
      </c>
      <c r="H2141" t="s">
        <v>1031</v>
      </c>
      <c r="I2141">
        <v>185349003</v>
      </c>
      <c r="J2141" t="s">
        <v>1038</v>
      </c>
      <c r="K2141">
        <v>85.55</v>
      </c>
      <c r="L2141">
        <v>85.55</v>
      </c>
      <c r="M2141">
        <v>0</v>
      </c>
      <c r="N2141">
        <v>307731004</v>
      </c>
      <c r="O2141" t="s">
        <v>1902</v>
      </c>
    </row>
    <row r="2142" spans="1:15">
      <c r="A2142" t="s">
        <v>3556</v>
      </c>
      <c r="B2142" s="2">
        <v>43814.040625000001</v>
      </c>
      <c r="C2142" s="2">
        <v>43814.051041666666</v>
      </c>
      <c r="D2142" t="s">
        <v>500</v>
      </c>
      <c r="E2142" t="s">
        <v>3553</v>
      </c>
      <c r="F2142" t="s">
        <v>3554</v>
      </c>
      <c r="G2142" t="s">
        <v>1561</v>
      </c>
      <c r="H2142" t="s">
        <v>1031</v>
      </c>
      <c r="I2142">
        <v>185345009</v>
      </c>
      <c r="J2142" t="s">
        <v>1032</v>
      </c>
      <c r="K2142">
        <v>85.55</v>
      </c>
      <c r="L2142">
        <v>85.55</v>
      </c>
      <c r="M2142">
        <v>0</v>
      </c>
      <c r="N2142">
        <v>43878008</v>
      </c>
      <c r="O2142" t="s">
        <v>1217</v>
      </c>
    </row>
    <row r="2143" spans="1:15">
      <c r="A2143" t="s">
        <v>3557</v>
      </c>
      <c r="B2143" s="2">
        <v>43959.957291666666</v>
      </c>
      <c r="C2143" s="2">
        <v>43959.99628472222</v>
      </c>
      <c r="D2143" t="s">
        <v>500</v>
      </c>
      <c r="E2143" t="s">
        <v>3548</v>
      </c>
      <c r="F2143" t="s">
        <v>3549</v>
      </c>
      <c r="G2143" t="s">
        <v>1561</v>
      </c>
      <c r="H2143" t="s">
        <v>1020</v>
      </c>
      <c r="I2143">
        <v>162673000</v>
      </c>
      <c r="J2143" t="s">
        <v>1021</v>
      </c>
      <c r="K2143">
        <v>136.80000000000001</v>
      </c>
      <c r="L2143">
        <v>704.2</v>
      </c>
      <c r="M2143">
        <v>0</v>
      </c>
      <c r="O2143" t="s">
        <v>34</v>
      </c>
    </row>
    <row r="2144" spans="1:15">
      <c r="A2144" t="s">
        <v>3558</v>
      </c>
      <c r="B2144" s="2">
        <v>43973.957291666666</v>
      </c>
      <c r="C2144" s="2">
        <v>43974.099780092591</v>
      </c>
      <c r="D2144" t="s">
        <v>500</v>
      </c>
      <c r="E2144" t="s">
        <v>3553</v>
      </c>
      <c r="F2144" t="s">
        <v>3554</v>
      </c>
      <c r="G2144" t="s">
        <v>1561</v>
      </c>
      <c r="H2144" t="s">
        <v>1031</v>
      </c>
      <c r="I2144">
        <v>185349003</v>
      </c>
      <c r="J2144" t="s">
        <v>1038</v>
      </c>
      <c r="K2144">
        <v>85.55</v>
      </c>
      <c r="L2144">
        <v>3105.35</v>
      </c>
      <c r="M2144">
        <v>0</v>
      </c>
      <c r="N2144">
        <v>66383009</v>
      </c>
      <c r="O2144" t="s">
        <v>1209</v>
      </c>
    </row>
    <row r="2145" spans="1:15">
      <c r="A2145" t="s">
        <v>3559</v>
      </c>
      <c r="B2145" s="2">
        <v>44428.957291666666</v>
      </c>
      <c r="C2145" s="2">
        <v>44428.96770833333</v>
      </c>
      <c r="D2145" t="s">
        <v>500</v>
      </c>
      <c r="E2145" t="s">
        <v>3553</v>
      </c>
      <c r="F2145" t="s">
        <v>3554</v>
      </c>
      <c r="G2145" t="s">
        <v>1561</v>
      </c>
      <c r="H2145" t="s">
        <v>1043</v>
      </c>
      <c r="I2145">
        <v>33879002</v>
      </c>
      <c r="J2145" t="s">
        <v>1044</v>
      </c>
      <c r="K2145">
        <v>142.58000000000001</v>
      </c>
      <c r="L2145">
        <v>278.58</v>
      </c>
      <c r="M2145">
        <v>0</v>
      </c>
      <c r="O2145" t="s">
        <v>34</v>
      </c>
    </row>
    <row r="2146" spans="1:15">
      <c r="A2146" t="s">
        <v>3560</v>
      </c>
      <c r="B2146" s="2">
        <v>44619.935520833336</v>
      </c>
      <c r="C2146" s="2">
        <v>44619.977187500001</v>
      </c>
      <c r="D2146" t="s">
        <v>500</v>
      </c>
      <c r="E2146" t="s">
        <v>3553</v>
      </c>
      <c r="F2146" t="s">
        <v>3554</v>
      </c>
      <c r="G2146" t="s">
        <v>1561</v>
      </c>
      <c r="H2146" t="s">
        <v>1076</v>
      </c>
      <c r="I2146">
        <v>50849002</v>
      </c>
      <c r="J2146" t="s">
        <v>1163</v>
      </c>
      <c r="K2146">
        <v>146.18</v>
      </c>
      <c r="L2146">
        <v>146.18</v>
      </c>
      <c r="M2146">
        <v>0</v>
      </c>
      <c r="N2146">
        <v>384709000</v>
      </c>
      <c r="O2146" t="s">
        <v>1164</v>
      </c>
    </row>
    <row r="2147" spans="1:15">
      <c r="A2147" t="s">
        <v>3561</v>
      </c>
      <c r="B2147" s="2">
        <v>44989.915625000001</v>
      </c>
      <c r="C2147" s="2">
        <v>44989.926041666666</v>
      </c>
      <c r="D2147" t="s">
        <v>500</v>
      </c>
      <c r="E2147" t="s">
        <v>3553</v>
      </c>
      <c r="F2147" t="s">
        <v>3554</v>
      </c>
      <c r="G2147" t="s">
        <v>1561</v>
      </c>
      <c r="H2147" t="s">
        <v>1031</v>
      </c>
      <c r="I2147">
        <v>185345009</v>
      </c>
      <c r="J2147" t="s">
        <v>1032</v>
      </c>
      <c r="K2147">
        <v>85.55</v>
      </c>
      <c r="L2147">
        <v>85.55</v>
      </c>
      <c r="M2147">
        <v>0</v>
      </c>
      <c r="N2147">
        <v>444814009</v>
      </c>
      <c r="O2147" t="s">
        <v>1035</v>
      </c>
    </row>
    <row r="2148" spans="1:15">
      <c r="A2148" t="s">
        <v>3562</v>
      </c>
      <c r="B2148" s="2">
        <v>45058.957291666666</v>
      </c>
      <c r="C2148" s="2">
        <v>45058.990717592591</v>
      </c>
      <c r="D2148" t="s">
        <v>500</v>
      </c>
      <c r="E2148" t="s">
        <v>3548</v>
      </c>
      <c r="F2148" t="s">
        <v>3549</v>
      </c>
      <c r="G2148" t="s">
        <v>1561</v>
      </c>
      <c r="H2148" t="s">
        <v>1020</v>
      </c>
      <c r="I2148">
        <v>162673000</v>
      </c>
      <c r="J2148" t="s">
        <v>1021</v>
      </c>
      <c r="K2148">
        <v>136.80000000000001</v>
      </c>
      <c r="L2148">
        <v>778.78</v>
      </c>
      <c r="M2148">
        <v>0</v>
      </c>
      <c r="O2148" t="s">
        <v>34</v>
      </c>
    </row>
    <row r="2149" spans="1:15">
      <c r="A2149" t="s">
        <v>3563</v>
      </c>
      <c r="B2149" s="2">
        <v>45072.957291666666</v>
      </c>
      <c r="C2149" s="2">
        <v>45073.082719907405</v>
      </c>
      <c r="D2149" t="s">
        <v>500</v>
      </c>
      <c r="E2149" t="s">
        <v>3553</v>
      </c>
      <c r="F2149" t="s">
        <v>3554</v>
      </c>
      <c r="G2149" t="s">
        <v>1561</v>
      </c>
      <c r="H2149" t="s">
        <v>1031</v>
      </c>
      <c r="I2149">
        <v>185349003</v>
      </c>
      <c r="J2149" t="s">
        <v>1038</v>
      </c>
      <c r="K2149">
        <v>85.55</v>
      </c>
      <c r="L2149">
        <v>3105.35</v>
      </c>
      <c r="M2149">
        <v>0</v>
      </c>
      <c r="N2149">
        <v>103697008</v>
      </c>
      <c r="O2149" t="s">
        <v>1039</v>
      </c>
    </row>
    <row r="2150" spans="1:15">
      <c r="A2150" t="s">
        <v>3564</v>
      </c>
      <c r="B2150" s="2">
        <v>46157.957291666666</v>
      </c>
      <c r="C2150" s="2">
        <v>46157.991631944446</v>
      </c>
      <c r="D2150" t="s">
        <v>500</v>
      </c>
      <c r="E2150" t="s">
        <v>3548</v>
      </c>
      <c r="F2150" t="s">
        <v>3549</v>
      </c>
      <c r="G2150" t="s">
        <v>1561</v>
      </c>
      <c r="H2150" t="s">
        <v>1020</v>
      </c>
      <c r="I2150">
        <v>162673000</v>
      </c>
      <c r="J2150" t="s">
        <v>1021</v>
      </c>
      <c r="K2150">
        <v>136.80000000000001</v>
      </c>
      <c r="L2150">
        <v>1777.58</v>
      </c>
      <c r="M2150">
        <v>0</v>
      </c>
      <c r="O2150" t="s">
        <v>34</v>
      </c>
    </row>
    <row r="2151" spans="1:15">
      <c r="A2151" t="s">
        <v>3565</v>
      </c>
      <c r="B2151" s="2">
        <v>46171.957291666666</v>
      </c>
      <c r="C2151" s="2">
        <v>46172.195821759262</v>
      </c>
      <c r="D2151" t="s">
        <v>500</v>
      </c>
      <c r="E2151" t="s">
        <v>3553</v>
      </c>
      <c r="F2151" t="s">
        <v>3554</v>
      </c>
      <c r="G2151" t="s">
        <v>1561</v>
      </c>
      <c r="H2151" t="s">
        <v>1031</v>
      </c>
      <c r="I2151">
        <v>185349003</v>
      </c>
      <c r="J2151" t="s">
        <v>1038</v>
      </c>
      <c r="K2151">
        <v>85.55</v>
      </c>
      <c r="L2151">
        <v>4830.95</v>
      </c>
      <c r="M2151">
        <v>1475.97</v>
      </c>
      <c r="N2151">
        <v>66383009</v>
      </c>
      <c r="O2151" t="s">
        <v>1209</v>
      </c>
    </row>
    <row r="2152" spans="1:15">
      <c r="A2152" t="s">
        <v>3566</v>
      </c>
      <c r="B2152" s="2">
        <v>30180.811898148149</v>
      </c>
      <c r="C2152" s="2">
        <v>30180.848564814816</v>
      </c>
      <c r="D2152" t="s">
        <v>510</v>
      </c>
      <c r="E2152" t="s">
        <v>1280</v>
      </c>
      <c r="F2152" t="s">
        <v>1281</v>
      </c>
      <c r="G2152" t="s">
        <v>1019</v>
      </c>
      <c r="H2152" t="s">
        <v>1020</v>
      </c>
      <c r="I2152">
        <v>162673000</v>
      </c>
      <c r="J2152" t="s">
        <v>1021</v>
      </c>
      <c r="K2152">
        <v>136.80000000000001</v>
      </c>
      <c r="L2152">
        <v>919.9</v>
      </c>
      <c r="M2152">
        <v>0</v>
      </c>
      <c r="O2152" t="s">
        <v>34</v>
      </c>
    </row>
    <row r="2153" spans="1:15">
      <c r="A2153" t="s">
        <v>3567</v>
      </c>
      <c r="B2153" s="2">
        <v>32286.103564814814</v>
      </c>
      <c r="C2153" s="2">
        <v>32286.113981481481</v>
      </c>
      <c r="D2153" t="s">
        <v>510</v>
      </c>
      <c r="E2153" t="s">
        <v>1276</v>
      </c>
      <c r="F2153" t="s">
        <v>1277</v>
      </c>
      <c r="G2153" t="s">
        <v>1019</v>
      </c>
      <c r="H2153" t="s">
        <v>1031</v>
      </c>
      <c r="I2153">
        <v>185345009</v>
      </c>
      <c r="J2153" t="s">
        <v>1032</v>
      </c>
      <c r="K2153">
        <v>85.55</v>
      </c>
      <c r="L2153">
        <v>92.93</v>
      </c>
      <c r="M2153">
        <v>0</v>
      </c>
      <c r="N2153">
        <v>75498004</v>
      </c>
      <c r="O2153" t="s">
        <v>1174</v>
      </c>
    </row>
    <row r="2154" spans="1:15">
      <c r="A2154" t="s">
        <v>3568</v>
      </c>
      <c r="B2154" s="2">
        <v>36046.811898148146</v>
      </c>
      <c r="C2154" s="2">
        <v>36046.839270833334</v>
      </c>
      <c r="D2154" t="s">
        <v>510</v>
      </c>
      <c r="E2154" t="s">
        <v>1280</v>
      </c>
      <c r="F2154" t="s">
        <v>1281</v>
      </c>
      <c r="G2154" t="s">
        <v>1019</v>
      </c>
      <c r="H2154" t="s">
        <v>1020</v>
      </c>
      <c r="I2154">
        <v>162673000</v>
      </c>
      <c r="J2154" t="s">
        <v>1021</v>
      </c>
      <c r="K2154">
        <v>136.80000000000001</v>
      </c>
      <c r="L2154">
        <v>991.58</v>
      </c>
      <c r="M2154">
        <v>0</v>
      </c>
      <c r="O2154" t="s">
        <v>34</v>
      </c>
    </row>
    <row r="2155" spans="1:15">
      <c r="A2155" t="s">
        <v>3569</v>
      </c>
      <c r="B2155" s="2">
        <v>38902.811898148146</v>
      </c>
      <c r="C2155" s="2">
        <v>38902.851493055554</v>
      </c>
      <c r="D2155" t="s">
        <v>510</v>
      </c>
      <c r="E2155" t="s">
        <v>1280</v>
      </c>
      <c r="F2155" t="s">
        <v>1281</v>
      </c>
      <c r="G2155" t="s">
        <v>1026</v>
      </c>
      <c r="H2155" t="s">
        <v>1020</v>
      </c>
      <c r="I2155">
        <v>162673000</v>
      </c>
      <c r="J2155" t="s">
        <v>1021</v>
      </c>
      <c r="K2155">
        <v>136.80000000000001</v>
      </c>
      <c r="L2155">
        <v>1347.86</v>
      </c>
      <c r="M2155">
        <v>0</v>
      </c>
      <c r="O2155" t="s">
        <v>34</v>
      </c>
    </row>
    <row r="2156" spans="1:15">
      <c r="A2156" t="s">
        <v>3570</v>
      </c>
      <c r="B2156" s="2">
        <v>40372.811898148146</v>
      </c>
      <c r="C2156" s="2">
        <v>40372.838148148148</v>
      </c>
      <c r="D2156" t="s">
        <v>510</v>
      </c>
      <c r="E2156" t="s">
        <v>1280</v>
      </c>
      <c r="F2156" t="s">
        <v>1281</v>
      </c>
      <c r="G2156" t="s">
        <v>1026</v>
      </c>
      <c r="H2156" t="s">
        <v>1020</v>
      </c>
      <c r="I2156">
        <v>162673000</v>
      </c>
      <c r="J2156" t="s">
        <v>1021</v>
      </c>
      <c r="K2156">
        <v>136.80000000000001</v>
      </c>
      <c r="L2156">
        <v>934.74</v>
      </c>
      <c r="M2156">
        <v>0</v>
      </c>
      <c r="O2156" t="s">
        <v>34</v>
      </c>
    </row>
    <row r="2157" spans="1:15">
      <c r="A2157" t="s">
        <v>3571</v>
      </c>
      <c r="B2157" s="2">
        <v>41474.811898148146</v>
      </c>
      <c r="C2157" s="2">
        <v>41474.853564814817</v>
      </c>
      <c r="D2157" t="s">
        <v>510</v>
      </c>
      <c r="E2157" t="s">
        <v>1642</v>
      </c>
      <c r="F2157" t="s">
        <v>1643</v>
      </c>
      <c r="G2157" t="s">
        <v>1026</v>
      </c>
      <c r="H2157" t="s">
        <v>1076</v>
      </c>
      <c r="I2157">
        <v>50849002</v>
      </c>
      <c r="J2157" t="s">
        <v>1163</v>
      </c>
      <c r="K2157">
        <v>146.18</v>
      </c>
      <c r="L2157">
        <v>5308.14</v>
      </c>
      <c r="M2157">
        <v>0</v>
      </c>
      <c r="N2157">
        <v>196416002</v>
      </c>
      <c r="O2157" t="s">
        <v>1414</v>
      </c>
    </row>
    <row r="2158" spans="1:15">
      <c r="A2158" t="s">
        <v>3572</v>
      </c>
      <c r="B2158" s="2">
        <v>41814.811898148146</v>
      </c>
      <c r="C2158" s="2">
        <v>41814.835960648146</v>
      </c>
      <c r="D2158" t="s">
        <v>510</v>
      </c>
      <c r="E2158" t="s">
        <v>1280</v>
      </c>
      <c r="F2158" t="s">
        <v>1281</v>
      </c>
      <c r="G2158" t="s">
        <v>1026</v>
      </c>
      <c r="H2158" t="s">
        <v>1020</v>
      </c>
      <c r="I2158">
        <v>162673000</v>
      </c>
      <c r="J2158" t="s">
        <v>1021</v>
      </c>
      <c r="K2158">
        <v>136.80000000000001</v>
      </c>
      <c r="L2158">
        <v>996.16</v>
      </c>
      <c r="M2158">
        <v>0</v>
      </c>
      <c r="O2158" t="s">
        <v>34</v>
      </c>
    </row>
    <row r="2159" spans="1:15">
      <c r="A2159" t="s">
        <v>3573</v>
      </c>
      <c r="B2159" s="2">
        <v>41828.811898148146</v>
      </c>
      <c r="C2159" s="2">
        <v>41828.856365740743</v>
      </c>
      <c r="D2159" t="s">
        <v>510</v>
      </c>
      <c r="E2159" t="s">
        <v>1276</v>
      </c>
      <c r="F2159" t="s">
        <v>1277</v>
      </c>
      <c r="G2159" t="s">
        <v>1026</v>
      </c>
      <c r="H2159" t="s">
        <v>1031</v>
      </c>
      <c r="I2159">
        <v>185347001</v>
      </c>
      <c r="J2159" t="s">
        <v>1124</v>
      </c>
      <c r="K2159">
        <v>85.55</v>
      </c>
      <c r="L2159">
        <v>1059.2</v>
      </c>
      <c r="M2159">
        <v>635.51</v>
      </c>
      <c r="N2159">
        <v>271737000</v>
      </c>
      <c r="O2159" t="s">
        <v>1479</v>
      </c>
    </row>
    <row r="2160" spans="1:15">
      <c r="A2160" t="s">
        <v>3574</v>
      </c>
      <c r="B2160" s="2">
        <v>42927.811898148146</v>
      </c>
      <c r="C2160" s="2">
        <v>42927.840740740743</v>
      </c>
      <c r="D2160" t="s">
        <v>510</v>
      </c>
      <c r="E2160" t="s">
        <v>1280</v>
      </c>
      <c r="F2160" t="s">
        <v>1281</v>
      </c>
      <c r="G2160" t="s">
        <v>1026</v>
      </c>
      <c r="H2160" t="s">
        <v>1020</v>
      </c>
      <c r="I2160">
        <v>162673000</v>
      </c>
      <c r="J2160" t="s">
        <v>1021</v>
      </c>
      <c r="K2160">
        <v>136.80000000000001</v>
      </c>
      <c r="L2160">
        <v>860.16</v>
      </c>
      <c r="M2160">
        <v>0</v>
      </c>
      <c r="O2160" t="s">
        <v>34</v>
      </c>
    </row>
    <row r="2161" spans="1:15">
      <c r="A2161" t="s">
        <v>3575</v>
      </c>
      <c r="B2161" s="2">
        <v>43298.811898148146</v>
      </c>
      <c r="C2161" s="2">
        <v>43298.853252314817</v>
      </c>
      <c r="D2161" t="s">
        <v>510</v>
      </c>
      <c r="E2161" t="s">
        <v>1280</v>
      </c>
      <c r="F2161" t="s">
        <v>1281</v>
      </c>
      <c r="G2161" t="s">
        <v>1026</v>
      </c>
      <c r="H2161" t="s">
        <v>1020</v>
      </c>
      <c r="I2161">
        <v>162673000</v>
      </c>
      <c r="J2161" t="s">
        <v>1021</v>
      </c>
      <c r="K2161">
        <v>136.80000000000001</v>
      </c>
      <c r="L2161">
        <v>1001.28</v>
      </c>
      <c r="M2161">
        <v>0</v>
      </c>
      <c r="O2161" t="s">
        <v>34</v>
      </c>
    </row>
    <row r="2162" spans="1:15">
      <c r="A2162" t="s">
        <v>3576</v>
      </c>
      <c r="B2162" s="2">
        <v>43312.811898148146</v>
      </c>
      <c r="C2162" s="2">
        <v>43312.933518518519</v>
      </c>
      <c r="D2162" t="s">
        <v>510</v>
      </c>
      <c r="E2162" t="s">
        <v>1276</v>
      </c>
      <c r="F2162" t="s">
        <v>1277</v>
      </c>
      <c r="G2162" t="s">
        <v>1026</v>
      </c>
      <c r="H2162" t="s">
        <v>1031</v>
      </c>
      <c r="I2162">
        <v>185349003</v>
      </c>
      <c r="J2162" t="s">
        <v>1038</v>
      </c>
      <c r="K2162">
        <v>85.55</v>
      </c>
      <c r="L2162">
        <v>2673.95</v>
      </c>
      <c r="M2162">
        <v>0</v>
      </c>
      <c r="N2162">
        <v>66383009</v>
      </c>
      <c r="O2162" t="s">
        <v>1209</v>
      </c>
    </row>
    <row r="2163" spans="1:15">
      <c r="A2163" t="s">
        <v>3577</v>
      </c>
      <c r="B2163" s="2">
        <v>43514.520231481481</v>
      </c>
      <c r="C2163" s="2">
        <v>43514.530648148146</v>
      </c>
      <c r="D2163" t="s">
        <v>510</v>
      </c>
      <c r="E2163" t="s">
        <v>1276</v>
      </c>
      <c r="F2163" t="s">
        <v>1277</v>
      </c>
      <c r="G2163" t="s">
        <v>1026</v>
      </c>
      <c r="H2163" t="s">
        <v>1031</v>
      </c>
      <c r="I2163">
        <v>185345009</v>
      </c>
      <c r="J2163" t="s">
        <v>1032</v>
      </c>
      <c r="K2163">
        <v>85.55</v>
      </c>
      <c r="L2163">
        <v>85.55</v>
      </c>
      <c r="M2163">
        <v>0</v>
      </c>
      <c r="N2163">
        <v>444814009</v>
      </c>
      <c r="O2163" t="s">
        <v>1035</v>
      </c>
    </row>
    <row r="2164" spans="1:15">
      <c r="A2164" t="s">
        <v>3578</v>
      </c>
      <c r="B2164" s="2">
        <v>43647.842094907406</v>
      </c>
      <c r="C2164" s="2">
        <v>43647.863680555558</v>
      </c>
      <c r="D2164" t="s">
        <v>510</v>
      </c>
      <c r="E2164" t="s">
        <v>1276</v>
      </c>
      <c r="F2164" t="s">
        <v>1277</v>
      </c>
      <c r="G2164" t="s">
        <v>1026</v>
      </c>
      <c r="H2164" t="s">
        <v>1031</v>
      </c>
      <c r="I2164">
        <v>185349003</v>
      </c>
      <c r="J2164" t="s">
        <v>1038</v>
      </c>
      <c r="K2164">
        <v>85.55</v>
      </c>
      <c r="L2164">
        <v>9134.6200000000008</v>
      </c>
      <c r="M2164">
        <v>1824.37</v>
      </c>
      <c r="N2164">
        <v>275978004</v>
      </c>
      <c r="O2164" t="s">
        <v>1449</v>
      </c>
    </row>
    <row r="2165" spans="1:15">
      <c r="A2165" t="s">
        <v>3579</v>
      </c>
      <c r="B2165" s="2">
        <v>43669.811898148146</v>
      </c>
      <c r="C2165" s="2">
        <v>43669.84784722222</v>
      </c>
      <c r="D2165" t="s">
        <v>510</v>
      </c>
      <c r="E2165" t="s">
        <v>1280</v>
      </c>
      <c r="F2165" t="s">
        <v>1281</v>
      </c>
      <c r="G2165" t="s">
        <v>1026</v>
      </c>
      <c r="H2165" t="s">
        <v>1020</v>
      </c>
      <c r="I2165">
        <v>162673000</v>
      </c>
      <c r="J2165" t="s">
        <v>1021</v>
      </c>
      <c r="K2165">
        <v>136.80000000000001</v>
      </c>
      <c r="L2165">
        <v>785.58</v>
      </c>
      <c r="M2165">
        <v>471.35</v>
      </c>
      <c r="O2165" t="s">
        <v>34</v>
      </c>
    </row>
    <row r="2166" spans="1:15">
      <c r="A2166" t="s">
        <v>3580</v>
      </c>
      <c r="B2166" s="2">
        <v>43688.857534722221</v>
      </c>
      <c r="C2166" s="2">
        <v>43688.899201388886</v>
      </c>
      <c r="D2166" t="s">
        <v>510</v>
      </c>
      <c r="E2166" t="s">
        <v>1642</v>
      </c>
      <c r="F2166" t="s">
        <v>1643</v>
      </c>
      <c r="G2166" t="s">
        <v>1026</v>
      </c>
      <c r="H2166" t="s">
        <v>1076</v>
      </c>
      <c r="I2166">
        <v>50849002</v>
      </c>
      <c r="J2166" t="s">
        <v>1163</v>
      </c>
      <c r="K2166">
        <v>146.18</v>
      </c>
      <c r="L2166">
        <v>4140.8900000000003</v>
      </c>
      <c r="M2166">
        <v>2484.54</v>
      </c>
      <c r="N2166">
        <v>312608009</v>
      </c>
      <c r="O2166" t="s">
        <v>1249</v>
      </c>
    </row>
    <row r="2167" spans="1:15">
      <c r="A2167" t="s">
        <v>3581</v>
      </c>
      <c r="B2167" s="2">
        <v>43958.436898148146</v>
      </c>
      <c r="C2167" s="2">
        <v>43958.447314814817</v>
      </c>
      <c r="D2167" t="s">
        <v>510</v>
      </c>
      <c r="E2167" t="s">
        <v>1276</v>
      </c>
      <c r="F2167" t="s">
        <v>1277</v>
      </c>
      <c r="G2167" t="s">
        <v>1026</v>
      </c>
      <c r="H2167" t="s">
        <v>1031</v>
      </c>
      <c r="I2167">
        <v>185345009</v>
      </c>
      <c r="J2167" t="s">
        <v>1032</v>
      </c>
      <c r="K2167">
        <v>85.55</v>
      </c>
      <c r="L2167">
        <v>85.55</v>
      </c>
      <c r="M2167">
        <v>85.55</v>
      </c>
      <c r="N2167">
        <v>444814009</v>
      </c>
      <c r="O2167" t="s">
        <v>1035</v>
      </c>
    </row>
    <row r="2168" spans="1:15">
      <c r="A2168" t="s">
        <v>3582</v>
      </c>
      <c r="B2168" s="2">
        <v>44015.811898148146</v>
      </c>
      <c r="C2168" s="2">
        <v>44015.853564814817</v>
      </c>
      <c r="D2168" t="s">
        <v>510</v>
      </c>
      <c r="E2168" t="s">
        <v>1642</v>
      </c>
      <c r="F2168" t="s">
        <v>1643</v>
      </c>
      <c r="G2168" t="s">
        <v>1026</v>
      </c>
      <c r="H2168" t="s">
        <v>1076</v>
      </c>
      <c r="I2168">
        <v>183452005</v>
      </c>
      <c r="J2168" t="s">
        <v>2003</v>
      </c>
      <c r="K2168">
        <v>87.71</v>
      </c>
      <c r="L2168">
        <v>87.71</v>
      </c>
      <c r="M2168">
        <v>0</v>
      </c>
      <c r="N2168">
        <v>82423001</v>
      </c>
      <c r="O2168" t="s">
        <v>1542</v>
      </c>
    </row>
    <row r="2169" spans="1:15">
      <c r="A2169" t="s">
        <v>3583</v>
      </c>
      <c r="B2169" s="2">
        <v>44040.811898148146</v>
      </c>
      <c r="C2169" s="2">
        <v>44040.850671296299</v>
      </c>
      <c r="D2169" t="s">
        <v>510</v>
      </c>
      <c r="E2169" t="s">
        <v>1280</v>
      </c>
      <c r="F2169" t="s">
        <v>1281</v>
      </c>
      <c r="G2169" t="s">
        <v>1026</v>
      </c>
      <c r="H2169" t="s">
        <v>1020</v>
      </c>
      <c r="I2169">
        <v>162673000</v>
      </c>
      <c r="J2169" t="s">
        <v>1021</v>
      </c>
      <c r="K2169">
        <v>136.80000000000001</v>
      </c>
      <c r="L2169">
        <v>860.16</v>
      </c>
      <c r="M2169">
        <v>0</v>
      </c>
      <c r="O2169" t="s">
        <v>34</v>
      </c>
    </row>
    <row r="2170" spans="1:15">
      <c r="A2170" t="s">
        <v>3584</v>
      </c>
      <c r="B2170" s="2">
        <v>44054.811898148146</v>
      </c>
      <c r="C2170" s="2">
        <v>44054.98847222222</v>
      </c>
      <c r="D2170" t="s">
        <v>510</v>
      </c>
      <c r="E2170" t="s">
        <v>1276</v>
      </c>
      <c r="F2170" t="s">
        <v>1277</v>
      </c>
      <c r="G2170" t="s">
        <v>1026</v>
      </c>
      <c r="H2170" t="s">
        <v>1031</v>
      </c>
      <c r="I2170">
        <v>185349003</v>
      </c>
      <c r="J2170" t="s">
        <v>1038</v>
      </c>
      <c r="K2170">
        <v>85.55</v>
      </c>
      <c r="L2170">
        <v>3536.75</v>
      </c>
      <c r="M2170">
        <v>0</v>
      </c>
      <c r="N2170">
        <v>103697008</v>
      </c>
      <c r="O2170" t="s">
        <v>1039</v>
      </c>
    </row>
    <row r="2171" spans="1:15">
      <c r="A2171" t="s">
        <v>3585</v>
      </c>
      <c r="B2171" s="2">
        <v>44320.811898148146</v>
      </c>
      <c r="C2171" s="2">
        <v>44320.822314814817</v>
      </c>
      <c r="D2171" t="s">
        <v>510</v>
      </c>
      <c r="E2171" t="s">
        <v>1276</v>
      </c>
      <c r="F2171" t="s">
        <v>1277</v>
      </c>
      <c r="G2171" t="s">
        <v>1026</v>
      </c>
      <c r="H2171" t="s">
        <v>1043</v>
      </c>
      <c r="I2171">
        <v>33879002</v>
      </c>
      <c r="J2171" t="s">
        <v>1044</v>
      </c>
      <c r="K2171">
        <v>142.58000000000001</v>
      </c>
      <c r="L2171">
        <v>278.58</v>
      </c>
      <c r="M2171">
        <v>0</v>
      </c>
      <c r="O2171" t="s">
        <v>34</v>
      </c>
    </row>
    <row r="2172" spans="1:15">
      <c r="A2172" t="s">
        <v>3586</v>
      </c>
      <c r="B2172" s="2">
        <v>44348.811898148146</v>
      </c>
      <c r="C2172" s="2">
        <v>44348.822314814817</v>
      </c>
      <c r="D2172" t="s">
        <v>510</v>
      </c>
      <c r="E2172" t="s">
        <v>1276</v>
      </c>
      <c r="F2172" t="s">
        <v>1277</v>
      </c>
      <c r="G2172" t="s">
        <v>1026</v>
      </c>
      <c r="H2172" t="s">
        <v>1043</v>
      </c>
      <c r="I2172">
        <v>33879002</v>
      </c>
      <c r="J2172" t="s">
        <v>1044</v>
      </c>
      <c r="K2172">
        <v>142.58000000000001</v>
      </c>
      <c r="L2172">
        <v>278.58</v>
      </c>
      <c r="M2172">
        <v>0</v>
      </c>
      <c r="O2172" t="s">
        <v>34</v>
      </c>
    </row>
    <row r="2173" spans="1:15">
      <c r="A2173" t="s">
        <v>3587</v>
      </c>
      <c r="B2173" s="2">
        <v>44411.811898148146</v>
      </c>
      <c r="C2173" s="2">
        <v>44411.852696759262</v>
      </c>
      <c r="D2173" t="s">
        <v>510</v>
      </c>
      <c r="E2173" t="s">
        <v>1280</v>
      </c>
      <c r="F2173" t="s">
        <v>1281</v>
      </c>
      <c r="G2173" t="s">
        <v>1026</v>
      </c>
      <c r="H2173" t="s">
        <v>1020</v>
      </c>
      <c r="I2173">
        <v>162673000</v>
      </c>
      <c r="J2173" t="s">
        <v>1021</v>
      </c>
      <c r="K2173">
        <v>136.80000000000001</v>
      </c>
      <c r="L2173">
        <v>860.16</v>
      </c>
      <c r="M2173">
        <v>0</v>
      </c>
      <c r="O2173" t="s">
        <v>34</v>
      </c>
    </row>
    <row r="2174" spans="1:15">
      <c r="A2174" t="s">
        <v>3588</v>
      </c>
      <c r="B2174" s="2">
        <v>44425.811898148146</v>
      </c>
      <c r="C2174" s="2">
        <v>44425.906689814816</v>
      </c>
      <c r="D2174" t="s">
        <v>510</v>
      </c>
      <c r="E2174" t="s">
        <v>1276</v>
      </c>
      <c r="F2174" t="s">
        <v>1277</v>
      </c>
      <c r="G2174" t="s">
        <v>1026</v>
      </c>
      <c r="H2174" t="s">
        <v>1031</v>
      </c>
      <c r="I2174">
        <v>185349003</v>
      </c>
      <c r="J2174" t="s">
        <v>1038</v>
      </c>
      <c r="K2174">
        <v>85.55</v>
      </c>
      <c r="L2174">
        <v>2673.95</v>
      </c>
      <c r="M2174">
        <v>0</v>
      </c>
      <c r="N2174">
        <v>103697008</v>
      </c>
      <c r="O2174" t="s">
        <v>1039</v>
      </c>
    </row>
    <row r="2175" spans="1:15">
      <c r="A2175" t="s">
        <v>3589</v>
      </c>
      <c r="B2175" s="2">
        <v>44750.395231481481</v>
      </c>
      <c r="C2175" s="2">
        <v>44750.405648148146</v>
      </c>
      <c r="D2175" t="s">
        <v>510</v>
      </c>
      <c r="E2175" t="s">
        <v>1276</v>
      </c>
      <c r="F2175" t="s">
        <v>1277</v>
      </c>
      <c r="G2175" t="s">
        <v>1026</v>
      </c>
      <c r="H2175" t="s">
        <v>1031</v>
      </c>
      <c r="I2175">
        <v>185345009</v>
      </c>
      <c r="J2175" t="s">
        <v>1032</v>
      </c>
      <c r="K2175">
        <v>85.55</v>
      </c>
      <c r="L2175">
        <v>85.55</v>
      </c>
      <c r="M2175">
        <v>0</v>
      </c>
      <c r="N2175">
        <v>195662009</v>
      </c>
      <c r="O2175" t="s">
        <v>1130</v>
      </c>
    </row>
    <row r="2176" spans="1:15">
      <c r="A2176" t="s">
        <v>3590</v>
      </c>
      <c r="B2176" s="2">
        <v>44782.811898148146</v>
      </c>
      <c r="C2176" s="2">
        <v>44782.844768518517</v>
      </c>
      <c r="D2176" t="s">
        <v>510</v>
      </c>
      <c r="E2176" t="s">
        <v>1280</v>
      </c>
      <c r="F2176" t="s">
        <v>1281</v>
      </c>
      <c r="G2176" t="s">
        <v>1026</v>
      </c>
      <c r="H2176" t="s">
        <v>1020</v>
      </c>
      <c r="I2176">
        <v>162673000</v>
      </c>
      <c r="J2176" t="s">
        <v>1021</v>
      </c>
      <c r="K2176">
        <v>136.80000000000001</v>
      </c>
      <c r="L2176">
        <v>1001.28</v>
      </c>
      <c r="M2176">
        <v>0</v>
      </c>
      <c r="O2176" t="s">
        <v>34</v>
      </c>
    </row>
    <row r="2177" spans="1:15">
      <c r="A2177" t="s">
        <v>3591</v>
      </c>
      <c r="B2177" s="2">
        <v>44796.811898148146</v>
      </c>
      <c r="C2177" s="2">
        <v>44797.060081018521</v>
      </c>
      <c r="D2177" t="s">
        <v>510</v>
      </c>
      <c r="E2177" t="s">
        <v>1276</v>
      </c>
      <c r="F2177" t="s">
        <v>1277</v>
      </c>
      <c r="G2177" t="s">
        <v>1026</v>
      </c>
      <c r="H2177" t="s">
        <v>1031</v>
      </c>
      <c r="I2177">
        <v>185349003</v>
      </c>
      <c r="J2177" t="s">
        <v>1038</v>
      </c>
      <c r="K2177">
        <v>85.55</v>
      </c>
      <c r="L2177">
        <v>4830.95</v>
      </c>
      <c r="M2177">
        <v>0</v>
      </c>
      <c r="N2177">
        <v>103697008</v>
      </c>
      <c r="O2177" t="s">
        <v>1039</v>
      </c>
    </row>
    <row r="2178" spans="1:15">
      <c r="A2178" t="s">
        <v>3592</v>
      </c>
      <c r="B2178" s="2">
        <v>45153.811898148146</v>
      </c>
      <c r="C2178" s="2">
        <v>45153.836423611108</v>
      </c>
      <c r="D2178" t="s">
        <v>510</v>
      </c>
      <c r="E2178" t="s">
        <v>1280</v>
      </c>
      <c r="F2178" t="s">
        <v>1281</v>
      </c>
      <c r="G2178" t="s">
        <v>1026</v>
      </c>
      <c r="H2178" t="s">
        <v>1020</v>
      </c>
      <c r="I2178">
        <v>162673000</v>
      </c>
      <c r="J2178" t="s">
        <v>1021</v>
      </c>
      <c r="K2178">
        <v>136.80000000000001</v>
      </c>
      <c r="L2178">
        <v>860.16</v>
      </c>
      <c r="M2178">
        <v>0</v>
      </c>
      <c r="O2178" t="s">
        <v>34</v>
      </c>
    </row>
    <row r="2179" spans="1:15">
      <c r="A2179" t="s">
        <v>3593</v>
      </c>
      <c r="B2179" s="2">
        <v>45167.811898148146</v>
      </c>
      <c r="C2179" s="2">
        <v>45167.909097222226</v>
      </c>
      <c r="D2179" t="s">
        <v>510</v>
      </c>
      <c r="E2179" t="s">
        <v>1276</v>
      </c>
      <c r="F2179" t="s">
        <v>1277</v>
      </c>
      <c r="G2179" t="s">
        <v>1026</v>
      </c>
      <c r="H2179" t="s">
        <v>1031</v>
      </c>
      <c r="I2179">
        <v>185349003</v>
      </c>
      <c r="J2179" t="s">
        <v>1038</v>
      </c>
      <c r="K2179">
        <v>85.55</v>
      </c>
      <c r="L2179">
        <v>3105.35</v>
      </c>
      <c r="M2179">
        <v>0</v>
      </c>
      <c r="N2179">
        <v>66383009</v>
      </c>
      <c r="O2179" t="s">
        <v>1209</v>
      </c>
    </row>
    <row r="2180" spans="1:15">
      <c r="A2180" t="s">
        <v>3594</v>
      </c>
      <c r="B2180" s="2">
        <v>45473.863680555558</v>
      </c>
      <c r="C2180" s="2">
        <v>45473.881365740737</v>
      </c>
      <c r="D2180" t="s">
        <v>510</v>
      </c>
      <c r="E2180" t="s">
        <v>1276</v>
      </c>
      <c r="F2180" t="s">
        <v>1277</v>
      </c>
      <c r="G2180" t="s">
        <v>1026</v>
      </c>
      <c r="H2180" t="s">
        <v>1031</v>
      </c>
      <c r="I2180">
        <v>185349003</v>
      </c>
      <c r="J2180" t="s">
        <v>1038</v>
      </c>
      <c r="K2180">
        <v>85.55</v>
      </c>
      <c r="L2180">
        <v>11402.63</v>
      </c>
      <c r="M2180">
        <v>3185.18</v>
      </c>
      <c r="N2180">
        <v>275978004</v>
      </c>
      <c r="O2180" t="s">
        <v>1449</v>
      </c>
    </row>
    <row r="2181" spans="1:15">
      <c r="A2181" t="s">
        <v>3595</v>
      </c>
      <c r="B2181" s="2">
        <v>45524.811898148146</v>
      </c>
      <c r="C2181" s="2">
        <v>45524.846898148149</v>
      </c>
      <c r="D2181" t="s">
        <v>510</v>
      </c>
      <c r="E2181" t="s">
        <v>1280</v>
      </c>
      <c r="F2181" t="s">
        <v>1281</v>
      </c>
      <c r="G2181" t="s">
        <v>1026</v>
      </c>
      <c r="H2181" t="s">
        <v>1020</v>
      </c>
      <c r="I2181">
        <v>162673000</v>
      </c>
      <c r="J2181" t="s">
        <v>1021</v>
      </c>
      <c r="K2181">
        <v>136.80000000000001</v>
      </c>
      <c r="L2181">
        <v>785.58</v>
      </c>
      <c r="M2181">
        <v>471.35</v>
      </c>
      <c r="O2181" t="s">
        <v>34</v>
      </c>
    </row>
    <row r="2182" spans="1:15">
      <c r="A2182" t="s">
        <v>3596</v>
      </c>
      <c r="B2182" s="2">
        <v>45895.811898148146</v>
      </c>
      <c r="C2182" s="2">
        <v>45895.836782407408</v>
      </c>
      <c r="D2182" t="s">
        <v>510</v>
      </c>
      <c r="E2182" t="s">
        <v>1280</v>
      </c>
      <c r="F2182" t="s">
        <v>1281</v>
      </c>
      <c r="G2182" t="s">
        <v>1026</v>
      </c>
      <c r="H2182" t="s">
        <v>1020</v>
      </c>
      <c r="I2182">
        <v>162673000</v>
      </c>
      <c r="J2182" t="s">
        <v>1021</v>
      </c>
      <c r="K2182">
        <v>136.80000000000001</v>
      </c>
      <c r="L2182">
        <v>1137.28</v>
      </c>
      <c r="M2182">
        <v>0</v>
      </c>
      <c r="O2182" t="s">
        <v>34</v>
      </c>
    </row>
    <row r="2183" spans="1:15">
      <c r="A2183" t="s">
        <v>3597</v>
      </c>
      <c r="B2183" s="2">
        <v>45909.811898148146</v>
      </c>
      <c r="C2183" s="2">
        <v>45909.956701388888</v>
      </c>
      <c r="D2183" t="s">
        <v>510</v>
      </c>
      <c r="E2183" t="s">
        <v>1276</v>
      </c>
      <c r="F2183" t="s">
        <v>1277</v>
      </c>
      <c r="G2183" t="s">
        <v>1026</v>
      </c>
      <c r="H2183" t="s">
        <v>1031</v>
      </c>
      <c r="I2183">
        <v>185349003</v>
      </c>
      <c r="J2183" t="s">
        <v>1038</v>
      </c>
      <c r="K2183">
        <v>85.55</v>
      </c>
      <c r="L2183">
        <v>3536.75</v>
      </c>
      <c r="M2183">
        <v>0</v>
      </c>
      <c r="N2183">
        <v>103697008</v>
      </c>
      <c r="O2183" t="s">
        <v>1039</v>
      </c>
    </row>
    <row r="2184" spans="1:15">
      <c r="A2184" t="s">
        <v>3598</v>
      </c>
      <c r="B2184" s="2">
        <v>38338.98096064815</v>
      </c>
      <c r="C2184" s="2">
        <v>38338.991377314815</v>
      </c>
      <c r="D2184" t="s">
        <v>518</v>
      </c>
      <c r="E2184" t="s">
        <v>3599</v>
      </c>
      <c r="F2184" t="s">
        <v>3600</v>
      </c>
      <c r="G2184" t="s">
        <v>1474</v>
      </c>
      <c r="H2184" t="s">
        <v>1031</v>
      </c>
      <c r="I2184">
        <v>185345009</v>
      </c>
      <c r="J2184" t="s">
        <v>1032</v>
      </c>
      <c r="K2184">
        <v>85.55</v>
      </c>
      <c r="L2184">
        <v>92.93</v>
      </c>
      <c r="M2184">
        <v>0</v>
      </c>
      <c r="N2184">
        <v>75498004</v>
      </c>
      <c r="O2184" t="s">
        <v>1174</v>
      </c>
    </row>
    <row r="2185" spans="1:15">
      <c r="A2185" t="s">
        <v>3601</v>
      </c>
      <c r="B2185" s="2">
        <v>38657.226793981485</v>
      </c>
      <c r="C2185" s="2">
        <v>38657.237210648149</v>
      </c>
      <c r="D2185" t="s">
        <v>518</v>
      </c>
      <c r="E2185" t="s">
        <v>3599</v>
      </c>
      <c r="F2185" t="s">
        <v>3600</v>
      </c>
      <c r="G2185" t="s">
        <v>1474</v>
      </c>
      <c r="H2185" t="s">
        <v>1031</v>
      </c>
      <c r="I2185">
        <v>185347001</v>
      </c>
      <c r="J2185" t="s">
        <v>1124</v>
      </c>
      <c r="K2185">
        <v>85.55</v>
      </c>
      <c r="L2185">
        <v>85.55</v>
      </c>
      <c r="M2185">
        <v>0</v>
      </c>
      <c r="N2185">
        <v>3718001</v>
      </c>
      <c r="O2185" t="s">
        <v>2103</v>
      </c>
    </row>
    <row r="2186" spans="1:15">
      <c r="A2186" t="s">
        <v>3602</v>
      </c>
      <c r="B2186" s="2">
        <v>38667.522627314815</v>
      </c>
      <c r="C2186" s="2">
        <v>38667.541620370372</v>
      </c>
      <c r="D2186" t="s">
        <v>518</v>
      </c>
      <c r="E2186" t="s">
        <v>3599</v>
      </c>
      <c r="F2186" t="s">
        <v>3600</v>
      </c>
      <c r="G2186" t="s">
        <v>1474</v>
      </c>
      <c r="H2186" t="s">
        <v>1031</v>
      </c>
      <c r="I2186">
        <v>185347001</v>
      </c>
      <c r="J2186" t="s">
        <v>1124</v>
      </c>
      <c r="K2186">
        <v>85.55</v>
      </c>
      <c r="L2186">
        <v>516.95000000000005</v>
      </c>
      <c r="M2186">
        <v>413.56</v>
      </c>
      <c r="N2186">
        <v>609328004</v>
      </c>
      <c r="O2186" t="s">
        <v>1137</v>
      </c>
    </row>
    <row r="2187" spans="1:15">
      <c r="A2187" t="s">
        <v>3603</v>
      </c>
      <c r="B2187" s="2">
        <v>39368.522627314815</v>
      </c>
      <c r="C2187" s="2">
        <v>39368.533043981479</v>
      </c>
      <c r="D2187" t="s">
        <v>518</v>
      </c>
      <c r="E2187" t="s">
        <v>3599</v>
      </c>
      <c r="F2187" t="s">
        <v>3600</v>
      </c>
      <c r="G2187" t="s">
        <v>1474</v>
      </c>
      <c r="H2187" t="s">
        <v>1031</v>
      </c>
      <c r="I2187">
        <v>185347001</v>
      </c>
      <c r="J2187" t="s">
        <v>1124</v>
      </c>
      <c r="K2187">
        <v>85.55</v>
      </c>
      <c r="L2187">
        <v>85.55</v>
      </c>
      <c r="M2187">
        <v>68.44</v>
      </c>
      <c r="N2187">
        <v>24079001</v>
      </c>
      <c r="O2187" t="s">
        <v>2106</v>
      </c>
    </row>
    <row r="2188" spans="1:15">
      <c r="A2188" t="s">
        <v>3604</v>
      </c>
      <c r="B2188" s="2">
        <v>39420.48096064815</v>
      </c>
      <c r="C2188" s="2">
        <v>39420.491377314815</v>
      </c>
      <c r="D2188" t="s">
        <v>518</v>
      </c>
      <c r="E2188" t="s">
        <v>3599</v>
      </c>
      <c r="F2188" t="s">
        <v>3600</v>
      </c>
      <c r="G2188" t="s">
        <v>1474</v>
      </c>
      <c r="H2188" t="s">
        <v>1031</v>
      </c>
      <c r="I2188">
        <v>185345009</v>
      </c>
      <c r="J2188" t="s">
        <v>1032</v>
      </c>
      <c r="K2188">
        <v>85.55</v>
      </c>
      <c r="L2188">
        <v>85.55</v>
      </c>
      <c r="M2188">
        <v>0</v>
      </c>
      <c r="N2188">
        <v>232353008</v>
      </c>
      <c r="O2188" t="s">
        <v>1196</v>
      </c>
    </row>
    <row r="2189" spans="1:15">
      <c r="A2189" t="s">
        <v>3605</v>
      </c>
      <c r="B2189" s="2">
        <v>42304.522627314815</v>
      </c>
      <c r="C2189" s="2">
        <v>42304.534189814818</v>
      </c>
      <c r="D2189" t="s">
        <v>518</v>
      </c>
      <c r="E2189" t="s">
        <v>3606</v>
      </c>
      <c r="F2189" t="s">
        <v>3607</v>
      </c>
      <c r="G2189" t="s">
        <v>1122</v>
      </c>
      <c r="H2189" t="s">
        <v>1020</v>
      </c>
      <c r="I2189">
        <v>410620009</v>
      </c>
      <c r="J2189" t="s">
        <v>1054</v>
      </c>
      <c r="K2189">
        <v>136.80000000000001</v>
      </c>
      <c r="L2189">
        <v>1186.78</v>
      </c>
      <c r="M2189">
        <v>763.02</v>
      </c>
      <c r="O2189" t="s">
        <v>34</v>
      </c>
    </row>
    <row r="2190" spans="1:15">
      <c r="A2190" t="s">
        <v>3608</v>
      </c>
      <c r="B2190" s="2">
        <v>42675.522627314815</v>
      </c>
      <c r="C2190" s="2">
        <v>42675.533043981479</v>
      </c>
      <c r="D2190" t="s">
        <v>518</v>
      </c>
      <c r="E2190" t="s">
        <v>3606</v>
      </c>
      <c r="F2190" t="s">
        <v>3607</v>
      </c>
      <c r="G2190" t="s">
        <v>1122</v>
      </c>
      <c r="H2190" t="s">
        <v>1020</v>
      </c>
      <c r="I2190">
        <v>410620009</v>
      </c>
      <c r="J2190" t="s">
        <v>1054</v>
      </c>
      <c r="K2190">
        <v>136.80000000000001</v>
      </c>
      <c r="L2190">
        <v>1236.47</v>
      </c>
      <c r="M2190">
        <v>802.78</v>
      </c>
      <c r="O2190" t="s">
        <v>34</v>
      </c>
    </row>
    <row r="2191" spans="1:15">
      <c r="A2191" t="s">
        <v>3609</v>
      </c>
      <c r="B2191" s="2">
        <v>42996.143460648149</v>
      </c>
      <c r="C2191" s="2">
        <v>42996.153877314813</v>
      </c>
      <c r="D2191" t="s">
        <v>518</v>
      </c>
      <c r="E2191" t="s">
        <v>3599</v>
      </c>
      <c r="F2191" t="s">
        <v>3600</v>
      </c>
      <c r="G2191" t="s">
        <v>1122</v>
      </c>
      <c r="H2191" t="s">
        <v>1031</v>
      </c>
      <c r="I2191">
        <v>185347001</v>
      </c>
      <c r="J2191" t="s">
        <v>1124</v>
      </c>
      <c r="K2191">
        <v>85.55</v>
      </c>
      <c r="L2191">
        <v>85.55</v>
      </c>
      <c r="M2191">
        <v>68.44</v>
      </c>
      <c r="N2191">
        <v>3718001</v>
      </c>
      <c r="O2191" t="s">
        <v>2103</v>
      </c>
    </row>
    <row r="2192" spans="1:15">
      <c r="A2192" t="s">
        <v>3610</v>
      </c>
      <c r="B2192" s="2">
        <v>43025.522627314815</v>
      </c>
      <c r="C2192" s="2">
        <v>43025.537037037036</v>
      </c>
      <c r="D2192" t="s">
        <v>518</v>
      </c>
      <c r="E2192" t="s">
        <v>3599</v>
      </c>
      <c r="F2192" t="s">
        <v>3600</v>
      </c>
      <c r="G2192" t="s">
        <v>1122</v>
      </c>
      <c r="H2192" t="s">
        <v>1031</v>
      </c>
      <c r="I2192">
        <v>170837001</v>
      </c>
      <c r="J2192" t="s">
        <v>3611</v>
      </c>
      <c r="K2192">
        <v>142.58000000000001</v>
      </c>
      <c r="L2192">
        <v>573.98</v>
      </c>
      <c r="M2192">
        <v>272.77999999999997</v>
      </c>
      <c r="N2192">
        <v>609328004</v>
      </c>
      <c r="O2192" t="s">
        <v>1137</v>
      </c>
    </row>
    <row r="2193" spans="1:15">
      <c r="A2193" t="s">
        <v>3612</v>
      </c>
      <c r="B2193" s="2">
        <v>43046.48096064815</v>
      </c>
      <c r="C2193" s="2">
        <v>43046.491377314815</v>
      </c>
      <c r="D2193" t="s">
        <v>518</v>
      </c>
      <c r="E2193" t="s">
        <v>3606</v>
      </c>
      <c r="F2193" t="s">
        <v>3607</v>
      </c>
      <c r="G2193" t="s">
        <v>1122</v>
      </c>
      <c r="H2193" t="s">
        <v>1020</v>
      </c>
      <c r="I2193">
        <v>410620009</v>
      </c>
      <c r="J2193" t="s">
        <v>1054</v>
      </c>
      <c r="K2193">
        <v>136.80000000000001</v>
      </c>
      <c r="L2193">
        <v>1135.8699999999999</v>
      </c>
      <c r="M2193">
        <v>908.7</v>
      </c>
      <c r="O2193" t="s">
        <v>34</v>
      </c>
    </row>
    <row r="2194" spans="1:15">
      <c r="A2194" t="s">
        <v>3613</v>
      </c>
      <c r="B2194" s="2">
        <v>43049.495370370372</v>
      </c>
      <c r="C2194" s="2">
        <v>43049.525555555556</v>
      </c>
      <c r="D2194" t="s">
        <v>518</v>
      </c>
      <c r="E2194" t="s">
        <v>3599</v>
      </c>
      <c r="F2194" t="s">
        <v>3600</v>
      </c>
      <c r="G2194" t="s">
        <v>1122</v>
      </c>
      <c r="H2194" t="s">
        <v>1031</v>
      </c>
      <c r="I2194">
        <v>371883000</v>
      </c>
      <c r="J2194" t="s">
        <v>3614</v>
      </c>
      <c r="K2194">
        <v>142.58000000000001</v>
      </c>
      <c r="L2194">
        <v>5362.15</v>
      </c>
      <c r="M2194">
        <v>4289.72</v>
      </c>
      <c r="N2194">
        <v>609328004</v>
      </c>
      <c r="O2194" t="s">
        <v>1137</v>
      </c>
    </row>
    <row r="2195" spans="1:15">
      <c r="A2195" t="s">
        <v>3615</v>
      </c>
      <c r="B2195" s="2">
        <v>43074.525555555556</v>
      </c>
      <c r="C2195" s="2">
        <v>43074.548136574071</v>
      </c>
      <c r="D2195" t="s">
        <v>518</v>
      </c>
      <c r="E2195" t="s">
        <v>3599</v>
      </c>
      <c r="F2195" t="s">
        <v>3600</v>
      </c>
      <c r="G2195" t="s">
        <v>1122</v>
      </c>
      <c r="H2195" t="s">
        <v>1031</v>
      </c>
      <c r="I2195">
        <v>371883000</v>
      </c>
      <c r="J2195" t="s">
        <v>3614</v>
      </c>
      <c r="K2195">
        <v>142.58000000000001</v>
      </c>
      <c r="L2195">
        <v>7537.21</v>
      </c>
      <c r="M2195">
        <v>6029.76</v>
      </c>
      <c r="N2195">
        <v>609328004</v>
      </c>
      <c r="O2195" t="s">
        <v>1137</v>
      </c>
    </row>
    <row r="2196" spans="1:15">
      <c r="A2196" t="s">
        <v>3616</v>
      </c>
      <c r="B2196" s="2">
        <v>43099.548136574071</v>
      </c>
      <c r="C2196" s="2">
        <v>43099.562465277777</v>
      </c>
      <c r="D2196" t="s">
        <v>518</v>
      </c>
      <c r="E2196" t="s">
        <v>3599</v>
      </c>
      <c r="F2196" t="s">
        <v>3600</v>
      </c>
      <c r="G2196" t="s">
        <v>1122</v>
      </c>
      <c r="H2196" t="s">
        <v>1031</v>
      </c>
      <c r="I2196">
        <v>371883000</v>
      </c>
      <c r="J2196" t="s">
        <v>3614</v>
      </c>
      <c r="K2196">
        <v>142.58000000000001</v>
      </c>
      <c r="L2196">
        <v>20626.96</v>
      </c>
      <c r="M2196">
        <v>16501.560000000001</v>
      </c>
      <c r="N2196">
        <v>609328004</v>
      </c>
      <c r="O2196" t="s">
        <v>1137</v>
      </c>
    </row>
    <row r="2197" spans="1:15">
      <c r="A2197" t="s">
        <v>3617</v>
      </c>
      <c r="B2197" s="2">
        <v>43123.562465277777</v>
      </c>
      <c r="C2197" s="2">
        <v>43123.59642361111</v>
      </c>
      <c r="D2197" t="s">
        <v>518</v>
      </c>
      <c r="E2197" t="s">
        <v>3599</v>
      </c>
      <c r="F2197" t="s">
        <v>3600</v>
      </c>
      <c r="G2197" t="s">
        <v>1122</v>
      </c>
      <c r="H2197" t="s">
        <v>1031</v>
      </c>
      <c r="I2197">
        <v>371883000</v>
      </c>
      <c r="J2197" t="s">
        <v>3614</v>
      </c>
      <c r="K2197">
        <v>142.58000000000001</v>
      </c>
      <c r="L2197">
        <v>14413.68</v>
      </c>
      <c r="M2197">
        <v>11530.94</v>
      </c>
      <c r="N2197">
        <v>609328004</v>
      </c>
      <c r="O2197" t="s">
        <v>1137</v>
      </c>
    </row>
    <row r="2198" spans="1:15">
      <c r="A2198" t="s">
        <v>3618</v>
      </c>
      <c r="B2198" s="2">
        <v>43145.59642361111</v>
      </c>
      <c r="C2198" s="2">
        <v>43145.626909722225</v>
      </c>
      <c r="D2198" t="s">
        <v>518</v>
      </c>
      <c r="E2198" t="s">
        <v>3599</v>
      </c>
      <c r="F2198" t="s">
        <v>3600</v>
      </c>
      <c r="G2198" t="s">
        <v>1122</v>
      </c>
      <c r="H2198" t="s">
        <v>1031</v>
      </c>
      <c r="I2198">
        <v>371883000</v>
      </c>
      <c r="J2198" t="s">
        <v>3614</v>
      </c>
      <c r="K2198">
        <v>142.58000000000001</v>
      </c>
      <c r="L2198">
        <v>5263.67</v>
      </c>
      <c r="M2198">
        <v>5263.67</v>
      </c>
      <c r="N2198">
        <v>609328004</v>
      </c>
      <c r="O2198" t="s">
        <v>1137</v>
      </c>
    </row>
    <row r="2199" spans="1:15">
      <c r="A2199" t="s">
        <v>3619</v>
      </c>
      <c r="B2199" s="2">
        <v>43169.626909722225</v>
      </c>
      <c r="C2199" s="2">
        <v>43169.637557870374</v>
      </c>
      <c r="D2199" t="s">
        <v>518</v>
      </c>
      <c r="E2199" t="s">
        <v>3599</v>
      </c>
      <c r="F2199" t="s">
        <v>3600</v>
      </c>
      <c r="G2199" t="s">
        <v>1122</v>
      </c>
      <c r="H2199" t="s">
        <v>1031</v>
      </c>
      <c r="I2199">
        <v>371883000</v>
      </c>
      <c r="J2199" t="s">
        <v>3614</v>
      </c>
      <c r="K2199">
        <v>142.58000000000001</v>
      </c>
      <c r="L2199">
        <v>20626.96</v>
      </c>
      <c r="M2199">
        <v>20626.96</v>
      </c>
      <c r="N2199">
        <v>609328004</v>
      </c>
      <c r="O2199" t="s">
        <v>1137</v>
      </c>
    </row>
    <row r="2200" spans="1:15">
      <c r="A2200" t="s">
        <v>3620</v>
      </c>
      <c r="B2200" s="2">
        <v>43193.679224537038</v>
      </c>
      <c r="C2200" s="2">
        <v>43193.691157407404</v>
      </c>
      <c r="D2200" t="s">
        <v>518</v>
      </c>
      <c r="E2200" t="s">
        <v>3599</v>
      </c>
      <c r="F2200" t="s">
        <v>3600</v>
      </c>
      <c r="G2200" t="s">
        <v>1122</v>
      </c>
      <c r="H2200" t="s">
        <v>1031</v>
      </c>
      <c r="I2200">
        <v>371883000</v>
      </c>
      <c r="J2200" t="s">
        <v>3614</v>
      </c>
      <c r="K2200">
        <v>142.58000000000001</v>
      </c>
      <c r="L2200">
        <v>6870.61</v>
      </c>
      <c r="M2200">
        <v>6870.61</v>
      </c>
      <c r="N2200">
        <v>609328004</v>
      </c>
      <c r="O2200" t="s">
        <v>1137</v>
      </c>
    </row>
    <row r="2201" spans="1:15">
      <c r="A2201" t="s">
        <v>3621</v>
      </c>
      <c r="B2201" s="2">
        <v>43219.691157407404</v>
      </c>
      <c r="C2201" s="2">
        <v>43219.719780092593</v>
      </c>
      <c r="D2201" t="s">
        <v>518</v>
      </c>
      <c r="E2201" t="s">
        <v>3599</v>
      </c>
      <c r="F2201" t="s">
        <v>3600</v>
      </c>
      <c r="G2201" t="s">
        <v>1122</v>
      </c>
      <c r="H2201" t="s">
        <v>1031</v>
      </c>
      <c r="I2201">
        <v>371883000</v>
      </c>
      <c r="J2201" t="s">
        <v>3614</v>
      </c>
      <c r="K2201">
        <v>142.58000000000001</v>
      </c>
      <c r="L2201">
        <v>7850.66</v>
      </c>
      <c r="M2201">
        <v>7850.66</v>
      </c>
      <c r="N2201">
        <v>609328004</v>
      </c>
      <c r="O2201" t="s">
        <v>1137</v>
      </c>
    </row>
    <row r="2202" spans="1:15">
      <c r="A2202" t="s">
        <v>3622</v>
      </c>
      <c r="B2202" s="2">
        <v>43246.719780092593</v>
      </c>
      <c r="C2202" s="2">
        <v>43246.742939814816</v>
      </c>
      <c r="D2202" t="s">
        <v>518</v>
      </c>
      <c r="E2202" t="s">
        <v>3599</v>
      </c>
      <c r="F2202" t="s">
        <v>3600</v>
      </c>
      <c r="G2202" t="s">
        <v>1122</v>
      </c>
      <c r="H2202" t="s">
        <v>1031</v>
      </c>
      <c r="I2202">
        <v>371883000</v>
      </c>
      <c r="J2202" t="s">
        <v>3614</v>
      </c>
      <c r="K2202">
        <v>142.58000000000001</v>
      </c>
      <c r="L2202">
        <v>5263.67</v>
      </c>
      <c r="M2202">
        <v>5263.67</v>
      </c>
      <c r="N2202">
        <v>609328004</v>
      </c>
      <c r="O2202" t="s">
        <v>1137</v>
      </c>
    </row>
    <row r="2203" spans="1:15">
      <c r="A2203" t="s">
        <v>3623</v>
      </c>
      <c r="B2203" s="2">
        <v>43270.742939814816</v>
      </c>
      <c r="C2203" s="2">
        <v>43270.771273148152</v>
      </c>
      <c r="D2203" t="s">
        <v>518</v>
      </c>
      <c r="E2203" t="s">
        <v>3599</v>
      </c>
      <c r="F2203" t="s">
        <v>3600</v>
      </c>
      <c r="G2203" t="s">
        <v>1122</v>
      </c>
      <c r="H2203" t="s">
        <v>1031</v>
      </c>
      <c r="I2203">
        <v>371883000</v>
      </c>
      <c r="J2203" t="s">
        <v>3614</v>
      </c>
      <c r="K2203">
        <v>142.58000000000001</v>
      </c>
      <c r="L2203">
        <v>5263.67</v>
      </c>
      <c r="M2203">
        <v>5263.67</v>
      </c>
      <c r="N2203">
        <v>609328004</v>
      </c>
      <c r="O2203" t="s">
        <v>1137</v>
      </c>
    </row>
    <row r="2204" spans="1:15">
      <c r="A2204" t="s">
        <v>3624</v>
      </c>
      <c r="B2204" s="2">
        <v>43294.771273148152</v>
      </c>
      <c r="C2204" s="2">
        <v>43294.783761574072</v>
      </c>
      <c r="D2204" t="s">
        <v>518</v>
      </c>
      <c r="E2204" t="s">
        <v>3599</v>
      </c>
      <c r="F2204" t="s">
        <v>3600</v>
      </c>
      <c r="G2204" t="s">
        <v>1122</v>
      </c>
      <c r="H2204" t="s">
        <v>1031</v>
      </c>
      <c r="I2204">
        <v>371883000</v>
      </c>
      <c r="J2204" t="s">
        <v>3614</v>
      </c>
      <c r="K2204">
        <v>142.58000000000001</v>
      </c>
      <c r="L2204">
        <v>20626.96</v>
      </c>
      <c r="M2204">
        <v>20626.96</v>
      </c>
      <c r="N2204">
        <v>609328004</v>
      </c>
      <c r="O2204" t="s">
        <v>1137</v>
      </c>
    </row>
    <row r="2205" spans="1:15">
      <c r="A2205" t="s">
        <v>3625</v>
      </c>
      <c r="B2205" s="2">
        <v>43321.783761574072</v>
      </c>
      <c r="C2205" s="2">
        <v>43321.805381944447</v>
      </c>
      <c r="D2205" t="s">
        <v>518</v>
      </c>
      <c r="E2205" t="s">
        <v>3599</v>
      </c>
      <c r="F2205" t="s">
        <v>3600</v>
      </c>
      <c r="G2205" t="s">
        <v>1122</v>
      </c>
      <c r="H2205" t="s">
        <v>1031</v>
      </c>
      <c r="I2205">
        <v>371883000</v>
      </c>
      <c r="J2205" t="s">
        <v>3614</v>
      </c>
      <c r="K2205">
        <v>142.58000000000001</v>
      </c>
      <c r="L2205">
        <v>6514.01</v>
      </c>
      <c r="M2205">
        <v>6514.01</v>
      </c>
      <c r="N2205">
        <v>609328004</v>
      </c>
      <c r="O2205" t="s">
        <v>1137</v>
      </c>
    </row>
    <row r="2206" spans="1:15">
      <c r="A2206" t="s">
        <v>3626</v>
      </c>
      <c r="B2206" s="2">
        <v>43344.805381944447</v>
      </c>
      <c r="C2206" s="2">
        <v>43344.81591435185</v>
      </c>
      <c r="D2206" t="s">
        <v>518</v>
      </c>
      <c r="E2206" t="s">
        <v>3599</v>
      </c>
      <c r="F2206" t="s">
        <v>3600</v>
      </c>
      <c r="G2206" t="s">
        <v>1122</v>
      </c>
      <c r="H2206" t="s">
        <v>1031</v>
      </c>
      <c r="I2206">
        <v>371883000</v>
      </c>
      <c r="J2206" t="s">
        <v>3614</v>
      </c>
      <c r="K2206">
        <v>142.58000000000001</v>
      </c>
      <c r="L2206">
        <v>17443.34</v>
      </c>
      <c r="M2206">
        <v>17443.34</v>
      </c>
      <c r="N2206">
        <v>609328004</v>
      </c>
      <c r="O2206" t="s">
        <v>1137</v>
      </c>
    </row>
    <row r="2207" spans="1:15">
      <c r="A2207" t="s">
        <v>3627</v>
      </c>
      <c r="B2207" s="2">
        <v>43370.81591435185</v>
      </c>
      <c r="C2207" s="2">
        <v>43370.830381944441</v>
      </c>
      <c r="D2207" t="s">
        <v>518</v>
      </c>
      <c r="E2207" t="s">
        <v>3599</v>
      </c>
      <c r="F2207" t="s">
        <v>3600</v>
      </c>
      <c r="G2207" t="s">
        <v>1122</v>
      </c>
      <c r="H2207" t="s">
        <v>1031</v>
      </c>
      <c r="I2207">
        <v>371883000</v>
      </c>
      <c r="J2207" t="s">
        <v>3614</v>
      </c>
      <c r="K2207">
        <v>142.58000000000001</v>
      </c>
      <c r="L2207">
        <v>20626.96</v>
      </c>
      <c r="M2207">
        <v>20626.96</v>
      </c>
      <c r="N2207">
        <v>609328004</v>
      </c>
      <c r="O2207" t="s">
        <v>1137</v>
      </c>
    </row>
    <row r="2208" spans="1:15">
      <c r="A2208" t="s">
        <v>3628</v>
      </c>
      <c r="B2208" s="2">
        <v>43396.830381944441</v>
      </c>
      <c r="C2208" s="2">
        <v>43396.850138888891</v>
      </c>
      <c r="D2208" t="s">
        <v>518</v>
      </c>
      <c r="E2208" t="s">
        <v>3599</v>
      </c>
      <c r="F2208" t="s">
        <v>3600</v>
      </c>
      <c r="G2208" t="s">
        <v>1122</v>
      </c>
      <c r="H2208" t="s">
        <v>1031</v>
      </c>
      <c r="I2208">
        <v>371883000</v>
      </c>
      <c r="J2208" t="s">
        <v>3614</v>
      </c>
      <c r="K2208">
        <v>142.58000000000001</v>
      </c>
      <c r="L2208">
        <v>20626.96</v>
      </c>
      <c r="M2208">
        <v>16315.17</v>
      </c>
      <c r="N2208">
        <v>609328004</v>
      </c>
      <c r="O2208" t="s">
        <v>1137</v>
      </c>
    </row>
    <row r="2209" spans="1:15">
      <c r="A2209" t="s">
        <v>3629</v>
      </c>
      <c r="B2209" s="2">
        <v>43417.48096064815</v>
      </c>
      <c r="C2209" s="2">
        <v>43417.491377314815</v>
      </c>
      <c r="D2209" t="s">
        <v>518</v>
      </c>
      <c r="E2209" t="s">
        <v>3606</v>
      </c>
      <c r="F2209" t="s">
        <v>3607</v>
      </c>
      <c r="G2209" t="s">
        <v>1122</v>
      </c>
      <c r="H2209" t="s">
        <v>1020</v>
      </c>
      <c r="I2209">
        <v>410620009</v>
      </c>
      <c r="J2209" t="s">
        <v>1054</v>
      </c>
      <c r="K2209">
        <v>136.80000000000001</v>
      </c>
      <c r="L2209">
        <v>1567</v>
      </c>
      <c r="M2209">
        <v>1253.5999999999999</v>
      </c>
      <c r="O2209" t="s">
        <v>34</v>
      </c>
    </row>
    <row r="2210" spans="1:15">
      <c r="A2210" t="s">
        <v>3630</v>
      </c>
      <c r="B2210" s="2">
        <v>43418.808472222219</v>
      </c>
      <c r="C2210" s="2">
        <v>43418.824212962965</v>
      </c>
      <c r="D2210" t="s">
        <v>518</v>
      </c>
      <c r="E2210" t="s">
        <v>3599</v>
      </c>
      <c r="F2210" t="s">
        <v>3600</v>
      </c>
      <c r="G2210" t="s">
        <v>1122</v>
      </c>
      <c r="H2210" t="s">
        <v>1031</v>
      </c>
      <c r="I2210">
        <v>371883000</v>
      </c>
      <c r="J2210" t="s">
        <v>3614</v>
      </c>
      <c r="K2210">
        <v>142.58000000000001</v>
      </c>
      <c r="L2210">
        <v>5263.67</v>
      </c>
      <c r="M2210">
        <v>4210.93</v>
      </c>
      <c r="N2210">
        <v>609328004</v>
      </c>
      <c r="O2210" t="s">
        <v>1137</v>
      </c>
    </row>
    <row r="2211" spans="1:15">
      <c r="A2211" t="s">
        <v>3631</v>
      </c>
      <c r="B2211" s="2">
        <v>43445.824212962965</v>
      </c>
      <c r="C2211" s="2">
        <v>43445.845381944448</v>
      </c>
      <c r="D2211" t="s">
        <v>518</v>
      </c>
      <c r="E2211" t="s">
        <v>3599</v>
      </c>
      <c r="F2211" t="s">
        <v>3600</v>
      </c>
      <c r="G2211" t="s">
        <v>1122</v>
      </c>
      <c r="H2211" t="s">
        <v>1031</v>
      </c>
      <c r="I2211">
        <v>371883000</v>
      </c>
      <c r="J2211" t="s">
        <v>3614</v>
      </c>
      <c r="K2211">
        <v>142.58000000000001</v>
      </c>
      <c r="L2211">
        <v>7212.68</v>
      </c>
      <c r="M2211">
        <v>5770.14</v>
      </c>
      <c r="N2211">
        <v>609328004</v>
      </c>
      <c r="O2211" t="s">
        <v>1137</v>
      </c>
    </row>
    <row r="2212" spans="1:15">
      <c r="A2212" t="s">
        <v>3632</v>
      </c>
      <c r="B2212" s="2">
        <v>43466.845381944448</v>
      </c>
      <c r="C2212" s="2">
        <v>43466.869606481479</v>
      </c>
      <c r="D2212" t="s">
        <v>518</v>
      </c>
      <c r="E2212" t="s">
        <v>3599</v>
      </c>
      <c r="F2212" t="s">
        <v>3600</v>
      </c>
      <c r="G2212" t="s">
        <v>1122</v>
      </c>
      <c r="H2212" t="s">
        <v>1031</v>
      </c>
      <c r="I2212">
        <v>371883000</v>
      </c>
      <c r="J2212" t="s">
        <v>3614</v>
      </c>
      <c r="K2212">
        <v>142.58000000000001</v>
      </c>
      <c r="L2212">
        <v>13017.22</v>
      </c>
      <c r="M2212">
        <v>10413.77</v>
      </c>
      <c r="N2212">
        <v>609328004</v>
      </c>
      <c r="O2212" t="s">
        <v>1137</v>
      </c>
    </row>
    <row r="2213" spans="1:15">
      <c r="A2213" t="s">
        <v>3633</v>
      </c>
      <c r="B2213" s="2">
        <v>43489.869606481479</v>
      </c>
      <c r="C2213" s="2">
        <v>43489.896168981482</v>
      </c>
      <c r="D2213" t="s">
        <v>518</v>
      </c>
      <c r="E2213" t="s">
        <v>3599</v>
      </c>
      <c r="F2213" t="s">
        <v>3600</v>
      </c>
      <c r="G2213" t="s">
        <v>1122</v>
      </c>
      <c r="H2213" t="s">
        <v>1031</v>
      </c>
      <c r="I2213">
        <v>371883000</v>
      </c>
      <c r="J2213" t="s">
        <v>3614</v>
      </c>
      <c r="K2213">
        <v>142.58000000000001</v>
      </c>
      <c r="L2213">
        <v>13904.1</v>
      </c>
      <c r="M2213">
        <v>13904.1</v>
      </c>
      <c r="N2213">
        <v>609328004</v>
      </c>
      <c r="O2213" t="s">
        <v>1137</v>
      </c>
    </row>
    <row r="2214" spans="1:15">
      <c r="A2214" t="s">
        <v>3634</v>
      </c>
      <c r="B2214" s="2">
        <v>43515.896168981482</v>
      </c>
      <c r="C2214" s="2">
        <v>43515.935289351852</v>
      </c>
      <c r="D2214" t="s">
        <v>518</v>
      </c>
      <c r="E2214" t="s">
        <v>3599</v>
      </c>
      <c r="F2214" t="s">
        <v>3600</v>
      </c>
      <c r="G2214" t="s">
        <v>1122</v>
      </c>
      <c r="H2214" t="s">
        <v>1031</v>
      </c>
      <c r="I2214">
        <v>371883000</v>
      </c>
      <c r="J2214" t="s">
        <v>3614</v>
      </c>
      <c r="K2214">
        <v>142.58000000000001</v>
      </c>
      <c r="L2214">
        <v>20626.96</v>
      </c>
      <c r="M2214">
        <v>20626.96</v>
      </c>
      <c r="N2214">
        <v>609328004</v>
      </c>
      <c r="O2214" t="s">
        <v>1137</v>
      </c>
    </row>
    <row r="2215" spans="1:15">
      <c r="A2215" t="s">
        <v>3635</v>
      </c>
      <c r="B2215" s="2">
        <v>43540.976956018516</v>
      </c>
      <c r="C2215" s="2">
        <v>43540.991516203707</v>
      </c>
      <c r="D2215" t="s">
        <v>518</v>
      </c>
      <c r="E2215" t="s">
        <v>3599</v>
      </c>
      <c r="F2215" t="s">
        <v>3600</v>
      </c>
      <c r="G2215" t="s">
        <v>1122</v>
      </c>
      <c r="H2215" t="s">
        <v>1031</v>
      </c>
      <c r="I2215">
        <v>371883000</v>
      </c>
      <c r="J2215" t="s">
        <v>3614</v>
      </c>
      <c r="K2215">
        <v>142.58000000000001</v>
      </c>
      <c r="L2215">
        <v>5441.82</v>
      </c>
      <c r="M2215">
        <v>5441.82</v>
      </c>
      <c r="N2215">
        <v>609328004</v>
      </c>
      <c r="O2215" t="s">
        <v>1137</v>
      </c>
    </row>
    <row r="2216" spans="1:15">
      <c r="A2216" t="s">
        <v>3636</v>
      </c>
      <c r="B2216" s="2">
        <v>43561.991516203707</v>
      </c>
      <c r="C2216" s="2">
        <v>43562.02134259259</v>
      </c>
      <c r="D2216" t="s">
        <v>518</v>
      </c>
      <c r="E2216" t="s">
        <v>3599</v>
      </c>
      <c r="F2216" t="s">
        <v>3600</v>
      </c>
      <c r="G2216" t="s">
        <v>1122</v>
      </c>
      <c r="H2216" t="s">
        <v>1031</v>
      </c>
      <c r="I2216">
        <v>371883000</v>
      </c>
      <c r="J2216" t="s">
        <v>3614</v>
      </c>
      <c r="K2216">
        <v>142.58000000000001</v>
      </c>
      <c r="L2216">
        <v>5263.67</v>
      </c>
      <c r="M2216">
        <v>5263.67</v>
      </c>
      <c r="N2216">
        <v>609328004</v>
      </c>
      <c r="O2216" t="s">
        <v>1137</v>
      </c>
    </row>
    <row r="2217" spans="1:15">
      <c r="A2217" t="s">
        <v>3637</v>
      </c>
      <c r="B2217" s="2">
        <v>43583.02134259259</v>
      </c>
      <c r="C2217" s="2">
        <v>43583.034537037034</v>
      </c>
      <c r="D2217" t="s">
        <v>518</v>
      </c>
      <c r="E2217" t="s">
        <v>3599</v>
      </c>
      <c r="F2217" t="s">
        <v>3600</v>
      </c>
      <c r="G2217" t="s">
        <v>1122</v>
      </c>
      <c r="H2217" t="s">
        <v>1031</v>
      </c>
      <c r="I2217">
        <v>371883000</v>
      </c>
      <c r="J2217" t="s">
        <v>3614</v>
      </c>
      <c r="K2217">
        <v>142.58000000000001</v>
      </c>
      <c r="L2217">
        <v>7907.4</v>
      </c>
      <c r="M2217">
        <v>7907.4</v>
      </c>
      <c r="N2217">
        <v>609328004</v>
      </c>
      <c r="O2217" t="s">
        <v>1137</v>
      </c>
    </row>
    <row r="2218" spans="1:15">
      <c r="A2218" t="s">
        <v>3638</v>
      </c>
      <c r="B2218" s="2">
        <v>43609.034537037034</v>
      </c>
      <c r="C2218" s="2">
        <v>43609.074699074074</v>
      </c>
      <c r="D2218" t="s">
        <v>518</v>
      </c>
      <c r="E2218" t="s">
        <v>3599</v>
      </c>
      <c r="F2218" t="s">
        <v>3600</v>
      </c>
      <c r="G2218" t="s">
        <v>1122</v>
      </c>
      <c r="H2218" t="s">
        <v>1031</v>
      </c>
      <c r="I2218">
        <v>371883000</v>
      </c>
      <c r="J2218" t="s">
        <v>3614</v>
      </c>
      <c r="K2218">
        <v>142.58000000000001</v>
      </c>
      <c r="L2218">
        <v>5263.67</v>
      </c>
      <c r="M2218">
        <v>5263.67</v>
      </c>
      <c r="N2218">
        <v>609328004</v>
      </c>
      <c r="O2218" t="s">
        <v>1137</v>
      </c>
    </row>
    <row r="2219" spans="1:15">
      <c r="A2219" t="s">
        <v>3639</v>
      </c>
      <c r="B2219" s="2">
        <v>43636.074699074074</v>
      </c>
      <c r="C2219" s="2">
        <v>43636.107037037036</v>
      </c>
      <c r="D2219" t="s">
        <v>518</v>
      </c>
      <c r="E2219" t="s">
        <v>3599</v>
      </c>
      <c r="F2219" t="s">
        <v>3600</v>
      </c>
      <c r="G2219" t="s">
        <v>1122</v>
      </c>
      <c r="H2219" t="s">
        <v>1031</v>
      </c>
      <c r="I2219">
        <v>371883000</v>
      </c>
      <c r="J2219" t="s">
        <v>3614</v>
      </c>
      <c r="K2219">
        <v>142.58000000000001</v>
      </c>
      <c r="L2219">
        <v>5263.67</v>
      </c>
      <c r="M2219">
        <v>5263.67</v>
      </c>
      <c r="N2219">
        <v>609328004</v>
      </c>
      <c r="O2219" t="s">
        <v>1137</v>
      </c>
    </row>
    <row r="2220" spans="1:15">
      <c r="A2220" t="s">
        <v>3640</v>
      </c>
      <c r="B2220" s="2">
        <v>43660.107037037036</v>
      </c>
      <c r="C2220" s="2">
        <v>43660.134131944447</v>
      </c>
      <c r="D2220" t="s">
        <v>518</v>
      </c>
      <c r="E2220" t="s">
        <v>3599</v>
      </c>
      <c r="F2220" t="s">
        <v>3600</v>
      </c>
      <c r="G2220" t="s">
        <v>1122</v>
      </c>
      <c r="H2220" t="s">
        <v>1031</v>
      </c>
      <c r="I2220">
        <v>371883000</v>
      </c>
      <c r="J2220" t="s">
        <v>3614</v>
      </c>
      <c r="K2220">
        <v>142.58000000000001</v>
      </c>
      <c r="L2220">
        <v>16068.67</v>
      </c>
      <c r="M2220">
        <v>16068.67</v>
      </c>
      <c r="N2220">
        <v>609328004</v>
      </c>
      <c r="O2220" t="s">
        <v>1137</v>
      </c>
    </row>
    <row r="2221" spans="1:15">
      <c r="A2221" t="s">
        <v>3641</v>
      </c>
      <c r="B2221" s="2">
        <v>43687.134131944447</v>
      </c>
      <c r="C2221" s="2">
        <v>43687.160983796297</v>
      </c>
      <c r="D2221" t="s">
        <v>518</v>
      </c>
      <c r="E2221" t="s">
        <v>3599</v>
      </c>
      <c r="F2221" t="s">
        <v>3600</v>
      </c>
      <c r="G2221" t="s">
        <v>1122</v>
      </c>
      <c r="H2221" t="s">
        <v>1031</v>
      </c>
      <c r="I2221">
        <v>371883000</v>
      </c>
      <c r="J2221" t="s">
        <v>3614</v>
      </c>
      <c r="K2221">
        <v>142.58000000000001</v>
      </c>
      <c r="L2221">
        <v>20626.96</v>
      </c>
      <c r="M2221">
        <v>20626.96</v>
      </c>
      <c r="N2221">
        <v>609328004</v>
      </c>
      <c r="O2221" t="s">
        <v>1137</v>
      </c>
    </row>
    <row r="2222" spans="1:15">
      <c r="A2222" t="s">
        <v>3642</v>
      </c>
      <c r="B2222" s="2">
        <v>43713.160983796297</v>
      </c>
      <c r="C2222" s="2">
        <v>43713.187789351854</v>
      </c>
      <c r="D2222" t="s">
        <v>518</v>
      </c>
      <c r="E2222" t="s">
        <v>3599</v>
      </c>
      <c r="F2222" t="s">
        <v>3600</v>
      </c>
      <c r="G2222" t="s">
        <v>1122</v>
      </c>
      <c r="H2222" t="s">
        <v>1031</v>
      </c>
      <c r="I2222">
        <v>371883000</v>
      </c>
      <c r="J2222" t="s">
        <v>3614</v>
      </c>
      <c r="K2222">
        <v>142.58000000000001</v>
      </c>
      <c r="L2222">
        <v>5263.67</v>
      </c>
      <c r="M2222">
        <v>5263.67</v>
      </c>
      <c r="N2222">
        <v>609328004</v>
      </c>
      <c r="O2222" t="s">
        <v>1137</v>
      </c>
    </row>
    <row r="2223" spans="1:15">
      <c r="A2223" t="s">
        <v>3643</v>
      </c>
      <c r="B2223" s="2">
        <v>43734.187789351854</v>
      </c>
      <c r="C2223" s="2">
        <v>43734.227893518517</v>
      </c>
      <c r="D2223" t="s">
        <v>518</v>
      </c>
      <c r="E2223" t="s">
        <v>3599</v>
      </c>
      <c r="F2223" t="s">
        <v>3600</v>
      </c>
      <c r="G2223" t="s">
        <v>1122</v>
      </c>
      <c r="H2223" t="s">
        <v>1031</v>
      </c>
      <c r="I2223">
        <v>371883000</v>
      </c>
      <c r="J2223" t="s">
        <v>3614</v>
      </c>
      <c r="K2223">
        <v>142.58000000000001</v>
      </c>
      <c r="L2223">
        <v>8938.0499999999993</v>
      </c>
      <c r="M2223">
        <v>8938.0499999999993</v>
      </c>
      <c r="N2223">
        <v>609328004</v>
      </c>
      <c r="O2223" t="s">
        <v>1137</v>
      </c>
    </row>
    <row r="2224" spans="1:15">
      <c r="A2224" t="s">
        <v>3644</v>
      </c>
      <c r="B2224" s="2">
        <v>43757.227893518517</v>
      </c>
      <c r="C2224" s="2">
        <v>43757.25440972222</v>
      </c>
      <c r="D2224" t="s">
        <v>518</v>
      </c>
      <c r="E2224" t="s">
        <v>3599</v>
      </c>
      <c r="F2224" t="s">
        <v>3600</v>
      </c>
      <c r="G2224" t="s">
        <v>1122</v>
      </c>
      <c r="H2224" t="s">
        <v>1031</v>
      </c>
      <c r="I2224">
        <v>371883000</v>
      </c>
      <c r="J2224" t="s">
        <v>3614</v>
      </c>
      <c r="K2224">
        <v>142.58000000000001</v>
      </c>
      <c r="L2224">
        <v>12623.83</v>
      </c>
      <c r="M2224">
        <v>9912.66</v>
      </c>
      <c r="N2224">
        <v>609328004</v>
      </c>
      <c r="O2224" t="s">
        <v>1137</v>
      </c>
    </row>
    <row r="2225" spans="1:15">
      <c r="A2225" t="s">
        <v>3645</v>
      </c>
      <c r="B2225" s="2">
        <v>43778.212743055556</v>
      </c>
      <c r="C2225" s="2">
        <v>43778.223263888889</v>
      </c>
      <c r="D2225" t="s">
        <v>518</v>
      </c>
      <c r="E2225" t="s">
        <v>3599</v>
      </c>
      <c r="F2225" t="s">
        <v>3600</v>
      </c>
      <c r="G2225" t="s">
        <v>1122</v>
      </c>
      <c r="H2225" t="s">
        <v>1031</v>
      </c>
      <c r="I2225">
        <v>371883000</v>
      </c>
      <c r="J2225" t="s">
        <v>3614</v>
      </c>
      <c r="K2225">
        <v>142.58000000000001</v>
      </c>
      <c r="L2225">
        <v>5263.67</v>
      </c>
      <c r="M2225">
        <v>4210.93</v>
      </c>
      <c r="N2225">
        <v>609328004</v>
      </c>
      <c r="O2225" t="s">
        <v>1137</v>
      </c>
    </row>
    <row r="2226" spans="1:15">
      <c r="A2226" t="s">
        <v>3646</v>
      </c>
      <c r="B2226" s="2">
        <v>43788.48096064815</v>
      </c>
      <c r="C2226" s="2">
        <v>43788.491377314815</v>
      </c>
      <c r="D2226" t="s">
        <v>518</v>
      </c>
      <c r="E2226" t="s">
        <v>3606</v>
      </c>
      <c r="F2226" t="s">
        <v>3607</v>
      </c>
      <c r="G2226" t="s">
        <v>1122</v>
      </c>
      <c r="H2226" t="s">
        <v>1020</v>
      </c>
      <c r="I2226">
        <v>410620009</v>
      </c>
      <c r="J2226" t="s">
        <v>1054</v>
      </c>
      <c r="K2226">
        <v>136.80000000000001</v>
      </c>
      <c r="L2226">
        <v>704.2</v>
      </c>
      <c r="M2226">
        <v>563.36</v>
      </c>
      <c r="O2226" t="s">
        <v>34</v>
      </c>
    </row>
    <row r="2227" spans="1:15">
      <c r="A2227" t="s">
        <v>3647</v>
      </c>
      <c r="B2227" s="2">
        <v>43802.48096064815</v>
      </c>
      <c r="C2227" s="2">
        <v>43802.699907407405</v>
      </c>
      <c r="D2227" t="s">
        <v>518</v>
      </c>
      <c r="E2227" t="s">
        <v>3599</v>
      </c>
      <c r="F2227" t="s">
        <v>3600</v>
      </c>
      <c r="G2227" t="s">
        <v>1122</v>
      </c>
      <c r="H2227" t="s">
        <v>1031</v>
      </c>
      <c r="I2227">
        <v>185349003</v>
      </c>
      <c r="J2227" t="s">
        <v>1038</v>
      </c>
      <c r="K2227">
        <v>85.55</v>
      </c>
      <c r="L2227">
        <v>5262.35</v>
      </c>
      <c r="M2227">
        <v>4209.88</v>
      </c>
      <c r="N2227">
        <v>66383009</v>
      </c>
      <c r="O2227" t="s">
        <v>1209</v>
      </c>
    </row>
    <row r="2228" spans="1:15">
      <c r="A2228" t="s">
        <v>3648</v>
      </c>
      <c r="B2228" s="2">
        <v>43816.48096064815</v>
      </c>
      <c r="C2228" s="2">
        <v>43816.510243055556</v>
      </c>
      <c r="D2228" t="s">
        <v>518</v>
      </c>
      <c r="E2228" t="s">
        <v>3599</v>
      </c>
      <c r="F2228" t="s">
        <v>3600</v>
      </c>
      <c r="G2228" t="s">
        <v>1122</v>
      </c>
      <c r="H2228" t="s">
        <v>1031</v>
      </c>
      <c r="I2228">
        <v>371883000</v>
      </c>
      <c r="J2228" t="s">
        <v>3614</v>
      </c>
      <c r="K2228">
        <v>142.58000000000001</v>
      </c>
      <c r="L2228">
        <v>5263.67</v>
      </c>
      <c r="M2228">
        <v>4210.93</v>
      </c>
      <c r="N2228">
        <v>609328004</v>
      </c>
      <c r="O2228" t="s">
        <v>1137</v>
      </c>
    </row>
    <row r="2229" spans="1:15">
      <c r="A2229" t="s">
        <v>3649</v>
      </c>
      <c r="B2229" s="2">
        <v>43842.510243055556</v>
      </c>
      <c r="C2229" s="2">
        <v>43842.531365740739</v>
      </c>
      <c r="D2229" t="s">
        <v>518</v>
      </c>
      <c r="E2229" t="s">
        <v>3599</v>
      </c>
      <c r="F2229" t="s">
        <v>3600</v>
      </c>
      <c r="G2229" t="s">
        <v>1122</v>
      </c>
      <c r="H2229" t="s">
        <v>1031</v>
      </c>
      <c r="I2229">
        <v>371883000</v>
      </c>
      <c r="J2229" t="s">
        <v>3614</v>
      </c>
      <c r="K2229">
        <v>142.58000000000001</v>
      </c>
      <c r="L2229">
        <v>5263.67</v>
      </c>
      <c r="M2229">
        <v>4210.93</v>
      </c>
      <c r="N2229">
        <v>609328004</v>
      </c>
      <c r="O2229" t="s">
        <v>1137</v>
      </c>
    </row>
    <row r="2230" spans="1:15">
      <c r="A2230" t="s">
        <v>3650</v>
      </c>
      <c r="B2230" s="2">
        <v>43865.531365740739</v>
      </c>
      <c r="C2230" s="2">
        <v>43865.550069444442</v>
      </c>
      <c r="D2230" t="s">
        <v>518</v>
      </c>
      <c r="E2230" t="s">
        <v>3599</v>
      </c>
      <c r="F2230" t="s">
        <v>3600</v>
      </c>
      <c r="G2230" t="s">
        <v>1122</v>
      </c>
      <c r="H2230" t="s">
        <v>1031</v>
      </c>
      <c r="I2230">
        <v>371883000</v>
      </c>
      <c r="J2230" t="s">
        <v>3614</v>
      </c>
      <c r="K2230">
        <v>142.58000000000001</v>
      </c>
      <c r="L2230">
        <v>5492.66</v>
      </c>
      <c r="M2230">
        <v>4394.12</v>
      </c>
      <c r="N2230">
        <v>609328004</v>
      </c>
      <c r="O2230" t="s">
        <v>1137</v>
      </c>
    </row>
    <row r="2231" spans="1:15">
      <c r="A2231" t="s">
        <v>3651</v>
      </c>
      <c r="B2231" s="2">
        <v>43890.550069444442</v>
      </c>
      <c r="C2231" s="2">
        <v>43890.58630787037</v>
      </c>
      <c r="D2231" t="s">
        <v>518</v>
      </c>
      <c r="E2231" t="s">
        <v>3599</v>
      </c>
      <c r="F2231" t="s">
        <v>3600</v>
      </c>
      <c r="G2231" t="s">
        <v>1122</v>
      </c>
      <c r="H2231" t="s">
        <v>1031</v>
      </c>
      <c r="I2231">
        <v>371883000</v>
      </c>
      <c r="J2231" t="s">
        <v>3614</v>
      </c>
      <c r="K2231">
        <v>142.58000000000001</v>
      </c>
      <c r="L2231">
        <v>5263.67</v>
      </c>
      <c r="M2231">
        <v>4210.93</v>
      </c>
      <c r="N2231">
        <v>609328004</v>
      </c>
      <c r="O2231" t="s">
        <v>1137</v>
      </c>
    </row>
    <row r="2232" spans="1:15">
      <c r="A2232" t="s">
        <v>3652</v>
      </c>
      <c r="B2232" s="2">
        <v>43915.627974537034</v>
      </c>
      <c r="C2232" s="2">
        <v>43915.649421296293</v>
      </c>
      <c r="D2232" t="s">
        <v>518</v>
      </c>
      <c r="E2232" t="s">
        <v>3599</v>
      </c>
      <c r="F2232" t="s">
        <v>3600</v>
      </c>
      <c r="G2232" t="s">
        <v>1122</v>
      </c>
      <c r="H2232" t="s">
        <v>1031</v>
      </c>
      <c r="I2232">
        <v>371883000</v>
      </c>
      <c r="J2232" t="s">
        <v>3614</v>
      </c>
      <c r="K2232">
        <v>142.58000000000001</v>
      </c>
      <c r="L2232">
        <v>5263.67</v>
      </c>
      <c r="M2232">
        <v>4210.93</v>
      </c>
      <c r="N2232">
        <v>609328004</v>
      </c>
      <c r="O2232" t="s">
        <v>1137</v>
      </c>
    </row>
    <row r="2233" spans="1:15">
      <c r="A2233" t="s">
        <v>3653</v>
      </c>
      <c r="B2233" s="2">
        <v>43940.649421296293</v>
      </c>
      <c r="C2233" s="2">
        <v>43940.664942129632</v>
      </c>
      <c r="D2233" t="s">
        <v>518</v>
      </c>
      <c r="E2233" t="s">
        <v>3599</v>
      </c>
      <c r="F2233" t="s">
        <v>3600</v>
      </c>
      <c r="G2233" t="s">
        <v>1122</v>
      </c>
      <c r="H2233" t="s">
        <v>1031</v>
      </c>
      <c r="I2233">
        <v>371883000</v>
      </c>
      <c r="J2233" t="s">
        <v>3614</v>
      </c>
      <c r="K2233">
        <v>142.58000000000001</v>
      </c>
      <c r="L2233">
        <v>8363.23</v>
      </c>
      <c r="M2233">
        <v>6690.58</v>
      </c>
      <c r="N2233">
        <v>609328004</v>
      </c>
      <c r="O2233" t="s">
        <v>1137</v>
      </c>
    </row>
    <row r="2234" spans="1:15">
      <c r="A2234" t="s">
        <v>3654</v>
      </c>
      <c r="B2234" s="2">
        <v>43966.664942129632</v>
      </c>
      <c r="C2234" s="2">
        <v>43966.685219907406</v>
      </c>
      <c r="D2234" t="s">
        <v>518</v>
      </c>
      <c r="E2234" t="s">
        <v>3599</v>
      </c>
      <c r="F2234" t="s">
        <v>3600</v>
      </c>
      <c r="G2234" t="s">
        <v>1122</v>
      </c>
      <c r="H2234" t="s">
        <v>1031</v>
      </c>
      <c r="I2234">
        <v>371883000</v>
      </c>
      <c r="J2234" t="s">
        <v>3614</v>
      </c>
      <c r="K2234">
        <v>142.58000000000001</v>
      </c>
      <c r="L2234">
        <v>5263.67</v>
      </c>
      <c r="M2234">
        <v>4210.93</v>
      </c>
      <c r="N2234">
        <v>609328004</v>
      </c>
      <c r="O2234" t="s">
        <v>1137</v>
      </c>
    </row>
    <row r="2235" spans="1:15">
      <c r="A2235" t="s">
        <v>3655</v>
      </c>
      <c r="B2235" s="2">
        <v>43991.685219907406</v>
      </c>
      <c r="C2235" s="2">
        <v>43991.724317129629</v>
      </c>
      <c r="D2235" t="s">
        <v>518</v>
      </c>
      <c r="E2235" t="s">
        <v>3599</v>
      </c>
      <c r="F2235" t="s">
        <v>3600</v>
      </c>
      <c r="G2235" t="s">
        <v>1122</v>
      </c>
      <c r="H2235" t="s">
        <v>1031</v>
      </c>
      <c r="I2235">
        <v>371883000</v>
      </c>
      <c r="J2235" t="s">
        <v>3614</v>
      </c>
      <c r="K2235">
        <v>142.58000000000001</v>
      </c>
      <c r="L2235">
        <v>9310.5300000000007</v>
      </c>
      <c r="M2235">
        <v>7448.42</v>
      </c>
      <c r="N2235">
        <v>609328004</v>
      </c>
      <c r="O2235" t="s">
        <v>1137</v>
      </c>
    </row>
    <row r="2236" spans="1:15">
      <c r="A2236" t="s">
        <v>3656</v>
      </c>
      <c r="B2236" s="2">
        <v>44013.724317129629</v>
      </c>
      <c r="C2236" s="2">
        <v>44013.740891203706</v>
      </c>
      <c r="D2236" t="s">
        <v>518</v>
      </c>
      <c r="E2236" t="s">
        <v>3599</v>
      </c>
      <c r="F2236" t="s">
        <v>3600</v>
      </c>
      <c r="G2236" t="s">
        <v>1122</v>
      </c>
      <c r="H2236" t="s">
        <v>1031</v>
      </c>
      <c r="I2236">
        <v>371883000</v>
      </c>
      <c r="J2236" t="s">
        <v>3614</v>
      </c>
      <c r="K2236">
        <v>142.58000000000001</v>
      </c>
      <c r="L2236">
        <v>5263.67</v>
      </c>
      <c r="M2236">
        <v>4210.93</v>
      </c>
      <c r="N2236">
        <v>609328004</v>
      </c>
      <c r="O2236" t="s">
        <v>1137</v>
      </c>
    </row>
    <row r="2237" spans="1:15">
      <c r="A2237" t="s">
        <v>3657</v>
      </c>
      <c r="B2237" s="2">
        <v>44040.740891203706</v>
      </c>
      <c r="C2237" s="2">
        <v>44040.757650462961</v>
      </c>
      <c r="D2237" t="s">
        <v>518</v>
      </c>
      <c r="E2237" t="s">
        <v>3599</v>
      </c>
      <c r="F2237" t="s">
        <v>3600</v>
      </c>
      <c r="G2237" t="s">
        <v>1122</v>
      </c>
      <c r="H2237" t="s">
        <v>1031</v>
      </c>
      <c r="I2237">
        <v>371883000</v>
      </c>
      <c r="J2237" t="s">
        <v>3614</v>
      </c>
      <c r="K2237">
        <v>142.58000000000001</v>
      </c>
      <c r="L2237">
        <v>9781.5300000000007</v>
      </c>
      <c r="M2237">
        <v>7825.22</v>
      </c>
      <c r="N2237">
        <v>609328004</v>
      </c>
      <c r="O2237" t="s">
        <v>1137</v>
      </c>
    </row>
    <row r="2238" spans="1:15">
      <c r="A2238" t="s">
        <v>3658</v>
      </c>
      <c r="B2238" s="2">
        <v>44063.757650462961</v>
      </c>
      <c r="C2238" s="2">
        <v>44063.792627314811</v>
      </c>
      <c r="D2238" t="s">
        <v>518</v>
      </c>
      <c r="E2238" t="s">
        <v>3599</v>
      </c>
      <c r="F2238" t="s">
        <v>3600</v>
      </c>
      <c r="G2238" t="s">
        <v>1122</v>
      </c>
      <c r="H2238" t="s">
        <v>1031</v>
      </c>
      <c r="I2238">
        <v>371883000</v>
      </c>
      <c r="J2238" t="s">
        <v>3614</v>
      </c>
      <c r="K2238">
        <v>142.58000000000001</v>
      </c>
      <c r="L2238">
        <v>6587.88</v>
      </c>
      <c r="M2238">
        <v>5270.3</v>
      </c>
      <c r="N2238">
        <v>609328004</v>
      </c>
      <c r="O2238" t="s">
        <v>1137</v>
      </c>
    </row>
    <row r="2239" spans="1:15">
      <c r="A2239" t="s">
        <v>3659</v>
      </c>
      <c r="B2239" s="2">
        <v>44090.792627314811</v>
      </c>
      <c r="C2239" s="2">
        <v>44090.830011574071</v>
      </c>
      <c r="D2239" t="s">
        <v>518</v>
      </c>
      <c r="E2239" t="s">
        <v>3599</v>
      </c>
      <c r="F2239" t="s">
        <v>3600</v>
      </c>
      <c r="G2239" t="s">
        <v>1122</v>
      </c>
      <c r="H2239" t="s">
        <v>1031</v>
      </c>
      <c r="I2239">
        <v>371883000</v>
      </c>
      <c r="J2239" t="s">
        <v>3614</v>
      </c>
      <c r="K2239">
        <v>142.58000000000001</v>
      </c>
      <c r="L2239">
        <v>13257.93</v>
      </c>
      <c r="M2239">
        <v>10606.34</v>
      </c>
      <c r="N2239">
        <v>609328004</v>
      </c>
      <c r="O2239" t="s">
        <v>1137</v>
      </c>
    </row>
    <row r="2240" spans="1:15">
      <c r="A2240" t="s">
        <v>3660</v>
      </c>
      <c r="B2240" s="2">
        <v>44105.522627314815</v>
      </c>
      <c r="C2240" s="2">
        <v>44105.533043981479</v>
      </c>
      <c r="D2240" t="s">
        <v>518</v>
      </c>
      <c r="E2240" t="s">
        <v>3599</v>
      </c>
      <c r="F2240" t="s">
        <v>3600</v>
      </c>
      <c r="G2240" t="s">
        <v>1122</v>
      </c>
      <c r="H2240" t="s">
        <v>1043</v>
      </c>
      <c r="I2240">
        <v>698314001</v>
      </c>
      <c r="J2240" t="s">
        <v>1190</v>
      </c>
      <c r="K2240">
        <v>142.58000000000001</v>
      </c>
      <c r="L2240">
        <v>142.58000000000001</v>
      </c>
      <c r="M2240">
        <v>114.06</v>
      </c>
      <c r="N2240">
        <v>389095005</v>
      </c>
      <c r="O2240" t="s">
        <v>1191</v>
      </c>
    </row>
    <row r="2241" spans="1:15">
      <c r="A2241" t="s">
        <v>3661</v>
      </c>
      <c r="B2241" s="2">
        <v>44111.830011574071</v>
      </c>
      <c r="C2241" s="2">
        <v>44111.863865740743</v>
      </c>
      <c r="D2241" t="s">
        <v>518</v>
      </c>
      <c r="E2241" t="s">
        <v>3599</v>
      </c>
      <c r="F2241" t="s">
        <v>3600</v>
      </c>
      <c r="G2241" t="s">
        <v>1122</v>
      </c>
      <c r="H2241" t="s">
        <v>1031</v>
      </c>
      <c r="I2241">
        <v>371883000</v>
      </c>
      <c r="J2241" t="s">
        <v>3614</v>
      </c>
      <c r="K2241">
        <v>142.58000000000001</v>
      </c>
      <c r="L2241">
        <v>9163.9699999999993</v>
      </c>
      <c r="M2241">
        <v>7331.17</v>
      </c>
      <c r="N2241">
        <v>609328004</v>
      </c>
      <c r="O2241" t="s">
        <v>1137</v>
      </c>
    </row>
    <row r="2242" spans="1:15">
      <c r="A2242" t="s">
        <v>3662</v>
      </c>
      <c r="B2242" s="2">
        <v>44138.822199074071</v>
      </c>
      <c r="C2242" s="2">
        <v>44138.842326388891</v>
      </c>
      <c r="D2242" t="s">
        <v>518</v>
      </c>
      <c r="E2242" t="s">
        <v>3599</v>
      </c>
      <c r="F2242" t="s">
        <v>3600</v>
      </c>
      <c r="G2242" t="s">
        <v>1122</v>
      </c>
      <c r="H2242" t="s">
        <v>1031</v>
      </c>
      <c r="I2242">
        <v>371883000</v>
      </c>
      <c r="J2242" t="s">
        <v>3614</v>
      </c>
      <c r="K2242">
        <v>142.58000000000001</v>
      </c>
      <c r="L2242">
        <v>8039.24</v>
      </c>
      <c r="M2242">
        <v>6244.99</v>
      </c>
      <c r="N2242">
        <v>609328004</v>
      </c>
      <c r="O2242" t="s">
        <v>1137</v>
      </c>
    </row>
    <row r="2243" spans="1:15">
      <c r="A2243" t="s">
        <v>3663</v>
      </c>
      <c r="B2243" s="2">
        <v>44159.48096064815</v>
      </c>
      <c r="C2243" s="2">
        <v>44159.491377314815</v>
      </c>
      <c r="D2243" t="s">
        <v>518</v>
      </c>
      <c r="E2243" t="s">
        <v>3606</v>
      </c>
      <c r="F2243" t="s">
        <v>3607</v>
      </c>
      <c r="G2243" t="s">
        <v>1122</v>
      </c>
      <c r="H2243" t="s">
        <v>1020</v>
      </c>
      <c r="I2243">
        <v>410620009</v>
      </c>
      <c r="J2243" t="s">
        <v>1054</v>
      </c>
      <c r="K2243">
        <v>136.80000000000001</v>
      </c>
      <c r="L2243">
        <v>914.78</v>
      </c>
      <c r="M2243">
        <v>731.82</v>
      </c>
      <c r="O2243" t="s">
        <v>34</v>
      </c>
    </row>
    <row r="2244" spans="1:15">
      <c r="A2244" t="s">
        <v>3664</v>
      </c>
      <c r="B2244" s="2">
        <v>44163.842326388891</v>
      </c>
      <c r="C2244" s="2">
        <v>44163.86959490741</v>
      </c>
      <c r="D2244" t="s">
        <v>518</v>
      </c>
      <c r="E2244" t="s">
        <v>3599</v>
      </c>
      <c r="F2244" t="s">
        <v>3600</v>
      </c>
      <c r="G2244" t="s">
        <v>1122</v>
      </c>
      <c r="H2244" t="s">
        <v>1031</v>
      </c>
      <c r="I2244">
        <v>371883000</v>
      </c>
      <c r="J2244" t="s">
        <v>3614</v>
      </c>
      <c r="K2244">
        <v>142.58000000000001</v>
      </c>
      <c r="L2244">
        <v>13025.97</v>
      </c>
      <c r="M2244">
        <v>10420.77</v>
      </c>
      <c r="N2244">
        <v>609328004</v>
      </c>
      <c r="O2244" t="s">
        <v>1137</v>
      </c>
    </row>
    <row r="2245" spans="1:15">
      <c r="A2245" t="s">
        <v>3665</v>
      </c>
      <c r="B2245" s="2">
        <v>44189.86959490741</v>
      </c>
      <c r="C2245" s="2">
        <v>44189.890625</v>
      </c>
      <c r="D2245" t="s">
        <v>518</v>
      </c>
      <c r="E2245" t="s">
        <v>3599</v>
      </c>
      <c r="F2245" t="s">
        <v>3600</v>
      </c>
      <c r="G2245" t="s">
        <v>1122</v>
      </c>
      <c r="H2245" t="s">
        <v>1031</v>
      </c>
      <c r="I2245">
        <v>371883000</v>
      </c>
      <c r="J2245" t="s">
        <v>3614</v>
      </c>
      <c r="K2245">
        <v>142.58000000000001</v>
      </c>
      <c r="L2245">
        <v>5263.67</v>
      </c>
      <c r="M2245">
        <v>4210.93</v>
      </c>
      <c r="N2245">
        <v>609328004</v>
      </c>
      <c r="O2245" t="s">
        <v>1137</v>
      </c>
    </row>
    <row r="2246" spans="1:15">
      <c r="A2246" t="s">
        <v>3666</v>
      </c>
      <c r="B2246" s="2">
        <v>44212.890625</v>
      </c>
      <c r="C2246" s="2">
        <v>44212.924583333333</v>
      </c>
      <c r="D2246" t="s">
        <v>518</v>
      </c>
      <c r="E2246" t="s">
        <v>3599</v>
      </c>
      <c r="F2246" t="s">
        <v>3600</v>
      </c>
      <c r="G2246" t="s">
        <v>1122</v>
      </c>
      <c r="H2246" t="s">
        <v>1031</v>
      </c>
      <c r="I2246">
        <v>371883000</v>
      </c>
      <c r="J2246" t="s">
        <v>3614</v>
      </c>
      <c r="K2246">
        <v>142.58000000000001</v>
      </c>
      <c r="L2246">
        <v>20626.96</v>
      </c>
      <c r="M2246">
        <v>16501.560000000001</v>
      </c>
      <c r="N2246">
        <v>609328004</v>
      </c>
      <c r="O2246" t="s">
        <v>1137</v>
      </c>
    </row>
    <row r="2247" spans="1:15">
      <c r="A2247" t="s">
        <v>3667</v>
      </c>
      <c r="B2247" s="2">
        <v>44238.924583333333</v>
      </c>
      <c r="C2247" s="2">
        <v>44238.957326388889</v>
      </c>
      <c r="D2247" t="s">
        <v>518</v>
      </c>
      <c r="E2247" t="s">
        <v>3599</v>
      </c>
      <c r="F2247" t="s">
        <v>3600</v>
      </c>
      <c r="G2247" t="s">
        <v>1122</v>
      </c>
      <c r="H2247" t="s">
        <v>1031</v>
      </c>
      <c r="I2247">
        <v>371883000</v>
      </c>
      <c r="J2247" t="s">
        <v>3614</v>
      </c>
      <c r="K2247">
        <v>142.58000000000001</v>
      </c>
      <c r="L2247">
        <v>10545.73</v>
      </c>
      <c r="M2247">
        <v>8436.58</v>
      </c>
      <c r="N2247">
        <v>609328004</v>
      </c>
      <c r="O2247" t="s">
        <v>1137</v>
      </c>
    </row>
    <row r="2248" spans="1:15">
      <c r="A2248" t="s">
        <v>3668</v>
      </c>
      <c r="B2248" s="2">
        <v>44255.564293981479</v>
      </c>
      <c r="C2248" s="2">
        <v>44255.57471064815</v>
      </c>
      <c r="D2248" t="s">
        <v>518</v>
      </c>
      <c r="E2248" t="s">
        <v>3599</v>
      </c>
      <c r="F2248" t="s">
        <v>3600</v>
      </c>
      <c r="G2248" t="s">
        <v>1122</v>
      </c>
      <c r="H2248" t="s">
        <v>1031</v>
      </c>
      <c r="I2248">
        <v>185347001</v>
      </c>
      <c r="J2248" t="s">
        <v>1124</v>
      </c>
      <c r="K2248">
        <v>85.55</v>
      </c>
      <c r="L2248">
        <v>85.55</v>
      </c>
      <c r="M2248">
        <v>68.44</v>
      </c>
      <c r="N2248">
        <v>24079001</v>
      </c>
      <c r="O2248" t="s">
        <v>2106</v>
      </c>
    </row>
    <row r="2249" spans="1:15">
      <c r="A2249" t="s">
        <v>3669</v>
      </c>
      <c r="B2249" s="2">
        <v>44259.957326388889</v>
      </c>
      <c r="C2249" s="2">
        <v>44259.969467592593</v>
      </c>
      <c r="D2249" t="s">
        <v>518</v>
      </c>
      <c r="E2249" t="s">
        <v>3599</v>
      </c>
      <c r="F2249" t="s">
        <v>3600</v>
      </c>
      <c r="G2249" t="s">
        <v>1122</v>
      </c>
      <c r="H2249" t="s">
        <v>1031</v>
      </c>
      <c r="I2249">
        <v>371883000</v>
      </c>
      <c r="J2249" t="s">
        <v>3614</v>
      </c>
      <c r="K2249">
        <v>142.58000000000001</v>
      </c>
      <c r="L2249">
        <v>9708.74</v>
      </c>
      <c r="M2249">
        <v>7766.99</v>
      </c>
      <c r="N2249">
        <v>609328004</v>
      </c>
      <c r="O2249" t="s">
        <v>1137</v>
      </c>
    </row>
    <row r="2250" spans="1:15">
      <c r="A2250" t="s">
        <v>3670</v>
      </c>
      <c r="B2250" s="2">
        <v>44287.011134259257</v>
      </c>
      <c r="C2250" s="2">
        <v>44287.031354166669</v>
      </c>
      <c r="D2250" t="s">
        <v>518</v>
      </c>
      <c r="E2250" t="s">
        <v>3599</v>
      </c>
      <c r="F2250" t="s">
        <v>3600</v>
      </c>
      <c r="G2250" t="s">
        <v>1122</v>
      </c>
      <c r="H2250" t="s">
        <v>1031</v>
      </c>
      <c r="I2250">
        <v>371883000</v>
      </c>
      <c r="J2250" t="s">
        <v>3614</v>
      </c>
      <c r="K2250">
        <v>142.58000000000001</v>
      </c>
      <c r="L2250">
        <v>10503.72</v>
      </c>
      <c r="M2250">
        <v>8402.9699999999993</v>
      </c>
      <c r="N2250">
        <v>609328004</v>
      </c>
      <c r="O2250" t="s">
        <v>1137</v>
      </c>
    </row>
    <row r="2251" spans="1:15">
      <c r="A2251" t="s">
        <v>3671</v>
      </c>
      <c r="B2251" s="2">
        <v>44314.031354166669</v>
      </c>
      <c r="C2251" s="2">
        <v>44314.06490740741</v>
      </c>
      <c r="D2251" t="s">
        <v>518</v>
      </c>
      <c r="E2251" t="s">
        <v>3599</v>
      </c>
      <c r="F2251" t="s">
        <v>3600</v>
      </c>
      <c r="G2251" t="s">
        <v>1122</v>
      </c>
      <c r="H2251" t="s">
        <v>1031</v>
      </c>
      <c r="I2251">
        <v>371883000</v>
      </c>
      <c r="J2251" t="s">
        <v>3614</v>
      </c>
      <c r="K2251">
        <v>142.58000000000001</v>
      </c>
      <c r="L2251">
        <v>5263.67</v>
      </c>
      <c r="M2251">
        <v>4210.93</v>
      </c>
      <c r="N2251">
        <v>609328004</v>
      </c>
      <c r="O2251" t="s">
        <v>1137</v>
      </c>
    </row>
    <row r="2252" spans="1:15">
      <c r="A2252" t="s">
        <v>3672</v>
      </c>
      <c r="B2252" s="2">
        <v>44341.06490740741</v>
      </c>
      <c r="C2252" s="2">
        <v>44341.105856481481</v>
      </c>
      <c r="D2252" t="s">
        <v>518</v>
      </c>
      <c r="E2252" t="s">
        <v>3599</v>
      </c>
      <c r="F2252" t="s">
        <v>3600</v>
      </c>
      <c r="G2252" t="s">
        <v>1122</v>
      </c>
      <c r="H2252" t="s">
        <v>1031</v>
      </c>
      <c r="I2252">
        <v>371883000</v>
      </c>
      <c r="J2252" t="s">
        <v>3614</v>
      </c>
      <c r="K2252">
        <v>142.58000000000001</v>
      </c>
      <c r="L2252">
        <v>5263.67</v>
      </c>
      <c r="M2252">
        <v>4210.93</v>
      </c>
      <c r="N2252">
        <v>609328004</v>
      </c>
      <c r="O2252" t="s">
        <v>1137</v>
      </c>
    </row>
    <row r="2253" spans="1:15">
      <c r="A2253" t="s">
        <v>3673</v>
      </c>
      <c r="B2253" s="2">
        <v>44366.105856481481</v>
      </c>
      <c r="C2253" s="2">
        <v>44366.127951388888</v>
      </c>
      <c r="D2253" t="s">
        <v>518</v>
      </c>
      <c r="E2253" t="s">
        <v>3599</v>
      </c>
      <c r="F2253" t="s">
        <v>3600</v>
      </c>
      <c r="G2253" t="s">
        <v>1122</v>
      </c>
      <c r="H2253" t="s">
        <v>1031</v>
      </c>
      <c r="I2253">
        <v>371883000</v>
      </c>
      <c r="J2253" t="s">
        <v>3614</v>
      </c>
      <c r="K2253">
        <v>142.58000000000001</v>
      </c>
      <c r="L2253">
        <v>5263.67</v>
      </c>
      <c r="M2253">
        <v>4210.93</v>
      </c>
      <c r="N2253">
        <v>609328004</v>
      </c>
      <c r="O2253" t="s">
        <v>1137</v>
      </c>
    </row>
    <row r="2254" spans="1:15">
      <c r="A2254" t="s">
        <v>3674</v>
      </c>
      <c r="B2254" s="2">
        <v>44388.127951388888</v>
      </c>
      <c r="C2254" s="2">
        <v>44388.143958333334</v>
      </c>
      <c r="D2254" t="s">
        <v>518</v>
      </c>
      <c r="E2254" t="s">
        <v>3599</v>
      </c>
      <c r="F2254" t="s">
        <v>3600</v>
      </c>
      <c r="G2254" t="s">
        <v>1122</v>
      </c>
      <c r="H2254" t="s">
        <v>1031</v>
      </c>
      <c r="I2254">
        <v>371883000</v>
      </c>
      <c r="J2254" t="s">
        <v>3614</v>
      </c>
      <c r="K2254">
        <v>142.58000000000001</v>
      </c>
      <c r="L2254">
        <v>5263.67</v>
      </c>
      <c r="M2254">
        <v>4210.93</v>
      </c>
      <c r="N2254">
        <v>609328004</v>
      </c>
      <c r="O2254" t="s">
        <v>1137</v>
      </c>
    </row>
    <row r="2255" spans="1:15">
      <c r="A2255" t="s">
        <v>3675</v>
      </c>
      <c r="B2255" s="2">
        <v>44415.143958333334</v>
      </c>
      <c r="C2255" s="2">
        <v>44415.172210648147</v>
      </c>
      <c r="D2255" t="s">
        <v>518</v>
      </c>
      <c r="E2255" t="s">
        <v>3599</v>
      </c>
      <c r="F2255" t="s">
        <v>3600</v>
      </c>
      <c r="G2255" t="s">
        <v>1122</v>
      </c>
      <c r="H2255" t="s">
        <v>1031</v>
      </c>
      <c r="I2255">
        <v>371883000</v>
      </c>
      <c r="J2255" t="s">
        <v>3614</v>
      </c>
      <c r="K2255">
        <v>142.58000000000001</v>
      </c>
      <c r="L2255">
        <v>20626.96</v>
      </c>
      <c r="M2255">
        <v>16501.560000000001</v>
      </c>
      <c r="N2255">
        <v>609328004</v>
      </c>
      <c r="O2255" t="s">
        <v>1137</v>
      </c>
    </row>
    <row r="2256" spans="1:15">
      <c r="A2256" t="s">
        <v>3676</v>
      </c>
      <c r="B2256" s="2">
        <v>44440.172210648147</v>
      </c>
      <c r="C2256" s="2">
        <v>44440.213587962964</v>
      </c>
      <c r="D2256" t="s">
        <v>518</v>
      </c>
      <c r="E2256" t="s">
        <v>3599</v>
      </c>
      <c r="F2256" t="s">
        <v>3600</v>
      </c>
      <c r="G2256" t="s">
        <v>1122</v>
      </c>
      <c r="H2256" t="s">
        <v>1031</v>
      </c>
      <c r="I2256">
        <v>371883000</v>
      </c>
      <c r="J2256" t="s">
        <v>3614</v>
      </c>
      <c r="K2256">
        <v>142.58000000000001</v>
      </c>
      <c r="L2256">
        <v>6954.44</v>
      </c>
      <c r="M2256">
        <v>5563.55</v>
      </c>
      <c r="N2256">
        <v>609328004</v>
      </c>
      <c r="O2256" t="s">
        <v>1137</v>
      </c>
    </row>
    <row r="2257" spans="1:15">
      <c r="A2257" t="s">
        <v>3677</v>
      </c>
      <c r="B2257" s="2">
        <v>44461.213587962964</v>
      </c>
      <c r="C2257" s="2">
        <v>44461.237395833334</v>
      </c>
      <c r="D2257" t="s">
        <v>518</v>
      </c>
      <c r="E2257" t="s">
        <v>3599</v>
      </c>
      <c r="F2257" t="s">
        <v>3600</v>
      </c>
      <c r="G2257" t="s">
        <v>1122</v>
      </c>
      <c r="H2257" t="s">
        <v>1031</v>
      </c>
      <c r="I2257">
        <v>371883000</v>
      </c>
      <c r="J2257" t="s">
        <v>3614</v>
      </c>
      <c r="K2257">
        <v>142.58000000000001</v>
      </c>
      <c r="L2257">
        <v>5263.67</v>
      </c>
      <c r="M2257">
        <v>4210.93</v>
      </c>
      <c r="N2257">
        <v>609328004</v>
      </c>
      <c r="O2257" t="s">
        <v>1137</v>
      </c>
    </row>
    <row r="2258" spans="1:15">
      <c r="A2258" t="s">
        <v>3678</v>
      </c>
      <c r="B2258" s="2">
        <v>44488.237395833334</v>
      </c>
      <c r="C2258" s="2">
        <v>44488.267546296294</v>
      </c>
      <c r="D2258" t="s">
        <v>518</v>
      </c>
      <c r="E2258" t="s">
        <v>3599</v>
      </c>
      <c r="F2258" t="s">
        <v>3600</v>
      </c>
      <c r="G2258" t="s">
        <v>1122</v>
      </c>
      <c r="H2258" t="s">
        <v>1031</v>
      </c>
      <c r="I2258">
        <v>371883000</v>
      </c>
      <c r="J2258" t="s">
        <v>3614</v>
      </c>
      <c r="K2258">
        <v>142.58000000000001</v>
      </c>
      <c r="L2258">
        <v>8642.82</v>
      </c>
      <c r="M2258">
        <v>6727.86</v>
      </c>
      <c r="N2258">
        <v>609328004</v>
      </c>
      <c r="O2258" t="s">
        <v>1137</v>
      </c>
    </row>
    <row r="2259" spans="1:15">
      <c r="A2259" t="s">
        <v>3679</v>
      </c>
      <c r="B2259" s="2">
        <v>44512.22587962963</v>
      </c>
      <c r="C2259" s="2">
        <v>44512.250798611109</v>
      </c>
      <c r="D2259" t="s">
        <v>518</v>
      </c>
      <c r="E2259" t="s">
        <v>3599</v>
      </c>
      <c r="F2259" t="s">
        <v>3600</v>
      </c>
      <c r="G2259" t="s">
        <v>1122</v>
      </c>
      <c r="H2259" t="s">
        <v>1031</v>
      </c>
      <c r="I2259">
        <v>371883000</v>
      </c>
      <c r="J2259" t="s">
        <v>3614</v>
      </c>
      <c r="K2259">
        <v>142.58000000000001</v>
      </c>
      <c r="L2259">
        <v>11407.19</v>
      </c>
      <c r="M2259">
        <v>9125.75</v>
      </c>
      <c r="N2259">
        <v>609328004</v>
      </c>
      <c r="O2259" t="s">
        <v>1137</v>
      </c>
    </row>
    <row r="2260" spans="1:15">
      <c r="A2260" t="s">
        <v>3680</v>
      </c>
      <c r="B2260" s="2">
        <v>44530.48096064815</v>
      </c>
      <c r="C2260" s="2">
        <v>44530.491377314815</v>
      </c>
      <c r="D2260" t="s">
        <v>518</v>
      </c>
      <c r="E2260" t="s">
        <v>3606</v>
      </c>
      <c r="F2260" t="s">
        <v>3607</v>
      </c>
      <c r="G2260" t="s">
        <v>1122</v>
      </c>
      <c r="H2260" t="s">
        <v>1020</v>
      </c>
      <c r="I2260">
        <v>410620009</v>
      </c>
      <c r="J2260" t="s">
        <v>1054</v>
      </c>
      <c r="K2260">
        <v>136.80000000000001</v>
      </c>
      <c r="L2260">
        <v>919.9</v>
      </c>
      <c r="M2260">
        <v>735.92</v>
      </c>
      <c r="O2260" t="s">
        <v>34</v>
      </c>
    </row>
    <row r="2261" spans="1:15">
      <c r="A2261" t="s">
        <v>3681</v>
      </c>
      <c r="B2261" s="2">
        <v>44539.250798611109</v>
      </c>
      <c r="C2261" s="2">
        <v>44539.266967592594</v>
      </c>
      <c r="D2261" t="s">
        <v>518</v>
      </c>
      <c r="E2261" t="s">
        <v>3599</v>
      </c>
      <c r="F2261" t="s">
        <v>3600</v>
      </c>
      <c r="G2261" t="s">
        <v>1122</v>
      </c>
      <c r="H2261" t="s">
        <v>1031</v>
      </c>
      <c r="I2261">
        <v>170838006</v>
      </c>
      <c r="J2261" t="s">
        <v>3682</v>
      </c>
      <c r="K2261">
        <v>142.58000000000001</v>
      </c>
      <c r="L2261">
        <v>573.98</v>
      </c>
      <c r="M2261">
        <v>459.18</v>
      </c>
      <c r="N2261">
        <v>609328004</v>
      </c>
      <c r="O2261" t="s">
        <v>1137</v>
      </c>
    </row>
    <row r="2262" spans="1:15">
      <c r="A2262" t="s">
        <v>3683</v>
      </c>
      <c r="B2262" s="2">
        <v>44544.48096064815</v>
      </c>
      <c r="C2262" s="2">
        <v>44544.618217592593</v>
      </c>
      <c r="D2262" t="s">
        <v>518</v>
      </c>
      <c r="E2262" t="s">
        <v>3599</v>
      </c>
      <c r="F2262" t="s">
        <v>3600</v>
      </c>
      <c r="G2262" t="s">
        <v>1122</v>
      </c>
      <c r="H2262" t="s">
        <v>1031</v>
      </c>
      <c r="I2262">
        <v>185349003</v>
      </c>
      <c r="J2262" t="s">
        <v>1038</v>
      </c>
      <c r="K2262">
        <v>85.55</v>
      </c>
      <c r="L2262">
        <v>3105.35</v>
      </c>
      <c r="M2262">
        <v>2484.2800000000002</v>
      </c>
      <c r="N2262">
        <v>66383009</v>
      </c>
      <c r="O2262" t="s">
        <v>1209</v>
      </c>
    </row>
    <row r="2263" spans="1:15">
      <c r="A2263" t="s">
        <v>3684</v>
      </c>
      <c r="B2263" s="2">
        <v>44901.48096064815</v>
      </c>
      <c r="C2263" s="2">
        <v>44901.512048611112</v>
      </c>
      <c r="D2263" t="s">
        <v>518</v>
      </c>
      <c r="E2263" t="s">
        <v>3606</v>
      </c>
      <c r="F2263" t="s">
        <v>3607</v>
      </c>
      <c r="G2263" t="s">
        <v>1561</v>
      </c>
      <c r="H2263" t="s">
        <v>1020</v>
      </c>
      <c r="I2263">
        <v>162673000</v>
      </c>
      <c r="J2263" t="s">
        <v>1021</v>
      </c>
      <c r="K2263">
        <v>136.80000000000001</v>
      </c>
      <c r="L2263">
        <v>941.13</v>
      </c>
      <c r="M2263">
        <v>0</v>
      </c>
      <c r="O2263" t="s">
        <v>34</v>
      </c>
    </row>
    <row r="2264" spans="1:15">
      <c r="A2264" t="s">
        <v>3685</v>
      </c>
      <c r="B2264" s="2">
        <v>44915.48096064815</v>
      </c>
      <c r="C2264" s="2">
        <v>44915.754652777781</v>
      </c>
      <c r="D2264" t="s">
        <v>518</v>
      </c>
      <c r="E2264" t="s">
        <v>3599</v>
      </c>
      <c r="F2264" t="s">
        <v>3600</v>
      </c>
      <c r="G2264" t="s">
        <v>1561</v>
      </c>
      <c r="H2264" t="s">
        <v>1031</v>
      </c>
      <c r="I2264">
        <v>185349003</v>
      </c>
      <c r="J2264" t="s">
        <v>1038</v>
      </c>
      <c r="K2264">
        <v>85.55</v>
      </c>
      <c r="L2264">
        <v>4830.95</v>
      </c>
      <c r="M2264">
        <v>890.46</v>
      </c>
      <c r="N2264">
        <v>66383009</v>
      </c>
      <c r="O2264" t="s">
        <v>1209</v>
      </c>
    </row>
    <row r="2265" spans="1:15">
      <c r="A2265" t="s">
        <v>3686</v>
      </c>
      <c r="B2265" s="2">
        <v>45272.48096064815</v>
      </c>
      <c r="C2265" s="2">
        <v>45272.518078703702</v>
      </c>
      <c r="D2265" t="s">
        <v>518</v>
      </c>
      <c r="E2265" t="s">
        <v>3606</v>
      </c>
      <c r="F2265" t="s">
        <v>3607</v>
      </c>
      <c r="G2265" t="s">
        <v>1561</v>
      </c>
      <c r="H2265" t="s">
        <v>1020</v>
      </c>
      <c r="I2265">
        <v>162673000</v>
      </c>
      <c r="J2265" t="s">
        <v>1021</v>
      </c>
      <c r="K2265">
        <v>136.80000000000001</v>
      </c>
      <c r="L2265">
        <v>1049.56</v>
      </c>
      <c r="M2265">
        <v>0</v>
      </c>
      <c r="O2265" t="s">
        <v>34</v>
      </c>
    </row>
    <row r="2266" spans="1:15">
      <c r="A2266" t="s">
        <v>3687</v>
      </c>
      <c r="B2266" s="2">
        <v>45384.522627314815</v>
      </c>
      <c r="C2266" s="2">
        <v>45384.533043981479</v>
      </c>
      <c r="D2266" t="s">
        <v>518</v>
      </c>
      <c r="E2266" t="s">
        <v>3599</v>
      </c>
      <c r="F2266" t="s">
        <v>3600</v>
      </c>
      <c r="G2266" t="s">
        <v>1561</v>
      </c>
      <c r="H2266" t="s">
        <v>1031</v>
      </c>
      <c r="I2266">
        <v>424441002</v>
      </c>
      <c r="J2266" t="s">
        <v>1059</v>
      </c>
      <c r="K2266">
        <v>142.58000000000001</v>
      </c>
      <c r="L2266">
        <v>48141.82</v>
      </c>
      <c r="M2266">
        <v>31283.96</v>
      </c>
      <c r="N2266">
        <v>72892002</v>
      </c>
      <c r="O2266" t="s">
        <v>1060</v>
      </c>
    </row>
    <row r="2267" spans="1:15">
      <c r="A2267" t="s">
        <v>3688</v>
      </c>
      <c r="B2267" s="2">
        <v>45412.522627314815</v>
      </c>
      <c r="C2267" s="2">
        <v>45412.533043981479</v>
      </c>
      <c r="D2267" t="s">
        <v>518</v>
      </c>
      <c r="E2267" t="s">
        <v>3599</v>
      </c>
      <c r="F2267" t="s">
        <v>3600</v>
      </c>
      <c r="G2267" t="s">
        <v>1561</v>
      </c>
      <c r="H2267" t="s">
        <v>1031</v>
      </c>
      <c r="I2267">
        <v>424619006</v>
      </c>
      <c r="J2267" t="s">
        <v>1062</v>
      </c>
      <c r="K2267">
        <v>142.58000000000001</v>
      </c>
      <c r="L2267">
        <v>5528.76</v>
      </c>
      <c r="M2267">
        <v>5528.76</v>
      </c>
      <c r="N2267">
        <v>72892002</v>
      </c>
      <c r="O2267" t="s">
        <v>1060</v>
      </c>
    </row>
    <row r="2268" spans="1:15">
      <c r="A2268" t="s">
        <v>3689</v>
      </c>
      <c r="B2268" s="2">
        <v>45440.522627314815</v>
      </c>
      <c r="C2268" s="2">
        <v>45440.533043981479</v>
      </c>
      <c r="D2268" t="s">
        <v>518</v>
      </c>
      <c r="E2268" t="s">
        <v>3599</v>
      </c>
      <c r="F2268" t="s">
        <v>3600</v>
      </c>
      <c r="G2268" t="s">
        <v>1561</v>
      </c>
      <c r="H2268" t="s">
        <v>1031</v>
      </c>
      <c r="I2268">
        <v>424619006</v>
      </c>
      <c r="J2268" t="s">
        <v>1062</v>
      </c>
      <c r="K2268">
        <v>142.58000000000001</v>
      </c>
      <c r="L2268">
        <v>8768.64</v>
      </c>
      <c r="M2268">
        <v>8768.64</v>
      </c>
      <c r="N2268">
        <v>72892002</v>
      </c>
      <c r="O2268" t="s">
        <v>1060</v>
      </c>
    </row>
    <row r="2269" spans="1:15">
      <c r="A2269" t="s">
        <v>3690</v>
      </c>
      <c r="B2269" s="2">
        <v>45468.522627314815</v>
      </c>
      <c r="C2269" s="2">
        <v>45468.533043981479</v>
      </c>
      <c r="D2269" t="s">
        <v>518</v>
      </c>
      <c r="E2269" t="s">
        <v>3599</v>
      </c>
      <c r="F2269" t="s">
        <v>3600</v>
      </c>
      <c r="G2269" t="s">
        <v>1561</v>
      </c>
      <c r="H2269" t="s">
        <v>1031</v>
      </c>
      <c r="I2269">
        <v>424619006</v>
      </c>
      <c r="J2269" t="s">
        <v>1062</v>
      </c>
      <c r="K2269">
        <v>142.58000000000001</v>
      </c>
      <c r="L2269">
        <v>15700.74</v>
      </c>
      <c r="M2269">
        <v>15700.74</v>
      </c>
      <c r="N2269">
        <v>72892002</v>
      </c>
      <c r="O2269" t="s">
        <v>1060</v>
      </c>
    </row>
    <row r="2270" spans="1:15">
      <c r="A2270" t="s">
        <v>3691</v>
      </c>
      <c r="B2270" s="2">
        <v>45496.522627314815</v>
      </c>
      <c r="C2270" s="2">
        <v>45496.533043981479</v>
      </c>
      <c r="D2270" t="s">
        <v>518</v>
      </c>
      <c r="E2270" t="s">
        <v>3599</v>
      </c>
      <c r="F2270" t="s">
        <v>3600</v>
      </c>
      <c r="G2270" t="s">
        <v>1561</v>
      </c>
      <c r="H2270" t="s">
        <v>1031</v>
      </c>
      <c r="I2270">
        <v>424619006</v>
      </c>
      <c r="J2270" t="s">
        <v>1062</v>
      </c>
      <c r="K2270">
        <v>142.58000000000001</v>
      </c>
      <c r="L2270">
        <v>4665.96</v>
      </c>
      <c r="M2270">
        <v>4665.96</v>
      </c>
      <c r="N2270">
        <v>72892002</v>
      </c>
      <c r="O2270" t="s">
        <v>1060</v>
      </c>
    </row>
    <row r="2271" spans="1:15">
      <c r="A2271" t="s">
        <v>3692</v>
      </c>
      <c r="B2271" s="2">
        <v>45524.522627314815</v>
      </c>
      <c r="C2271" s="2">
        <v>45524.533043981479</v>
      </c>
      <c r="D2271" t="s">
        <v>518</v>
      </c>
      <c r="E2271" t="s">
        <v>3599</v>
      </c>
      <c r="F2271" t="s">
        <v>3600</v>
      </c>
      <c r="G2271" t="s">
        <v>1561</v>
      </c>
      <c r="H2271" t="s">
        <v>1031</v>
      </c>
      <c r="I2271">
        <v>424619006</v>
      </c>
      <c r="J2271" t="s">
        <v>1062</v>
      </c>
      <c r="K2271">
        <v>142.58000000000001</v>
      </c>
      <c r="L2271">
        <v>8148.56</v>
      </c>
      <c r="M2271">
        <v>8148.56</v>
      </c>
      <c r="N2271">
        <v>72892002</v>
      </c>
      <c r="O2271" t="s">
        <v>1060</v>
      </c>
    </row>
    <row r="2272" spans="1:15">
      <c r="A2272" t="s">
        <v>3693</v>
      </c>
      <c r="B2272" s="2">
        <v>45552.522627314815</v>
      </c>
      <c r="C2272" s="2">
        <v>45552.533043981479</v>
      </c>
      <c r="D2272" t="s">
        <v>518</v>
      </c>
      <c r="E2272" t="s">
        <v>3599</v>
      </c>
      <c r="F2272" t="s">
        <v>3600</v>
      </c>
      <c r="G2272" t="s">
        <v>1561</v>
      </c>
      <c r="H2272" t="s">
        <v>1031</v>
      </c>
      <c r="I2272">
        <v>424619006</v>
      </c>
      <c r="J2272" t="s">
        <v>1062</v>
      </c>
      <c r="K2272">
        <v>142.58000000000001</v>
      </c>
      <c r="L2272">
        <v>4665.96</v>
      </c>
      <c r="M2272">
        <v>4665.96</v>
      </c>
      <c r="N2272">
        <v>72892002</v>
      </c>
      <c r="O2272" t="s">
        <v>1060</v>
      </c>
    </row>
    <row r="2273" spans="1:15">
      <c r="A2273" t="s">
        <v>3694</v>
      </c>
      <c r="B2273" s="2">
        <v>45580.522627314815</v>
      </c>
      <c r="C2273" s="2">
        <v>45580.533043981479</v>
      </c>
      <c r="D2273" t="s">
        <v>518</v>
      </c>
      <c r="E2273" t="s">
        <v>3599</v>
      </c>
      <c r="F2273" t="s">
        <v>3600</v>
      </c>
      <c r="G2273" t="s">
        <v>1561</v>
      </c>
      <c r="H2273" t="s">
        <v>1031</v>
      </c>
      <c r="I2273">
        <v>424619006</v>
      </c>
      <c r="J2273" t="s">
        <v>1062</v>
      </c>
      <c r="K2273">
        <v>142.58000000000001</v>
      </c>
      <c r="L2273">
        <v>17966.02</v>
      </c>
      <c r="M2273">
        <v>9426.2099999999991</v>
      </c>
      <c r="N2273">
        <v>72892002</v>
      </c>
      <c r="O2273" t="s">
        <v>1060</v>
      </c>
    </row>
    <row r="2274" spans="1:15">
      <c r="A2274" t="s">
        <v>3695</v>
      </c>
      <c r="B2274" s="2">
        <v>45594.522627314815</v>
      </c>
      <c r="C2274" s="2">
        <v>45594.533043981479</v>
      </c>
      <c r="D2274" t="s">
        <v>518</v>
      </c>
      <c r="E2274" t="s">
        <v>3599</v>
      </c>
      <c r="F2274" t="s">
        <v>3600</v>
      </c>
      <c r="G2274" t="s">
        <v>1561</v>
      </c>
      <c r="H2274" t="s">
        <v>1031</v>
      </c>
      <c r="I2274">
        <v>424619006</v>
      </c>
      <c r="J2274" t="s">
        <v>1062</v>
      </c>
      <c r="K2274">
        <v>142.58000000000001</v>
      </c>
      <c r="L2274">
        <v>15993.01</v>
      </c>
      <c r="M2274">
        <v>11195.11</v>
      </c>
      <c r="N2274">
        <v>72892002</v>
      </c>
      <c r="O2274" t="s">
        <v>1060</v>
      </c>
    </row>
    <row r="2275" spans="1:15">
      <c r="A2275" t="s">
        <v>3696</v>
      </c>
      <c r="B2275" s="2">
        <v>45601.48096064815</v>
      </c>
      <c r="C2275" s="2">
        <v>45601.522627314815</v>
      </c>
      <c r="D2275" t="s">
        <v>518</v>
      </c>
      <c r="E2275" t="s">
        <v>2626</v>
      </c>
      <c r="F2275" t="s">
        <v>2627</v>
      </c>
      <c r="G2275" t="s">
        <v>1561</v>
      </c>
      <c r="H2275" t="s">
        <v>1076</v>
      </c>
      <c r="I2275">
        <v>183460006</v>
      </c>
      <c r="J2275" t="s">
        <v>1077</v>
      </c>
      <c r="K2275">
        <v>146.18</v>
      </c>
      <c r="L2275">
        <v>577.58000000000004</v>
      </c>
      <c r="M2275">
        <v>577.58000000000004</v>
      </c>
      <c r="N2275">
        <v>72892002</v>
      </c>
      <c r="O2275" t="s">
        <v>1060</v>
      </c>
    </row>
    <row r="2276" spans="1:15">
      <c r="A2276" t="s">
        <v>3697</v>
      </c>
      <c r="B2276" s="2">
        <v>45643.48096064815</v>
      </c>
      <c r="C2276" s="2">
        <v>45643.491377314815</v>
      </c>
      <c r="D2276" t="s">
        <v>518</v>
      </c>
      <c r="E2276" t="s">
        <v>3599</v>
      </c>
      <c r="F2276" t="s">
        <v>3600</v>
      </c>
      <c r="G2276" t="s">
        <v>1561</v>
      </c>
      <c r="H2276" t="s">
        <v>1031</v>
      </c>
      <c r="I2276">
        <v>169762003</v>
      </c>
      <c r="J2276" t="s">
        <v>1079</v>
      </c>
      <c r="K2276">
        <v>142.58000000000001</v>
      </c>
      <c r="L2276">
        <v>1005.38</v>
      </c>
      <c r="M2276">
        <v>1005.38</v>
      </c>
      <c r="O2276" t="s">
        <v>34</v>
      </c>
    </row>
    <row r="2277" spans="1:15">
      <c r="A2277" t="s">
        <v>3698</v>
      </c>
      <c r="B2277" s="2">
        <v>45650.48096064815</v>
      </c>
      <c r="C2277" s="2">
        <v>45650.491377314815</v>
      </c>
      <c r="D2277" t="s">
        <v>518</v>
      </c>
      <c r="E2277" t="s">
        <v>3599</v>
      </c>
      <c r="F2277" t="s">
        <v>3600</v>
      </c>
      <c r="G2277" t="s">
        <v>1561</v>
      </c>
      <c r="H2277" t="s">
        <v>1043</v>
      </c>
      <c r="I2277">
        <v>698314001</v>
      </c>
      <c r="J2277" t="s">
        <v>1190</v>
      </c>
      <c r="K2277">
        <v>142.58000000000001</v>
      </c>
      <c r="L2277">
        <v>142.58000000000001</v>
      </c>
      <c r="M2277">
        <v>142.58000000000001</v>
      </c>
      <c r="N2277">
        <v>389095005</v>
      </c>
      <c r="O2277" t="s">
        <v>1191</v>
      </c>
    </row>
    <row r="2278" spans="1:15">
      <c r="A2278" t="s">
        <v>3699</v>
      </c>
      <c r="B2278" s="2">
        <v>45720.48096064815</v>
      </c>
      <c r="C2278" s="2">
        <v>45720.518900462965</v>
      </c>
      <c r="D2278" t="s">
        <v>518</v>
      </c>
      <c r="E2278" t="s">
        <v>3700</v>
      </c>
      <c r="F2278" t="s">
        <v>3701</v>
      </c>
      <c r="G2278" t="s">
        <v>1561</v>
      </c>
      <c r="H2278" t="s">
        <v>1159</v>
      </c>
      <c r="I2278">
        <v>702927004</v>
      </c>
      <c r="J2278" t="s">
        <v>1160</v>
      </c>
      <c r="K2278">
        <v>142.58000000000001</v>
      </c>
      <c r="L2278">
        <v>1061.68</v>
      </c>
      <c r="M2278">
        <v>1061.68</v>
      </c>
      <c r="O2278" t="s">
        <v>34</v>
      </c>
    </row>
    <row r="2279" spans="1:15">
      <c r="A2279" t="s">
        <v>3702</v>
      </c>
      <c r="B2279" s="2">
        <v>45727.522627314815</v>
      </c>
      <c r="C2279" s="2">
        <v>45727.533043981479</v>
      </c>
      <c r="D2279" t="s">
        <v>518</v>
      </c>
      <c r="E2279" t="s">
        <v>3599</v>
      </c>
      <c r="F2279" t="s">
        <v>3600</v>
      </c>
      <c r="G2279" t="s">
        <v>1561</v>
      </c>
      <c r="H2279" t="s">
        <v>1043</v>
      </c>
      <c r="I2279">
        <v>185349003</v>
      </c>
      <c r="J2279" t="s">
        <v>1038</v>
      </c>
      <c r="K2279">
        <v>85.55</v>
      </c>
      <c r="L2279">
        <v>696.25</v>
      </c>
      <c r="M2279">
        <v>696.25</v>
      </c>
      <c r="O2279" t="s">
        <v>34</v>
      </c>
    </row>
    <row r="2280" spans="1:15">
      <c r="A2280" t="s">
        <v>3703</v>
      </c>
      <c r="B2280" s="2">
        <v>45734.522627314815</v>
      </c>
      <c r="C2280" s="2">
        <v>45734.533043981479</v>
      </c>
      <c r="D2280" t="s">
        <v>518</v>
      </c>
      <c r="E2280" t="s">
        <v>3599</v>
      </c>
      <c r="F2280" t="s">
        <v>3600</v>
      </c>
      <c r="G2280" t="s">
        <v>1561</v>
      </c>
      <c r="H2280" t="s">
        <v>1031</v>
      </c>
      <c r="I2280">
        <v>185345009</v>
      </c>
      <c r="J2280" t="s">
        <v>1032</v>
      </c>
      <c r="K2280">
        <v>85.55</v>
      </c>
      <c r="L2280">
        <v>4861.46</v>
      </c>
      <c r="M2280">
        <v>4861.46</v>
      </c>
      <c r="N2280">
        <v>10509002</v>
      </c>
      <c r="O2280" t="s">
        <v>1033</v>
      </c>
    </row>
    <row r="2281" spans="1:15">
      <c r="A2281" t="s">
        <v>3704</v>
      </c>
      <c r="B2281" s="2">
        <v>45741.522627314815</v>
      </c>
      <c r="C2281" s="2">
        <v>45741.643877314818</v>
      </c>
      <c r="D2281" t="s">
        <v>518</v>
      </c>
      <c r="E2281" t="s">
        <v>3599</v>
      </c>
      <c r="F2281" t="s">
        <v>3600</v>
      </c>
      <c r="G2281" t="s">
        <v>1561</v>
      </c>
      <c r="H2281" t="s">
        <v>1031</v>
      </c>
      <c r="I2281">
        <v>185349003</v>
      </c>
      <c r="J2281" t="s">
        <v>1038</v>
      </c>
      <c r="K2281">
        <v>85.55</v>
      </c>
      <c r="L2281">
        <v>3536.75</v>
      </c>
      <c r="M2281">
        <v>3536.75</v>
      </c>
      <c r="N2281">
        <v>103697008</v>
      </c>
      <c r="O2281" t="s">
        <v>1039</v>
      </c>
    </row>
    <row r="2282" spans="1:15">
      <c r="A2282" t="s">
        <v>3705</v>
      </c>
      <c r="B2282" s="2">
        <v>45793.522627314815</v>
      </c>
      <c r="C2282" s="2">
        <v>45793.578993055555</v>
      </c>
      <c r="D2282" t="s">
        <v>518</v>
      </c>
      <c r="E2282" t="s">
        <v>3599</v>
      </c>
      <c r="F2282" t="s">
        <v>3600</v>
      </c>
      <c r="G2282" t="s">
        <v>1561</v>
      </c>
      <c r="H2282" t="s">
        <v>1031</v>
      </c>
      <c r="I2282">
        <v>185345009</v>
      </c>
      <c r="J2282" t="s">
        <v>1032</v>
      </c>
      <c r="K2282">
        <v>85.55</v>
      </c>
      <c r="L2282">
        <v>3179.93</v>
      </c>
      <c r="M2282">
        <v>3179.93</v>
      </c>
      <c r="N2282">
        <v>307426000</v>
      </c>
      <c r="O2282" t="s">
        <v>1097</v>
      </c>
    </row>
    <row r="2283" spans="1:15">
      <c r="A2283" t="s">
        <v>3706</v>
      </c>
      <c r="B2283" s="2">
        <v>46112.522627314815</v>
      </c>
      <c r="C2283" s="2">
        <v>46112.533043981479</v>
      </c>
      <c r="D2283" t="s">
        <v>518</v>
      </c>
      <c r="E2283" t="s">
        <v>3599</v>
      </c>
      <c r="F2283" t="s">
        <v>3600</v>
      </c>
      <c r="G2283" t="s">
        <v>1561</v>
      </c>
      <c r="H2283" t="s">
        <v>1031</v>
      </c>
      <c r="I2283">
        <v>424441002</v>
      </c>
      <c r="J2283" t="s">
        <v>1059</v>
      </c>
      <c r="K2283">
        <v>142.58000000000001</v>
      </c>
      <c r="L2283">
        <v>41308.83</v>
      </c>
      <c r="M2283">
        <v>25766.18</v>
      </c>
      <c r="N2283">
        <v>72892002</v>
      </c>
      <c r="O2283" t="s">
        <v>1060</v>
      </c>
    </row>
    <row r="2284" spans="1:15">
      <c r="A2284" t="s">
        <v>3707</v>
      </c>
      <c r="B2284" s="2">
        <v>46140.522627314815</v>
      </c>
      <c r="C2284" s="2">
        <v>46140.533043981479</v>
      </c>
      <c r="D2284" t="s">
        <v>518</v>
      </c>
      <c r="E2284" t="s">
        <v>3599</v>
      </c>
      <c r="F2284" t="s">
        <v>3600</v>
      </c>
      <c r="G2284" t="s">
        <v>1561</v>
      </c>
      <c r="H2284" t="s">
        <v>1031</v>
      </c>
      <c r="I2284">
        <v>424619006</v>
      </c>
      <c r="J2284" t="s">
        <v>1062</v>
      </c>
      <c r="K2284">
        <v>142.58000000000001</v>
      </c>
      <c r="L2284">
        <v>7690.65</v>
      </c>
      <c r="M2284">
        <v>7690.65</v>
      </c>
      <c r="N2284">
        <v>72892002</v>
      </c>
      <c r="O2284" t="s">
        <v>1060</v>
      </c>
    </row>
    <row r="2285" spans="1:15">
      <c r="A2285" t="s">
        <v>3708</v>
      </c>
      <c r="B2285" s="2">
        <v>46168.522627314815</v>
      </c>
      <c r="C2285" s="2">
        <v>46168.533043981479</v>
      </c>
      <c r="D2285" t="s">
        <v>518</v>
      </c>
      <c r="E2285" t="s">
        <v>3599</v>
      </c>
      <c r="F2285" t="s">
        <v>3600</v>
      </c>
      <c r="G2285" t="s">
        <v>1561</v>
      </c>
      <c r="H2285" t="s">
        <v>1031</v>
      </c>
      <c r="I2285">
        <v>424619006</v>
      </c>
      <c r="J2285" t="s">
        <v>1062</v>
      </c>
      <c r="K2285">
        <v>142.58000000000001</v>
      </c>
      <c r="L2285">
        <v>9127.35</v>
      </c>
      <c r="M2285">
        <v>9127.35</v>
      </c>
      <c r="N2285">
        <v>72892002</v>
      </c>
      <c r="O2285" t="s">
        <v>1060</v>
      </c>
    </row>
    <row r="2286" spans="1:15">
      <c r="A2286" t="s">
        <v>3709</v>
      </c>
      <c r="B2286" s="2">
        <v>46196.522627314815</v>
      </c>
      <c r="C2286" s="2">
        <v>46196.533043981479</v>
      </c>
      <c r="D2286" t="s">
        <v>518</v>
      </c>
      <c r="E2286" t="s">
        <v>3599</v>
      </c>
      <c r="F2286" t="s">
        <v>3600</v>
      </c>
      <c r="G2286" t="s">
        <v>1561</v>
      </c>
      <c r="H2286" t="s">
        <v>1031</v>
      </c>
      <c r="I2286">
        <v>424619006</v>
      </c>
      <c r="J2286" t="s">
        <v>1062</v>
      </c>
      <c r="K2286">
        <v>142.58000000000001</v>
      </c>
      <c r="L2286">
        <v>9747.49</v>
      </c>
      <c r="M2286">
        <v>9747.49</v>
      </c>
      <c r="N2286">
        <v>72892002</v>
      </c>
      <c r="O2286" t="s">
        <v>1060</v>
      </c>
    </row>
    <row r="2287" spans="1:15">
      <c r="A2287" t="s">
        <v>3710</v>
      </c>
      <c r="B2287" s="2">
        <v>46224.522627314815</v>
      </c>
      <c r="C2287" s="2">
        <v>46224.533043981479</v>
      </c>
      <c r="D2287" t="s">
        <v>518</v>
      </c>
      <c r="E2287" t="s">
        <v>3599</v>
      </c>
      <c r="F2287" t="s">
        <v>3600</v>
      </c>
      <c r="G2287" t="s">
        <v>1561</v>
      </c>
      <c r="H2287" t="s">
        <v>1031</v>
      </c>
      <c r="I2287">
        <v>424619006</v>
      </c>
      <c r="J2287" t="s">
        <v>1062</v>
      </c>
      <c r="K2287">
        <v>142.58000000000001</v>
      </c>
      <c r="L2287">
        <v>7337.83</v>
      </c>
      <c r="M2287">
        <v>7337.83</v>
      </c>
      <c r="N2287">
        <v>72892002</v>
      </c>
      <c r="O2287" t="s">
        <v>1060</v>
      </c>
    </row>
    <row r="2288" spans="1:15">
      <c r="A2288" t="s">
        <v>3711</v>
      </c>
      <c r="B2288" s="2">
        <v>32067.282280092593</v>
      </c>
      <c r="C2288" s="2">
        <v>32071.113472222223</v>
      </c>
      <c r="D2288" t="s">
        <v>528</v>
      </c>
      <c r="E2288" t="s">
        <v>3712</v>
      </c>
      <c r="F2288" t="s">
        <v>3713</v>
      </c>
      <c r="G2288" t="s">
        <v>1325</v>
      </c>
      <c r="H2288" t="s">
        <v>1431</v>
      </c>
      <c r="I2288">
        <v>185347001</v>
      </c>
      <c r="J2288" t="s">
        <v>1124</v>
      </c>
      <c r="K2288">
        <v>87.71</v>
      </c>
      <c r="L2288">
        <v>5423.98</v>
      </c>
      <c r="M2288">
        <v>0</v>
      </c>
      <c r="N2288">
        <v>74400008</v>
      </c>
      <c r="O2288" t="s">
        <v>1427</v>
      </c>
    </row>
    <row r="2289" spans="1:15">
      <c r="A2289" t="s">
        <v>3714</v>
      </c>
      <c r="B2289" s="2">
        <v>32788.282280092593</v>
      </c>
      <c r="C2289" s="2">
        <v>32788.292696759258</v>
      </c>
      <c r="D2289" t="s">
        <v>528</v>
      </c>
      <c r="E2289" t="s">
        <v>3715</v>
      </c>
      <c r="F2289" t="s">
        <v>3716</v>
      </c>
      <c r="G2289" t="s">
        <v>1325</v>
      </c>
      <c r="H2289" t="s">
        <v>1020</v>
      </c>
      <c r="I2289">
        <v>410620009</v>
      </c>
      <c r="J2289" t="s">
        <v>1054</v>
      </c>
      <c r="K2289">
        <v>136.80000000000001</v>
      </c>
      <c r="L2289">
        <v>704.2</v>
      </c>
      <c r="M2289">
        <v>0</v>
      </c>
      <c r="O2289" t="s">
        <v>34</v>
      </c>
    </row>
    <row r="2290" spans="1:15">
      <c r="A2290" t="s">
        <v>3717</v>
      </c>
      <c r="B2290" s="2">
        <v>32795.282280092593</v>
      </c>
      <c r="C2290" s="2">
        <v>32795.382604166669</v>
      </c>
      <c r="D2290" t="s">
        <v>528</v>
      </c>
      <c r="E2290" t="s">
        <v>3712</v>
      </c>
      <c r="F2290" t="s">
        <v>3713</v>
      </c>
      <c r="G2290" t="s">
        <v>1325</v>
      </c>
      <c r="H2290" t="s">
        <v>1031</v>
      </c>
      <c r="I2290">
        <v>185349003</v>
      </c>
      <c r="J2290" t="s">
        <v>1038</v>
      </c>
      <c r="K2290">
        <v>85.55</v>
      </c>
      <c r="L2290">
        <v>3105.35</v>
      </c>
      <c r="M2290">
        <v>0</v>
      </c>
      <c r="N2290">
        <v>66383009</v>
      </c>
      <c r="O2290" t="s">
        <v>1209</v>
      </c>
    </row>
    <row r="2291" spans="1:15">
      <c r="A2291" t="s">
        <v>3718</v>
      </c>
      <c r="B2291" s="2">
        <v>33159.282280092593</v>
      </c>
      <c r="C2291" s="2">
        <v>33159.292696759258</v>
      </c>
      <c r="D2291" t="s">
        <v>528</v>
      </c>
      <c r="E2291" t="s">
        <v>3715</v>
      </c>
      <c r="F2291" t="s">
        <v>3716</v>
      </c>
      <c r="G2291" t="s">
        <v>1325</v>
      </c>
      <c r="H2291" t="s">
        <v>1020</v>
      </c>
      <c r="I2291">
        <v>410620009</v>
      </c>
      <c r="J2291" t="s">
        <v>1054</v>
      </c>
      <c r="K2291">
        <v>136.80000000000001</v>
      </c>
      <c r="L2291">
        <v>704.2</v>
      </c>
      <c r="M2291">
        <v>0</v>
      </c>
      <c r="O2291" t="s">
        <v>34</v>
      </c>
    </row>
    <row r="2292" spans="1:15">
      <c r="A2292" t="s">
        <v>3719</v>
      </c>
      <c r="B2292" s="2">
        <v>33166.282280092593</v>
      </c>
      <c r="C2292" s="2">
        <v>33166.512442129628</v>
      </c>
      <c r="D2292" t="s">
        <v>528</v>
      </c>
      <c r="E2292" t="s">
        <v>3712</v>
      </c>
      <c r="F2292" t="s">
        <v>3713</v>
      </c>
      <c r="G2292" t="s">
        <v>1325</v>
      </c>
      <c r="H2292" t="s">
        <v>1031</v>
      </c>
      <c r="I2292">
        <v>185349003</v>
      </c>
      <c r="J2292" t="s">
        <v>1038</v>
      </c>
      <c r="K2292">
        <v>85.55</v>
      </c>
      <c r="L2292">
        <v>4399.55</v>
      </c>
      <c r="M2292">
        <v>0</v>
      </c>
      <c r="N2292">
        <v>103697008</v>
      </c>
      <c r="O2292" t="s">
        <v>1039</v>
      </c>
    </row>
    <row r="2293" spans="1:15">
      <c r="A2293" t="s">
        <v>3720</v>
      </c>
      <c r="B2293" s="2">
        <v>33530.282280092593</v>
      </c>
      <c r="C2293" s="2">
        <v>33530.292696759258</v>
      </c>
      <c r="D2293" t="s">
        <v>528</v>
      </c>
      <c r="E2293" t="s">
        <v>3715</v>
      </c>
      <c r="F2293" t="s">
        <v>3716</v>
      </c>
      <c r="G2293" t="s">
        <v>1325</v>
      </c>
      <c r="H2293" t="s">
        <v>1020</v>
      </c>
      <c r="I2293">
        <v>410620009</v>
      </c>
      <c r="J2293" t="s">
        <v>1054</v>
      </c>
      <c r="K2293">
        <v>136.80000000000001</v>
      </c>
      <c r="L2293">
        <v>1125.22</v>
      </c>
      <c r="M2293">
        <v>0</v>
      </c>
      <c r="O2293" t="s">
        <v>34</v>
      </c>
    </row>
    <row r="2294" spans="1:15">
      <c r="A2294" t="s">
        <v>3721</v>
      </c>
      <c r="B2294" s="2">
        <v>33901.282280092593</v>
      </c>
      <c r="C2294" s="2">
        <v>33901.296724537038</v>
      </c>
      <c r="D2294" t="s">
        <v>528</v>
      </c>
      <c r="E2294" t="s">
        <v>3715</v>
      </c>
      <c r="F2294" t="s">
        <v>3716</v>
      </c>
      <c r="G2294" t="s">
        <v>1325</v>
      </c>
      <c r="H2294" t="s">
        <v>1020</v>
      </c>
      <c r="I2294">
        <v>410620009</v>
      </c>
      <c r="J2294" t="s">
        <v>1054</v>
      </c>
      <c r="K2294">
        <v>136.80000000000001</v>
      </c>
      <c r="L2294">
        <v>1567</v>
      </c>
      <c r="M2294">
        <v>0</v>
      </c>
      <c r="O2294" t="s">
        <v>34</v>
      </c>
    </row>
    <row r="2295" spans="1:15">
      <c r="A2295" t="s">
        <v>3722</v>
      </c>
      <c r="B2295" s="2">
        <v>33915.240613425929</v>
      </c>
      <c r="C2295" s="2">
        <v>33915.358831018515</v>
      </c>
      <c r="D2295" t="s">
        <v>528</v>
      </c>
      <c r="E2295" t="s">
        <v>3712</v>
      </c>
      <c r="F2295" t="s">
        <v>3713</v>
      </c>
      <c r="G2295" t="s">
        <v>1325</v>
      </c>
      <c r="H2295" t="s">
        <v>1031</v>
      </c>
      <c r="I2295">
        <v>185349003</v>
      </c>
      <c r="J2295" t="s">
        <v>1038</v>
      </c>
      <c r="K2295">
        <v>85.55</v>
      </c>
      <c r="L2295">
        <v>3105.35</v>
      </c>
      <c r="M2295">
        <v>0</v>
      </c>
      <c r="N2295">
        <v>66383009</v>
      </c>
      <c r="O2295" t="s">
        <v>1209</v>
      </c>
    </row>
    <row r="2296" spans="1:15">
      <c r="A2296" t="s">
        <v>3723</v>
      </c>
      <c r="B2296" s="2">
        <v>34272.282280092593</v>
      </c>
      <c r="C2296" s="2">
        <v>34272.299201388887</v>
      </c>
      <c r="D2296" t="s">
        <v>528</v>
      </c>
      <c r="E2296" t="s">
        <v>3715</v>
      </c>
      <c r="F2296" t="s">
        <v>3716</v>
      </c>
      <c r="G2296" t="s">
        <v>1325</v>
      </c>
      <c r="H2296" t="s">
        <v>1020</v>
      </c>
      <c r="I2296">
        <v>410620009</v>
      </c>
      <c r="J2296" t="s">
        <v>1054</v>
      </c>
      <c r="K2296">
        <v>136.80000000000001</v>
      </c>
      <c r="L2296">
        <v>704.2</v>
      </c>
      <c r="M2296">
        <v>0</v>
      </c>
      <c r="O2296" t="s">
        <v>34</v>
      </c>
    </row>
    <row r="2297" spans="1:15">
      <c r="A2297" t="s">
        <v>3724</v>
      </c>
      <c r="B2297" s="2">
        <v>34286.240613425929</v>
      </c>
      <c r="C2297" s="2">
        <v>34286.372395833336</v>
      </c>
      <c r="D2297" t="s">
        <v>528</v>
      </c>
      <c r="E2297" t="s">
        <v>3712</v>
      </c>
      <c r="F2297" t="s">
        <v>3713</v>
      </c>
      <c r="G2297" t="s">
        <v>1325</v>
      </c>
      <c r="H2297" t="s">
        <v>1031</v>
      </c>
      <c r="I2297">
        <v>185349003</v>
      </c>
      <c r="J2297" t="s">
        <v>1038</v>
      </c>
      <c r="K2297">
        <v>85.55</v>
      </c>
      <c r="L2297">
        <v>3105.35</v>
      </c>
      <c r="M2297">
        <v>0</v>
      </c>
      <c r="N2297">
        <v>103697008</v>
      </c>
      <c r="O2297" t="s">
        <v>1039</v>
      </c>
    </row>
    <row r="2298" spans="1:15">
      <c r="A2298" t="s">
        <v>3725</v>
      </c>
      <c r="B2298" s="2">
        <v>34593.282280092593</v>
      </c>
      <c r="C2298" s="2">
        <v>34593.323946759258</v>
      </c>
      <c r="D2298" t="s">
        <v>528</v>
      </c>
      <c r="E2298" t="s">
        <v>3726</v>
      </c>
      <c r="F2298" t="s">
        <v>3727</v>
      </c>
      <c r="G2298" t="s">
        <v>1325</v>
      </c>
      <c r="H2298" t="s">
        <v>1076</v>
      </c>
      <c r="I2298">
        <v>50849002</v>
      </c>
      <c r="J2298" t="s">
        <v>1163</v>
      </c>
      <c r="K2298">
        <v>146.18</v>
      </c>
      <c r="L2298">
        <v>146.18</v>
      </c>
      <c r="M2298">
        <v>0</v>
      </c>
      <c r="N2298">
        <v>110030002</v>
      </c>
      <c r="O2298" t="s">
        <v>2628</v>
      </c>
    </row>
    <row r="2299" spans="1:15">
      <c r="A2299" t="s">
        <v>3728</v>
      </c>
      <c r="B2299" s="2">
        <v>34643.240613425929</v>
      </c>
      <c r="C2299" s="2">
        <v>34643.251030092593</v>
      </c>
      <c r="D2299" t="s">
        <v>528</v>
      </c>
      <c r="E2299" t="s">
        <v>3715</v>
      </c>
      <c r="F2299" t="s">
        <v>3716</v>
      </c>
      <c r="G2299" t="s">
        <v>1325</v>
      </c>
      <c r="H2299" t="s">
        <v>1020</v>
      </c>
      <c r="I2299">
        <v>410620009</v>
      </c>
      <c r="J2299" t="s">
        <v>1054</v>
      </c>
      <c r="K2299">
        <v>136.80000000000001</v>
      </c>
      <c r="L2299">
        <v>704.2</v>
      </c>
      <c r="M2299">
        <v>0</v>
      </c>
      <c r="O2299" t="s">
        <v>34</v>
      </c>
    </row>
    <row r="2300" spans="1:15">
      <c r="A2300" t="s">
        <v>3729</v>
      </c>
      <c r="B2300" s="2">
        <v>34668.240613425929</v>
      </c>
      <c r="C2300" s="2">
        <v>34668.251030092593</v>
      </c>
      <c r="D2300" t="s">
        <v>528</v>
      </c>
      <c r="E2300" t="s">
        <v>3712</v>
      </c>
      <c r="F2300" t="s">
        <v>3713</v>
      </c>
      <c r="G2300" t="s">
        <v>1325</v>
      </c>
      <c r="H2300" t="s">
        <v>1031</v>
      </c>
      <c r="I2300">
        <v>185349003</v>
      </c>
      <c r="J2300" t="s">
        <v>1038</v>
      </c>
      <c r="K2300">
        <v>85.55</v>
      </c>
      <c r="L2300">
        <v>85.55</v>
      </c>
      <c r="M2300">
        <v>0</v>
      </c>
      <c r="N2300">
        <v>62106007</v>
      </c>
      <c r="O2300" t="s">
        <v>3730</v>
      </c>
    </row>
    <row r="2301" spans="1:15">
      <c r="A2301" t="s">
        <v>3731</v>
      </c>
      <c r="B2301" s="2">
        <v>35014.240613425929</v>
      </c>
      <c r="C2301" s="2">
        <v>35014.252372685187</v>
      </c>
      <c r="D2301" t="s">
        <v>528</v>
      </c>
      <c r="E2301" t="s">
        <v>3715</v>
      </c>
      <c r="F2301" t="s">
        <v>3716</v>
      </c>
      <c r="G2301" t="s">
        <v>1325</v>
      </c>
      <c r="H2301" t="s">
        <v>1020</v>
      </c>
      <c r="I2301">
        <v>410620009</v>
      </c>
      <c r="J2301" t="s">
        <v>1054</v>
      </c>
      <c r="K2301">
        <v>136.80000000000001</v>
      </c>
      <c r="L2301">
        <v>704.2</v>
      </c>
      <c r="M2301">
        <v>0</v>
      </c>
      <c r="O2301" t="s">
        <v>34</v>
      </c>
    </row>
    <row r="2302" spans="1:15">
      <c r="A2302" t="s">
        <v>3732</v>
      </c>
      <c r="B2302" s="2">
        <v>35028.240613425929</v>
      </c>
      <c r="C2302" s="2">
        <v>35028.371018518519</v>
      </c>
      <c r="D2302" t="s">
        <v>528</v>
      </c>
      <c r="E2302" t="s">
        <v>3712</v>
      </c>
      <c r="F2302" t="s">
        <v>3713</v>
      </c>
      <c r="G2302" t="s">
        <v>1325</v>
      </c>
      <c r="H2302" t="s">
        <v>1031</v>
      </c>
      <c r="I2302">
        <v>185349003</v>
      </c>
      <c r="J2302" t="s">
        <v>1038</v>
      </c>
      <c r="K2302">
        <v>85.55</v>
      </c>
      <c r="L2302">
        <v>3105.35</v>
      </c>
      <c r="M2302">
        <v>0</v>
      </c>
      <c r="N2302">
        <v>103697008</v>
      </c>
      <c r="O2302" t="s">
        <v>1039</v>
      </c>
    </row>
    <row r="2303" spans="1:15">
      <c r="A2303" t="s">
        <v>3733</v>
      </c>
      <c r="B2303" s="2">
        <v>35385.240613425929</v>
      </c>
      <c r="C2303" s="2">
        <v>35385.251030092593</v>
      </c>
      <c r="D2303" t="s">
        <v>528</v>
      </c>
      <c r="E2303" t="s">
        <v>3715</v>
      </c>
      <c r="F2303" t="s">
        <v>3716</v>
      </c>
      <c r="G2303" t="s">
        <v>1325</v>
      </c>
      <c r="H2303" t="s">
        <v>1020</v>
      </c>
      <c r="I2303">
        <v>410620009</v>
      </c>
      <c r="J2303" t="s">
        <v>1054</v>
      </c>
      <c r="K2303">
        <v>136.80000000000001</v>
      </c>
      <c r="L2303">
        <v>996.84</v>
      </c>
      <c r="M2303">
        <v>0</v>
      </c>
      <c r="O2303" t="s">
        <v>34</v>
      </c>
    </row>
    <row r="2304" spans="1:15">
      <c r="A2304" t="s">
        <v>3734</v>
      </c>
      <c r="B2304" s="2">
        <v>35399.240613425929</v>
      </c>
      <c r="C2304" s="2">
        <v>35399.393692129626</v>
      </c>
      <c r="D2304" t="s">
        <v>528</v>
      </c>
      <c r="E2304" t="s">
        <v>3712</v>
      </c>
      <c r="F2304" t="s">
        <v>3713</v>
      </c>
      <c r="G2304" t="s">
        <v>1325</v>
      </c>
      <c r="H2304" t="s">
        <v>1031</v>
      </c>
      <c r="I2304">
        <v>185349003</v>
      </c>
      <c r="J2304" t="s">
        <v>1038</v>
      </c>
      <c r="K2304">
        <v>85.55</v>
      </c>
      <c r="L2304">
        <v>3105.35</v>
      </c>
      <c r="M2304">
        <v>0</v>
      </c>
      <c r="N2304">
        <v>103697008</v>
      </c>
      <c r="O2304" t="s">
        <v>1039</v>
      </c>
    </row>
    <row r="2305" spans="1:15">
      <c r="A2305" t="s">
        <v>3735</v>
      </c>
      <c r="B2305" s="2">
        <v>35540.740613425929</v>
      </c>
      <c r="C2305" s="2">
        <v>35540.751030092593</v>
      </c>
      <c r="D2305" t="s">
        <v>528</v>
      </c>
      <c r="E2305" t="s">
        <v>3712</v>
      </c>
      <c r="F2305" t="s">
        <v>3713</v>
      </c>
      <c r="G2305" t="s">
        <v>1325</v>
      </c>
      <c r="H2305" t="s">
        <v>1031</v>
      </c>
      <c r="I2305">
        <v>185345009</v>
      </c>
      <c r="J2305" t="s">
        <v>1032</v>
      </c>
      <c r="K2305">
        <v>85.55</v>
      </c>
      <c r="L2305">
        <v>85.55</v>
      </c>
      <c r="M2305">
        <v>0</v>
      </c>
      <c r="N2305">
        <v>195662009</v>
      </c>
      <c r="O2305" t="s">
        <v>1130</v>
      </c>
    </row>
    <row r="2306" spans="1:15">
      <c r="A2306" t="s">
        <v>3736</v>
      </c>
      <c r="B2306" s="2">
        <v>35756.240613425929</v>
      </c>
      <c r="C2306" s="2">
        <v>35756.251030092593</v>
      </c>
      <c r="D2306" t="s">
        <v>528</v>
      </c>
      <c r="E2306" t="s">
        <v>3715</v>
      </c>
      <c r="F2306" t="s">
        <v>3716</v>
      </c>
      <c r="G2306" t="s">
        <v>1325</v>
      </c>
      <c r="H2306" t="s">
        <v>1020</v>
      </c>
      <c r="I2306">
        <v>410620009</v>
      </c>
      <c r="J2306" t="s">
        <v>1054</v>
      </c>
      <c r="K2306">
        <v>136.80000000000001</v>
      </c>
      <c r="L2306">
        <v>944.76</v>
      </c>
      <c r="M2306">
        <v>0</v>
      </c>
      <c r="O2306" t="s">
        <v>34</v>
      </c>
    </row>
    <row r="2307" spans="1:15">
      <c r="A2307" t="s">
        <v>3737</v>
      </c>
      <c r="B2307" s="2">
        <v>35763.240613425929</v>
      </c>
      <c r="C2307" s="2">
        <v>35763.489074074074</v>
      </c>
      <c r="D2307" t="s">
        <v>528</v>
      </c>
      <c r="E2307" t="s">
        <v>3712</v>
      </c>
      <c r="F2307" t="s">
        <v>3713</v>
      </c>
      <c r="G2307" t="s">
        <v>1325</v>
      </c>
      <c r="H2307" t="s">
        <v>1031</v>
      </c>
      <c r="I2307">
        <v>185349003</v>
      </c>
      <c r="J2307" t="s">
        <v>1038</v>
      </c>
      <c r="K2307">
        <v>85.55</v>
      </c>
      <c r="L2307">
        <v>5262.35</v>
      </c>
      <c r="M2307">
        <v>67.87</v>
      </c>
      <c r="N2307">
        <v>103697008</v>
      </c>
      <c r="O2307" t="s">
        <v>1039</v>
      </c>
    </row>
    <row r="2308" spans="1:15">
      <c r="A2308" t="s">
        <v>3738</v>
      </c>
      <c r="B2308" s="2">
        <v>35770.240613425929</v>
      </c>
      <c r="C2308" s="2">
        <v>35770.251030092593</v>
      </c>
      <c r="D2308" t="s">
        <v>528</v>
      </c>
      <c r="E2308" t="s">
        <v>3712</v>
      </c>
      <c r="F2308" t="s">
        <v>3713</v>
      </c>
      <c r="G2308" t="s">
        <v>1325</v>
      </c>
      <c r="H2308" t="s">
        <v>1031</v>
      </c>
      <c r="I2308">
        <v>185345009</v>
      </c>
      <c r="J2308" t="s">
        <v>1032</v>
      </c>
      <c r="K2308">
        <v>85.55</v>
      </c>
      <c r="L2308">
        <v>85.55</v>
      </c>
      <c r="M2308">
        <v>51.33</v>
      </c>
      <c r="N2308">
        <v>444814009</v>
      </c>
      <c r="O2308" t="s">
        <v>1035</v>
      </c>
    </row>
    <row r="2309" spans="1:15">
      <c r="A2309" t="s">
        <v>3739</v>
      </c>
      <c r="B2309" s="2">
        <v>36076.282280092593</v>
      </c>
      <c r="C2309" s="2">
        <v>36076.323946759258</v>
      </c>
      <c r="D2309" t="s">
        <v>528</v>
      </c>
      <c r="E2309" t="s">
        <v>3726</v>
      </c>
      <c r="F2309" t="s">
        <v>3727</v>
      </c>
      <c r="G2309" t="s">
        <v>1325</v>
      </c>
      <c r="H2309" t="s">
        <v>1076</v>
      </c>
      <c r="I2309">
        <v>50849002</v>
      </c>
      <c r="J2309" t="s">
        <v>1163</v>
      </c>
      <c r="K2309">
        <v>146.18</v>
      </c>
      <c r="L2309">
        <v>146.18</v>
      </c>
      <c r="M2309">
        <v>87.71</v>
      </c>
      <c r="N2309">
        <v>110030002</v>
      </c>
      <c r="O2309" t="s">
        <v>2628</v>
      </c>
    </row>
    <row r="2310" spans="1:15">
      <c r="A2310" t="s">
        <v>3740</v>
      </c>
      <c r="B2310" s="2">
        <v>36085.282280092593</v>
      </c>
      <c r="C2310" s="2">
        <v>36085.292696759258</v>
      </c>
      <c r="D2310" t="s">
        <v>528</v>
      </c>
      <c r="E2310" t="s">
        <v>3715</v>
      </c>
      <c r="F2310" t="s">
        <v>3716</v>
      </c>
      <c r="G2310" t="s">
        <v>1325</v>
      </c>
      <c r="H2310" t="s">
        <v>1020</v>
      </c>
      <c r="I2310">
        <v>308646001</v>
      </c>
      <c r="J2310" t="s">
        <v>1708</v>
      </c>
      <c r="K2310">
        <v>136.80000000000001</v>
      </c>
      <c r="L2310">
        <v>211.38</v>
      </c>
      <c r="M2310">
        <v>0</v>
      </c>
      <c r="N2310">
        <v>110030002</v>
      </c>
      <c r="O2310" t="s">
        <v>2628</v>
      </c>
    </row>
    <row r="2311" spans="1:15">
      <c r="A2311" t="s">
        <v>3741</v>
      </c>
      <c r="B2311" s="2">
        <v>39887.684363425928</v>
      </c>
      <c r="C2311" s="2">
        <v>39887.694780092592</v>
      </c>
      <c r="D2311" t="s">
        <v>537</v>
      </c>
      <c r="E2311" t="s">
        <v>3742</v>
      </c>
      <c r="F2311" t="s">
        <v>3743</v>
      </c>
      <c r="G2311" t="s">
        <v>1325</v>
      </c>
      <c r="H2311" t="s">
        <v>1031</v>
      </c>
      <c r="I2311">
        <v>185347001</v>
      </c>
      <c r="J2311" t="s">
        <v>1124</v>
      </c>
      <c r="K2311">
        <v>85.55</v>
      </c>
      <c r="L2311">
        <v>85.55</v>
      </c>
      <c r="M2311">
        <v>0</v>
      </c>
      <c r="N2311">
        <v>24079001</v>
      </c>
      <c r="O2311" t="s">
        <v>2106</v>
      </c>
    </row>
    <row r="2312" spans="1:15">
      <c r="A2312" t="s">
        <v>3744</v>
      </c>
      <c r="B2312" s="2">
        <v>40209.965613425928</v>
      </c>
      <c r="C2312" s="2">
        <v>40209.976030092592</v>
      </c>
      <c r="D2312" t="s">
        <v>537</v>
      </c>
      <c r="E2312" t="s">
        <v>3742</v>
      </c>
      <c r="F2312" t="s">
        <v>3743</v>
      </c>
      <c r="G2312" t="s">
        <v>1325</v>
      </c>
      <c r="H2312" t="s">
        <v>1031</v>
      </c>
      <c r="I2312">
        <v>185347001</v>
      </c>
      <c r="J2312" t="s">
        <v>1124</v>
      </c>
      <c r="K2312">
        <v>85.55</v>
      </c>
      <c r="L2312">
        <v>85.55</v>
      </c>
      <c r="M2312">
        <v>51.33</v>
      </c>
      <c r="N2312">
        <v>102263004</v>
      </c>
      <c r="O2312" t="s">
        <v>2272</v>
      </c>
    </row>
    <row r="2313" spans="1:15">
      <c r="A2313" t="s">
        <v>3745</v>
      </c>
      <c r="B2313" s="2">
        <v>40228.517696759256</v>
      </c>
      <c r="C2313" s="2">
        <v>40228.536516203705</v>
      </c>
      <c r="D2313" t="s">
        <v>537</v>
      </c>
      <c r="E2313" t="s">
        <v>3742</v>
      </c>
      <c r="F2313" t="s">
        <v>3743</v>
      </c>
      <c r="G2313" t="s">
        <v>1325</v>
      </c>
      <c r="H2313" t="s">
        <v>1031</v>
      </c>
      <c r="I2313">
        <v>185347001</v>
      </c>
      <c r="J2313" t="s">
        <v>1124</v>
      </c>
      <c r="K2313">
        <v>85.55</v>
      </c>
      <c r="L2313">
        <v>516.95000000000005</v>
      </c>
      <c r="M2313">
        <v>310.17</v>
      </c>
      <c r="N2313">
        <v>609328004</v>
      </c>
      <c r="O2313" t="s">
        <v>1137</v>
      </c>
    </row>
    <row r="2314" spans="1:15">
      <c r="A2314" t="s">
        <v>3746</v>
      </c>
      <c r="B2314" s="2">
        <v>41575.684363425928</v>
      </c>
      <c r="C2314" s="2">
        <v>41575.694780092592</v>
      </c>
      <c r="D2314" t="s">
        <v>537</v>
      </c>
      <c r="E2314" t="s">
        <v>3742</v>
      </c>
      <c r="F2314" t="s">
        <v>3743</v>
      </c>
      <c r="G2314" t="s">
        <v>1122</v>
      </c>
      <c r="H2314" t="s">
        <v>1031</v>
      </c>
      <c r="I2314">
        <v>185345009</v>
      </c>
      <c r="J2314" t="s">
        <v>1032</v>
      </c>
      <c r="K2314">
        <v>85.55</v>
      </c>
      <c r="L2314">
        <v>85.55</v>
      </c>
      <c r="M2314">
        <v>24.22</v>
      </c>
      <c r="N2314">
        <v>232353008</v>
      </c>
      <c r="O2314" t="s">
        <v>1196</v>
      </c>
    </row>
    <row r="2315" spans="1:15">
      <c r="A2315" t="s">
        <v>3747</v>
      </c>
      <c r="B2315" s="2">
        <v>41686.642696759256</v>
      </c>
      <c r="C2315" s="2">
        <v>41686.653113425928</v>
      </c>
      <c r="D2315" t="s">
        <v>537</v>
      </c>
      <c r="E2315" t="s">
        <v>3748</v>
      </c>
      <c r="F2315" t="s">
        <v>3749</v>
      </c>
      <c r="G2315" t="s">
        <v>1122</v>
      </c>
      <c r="H2315" t="s">
        <v>1020</v>
      </c>
      <c r="I2315">
        <v>410620009</v>
      </c>
      <c r="J2315" t="s">
        <v>1054</v>
      </c>
      <c r="K2315">
        <v>136.80000000000001</v>
      </c>
      <c r="L2315">
        <v>1248.2</v>
      </c>
      <c r="M2315">
        <v>998.56</v>
      </c>
      <c r="O2315" t="s">
        <v>34</v>
      </c>
    </row>
    <row r="2316" spans="1:15">
      <c r="A2316" t="s">
        <v>3750</v>
      </c>
      <c r="B2316" s="2">
        <v>42799.642696759256</v>
      </c>
      <c r="C2316" s="2">
        <v>42799.658090277779</v>
      </c>
      <c r="D2316" t="s">
        <v>537</v>
      </c>
      <c r="E2316" t="s">
        <v>3748</v>
      </c>
      <c r="F2316" t="s">
        <v>3749</v>
      </c>
      <c r="G2316" t="s">
        <v>1122</v>
      </c>
      <c r="H2316" t="s">
        <v>1020</v>
      </c>
      <c r="I2316">
        <v>410620009</v>
      </c>
      <c r="J2316" t="s">
        <v>1054</v>
      </c>
      <c r="K2316">
        <v>136.80000000000001</v>
      </c>
      <c r="L2316">
        <v>1121.6300000000001</v>
      </c>
      <c r="M2316">
        <v>710.9</v>
      </c>
      <c r="O2316" t="s">
        <v>34</v>
      </c>
    </row>
    <row r="2317" spans="1:15">
      <c r="A2317" t="s">
        <v>3751</v>
      </c>
      <c r="B2317" s="2">
        <v>42806.684363425928</v>
      </c>
      <c r="C2317" s="2">
        <v>42806.813564814816</v>
      </c>
      <c r="D2317" t="s">
        <v>537</v>
      </c>
      <c r="E2317" t="s">
        <v>3742</v>
      </c>
      <c r="F2317" t="s">
        <v>3743</v>
      </c>
      <c r="G2317" t="s">
        <v>1122</v>
      </c>
      <c r="H2317" t="s">
        <v>1031</v>
      </c>
      <c r="I2317">
        <v>185349003</v>
      </c>
      <c r="J2317" t="s">
        <v>1038</v>
      </c>
      <c r="K2317">
        <v>85.55</v>
      </c>
      <c r="L2317">
        <v>2673.95</v>
      </c>
      <c r="M2317">
        <v>1952.76</v>
      </c>
      <c r="N2317">
        <v>103697008</v>
      </c>
      <c r="O2317" t="s">
        <v>1039</v>
      </c>
    </row>
    <row r="2318" spans="1:15">
      <c r="A2318" t="s">
        <v>3752</v>
      </c>
      <c r="B2318" s="2">
        <v>43149.642696759256</v>
      </c>
      <c r="C2318" s="2">
        <v>43149.653113425928</v>
      </c>
      <c r="D2318" t="s">
        <v>537</v>
      </c>
      <c r="E2318" t="s">
        <v>3753</v>
      </c>
      <c r="F2318" t="s">
        <v>3754</v>
      </c>
      <c r="G2318" t="s">
        <v>1122</v>
      </c>
      <c r="H2318" t="s">
        <v>1159</v>
      </c>
      <c r="I2318">
        <v>702927004</v>
      </c>
      <c r="J2318" t="s">
        <v>1160</v>
      </c>
      <c r="K2318">
        <v>142.58000000000001</v>
      </c>
      <c r="L2318">
        <v>278.58</v>
      </c>
      <c r="M2318">
        <v>222.86</v>
      </c>
      <c r="O2318" t="s">
        <v>34</v>
      </c>
    </row>
    <row r="2319" spans="1:15">
      <c r="A2319" t="s">
        <v>3755</v>
      </c>
      <c r="B2319" s="2">
        <v>43156.642696759256</v>
      </c>
      <c r="C2319" s="2">
        <v>43156.653113425928</v>
      </c>
      <c r="D2319" t="s">
        <v>537</v>
      </c>
      <c r="E2319" t="s">
        <v>3742</v>
      </c>
      <c r="F2319" t="s">
        <v>3743</v>
      </c>
      <c r="G2319" t="s">
        <v>1122</v>
      </c>
      <c r="H2319" t="s">
        <v>1043</v>
      </c>
      <c r="I2319">
        <v>185349003</v>
      </c>
      <c r="J2319" t="s">
        <v>1038</v>
      </c>
      <c r="K2319">
        <v>85.55</v>
      </c>
      <c r="L2319">
        <v>516.95000000000005</v>
      </c>
      <c r="M2319">
        <v>413.56</v>
      </c>
      <c r="O2319" t="s">
        <v>34</v>
      </c>
    </row>
    <row r="2320" spans="1:15">
      <c r="A2320" t="s">
        <v>3756</v>
      </c>
      <c r="B2320" s="2">
        <v>43163.642696759256</v>
      </c>
      <c r="C2320" s="2">
        <v>43163.787962962961</v>
      </c>
      <c r="D2320" t="s">
        <v>537</v>
      </c>
      <c r="E2320" t="s">
        <v>3742</v>
      </c>
      <c r="F2320" t="s">
        <v>3743</v>
      </c>
      <c r="G2320" t="s">
        <v>1122</v>
      </c>
      <c r="H2320" t="s">
        <v>1031</v>
      </c>
      <c r="I2320">
        <v>185349003</v>
      </c>
      <c r="J2320" t="s">
        <v>1038</v>
      </c>
      <c r="K2320">
        <v>85.55</v>
      </c>
      <c r="L2320">
        <v>3105.35</v>
      </c>
      <c r="M2320">
        <v>2484.2800000000002</v>
      </c>
      <c r="N2320">
        <v>66383009</v>
      </c>
      <c r="O2320" t="s">
        <v>1209</v>
      </c>
    </row>
    <row r="2321" spans="1:15">
      <c r="A2321" t="s">
        <v>3757</v>
      </c>
      <c r="B2321" s="2">
        <v>43170.684363425928</v>
      </c>
      <c r="C2321" s="2">
        <v>43170.694780092592</v>
      </c>
      <c r="D2321" t="s">
        <v>537</v>
      </c>
      <c r="E2321" t="s">
        <v>3742</v>
      </c>
      <c r="F2321" t="s">
        <v>3743</v>
      </c>
      <c r="G2321" t="s">
        <v>1122</v>
      </c>
      <c r="H2321" t="s">
        <v>1031</v>
      </c>
      <c r="I2321">
        <v>185345009</v>
      </c>
      <c r="J2321" t="s">
        <v>1032</v>
      </c>
      <c r="K2321">
        <v>85.55</v>
      </c>
      <c r="L2321">
        <v>1130.95</v>
      </c>
      <c r="M2321">
        <v>718.36</v>
      </c>
      <c r="N2321">
        <v>195662009</v>
      </c>
      <c r="O2321" t="s">
        <v>1130</v>
      </c>
    </row>
    <row r="2322" spans="1:15">
      <c r="A2322" t="s">
        <v>3758</v>
      </c>
      <c r="B2322" s="2">
        <v>43177.684363425928</v>
      </c>
      <c r="C2322" s="2">
        <v>43177.694780092592</v>
      </c>
      <c r="D2322" t="s">
        <v>537</v>
      </c>
      <c r="E2322" t="s">
        <v>3748</v>
      </c>
      <c r="F2322" t="s">
        <v>3749</v>
      </c>
      <c r="G2322" t="s">
        <v>1122</v>
      </c>
      <c r="H2322" t="s">
        <v>1020</v>
      </c>
      <c r="I2322">
        <v>410620009</v>
      </c>
      <c r="J2322" t="s">
        <v>1054</v>
      </c>
      <c r="K2322">
        <v>136.80000000000001</v>
      </c>
      <c r="L2322">
        <v>798.91</v>
      </c>
      <c r="M2322">
        <v>639.13</v>
      </c>
      <c r="O2322" t="s">
        <v>34</v>
      </c>
    </row>
    <row r="2323" spans="1:15">
      <c r="A2323" t="s">
        <v>3759</v>
      </c>
      <c r="B2323" s="2">
        <v>43184.684363425928</v>
      </c>
      <c r="C2323" s="2">
        <v>43184.812037037038</v>
      </c>
      <c r="D2323" t="s">
        <v>537</v>
      </c>
      <c r="E2323" t="s">
        <v>3742</v>
      </c>
      <c r="F2323" t="s">
        <v>3743</v>
      </c>
      <c r="G2323" t="s">
        <v>1122</v>
      </c>
      <c r="H2323" t="s">
        <v>1031</v>
      </c>
      <c r="I2323">
        <v>185349003</v>
      </c>
      <c r="J2323" t="s">
        <v>1038</v>
      </c>
      <c r="K2323">
        <v>85.55</v>
      </c>
      <c r="L2323">
        <v>3536.75</v>
      </c>
      <c r="M2323">
        <v>2829.4</v>
      </c>
      <c r="N2323">
        <v>103697008</v>
      </c>
      <c r="O2323" t="s">
        <v>1039</v>
      </c>
    </row>
    <row r="2324" spans="1:15">
      <c r="A2324" t="s">
        <v>3760</v>
      </c>
      <c r="B2324" s="2">
        <v>43548.684363425928</v>
      </c>
      <c r="C2324" s="2">
        <v>43548.695659722223</v>
      </c>
      <c r="D2324" t="s">
        <v>537</v>
      </c>
      <c r="E2324" t="s">
        <v>3748</v>
      </c>
      <c r="F2324" t="s">
        <v>3749</v>
      </c>
      <c r="G2324" t="s">
        <v>1122</v>
      </c>
      <c r="H2324" t="s">
        <v>1020</v>
      </c>
      <c r="I2324">
        <v>410620009</v>
      </c>
      <c r="J2324" t="s">
        <v>1054</v>
      </c>
      <c r="K2324">
        <v>136.80000000000001</v>
      </c>
      <c r="L2324">
        <v>919.9</v>
      </c>
      <c r="M2324">
        <v>549.52</v>
      </c>
      <c r="O2324" t="s">
        <v>34</v>
      </c>
    </row>
    <row r="2325" spans="1:15">
      <c r="A2325" t="s">
        <v>3761</v>
      </c>
      <c r="B2325" s="2">
        <v>43555.684363425928</v>
      </c>
      <c r="C2325" s="2">
        <v>43555.805717592593</v>
      </c>
      <c r="D2325" t="s">
        <v>537</v>
      </c>
      <c r="E2325" t="s">
        <v>3742</v>
      </c>
      <c r="F2325" t="s">
        <v>3743</v>
      </c>
      <c r="G2325" t="s">
        <v>1122</v>
      </c>
      <c r="H2325" t="s">
        <v>1031</v>
      </c>
      <c r="I2325">
        <v>185349003</v>
      </c>
      <c r="J2325" t="s">
        <v>1038</v>
      </c>
      <c r="K2325">
        <v>85.55</v>
      </c>
      <c r="L2325">
        <v>3105.35</v>
      </c>
      <c r="M2325">
        <v>2484.2800000000002</v>
      </c>
      <c r="N2325">
        <v>103697008</v>
      </c>
      <c r="O2325" t="s">
        <v>1039</v>
      </c>
    </row>
    <row r="2326" spans="1:15">
      <c r="A2326" t="s">
        <v>3762</v>
      </c>
      <c r="B2326" s="2">
        <v>43731.707013888888</v>
      </c>
      <c r="C2326" s="2">
        <v>43731.748680555553</v>
      </c>
      <c r="D2326" t="s">
        <v>537</v>
      </c>
      <c r="E2326" t="s">
        <v>3763</v>
      </c>
      <c r="F2326" t="s">
        <v>3764</v>
      </c>
      <c r="G2326" t="s">
        <v>1122</v>
      </c>
      <c r="H2326" t="s">
        <v>1076</v>
      </c>
      <c r="I2326">
        <v>50849002</v>
      </c>
      <c r="J2326" t="s">
        <v>1163</v>
      </c>
      <c r="K2326">
        <v>146.18</v>
      </c>
      <c r="L2326">
        <v>146.18</v>
      </c>
      <c r="M2326">
        <v>116.94</v>
      </c>
      <c r="N2326">
        <v>384709000</v>
      </c>
      <c r="O2326" t="s">
        <v>1164</v>
      </c>
    </row>
    <row r="2327" spans="1:15">
      <c r="A2327" t="s">
        <v>3765</v>
      </c>
      <c r="B2327" s="2">
        <v>43919.684363425928</v>
      </c>
      <c r="C2327" s="2">
        <v>43919.694780092592</v>
      </c>
      <c r="D2327" t="s">
        <v>537</v>
      </c>
      <c r="E2327" t="s">
        <v>3748</v>
      </c>
      <c r="F2327" t="s">
        <v>3749</v>
      </c>
      <c r="G2327" t="s">
        <v>1122</v>
      </c>
      <c r="H2327" t="s">
        <v>1020</v>
      </c>
      <c r="I2327">
        <v>410620009</v>
      </c>
      <c r="J2327" t="s">
        <v>1054</v>
      </c>
      <c r="K2327">
        <v>136.80000000000001</v>
      </c>
      <c r="L2327">
        <v>755.38</v>
      </c>
      <c r="M2327">
        <v>417.9</v>
      </c>
      <c r="O2327" t="s">
        <v>34</v>
      </c>
    </row>
    <row r="2328" spans="1:15">
      <c r="A2328" t="s">
        <v>3766</v>
      </c>
      <c r="B2328" s="2">
        <v>44290.684363425928</v>
      </c>
      <c r="C2328" s="2">
        <v>44290.702164351853</v>
      </c>
      <c r="D2328" t="s">
        <v>537</v>
      </c>
      <c r="E2328" t="s">
        <v>3748</v>
      </c>
      <c r="F2328" t="s">
        <v>3749</v>
      </c>
      <c r="G2328" t="s">
        <v>1122</v>
      </c>
      <c r="H2328" t="s">
        <v>1020</v>
      </c>
      <c r="I2328">
        <v>410620009</v>
      </c>
      <c r="J2328" t="s">
        <v>1054</v>
      </c>
      <c r="K2328">
        <v>136.80000000000001</v>
      </c>
      <c r="L2328">
        <v>1278.78</v>
      </c>
      <c r="M2328">
        <v>836.62</v>
      </c>
      <c r="O2328" t="s">
        <v>34</v>
      </c>
    </row>
    <row r="2329" spans="1:15">
      <c r="A2329" t="s">
        <v>3767</v>
      </c>
      <c r="B2329" s="2">
        <v>44304.684363425928</v>
      </c>
      <c r="C2329" s="2">
        <v>44304.826597222222</v>
      </c>
      <c r="D2329" t="s">
        <v>537</v>
      </c>
      <c r="E2329" t="s">
        <v>3742</v>
      </c>
      <c r="F2329" t="s">
        <v>3743</v>
      </c>
      <c r="G2329" t="s">
        <v>1122</v>
      </c>
      <c r="H2329" t="s">
        <v>1031</v>
      </c>
      <c r="I2329">
        <v>185349003</v>
      </c>
      <c r="J2329" t="s">
        <v>1038</v>
      </c>
      <c r="K2329">
        <v>85.55</v>
      </c>
      <c r="L2329">
        <v>3536.75</v>
      </c>
      <c r="M2329">
        <v>2829.4</v>
      </c>
      <c r="N2329">
        <v>103697008</v>
      </c>
      <c r="O2329" t="s">
        <v>1039</v>
      </c>
    </row>
    <row r="2330" spans="1:15">
      <c r="A2330" t="s">
        <v>3768</v>
      </c>
      <c r="B2330" s="2">
        <v>44507.642696759256</v>
      </c>
      <c r="C2330" s="2">
        <v>44507.653113425928</v>
      </c>
      <c r="D2330" t="s">
        <v>537</v>
      </c>
      <c r="E2330" t="s">
        <v>3742</v>
      </c>
      <c r="F2330" t="s">
        <v>3743</v>
      </c>
      <c r="G2330" t="s">
        <v>1122</v>
      </c>
      <c r="H2330" t="s">
        <v>1043</v>
      </c>
      <c r="I2330">
        <v>33879002</v>
      </c>
      <c r="J2330" t="s">
        <v>1044</v>
      </c>
      <c r="K2330">
        <v>142.58000000000001</v>
      </c>
      <c r="L2330">
        <v>278.58</v>
      </c>
      <c r="M2330">
        <v>222.86</v>
      </c>
      <c r="O2330" t="s">
        <v>34</v>
      </c>
    </row>
    <row r="2331" spans="1:15">
      <c r="A2331" t="s">
        <v>3769</v>
      </c>
      <c r="B2331" s="2">
        <v>44528.642696759256</v>
      </c>
      <c r="C2331" s="2">
        <v>44528.653113425928</v>
      </c>
      <c r="D2331" t="s">
        <v>537</v>
      </c>
      <c r="E2331" t="s">
        <v>3742</v>
      </c>
      <c r="F2331" t="s">
        <v>3743</v>
      </c>
      <c r="G2331" t="s">
        <v>1122</v>
      </c>
      <c r="H2331" t="s">
        <v>1043</v>
      </c>
      <c r="I2331">
        <v>33879002</v>
      </c>
      <c r="J2331" t="s">
        <v>1044</v>
      </c>
      <c r="K2331">
        <v>142.58000000000001</v>
      </c>
      <c r="L2331">
        <v>278.58</v>
      </c>
      <c r="M2331">
        <v>222.86</v>
      </c>
      <c r="O2331" t="s">
        <v>34</v>
      </c>
    </row>
    <row r="2332" spans="1:15">
      <c r="A2332" t="s">
        <v>3770</v>
      </c>
      <c r="B2332" s="2">
        <v>44633.684363425928</v>
      </c>
      <c r="C2332" s="2">
        <v>44633.697708333333</v>
      </c>
      <c r="D2332" t="s">
        <v>537</v>
      </c>
      <c r="E2332" t="s">
        <v>3753</v>
      </c>
      <c r="F2332" t="s">
        <v>3754</v>
      </c>
      <c r="G2332" t="s">
        <v>1122</v>
      </c>
      <c r="H2332" t="s">
        <v>1159</v>
      </c>
      <c r="I2332">
        <v>702927004</v>
      </c>
      <c r="J2332" t="s">
        <v>1160</v>
      </c>
      <c r="K2332">
        <v>142.58000000000001</v>
      </c>
      <c r="L2332">
        <v>1162.9000000000001</v>
      </c>
      <c r="M2332">
        <v>743.92</v>
      </c>
      <c r="O2332" t="s">
        <v>34</v>
      </c>
    </row>
    <row r="2333" spans="1:15">
      <c r="A2333" t="s">
        <v>3771</v>
      </c>
      <c r="B2333" s="2">
        <v>44640.684363425928</v>
      </c>
      <c r="C2333" s="2">
        <v>44640.694780092592</v>
      </c>
      <c r="D2333" t="s">
        <v>537</v>
      </c>
      <c r="E2333" t="s">
        <v>3742</v>
      </c>
      <c r="F2333" t="s">
        <v>3743</v>
      </c>
      <c r="G2333" t="s">
        <v>1122</v>
      </c>
      <c r="H2333" t="s">
        <v>1043</v>
      </c>
      <c r="I2333">
        <v>185349003</v>
      </c>
      <c r="J2333" t="s">
        <v>1038</v>
      </c>
      <c r="K2333">
        <v>85.55</v>
      </c>
      <c r="L2333">
        <v>697.68</v>
      </c>
      <c r="M2333">
        <v>558.14</v>
      </c>
      <c r="O2333" t="s">
        <v>34</v>
      </c>
    </row>
    <row r="2334" spans="1:15">
      <c r="A2334" t="s">
        <v>3772</v>
      </c>
      <c r="B2334" s="2">
        <v>44647.684363425928</v>
      </c>
      <c r="C2334" s="2">
        <v>44647.698634259257</v>
      </c>
      <c r="D2334" t="s">
        <v>537</v>
      </c>
      <c r="E2334" t="s">
        <v>3742</v>
      </c>
      <c r="F2334" t="s">
        <v>3743</v>
      </c>
      <c r="G2334" t="s">
        <v>1122</v>
      </c>
      <c r="H2334" t="s">
        <v>1031</v>
      </c>
      <c r="I2334">
        <v>170837001</v>
      </c>
      <c r="J2334" t="s">
        <v>3611</v>
      </c>
      <c r="K2334">
        <v>142.58000000000001</v>
      </c>
      <c r="L2334">
        <v>573.98</v>
      </c>
      <c r="M2334">
        <v>459.18</v>
      </c>
      <c r="N2334">
        <v>609328004</v>
      </c>
      <c r="O2334" t="s">
        <v>1137</v>
      </c>
    </row>
    <row r="2335" spans="1:15">
      <c r="A2335" t="s">
        <v>3773</v>
      </c>
      <c r="B2335" s="2">
        <v>44654.684363425928</v>
      </c>
      <c r="C2335" s="2">
        <v>44654.694780092592</v>
      </c>
      <c r="D2335" t="s">
        <v>537</v>
      </c>
      <c r="E2335" t="s">
        <v>3742</v>
      </c>
      <c r="F2335" t="s">
        <v>3743</v>
      </c>
      <c r="G2335" t="s">
        <v>1122</v>
      </c>
      <c r="H2335" t="s">
        <v>1031</v>
      </c>
      <c r="I2335">
        <v>185345009</v>
      </c>
      <c r="J2335" t="s">
        <v>1032</v>
      </c>
      <c r="K2335">
        <v>85.55</v>
      </c>
      <c r="L2335">
        <v>85.55</v>
      </c>
      <c r="M2335">
        <v>68.44</v>
      </c>
      <c r="N2335">
        <v>444814009</v>
      </c>
      <c r="O2335" t="s">
        <v>1035</v>
      </c>
    </row>
    <row r="2336" spans="1:15">
      <c r="A2336" t="s">
        <v>3774</v>
      </c>
      <c r="B2336" s="2">
        <v>44661.684363425928</v>
      </c>
      <c r="C2336" s="2">
        <v>44661.696921296294</v>
      </c>
      <c r="D2336" t="s">
        <v>537</v>
      </c>
      <c r="E2336" t="s">
        <v>3748</v>
      </c>
      <c r="F2336" t="s">
        <v>3749</v>
      </c>
      <c r="G2336" t="s">
        <v>1122</v>
      </c>
      <c r="H2336" t="s">
        <v>1020</v>
      </c>
      <c r="I2336">
        <v>410620009</v>
      </c>
      <c r="J2336" t="s">
        <v>1054</v>
      </c>
      <c r="K2336">
        <v>136.80000000000001</v>
      </c>
      <c r="L2336">
        <v>783.9</v>
      </c>
      <c r="M2336">
        <v>627.12</v>
      </c>
      <c r="O2336" t="s">
        <v>34</v>
      </c>
    </row>
    <row r="2337" spans="1:15">
      <c r="A2337" t="s">
        <v>3775</v>
      </c>
      <c r="B2337" s="2">
        <v>44672.698634259257</v>
      </c>
      <c r="C2337" s="2">
        <v>44672.717893518522</v>
      </c>
      <c r="D2337" t="s">
        <v>537</v>
      </c>
      <c r="E2337" t="s">
        <v>3742</v>
      </c>
      <c r="F2337" t="s">
        <v>3743</v>
      </c>
      <c r="G2337" t="s">
        <v>1122</v>
      </c>
      <c r="H2337" t="s">
        <v>1031</v>
      </c>
      <c r="I2337">
        <v>371883000</v>
      </c>
      <c r="J2337" t="s">
        <v>3614</v>
      </c>
      <c r="K2337">
        <v>142.58000000000001</v>
      </c>
      <c r="L2337">
        <v>5263.67</v>
      </c>
      <c r="M2337">
        <v>4210.93</v>
      </c>
      <c r="N2337">
        <v>609328004</v>
      </c>
      <c r="O2337" t="s">
        <v>1137</v>
      </c>
    </row>
    <row r="2338" spans="1:15">
      <c r="A2338" t="s">
        <v>3776</v>
      </c>
      <c r="B2338" s="2">
        <v>44696.717893518522</v>
      </c>
      <c r="C2338" s="2">
        <v>44696.72892361111</v>
      </c>
      <c r="D2338" t="s">
        <v>537</v>
      </c>
      <c r="E2338" t="s">
        <v>3742</v>
      </c>
      <c r="F2338" t="s">
        <v>3743</v>
      </c>
      <c r="G2338" t="s">
        <v>1122</v>
      </c>
      <c r="H2338" t="s">
        <v>1031</v>
      </c>
      <c r="I2338">
        <v>371883000</v>
      </c>
      <c r="J2338" t="s">
        <v>3614</v>
      </c>
      <c r="K2338">
        <v>142.58000000000001</v>
      </c>
      <c r="L2338">
        <v>5263.67</v>
      </c>
      <c r="M2338">
        <v>4210.93</v>
      </c>
      <c r="N2338">
        <v>609328004</v>
      </c>
      <c r="O2338" t="s">
        <v>1137</v>
      </c>
    </row>
    <row r="2339" spans="1:15">
      <c r="A2339" t="s">
        <v>3777</v>
      </c>
      <c r="B2339" s="2">
        <v>44721.72892361111</v>
      </c>
      <c r="C2339" s="2">
        <v>44721.769849537035</v>
      </c>
      <c r="D2339" t="s">
        <v>537</v>
      </c>
      <c r="E2339" t="s">
        <v>3742</v>
      </c>
      <c r="F2339" t="s">
        <v>3743</v>
      </c>
      <c r="G2339" t="s">
        <v>1122</v>
      </c>
      <c r="H2339" t="s">
        <v>1031</v>
      </c>
      <c r="I2339">
        <v>371883000</v>
      </c>
      <c r="J2339" t="s">
        <v>3614</v>
      </c>
      <c r="K2339">
        <v>142.58000000000001</v>
      </c>
      <c r="L2339">
        <v>9434.52</v>
      </c>
      <c r="M2339">
        <v>7547.61</v>
      </c>
      <c r="N2339">
        <v>609328004</v>
      </c>
      <c r="O2339" t="s">
        <v>1137</v>
      </c>
    </row>
    <row r="2340" spans="1:15">
      <c r="A2340" t="s">
        <v>3778</v>
      </c>
      <c r="B2340" s="2">
        <v>44747.769849537035</v>
      </c>
      <c r="C2340" s="2">
        <v>44747.798611111109</v>
      </c>
      <c r="D2340" t="s">
        <v>537</v>
      </c>
      <c r="E2340" t="s">
        <v>3742</v>
      </c>
      <c r="F2340" t="s">
        <v>3743</v>
      </c>
      <c r="G2340" t="s">
        <v>1122</v>
      </c>
      <c r="H2340" t="s">
        <v>1031</v>
      </c>
      <c r="I2340">
        <v>371883000</v>
      </c>
      <c r="J2340" t="s">
        <v>3614</v>
      </c>
      <c r="K2340">
        <v>142.58000000000001</v>
      </c>
      <c r="L2340">
        <v>5263.67</v>
      </c>
      <c r="M2340">
        <v>4210.93</v>
      </c>
      <c r="N2340">
        <v>609328004</v>
      </c>
      <c r="O2340" t="s">
        <v>1137</v>
      </c>
    </row>
    <row r="2341" spans="1:15">
      <c r="A2341" t="s">
        <v>3779</v>
      </c>
      <c r="B2341" s="2">
        <v>44774.798611111109</v>
      </c>
      <c r="C2341" s="2">
        <v>44774.827627314815</v>
      </c>
      <c r="D2341" t="s">
        <v>537</v>
      </c>
      <c r="E2341" t="s">
        <v>3742</v>
      </c>
      <c r="F2341" t="s">
        <v>3743</v>
      </c>
      <c r="G2341" t="s">
        <v>1122</v>
      </c>
      <c r="H2341" t="s">
        <v>1031</v>
      </c>
      <c r="I2341">
        <v>371883000</v>
      </c>
      <c r="J2341" t="s">
        <v>3614</v>
      </c>
      <c r="K2341">
        <v>142.58000000000001</v>
      </c>
      <c r="L2341">
        <v>6943.48</v>
      </c>
      <c r="M2341">
        <v>5554.78</v>
      </c>
      <c r="N2341">
        <v>609328004</v>
      </c>
      <c r="O2341" t="s">
        <v>1137</v>
      </c>
    </row>
    <row r="2342" spans="1:15">
      <c r="A2342" t="s">
        <v>3780</v>
      </c>
      <c r="B2342" s="2">
        <v>44798.827627314815</v>
      </c>
      <c r="C2342" s="2">
        <v>44798.841817129629</v>
      </c>
      <c r="D2342" t="s">
        <v>537</v>
      </c>
      <c r="E2342" t="s">
        <v>3742</v>
      </c>
      <c r="F2342" t="s">
        <v>3743</v>
      </c>
      <c r="G2342" t="s">
        <v>1122</v>
      </c>
      <c r="H2342" t="s">
        <v>1031</v>
      </c>
      <c r="I2342">
        <v>371883000</v>
      </c>
      <c r="J2342" t="s">
        <v>3614</v>
      </c>
      <c r="K2342">
        <v>142.58000000000001</v>
      </c>
      <c r="L2342">
        <v>20626.96</v>
      </c>
      <c r="M2342">
        <v>16501.560000000001</v>
      </c>
      <c r="N2342">
        <v>609328004</v>
      </c>
      <c r="O2342" t="s">
        <v>1137</v>
      </c>
    </row>
    <row r="2343" spans="1:15">
      <c r="A2343" t="s">
        <v>3781</v>
      </c>
      <c r="B2343" s="2">
        <v>44824.841817129629</v>
      </c>
      <c r="C2343" s="2">
        <v>44824.881655092591</v>
      </c>
      <c r="D2343" t="s">
        <v>537</v>
      </c>
      <c r="E2343" t="s">
        <v>3742</v>
      </c>
      <c r="F2343" t="s">
        <v>3743</v>
      </c>
      <c r="G2343" t="s">
        <v>1122</v>
      </c>
      <c r="H2343" t="s">
        <v>1031</v>
      </c>
      <c r="I2343">
        <v>371883000</v>
      </c>
      <c r="J2343" t="s">
        <v>3614</v>
      </c>
      <c r="K2343">
        <v>142.58000000000001</v>
      </c>
      <c r="L2343">
        <v>5821.92</v>
      </c>
      <c r="M2343">
        <v>4657.53</v>
      </c>
      <c r="N2343">
        <v>609328004</v>
      </c>
      <c r="O2343" t="s">
        <v>1137</v>
      </c>
    </row>
    <row r="2344" spans="1:15">
      <c r="A2344" t="s">
        <v>3782</v>
      </c>
      <c r="B2344" s="2">
        <v>44851.881655092591</v>
      </c>
      <c r="C2344" s="2">
        <v>44851.89230324074</v>
      </c>
      <c r="D2344" t="s">
        <v>537</v>
      </c>
      <c r="E2344" t="s">
        <v>3742</v>
      </c>
      <c r="F2344" t="s">
        <v>3743</v>
      </c>
      <c r="G2344" t="s">
        <v>1122</v>
      </c>
      <c r="H2344" t="s">
        <v>1031</v>
      </c>
      <c r="I2344">
        <v>371883000</v>
      </c>
      <c r="J2344" t="s">
        <v>3614</v>
      </c>
      <c r="K2344">
        <v>142.58000000000001</v>
      </c>
      <c r="L2344">
        <v>10805.89</v>
      </c>
      <c r="M2344">
        <v>8644.7099999999991</v>
      </c>
      <c r="N2344">
        <v>609328004</v>
      </c>
      <c r="O2344" t="s">
        <v>1137</v>
      </c>
    </row>
    <row r="2345" spans="1:15">
      <c r="A2345" t="s">
        <v>3783</v>
      </c>
      <c r="B2345" s="2">
        <v>44874.850636574076</v>
      </c>
      <c r="C2345" s="2">
        <v>44874.88108796296</v>
      </c>
      <c r="D2345" t="s">
        <v>537</v>
      </c>
      <c r="E2345" t="s">
        <v>3742</v>
      </c>
      <c r="F2345" t="s">
        <v>3743</v>
      </c>
      <c r="G2345" t="s">
        <v>1122</v>
      </c>
      <c r="H2345" t="s">
        <v>1031</v>
      </c>
      <c r="I2345">
        <v>371883000</v>
      </c>
      <c r="J2345" t="s">
        <v>3614</v>
      </c>
      <c r="K2345">
        <v>142.58000000000001</v>
      </c>
      <c r="L2345">
        <v>9477.9699999999993</v>
      </c>
      <c r="M2345">
        <v>7582.37</v>
      </c>
      <c r="N2345">
        <v>609328004</v>
      </c>
      <c r="O2345" t="s">
        <v>1137</v>
      </c>
    </row>
    <row r="2346" spans="1:15">
      <c r="A2346" t="s">
        <v>3784</v>
      </c>
      <c r="B2346" s="2">
        <v>44899.88108796296</v>
      </c>
      <c r="C2346" s="2">
        <v>44899.910937499997</v>
      </c>
      <c r="D2346" t="s">
        <v>537</v>
      </c>
      <c r="E2346" t="s">
        <v>3742</v>
      </c>
      <c r="F2346" t="s">
        <v>3743</v>
      </c>
      <c r="G2346" t="s">
        <v>1122</v>
      </c>
      <c r="H2346" t="s">
        <v>1031</v>
      </c>
      <c r="I2346">
        <v>371883000</v>
      </c>
      <c r="J2346" t="s">
        <v>3614</v>
      </c>
      <c r="K2346">
        <v>142.58000000000001</v>
      </c>
      <c r="L2346">
        <v>7442.23</v>
      </c>
      <c r="M2346">
        <v>5953.78</v>
      </c>
      <c r="N2346">
        <v>609328004</v>
      </c>
      <c r="O2346" t="s">
        <v>1137</v>
      </c>
    </row>
    <row r="2347" spans="1:15">
      <c r="A2347" t="s">
        <v>3785</v>
      </c>
      <c r="B2347" s="2">
        <v>44922.910937499997</v>
      </c>
      <c r="C2347" s="2">
        <v>44922.952280092592</v>
      </c>
      <c r="D2347" t="s">
        <v>537</v>
      </c>
      <c r="E2347" t="s">
        <v>3742</v>
      </c>
      <c r="F2347" t="s">
        <v>3743</v>
      </c>
      <c r="G2347" t="s">
        <v>1122</v>
      </c>
      <c r="H2347" t="s">
        <v>1031</v>
      </c>
      <c r="I2347">
        <v>371883000</v>
      </c>
      <c r="J2347" t="s">
        <v>3614</v>
      </c>
      <c r="K2347">
        <v>142.58000000000001</v>
      </c>
      <c r="L2347">
        <v>5263.67</v>
      </c>
      <c r="M2347">
        <v>4210.93</v>
      </c>
      <c r="N2347">
        <v>609328004</v>
      </c>
      <c r="O2347" t="s">
        <v>1137</v>
      </c>
    </row>
    <row r="2348" spans="1:15">
      <c r="A2348" t="s">
        <v>3786</v>
      </c>
      <c r="B2348" s="2">
        <v>44949.952280092592</v>
      </c>
      <c r="C2348" s="2">
        <v>44949.992002314815</v>
      </c>
      <c r="D2348" t="s">
        <v>537</v>
      </c>
      <c r="E2348" t="s">
        <v>3742</v>
      </c>
      <c r="F2348" t="s">
        <v>3743</v>
      </c>
      <c r="G2348" t="s">
        <v>1122</v>
      </c>
      <c r="H2348" t="s">
        <v>1031</v>
      </c>
      <c r="I2348">
        <v>371883000</v>
      </c>
      <c r="J2348" t="s">
        <v>3614</v>
      </c>
      <c r="K2348">
        <v>142.58000000000001</v>
      </c>
      <c r="L2348">
        <v>5263.67</v>
      </c>
      <c r="M2348">
        <v>4210.93</v>
      </c>
      <c r="N2348">
        <v>609328004</v>
      </c>
      <c r="O2348" t="s">
        <v>1137</v>
      </c>
    </row>
    <row r="2349" spans="1:15">
      <c r="A2349" t="s">
        <v>3787</v>
      </c>
      <c r="B2349" s="2">
        <v>44975.992002314815</v>
      </c>
      <c r="C2349" s="2">
        <v>44976.024525462963</v>
      </c>
      <c r="D2349" t="s">
        <v>537</v>
      </c>
      <c r="E2349" t="s">
        <v>3742</v>
      </c>
      <c r="F2349" t="s">
        <v>3743</v>
      </c>
      <c r="G2349" t="s">
        <v>1122</v>
      </c>
      <c r="H2349" t="s">
        <v>1031</v>
      </c>
      <c r="I2349">
        <v>371883000</v>
      </c>
      <c r="J2349" t="s">
        <v>3614</v>
      </c>
      <c r="K2349">
        <v>142.58000000000001</v>
      </c>
      <c r="L2349">
        <v>5263.67</v>
      </c>
      <c r="M2349">
        <v>4210.93</v>
      </c>
      <c r="N2349">
        <v>609328004</v>
      </c>
      <c r="O2349" t="s">
        <v>1137</v>
      </c>
    </row>
    <row r="2350" spans="1:15">
      <c r="A2350" t="s">
        <v>3788</v>
      </c>
      <c r="B2350" s="2">
        <v>44993.642696759256</v>
      </c>
      <c r="C2350" s="2">
        <v>44993.653113425928</v>
      </c>
      <c r="D2350" t="s">
        <v>537</v>
      </c>
      <c r="E2350" t="s">
        <v>3742</v>
      </c>
      <c r="F2350" t="s">
        <v>3743</v>
      </c>
      <c r="G2350" t="s">
        <v>1122</v>
      </c>
      <c r="H2350" t="s">
        <v>1043</v>
      </c>
      <c r="I2350">
        <v>698314001</v>
      </c>
      <c r="J2350" t="s">
        <v>1190</v>
      </c>
      <c r="K2350">
        <v>142.58000000000001</v>
      </c>
      <c r="L2350">
        <v>1250.8499999999999</v>
      </c>
      <c r="M2350">
        <v>1000.68</v>
      </c>
      <c r="N2350">
        <v>389095005</v>
      </c>
      <c r="O2350" t="s">
        <v>1191</v>
      </c>
    </row>
    <row r="2351" spans="1:15">
      <c r="A2351" t="s">
        <v>3789</v>
      </c>
      <c r="B2351" s="2">
        <v>44998.066192129627</v>
      </c>
      <c r="C2351" s="2">
        <v>44998.101655092592</v>
      </c>
      <c r="D2351" t="s">
        <v>537</v>
      </c>
      <c r="E2351" t="s">
        <v>3742</v>
      </c>
      <c r="F2351" t="s">
        <v>3743</v>
      </c>
      <c r="G2351" t="s">
        <v>1122</v>
      </c>
      <c r="H2351" t="s">
        <v>1031</v>
      </c>
      <c r="I2351">
        <v>371883000</v>
      </c>
      <c r="J2351" t="s">
        <v>3614</v>
      </c>
      <c r="K2351">
        <v>142.58000000000001</v>
      </c>
      <c r="L2351">
        <v>11839.89</v>
      </c>
      <c r="M2351">
        <v>9285.51</v>
      </c>
      <c r="N2351">
        <v>609328004</v>
      </c>
      <c r="O2351" t="s">
        <v>1137</v>
      </c>
    </row>
    <row r="2352" spans="1:15">
      <c r="A2352" t="s">
        <v>3790</v>
      </c>
      <c r="B2352" s="2">
        <v>45025.101655092592</v>
      </c>
      <c r="C2352" s="2">
        <v>45025.120185185187</v>
      </c>
      <c r="D2352" t="s">
        <v>537</v>
      </c>
      <c r="E2352" t="s">
        <v>3742</v>
      </c>
      <c r="F2352" t="s">
        <v>3743</v>
      </c>
      <c r="G2352" t="s">
        <v>1122</v>
      </c>
      <c r="H2352" t="s">
        <v>1031</v>
      </c>
      <c r="I2352">
        <v>371883000</v>
      </c>
      <c r="J2352" t="s">
        <v>3614</v>
      </c>
      <c r="K2352">
        <v>142.58000000000001</v>
      </c>
      <c r="L2352">
        <v>5263.67</v>
      </c>
      <c r="M2352">
        <v>4210.93</v>
      </c>
      <c r="N2352">
        <v>609328004</v>
      </c>
      <c r="O2352" t="s">
        <v>1137</v>
      </c>
    </row>
    <row r="2353" spans="1:15">
      <c r="A2353" t="s">
        <v>3791</v>
      </c>
      <c r="B2353" s="2">
        <v>45032.684363425928</v>
      </c>
      <c r="C2353" s="2">
        <v>45032.694780092592</v>
      </c>
      <c r="D2353" t="s">
        <v>537</v>
      </c>
      <c r="E2353" t="s">
        <v>3748</v>
      </c>
      <c r="F2353" t="s">
        <v>3749</v>
      </c>
      <c r="G2353" t="s">
        <v>1122</v>
      </c>
      <c r="H2353" t="s">
        <v>1020</v>
      </c>
      <c r="I2353">
        <v>410620009</v>
      </c>
      <c r="J2353" t="s">
        <v>1054</v>
      </c>
      <c r="K2353">
        <v>136.80000000000001</v>
      </c>
      <c r="L2353">
        <v>1157.2</v>
      </c>
      <c r="M2353">
        <v>925.76</v>
      </c>
      <c r="O2353" t="s">
        <v>34</v>
      </c>
    </row>
    <row r="2354" spans="1:15">
      <c r="A2354" t="s">
        <v>3792</v>
      </c>
      <c r="B2354" s="2">
        <v>45050.120185185187</v>
      </c>
      <c r="C2354" s="2">
        <v>45050.154328703706</v>
      </c>
      <c r="D2354" t="s">
        <v>537</v>
      </c>
      <c r="E2354" t="s">
        <v>3742</v>
      </c>
      <c r="F2354" t="s">
        <v>3743</v>
      </c>
      <c r="G2354" t="s">
        <v>1122</v>
      </c>
      <c r="H2354" t="s">
        <v>1031</v>
      </c>
      <c r="I2354">
        <v>371883000</v>
      </c>
      <c r="J2354" t="s">
        <v>3614</v>
      </c>
      <c r="K2354">
        <v>142.58000000000001</v>
      </c>
      <c r="L2354">
        <v>5263.67</v>
      </c>
      <c r="M2354">
        <v>4210.93</v>
      </c>
      <c r="N2354">
        <v>609328004</v>
      </c>
      <c r="O2354" t="s">
        <v>1137</v>
      </c>
    </row>
    <row r="2355" spans="1:15">
      <c r="A2355" t="s">
        <v>3793</v>
      </c>
      <c r="B2355" s="2">
        <v>45076.154328703706</v>
      </c>
      <c r="C2355" s="2">
        <v>45076.175659722219</v>
      </c>
      <c r="D2355" t="s">
        <v>537</v>
      </c>
      <c r="E2355" t="s">
        <v>3742</v>
      </c>
      <c r="F2355" t="s">
        <v>3743</v>
      </c>
      <c r="G2355" t="s">
        <v>1122</v>
      </c>
      <c r="H2355" t="s">
        <v>1031</v>
      </c>
      <c r="I2355">
        <v>371883000</v>
      </c>
      <c r="J2355" t="s">
        <v>3614</v>
      </c>
      <c r="K2355">
        <v>142.58000000000001</v>
      </c>
      <c r="L2355">
        <v>5263.67</v>
      </c>
      <c r="M2355">
        <v>4210.93</v>
      </c>
      <c r="N2355">
        <v>609328004</v>
      </c>
      <c r="O2355" t="s">
        <v>1137</v>
      </c>
    </row>
    <row r="2356" spans="1:15">
      <c r="A2356" t="s">
        <v>3794</v>
      </c>
      <c r="B2356" s="2">
        <v>45095.684363425928</v>
      </c>
      <c r="C2356" s="2">
        <v>45095.694780092592</v>
      </c>
      <c r="D2356" t="s">
        <v>537</v>
      </c>
      <c r="E2356" t="s">
        <v>3742</v>
      </c>
      <c r="F2356" t="s">
        <v>3743</v>
      </c>
      <c r="G2356" t="s">
        <v>1122</v>
      </c>
      <c r="H2356" t="s">
        <v>1043</v>
      </c>
      <c r="I2356">
        <v>308335008</v>
      </c>
      <c r="J2356" t="s">
        <v>1194</v>
      </c>
      <c r="K2356">
        <v>142.58000000000001</v>
      </c>
      <c r="L2356">
        <v>2636.75</v>
      </c>
      <c r="M2356">
        <v>2109.4</v>
      </c>
      <c r="N2356">
        <v>389095005</v>
      </c>
      <c r="O2356" t="s">
        <v>1191</v>
      </c>
    </row>
    <row r="2357" spans="1:15">
      <c r="A2357" t="s">
        <v>3795</v>
      </c>
      <c r="B2357" s="2">
        <v>45103.175659722219</v>
      </c>
      <c r="C2357" s="2">
        <v>45103.202372685184</v>
      </c>
      <c r="D2357" t="s">
        <v>537</v>
      </c>
      <c r="E2357" t="s">
        <v>3742</v>
      </c>
      <c r="F2357" t="s">
        <v>3743</v>
      </c>
      <c r="G2357" t="s">
        <v>1122</v>
      </c>
      <c r="H2357" t="s">
        <v>1031</v>
      </c>
      <c r="I2357">
        <v>371883000</v>
      </c>
      <c r="J2357" t="s">
        <v>3614</v>
      </c>
      <c r="K2357">
        <v>142.58000000000001</v>
      </c>
      <c r="L2357">
        <v>9335.8700000000008</v>
      </c>
      <c r="M2357">
        <v>7468.69</v>
      </c>
      <c r="N2357">
        <v>609328004</v>
      </c>
      <c r="O2357" t="s">
        <v>1137</v>
      </c>
    </row>
    <row r="2358" spans="1:15">
      <c r="A2358" t="s">
        <v>3796</v>
      </c>
      <c r="B2358" s="2">
        <v>45127.202372685184</v>
      </c>
      <c r="C2358" s="2">
        <v>45127.217743055553</v>
      </c>
      <c r="D2358" t="s">
        <v>537</v>
      </c>
      <c r="E2358" t="s">
        <v>3742</v>
      </c>
      <c r="F2358" t="s">
        <v>3743</v>
      </c>
      <c r="G2358" t="s">
        <v>1122</v>
      </c>
      <c r="H2358" t="s">
        <v>1031</v>
      </c>
      <c r="I2358">
        <v>371883000</v>
      </c>
      <c r="J2358" t="s">
        <v>3614</v>
      </c>
      <c r="K2358">
        <v>142.58000000000001</v>
      </c>
      <c r="L2358">
        <v>6277.65</v>
      </c>
      <c r="M2358">
        <v>5022.12</v>
      </c>
      <c r="N2358">
        <v>609328004</v>
      </c>
      <c r="O2358" t="s">
        <v>1137</v>
      </c>
    </row>
    <row r="2359" spans="1:15">
      <c r="A2359" t="s">
        <v>3797</v>
      </c>
      <c r="B2359" s="2">
        <v>45148.217743055553</v>
      </c>
      <c r="C2359" s="2">
        <v>45148.252349537041</v>
      </c>
      <c r="D2359" t="s">
        <v>537</v>
      </c>
      <c r="E2359" t="s">
        <v>3742</v>
      </c>
      <c r="F2359" t="s">
        <v>3743</v>
      </c>
      <c r="G2359" t="s">
        <v>1122</v>
      </c>
      <c r="H2359" t="s">
        <v>1031</v>
      </c>
      <c r="I2359">
        <v>371883000</v>
      </c>
      <c r="J2359" t="s">
        <v>3614</v>
      </c>
      <c r="K2359">
        <v>142.58000000000001</v>
      </c>
      <c r="L2359">
        <v>12914.18</v>
      </c>
      <c r="M2359">
        <v>10331.34</v>
      </c>
      <c r="N2359">
        <v>609328004</v>
      </c>
      <c r="O2359" t="s">
        <v>1137</v>
      </c>
    </row>
    <row r="2360" spans="1:15">
      <c r="A2360" t="s">
        <v>3798</v>
      </c>
      <c r="B2360" s="2">
        <v>45171.252349537041</v>
      </c>
      <c r="C2360" s="2">
        <v>45171.266157407408</v>
      </c>
      <c r="D2360" t="s">
        <v>537</v>
      </c>
      <c r="E2360" t="s">
        <v>3742</v>
      </c>
      <c r="F2360" t="s">
        <v>3743</v>
      </c>
      <c r="G2360" t="s">
        <v>1122</v>
      </c>
      <c r="H2360" t="s">
        <v>1031</v>
      </c>
      <c r="I2360">
        <v>371883000</v>
      </c>
      <c r="J2360" t="s">
        <v>3614</v>
      </c>
      <c r="K2360">
        <v>142.58000000000001</v>
      </c>
      <c r="L2360">
        <v>5263.67</v>
      </c>
      <c r="M2360">
        <v>4210.93</v>
      </c>
      <c r="N2360">
        <v>609328004</v>
      </c>
      <c r="O2360" t="s">
        <v>1137</v>
      </c>
    </row>
    <row r="2361" spans="1:15">
      <c r="A2361" t="s">
        <v>3799</v>
      </c>
      <c r="B2361" s="2">
        <v>45186.684363425928</v>
      </c>
      <c r="C2361" s="2">
        <v>45186.697835648149</v>
      </c>
      <c r="D2361" t="s">
        <v>537</v>
      </c>
      <c r="E2361" t="s">
        <v>3742</v>
      </c>
      <c r="F2361" t="s">
        <v>3743</v>
      </c>
      <c r="G2361" t="s">
        <v>1122</v>
      </c>
      <c r="H2361" t="s">
        <v>1043</v>
      </c>
      <c r="I2361">
        <v>308335008</v>
      </c>
      <c r="J2361" t="s">
        <v>1194</v>
      </c>
      <c r="K2361">
        <v>142.58000000000001</v>
      </c>
      <c r="L2361">
        <v>1250.8499999999999</v>
      </c>
      <c r="M2361">
        <v>1000.68</v>
      </c>
      <c r="N2361">
        <v>389095005</v>
      </c>
      <c r="O2361" t="s">
        <v>1191</v>
      </c>
    </row>
    <row r="2362" spans="1:15">
      <c r="A2362" t="s">
        <v>3800</v>
      </c>
      <c r="B2362" s="2">
        <v>45194.266157407408</v>
      </c>
      <c r="C2362" s="2">
        <v>45194.294270833336</v>
      </c>
      <c r="D2362" t="s">
        <v>537</v>
      </c>
      <c r="E2362" t="s">
        <v>3742</v>
      </c>
      <c r="F2362" t="s">
        <v>3743</v>
      </c>
      <c r="G2362" t="s">
        <v>1122</v>
      </c>
      <c r="H2362" t="s">
        <v>1031</v>
      </c>
      <c r="I2362">
        <v>371883000</v>
      </c>
      <c r="J2362" t="s">
        <v>3614</v>
      </c>
      <c r="K2362">
        <v>142.58000000000001</v>
      </c>
      <c r="L2362">
        <v>5263.67</v>
      </c>
      <c r="M2362">
        <v>4210.93</v>
      </c>
      <c r="N2362">
        <v>609328004</v>
      </c>
      <c r="O2362" t="s">
        <v>1137</v>
      </c>
    </row>
    <row r="2363" spans="1:15">
      <c r="A2363" t="s">
        <v>3801</v>
      </c>
      <c r="B2363" s="2">
        <v>45219.294270833336</v>
      </c>
      <c r="C2363" s="2">
        <v>45219.330081018517</v>
      </c>
      <c r="D2363" t="s">
        <v>537</v>
      </c>
      <c r="E2363" t="s">
        <v>3742</v>
      </c>
      <c r="F2363" t="s">
        <v>3743</v>
      </c>
      <c r="G2363" t="s">
        <v>1122</v>
      </c>
      <c r="H2363" t="s">
        <v>1031</v>
      </c>
      <c r="I2363">
        <v>371883000</v>
      </c>
      <c r="J2363" t="s">
        <v>3614</v>
      </c>
      <c r="K2363">
        <v>142.58000000000001</v>
      </c>
      <c r="L2363">
        <v>19682.939999999999</v>
      </c>
      <c r="M2363">
        <v>15746.35</v>
      </c>
      <c r="N2363">
        <v>609328004</v>
      </c>
      <c r="O2363" t="s">
        <v>1137</v>
      </c>
    </row>
    <row r="2364" spans="1:15">
      <c r="A2364" t="s">
        <v>3802</v>
      </c>
      <c r="B2364" s="2">
        <v>45240.288414351853</v>
      </c>
      <c r="C2364" s="2">
        <v>45240.306956018518</v>
      </c>
      <c r="D2364" t="s">
        <v>537</v>
      </c>
      <c r="E2364" t="s">
        <v>3742</v>
      </c>
      <c r="F2364" t="s">
        <v>3743</v>
      </c>
      <c r="G2364" t="s">
        <v>1122</v>
      </c>
      <c r="H2364" t="s">
        <v>1031</v>
      </c>
      <c r="I2364">
        <v>371883000</v>
      </c>
      <c r="J2364" t="s">
        <v>3614</v>
      </c>
      <c r="K2364">
        <v>142.58000000000001</v>
      </c>
      <c r="L2364">
        <v>15492.23</v>
      </c>
      <c r="M2364">
        <v>12393.78</v>
      </c>
      <c r="N2364">
        <v>609328004</v>
      </c>
      <c r="O2364" t="s">
        <v>1137</v>
      </c>
    </row>
    <row r="2365" spans="1:15">
      <c r="A2365" t="s">
        <v>3803</v>
      </c>
      <c r="B2365" s="2">
        <v>45261.306956018518</v>
      </c>
      <c r="C2365" s="2">
        <v>45261.329074074078</v>
      </c>
      <c r="D2365" t="s">
        <v>537</v>
      </c>
      <c r="E2365" t="s">
        <v>3742</v>
      </c>
      <c r="F2365" t="s">
        <v>3743</v>
      </c>
      <c r="G2365" t="s">
        <v>1122</v>
      </c>
      <c r="H2365" t="s">
        <v>1031</v>
      </c>
      <c r="I2365">
        <v>371883000</v>
      </c>
      <c r="J2365" t="s">
        <v>3614</v>
      </c>
      <c r="K2365">
        <v>142.58000000000001</v>
      </c>
      <c r="L2365">
        <v>20626.96</v>
      </c>
      <c r="M2365">
        <v>16501.560000000001</v>
      </c>
      <c r="N2365">
        <v>609328004</v>
      </c>
      <c r="O2365" t="s">
        <v>1137</v>
      </c>
    </row>
    <row r="2366" spans="1:15">
      <c r="A2366" t="s">
        <v>3804</v>
      </c>
      <c r="B2366" s="2">
        <v>45277.642696759256</v>
      </c>
      <c r="C2366" s="2">
        <v>45277.653252314813</v>
      </c>
      <c r="D2366" t="s">
        <v>537</v>
      </c>
      <c r="E2366" t="s">
        <v>3742</v>
      </c>
      <c r="F2366" t="s">
        <v>3743</v>
      </c>
      <c r="G2366" t="s">
        <v>1122</v>
      </c>
      <c r="H2366" t="s">
        <v>1043</v>
      </c>
      <c r="I2366">
        <v>308335008</v>
      </c>
      <c r="J2366" t="s">
        <v>1194</v>
      </c>
      <c r="K2366">
        <v>142.58000000000001</v>
      </c>
      <c r="L2366">
        <v>1250.8499999999999</v>
      </c>
      <c r="M2366">
        <v>1000.68</v>
      </c>
      <c r="N2366">
        <v>389095005</v>
      </c>
      <c r="O2366" t="s">
        <v>1191</v>
      </c>
    </row>
    <row r="2367" spans="1:15">
      <c r="A2367" t="s">
        <v>3805</v>
      </c>
      <c r="B2367" s="2">
        <v>45285.329074074078</v>
      </c>
      <c r="C2367" s="2">
        <v>45285.344340277778</v>
      </c>
      <c r="D2367" t="s">
        <v>537</v>
      </c>
      <c r="E2367" t="s">
        <v>3742</v>
      </c>
      <c r="F2367" t="s">
        <v>3743</v>
      </c>
      <c r="G2367" t="s">
        <v>1122</v>
      </c>
      <c r="H2367" t="s">
        <v>1031</v>
      </c>
      <c r="I2367">
        <v>371883000</v>
      </c>
      <c r="J2367" t="s">
        <v>3614</v>
      </c>
      <c r="K2367">
        <v>142.58000000000001</v>
      </c>
      <c r="L2367">
        <v>8790.2800000000007</v>
      </c>
      <c r="M2367">
        <v>7032.22</v>
      </c>
      <c r="N2367">
        <v>609328004</v>
      </c>
      <c r="O2367" t="s">
        <v>1137</v>
      </c>
    </row>
    <row r="2368" spans="1:15">
      <c r="A2368" t="s">
        <v>3806</v>
      </c>
      <c r="B2368" s="2">
        <v>45309.344340277778</v>
      </c>
      <c r="C2368" s="2">
        <v>45309.36619212963</v>
      </c>
      <c r="D2368" t="s">
        <v>537</v>
      </c>
      <c r="E2368" t="s">
        <v>3742</v>
      </c>
      <c r="F2368" t="s">
        <v>3743</v>
      </c>
      <c r="G2368" t="s">
        <v>1122</v>
      </c>
      <c r="H2368" t="s">
        <v>1031</v>
      </c>
      <c r="I2368">
        <v>371883000</v>
      </c>
      <c r="J2368" t="s">
        <v>3614</v>
      </c>
      <c r="K2368">
        <v>142.58000000000001</v>
      </c>
      <c r="L2368">
        <v>5263.67</v>
      </c>
      <c r="M2368">
        <v>4210.93</v>
      </c>
      <c r="N2368">
        <v>609328004</v>
      </c>
      <c r="O2368" t="s">
        <v>1137</v>
      </c>
    </row>
    <row r="2369" spans="1:15">
      <c r="A2369" t="s">
        <v>3807</v>
      </c>
      <c r="B2369" s="2">
        <v>45332.36619212963</v>
      </c>
      <c r="C2369" s="2">
        <v>45332.390625</v>
      </c>
      <c r="D2369" t="s">
        <v>537</v>
      </c>
      <c r="E2369" t="s">
        <v>3742</v>
      </c>
      <c r="F2369" t="s">
        <v>3743</v>
      </c>
      <c r="G2369" t="s">
        <v>1122</v>
      </c>
      <c r="H2369" t="s">
        <v>1031</v>
      </c>
      <c r="I2369">
        <v>371883000</v>
      </c>
      <c r="J2369" t="s">
        <v>3614</v>
      </c>
      <c r="K2369">
        <v>142.58000000000001</v>
      </c>
      <c r="L2369">
        <v>20626.96</v>
      </c>
      <c r="M2369">
        <v>16501.560000000001</v>
      </c>
      <c r="N2369">
        <v>609328004</v>
      </c>
      <c r="O2369" t="s">
        <v>1137</v>
      </c>
    </row>
    <row r="2370" spans="1:15">
      <c r="A2370" t="s">
        <v>3808</v>
      </c>
      <c r="B2370" s="2">
        <v>45353.651412037034</v>
      </c>
      <c r="C2370" s="2">
        <v>45353.661828703705</v>
      </c>
      <c r="D2370" t="s">
        <v>537</v>
      </c>
      <c r="E2370" t="s">
        <v>3742</v>
      </c>
      <c r="F2370" t="s">
        <v>3743</v>
      </c>
      <c r="G2370" t="s">
        <v>1122</v>
      </c>
      <c r="H2370" t="s">
        <v>1043</v>
      </c>
      <c r="I2370">
        <v>698314001</v>
      </c>
      <c r="J2370" t="s">
        <v>1190</v>
      </c>
      <c r="K2370">
        <v>142.58000000000001</v>
      </c>
      <c r="L2370">
        <v>142.58000000000001</v>
      </c>
      <c r="M2370">
        <v>114.06</v>
      </c>
      <c r="N2370">
        <v>389095005</v>
      </c>
      <c r="O2370" t="s">
        <v>1191</v>
      </c>
    </row>
    <row r="2371" spans="1:15">
      <c r="A2371" t="s">
        <v>3809</v>
      </c>
      <c r="B2371" s="2">
        <v>45357.390625</v>
      </c>
      <c r="C2371" s="2">
        <v>45357.425717592596</v>
      </c>
      <c r="D2371" t="s">
        <v>537</v>
      </c>
      <c r="E2371" t="s">
        <v>3742</v>
      </c>
      <c r="F2371" t="s">
        <v>3743</v>
      </c>
      <c r="G2371" t="s">
        <v>1122</v>
      </c>
      <c r="H2371" t="s">
        <v>1031</v>
      </c>
      <c r="I2371">
        <v>371883000</v>
      </c>
      <c r="J2371" t="s">
        <v>3614</v>
      </c>
      <c r="K2371">
        <v>142.58000000000001</v>
      </c>
      <c r="L2371">
        <v>5263.67</v>
      </c>
      <c r="M2371">
        <v>4210.93</v>
      </c>
      <c r="N2371">
        <v>609328004</v>
      </c>
      <c r="O2371" t="s">
        <v>1137</v>
      </c>
    </row>
    <row r="2372" spans="1:15">
      <c r="A2372" t="s">
        <v>3810</v>
      </c>
      <c r="B2372" s="2">
        <v>45368.684363425928</v>
      </c>
      <c r="C2372" s="2">
        <v>45368.694780092592</v>
      </c>
      <c r="D2372" t="s">
        <v>537</v>
      </c>
      <c r="E2372" t="s">
        <v>3742</v>
      </c>
      <c r="F2372" t="s">
        <v>3743</v>
      </c>
      <c r="G2372" t="s">
        <v>1122</v>
      </c>
      <c r="H2372" t="s">
        <v>1043</v>
      </c>
      <c r="I2372">
        <v>308335008</v>
      </c>
      <c r="J2372" t="s">
        <v>1194</v>
      </c>
      <c r="K2372">
        <v>142.58000000000001</v>
      </c>
      <c r="L2372">
        <v>2304.71</v>
      </c>
      <c r="M2372">
        <v>1657.37</v>
      </c>
      <c r="N2372">
        <v>389095005</v>
      </c>
      <c r="O2372" t="s">
        <v>1191</v>
      </c>
    </row>
    <row r="2373" spans="1:15">
      <c r="A2373" t="s">
        <v>3811</v>
      </c>
      <c r="B2373" s="2">
        <v>45383.46738425926</v>
      </c>
      <c r="C2373" s="2">
        <v>45383.477800925924</v>
      </c>
      <c r="D2373" t="s">
        <v>537</v>
      </c>
      <c r="E2373" t="s">
        <v>3742</v>
      </c>
      <c r="F2373" t="s">
        <v>3743</v>
      </c>
      <c r="G2373" t="s">
        <v>1122</v>
      </c>
      <c r="H2373" t="s">
        <v>1031</v>
      </c>
      <c r="I2373">
        <v>371883000</v>
      </c>
      <c r="J2373" t="s">
        <v>3614</v>
      </c>
      <c r="K2373">
        <v>142.58000000000001</v>
      </c>
      <c r="L2373">
        <v>5263.67</v>
      </c>
      <c r="M2373">
        <v>4210.93</v>
      </c>
      <c r="N2373">
        <v>609328004</v>
      </c>
      <c r="O2373" t="s">
        <v>1137</v>
      </c>
    </row>
    <row r="2374" spans="1:15">
      <c r="A2374" t="s">
        <v>3812</v>
      </c>
      <c r="B2374" s="2">
        <v>45403.684363425928</v>
      </c>
      <c r="C2374" s="2">
        <v>45403.694780092592</v>
      </c>
      <c r="D2374" t="s">
        <v>537</v>
      </c>
      <c r="E2374" t="s">
        <v>3748</v>
      </c>
      <c r="F2374" t="s">
        <v>3749</v>
      </c>
      <c r="G2374" t="s">
        <v>1122</v>
      </c>
      <c r="H2374" t="s">
        <v>1020</v>
      </c>
      <c r="I2374">
        <v>410620009</v>
      </c>
      <c r="J2374" t="s">
        <v>1054</v>
      </c>
      <c r="K2374">
        <v>136.80000000000001</v>
      </c>
      <c r="L2374">
        <v>1567</v>
      </c>
      <c r="M2374">
        <v>1253.5999999999999</v>
      </c>
      <c r="O2374" t="s">
        <v>34</v>
      </c>
    </row>
    <row r="2375" spans="1:15">
      <c r="A2375" t="s">
        <v>3813</v>
      </c>
      <c r="B2375" s="2">
        <v>45408.477800925924</v>
      </c>
      <c r="C2375" s="2">
        <v>45408.495763888888</v>
      </c>
      <c r="D2375" t="s">
        <v>537</v>
      </c>
      <c r="E2375" t="s">
        <v>3742</v>
      </c>
      <c r="F2375" t="s">
        <v>3743</v>
      </c>
      <c r="G2375" t="s">
        <v>1122</v>
      </c>
      <c r="H2375" t="s">
        <v>1031</v>
      </c>
      <c r="I2375">
        <v>371883000</v>
      </c>
      <c r="J2375" t="s">
        <v>3614</v>
      </c>
      <c r="K2375">
        <v>142.58000000000001</v>
      </c>
      <c r="L2375">
        <v>14700.22</v>
      </c>
      <c r="M2375">
        <v>11760.17</v>
      </c>
      <c r="N2375">
        <v>609328004</v>
      </c>
      <c r="O2375" t="s">
        <v>1137</v>
      </c>
    </row>
    <row r="2376" spans="1:15">
      <c r="A2376" t="s">
        <v>3814</v>
      </c>
      <c r="B2376" s="2">
        <v>45434.495763888888</v>
      </c>
      <c r="C2376" s="2">
        <v>45434.530752314815</v>
      </c>
      <c r="D2376" t="s">
        <v>537</v>
      </c>
      <c r="E2376" t="s">
        <v>3742</v>
      </c>
      <c r="F2376" t="s">
        <v>3743</v>
      </c>
      <c r="G2376" t="s">
        <v>1122</v>
      </c>
      <c r="H2376" t="s">
        <v>1031</v>
      </c>
      <c r="I2376">
        <v>371883000</v>
      </c>
      <c r="J2376" t="s">
        <v>3614</v>
      </c>
      <c r="K2376">
        <v>142.58000000000001</v>
      </c>
      <c r="L2376">
        <v>5263.67</v>
      </c>
      <c r="M2376">
        <v>4210.93</v>
      </c>
      <c r="N2376">
        <v>609328004</v>
      </c>
      <c r="O2376" t="s">
        <v>1137</v>
      </c>
    </row>
    <row r="2377" spans="1:15">
      <c r="A2377" t="s">
        <v>3815</v>
      </c>
      <c r="B2377" s="2">
        <v>45459.684363425928</v>
      </c>
      <c r="C2377" s="2">
        <v>45459.694780092592</v>
      </c>
      <c r="D2377" t="s">
        <v>537</v>
      </c>
      <c r="E2377" t="s">
        <v>3742</v>
      </c>
      <c r="F2377" t="s">
        <v>3743</v>
      </c>
      <c r="G2377" t="s">
        <v>1122</v>
      </c>
      <c r="H2377" t="s">
        <v>1043</v>
      </c>
      <c r="I2377">
        <v>308335008</v>
      </c>
      <c r="J2377" t="s">
        <v>1194</v>
      </c>
      <c r="K2377">
        <v>142.58000000000001</v>
      </c>
      <c r="L2377">
        <v>4575.68</v>
      </c>
      <c r="M2377">
        <v>3660.54</v>
      </c>
      <c r="N2377">
        <v>389095005</v>
      </c>
      <c r="O2377" t="s">
        <v>1191</v>
      </c>
    </row>
    <row r="2378" spans="1:15">
      <c r="A2378" t="s">
        <v>3816</v>
      </c>
      <c r="B2378" s="2">
        <v>45473.684363425928</v>
      </c>
      <c r="C2378" s="2">
        <v>45473.713599537034</v>
      </c>
      <c r="D2378" t="s">
        <v>537</v>
      </c>
      <c r="E2378" t="s">
        <v>3742</v>
      </c>
      <c r="F2378" t="s">
        <v>3743</v>
      </c>
      <c r="G2378" t="s">
        <v>1122</v>
      </c>
      <c r="H2378" t="s">
        <v>1031</v>
      </c>
      <c r="I2378">
        <v>371883000</v>
      </c>
      <c r="J2378" t="s">
        <v>3614</v>
      </c>
      <c r="K2378">
        <v>142.58000000000001</v>
      </c>
      <c r="L2378">
        <v>20626.96</v>
      </c>
      <c r="M2378">
        <v>16501.560000000001</v>
      </c>
      <c r="N2378">
        <v>609328004</v>
      </c>
      <c r="O2378" t="s">
        <v>1137</v>
      </c>
    </row>
    <row r="2379" spans="1:15">
      <c r="A2379" t="s">
        <v>3817</v>
      </c>
      <c r="B2379" s="2">
        <v>45500.713599537034</v>
      </c>
      <c r="C2379" s="2">
        <v>45500.749340277776</v>
      </c>
      <c r="D2379" t="s">
        <v>537</v>
      </c>
      <c r="E2379" t="s">
        <v>3742</v>
      </c>
      <c r="F2379" t="s">
        <v>3743</v>
      </c>
      <c r="G2379" t="s">
        <v>1122</v>
      </c>
      <c r="H2379" t="s">
        <v>1031</v>
      </c>
      <c r="I2379">
        <v>371883000</v>
      </c>
      <c r="J2379" t="s">
        <v>3614</v>
      </c>
      <c r="K2379">
        <v>142.58000000000001</v>
      </c>
      <c r="L2379">
        <v>5263.67</v>
      </c>
      <c r="M2379">
        <v>4210.93</v>
      </c>
      <c r="N2379">
        <v>609328004</v>
      </c>
      <c r="O2379" t="s">
        <v>1137</v>
      </c>
    </row>
    <row r="2380" spans="1:15">
      <c r="A2380" t="s">
        <v>3818</v>
      </c>
      <c r="B2380" s="2">
        <v>45522.749340277776</v>
      </c>
      <c r="C2380" s="2">
        <v>45522.785243055558</v>
      </c>
      <c r="D2380" t="s">
        <v>537</v>
      </c>
      <c r="E2380" t="s">
        <v>3742</v>
      </c>
      <c r="F2380" t="s">
        <v>3743</v>
      </c>
      <c r="G2380" t="s">
        <v>1122</v>
      </c>
      <c r="H2380" t="s">
        <v>1031</v>
      </c>
      <c r="I2380">
        <v>371883000</v>
      </c>
      <c r="J2380" t="s">
        <v>3614</v>
      </c>
      <c r="K2380">
        <v>142.58000000000001</v>
      </c>
      <c r="L2380">
        <v>8952.2800000000007</v>
      </c>
      <c r="M2380">
        <v>7161.82</v>
      </c>
      <c r="N2380">
        <v>609328004</v>
      </c>
      <c r="O2380" t="s">
        <v>1137</v>
      </c>
    </row>
    <row r="2381" spans="1:15">
      <c r="A2381" t="s">
        <v>3819</v>
      </c>
      <c r="B2381" s="2">
        <v>45548.785243055558</v>
      </c>
      <c r="C2381" s="2">
        <v>45548.822453703702</v>
      </c>
      <c r="D2381" t="s">
        <v>537</v>
      </c>
      <c r="E2381" t="s">
        <v>3742</v>
      </c>
      <c r="F2381" t="s">
        <v>3743</v>
      </c>
      <c r="G2381" t="s">
        <v>1122</v>
      </c>
      <c r="H2381" t="s">
        <v>1031</v>
      </c>
      <c r="I2381">
        <v>371883000</v>
      </c>
      <c r="J2381" t="s">
        <v>3614</v>
      </c>
      <c r="K2381">
        <v>142.58000000000001</v>
      </c>
      <c r="L2381">
        <v>5263.67</v>
      </c>
      <c r="M2381">
        <v>4210.93</v>
      </c>
      <c r="N2381">
        <v>609328004</v>
      </c>
      <c r="O2381" t="s">
        <v>1137</v>
      </c>
    </row>
    <row r="2382" spans="1:15">
      <c r="A2382" t="s">
        <v>3820</v>
      </c>
      <c r="B2382" s="2">
        <v>45550.684363425928</v>
      </c>
      <c r="C2382" s="2">
        <v>45550.695706018516</v>
      </c>
      <c r="D2382" t="s">
        <v>537</v>
      </c>
      <c r="E2382" t="s">
        <v>3742</v>
      </c>
      <c r="F2382" t="s">
        <v>3743</v>
      </c>
      <c r="G2382" t="s">
        <v>1122</v>
      </c>
      <c r="H2382" t="s">
        <v>1043</v>
      </c>
      <c r="I2382">
        <v>308335008</v>
      </c>
      <c r="J2382" t="s">
        <v>1194</v>
      </c>
      <c r="K2382">
        <v>142.58000000000001</v>
      </c>
      <c r="L2382">
        <v>2778.22</v>
      </c>
      <c r="M2382">
        <v>2222.5700000000002</v>
      </c>
      <c r="N2382">
        <v>389095005</v>
      </c>
      <c r="O2382" t="s">
        <v>1191</v>
      </c>
    </row>
    <row r="2383" spans="1:15">
      <c r="A2383" t="s">
        <v>3821</v>
      </c>
      <c r="B2383" s="2">
        <v>45572.822453703702</v>
      </c>
      <c r="C2383" s="2">
        <v>45572.84107638889</v>
      </c>
      <c r="D2383" t="s">
        <v>537</v>
      </c>
      <c r="E2383" t="s">
        <v>3742</v>
      </c>
      <c r="F2383" t="s">
        <v>3743</v>
      </c>
      <c r="G2383" t="s">
        <v>1122</v>
      </c>
      <c r="H2383" t="s">
        <v>1031</v>
      </c>
      <c r="I2383">
        <v>371883000</v>
      </c>
      <c r="J2383" t="s">
        <v>3614</v>
      </c>
      <c r="K2383">
        <v>142.58000000000001</v>
      </c>
      <c r="L2383">
        <v>5263.67</v>
      </c>
      <c r="M2383">
        <v>4210.93</v>
      </c>
      <c r="N2383">
        <v>609328004</v>
      </c>
      <c r="O2383" t="s">
        <v>1137</v>
      </c>
    </row>
    <row r="2384" spans="1:15">
      <c r="A2384" t="s">
        <v>3822</v>
      </c>
      <c r="B2384" s="2">
        <v>45597.84107638889</v>
      </c>
      <c r="C2384" s="2">
        <v>45597.864976851852</v>
      </c>
      <c r="D2384" t="s">
        <v>537</v>
      </c>
      <c r="E2384" t="s">
        <v>3742</v>
      </c>
      <c r="F2384" t="s">
        <v>3743</v>
      </c>
      <c r="G2384" t="s">
        <v>1122</v>
      </c>
      <c r="H2384" t="s">
        <v>1031</v>
      </c>
      <c r="I2384">
        <v>371883000</v>
      </c>
      <c r="J2384" t="s">
        <v>3614</v>
      </c>
      <c r="K2384">
        <v>142.58000000000001</v>
      </c>
      <c r="L2384">
        <v>5263.67</v>
      </c>
      <c r="M2384">
        <v>4210.93</v>
      </c>
      <c r="N2384">
        <v>609328004</v>
      </c>
      <c r="O2384" t="s">
        <v>1137</v>
      </c>
    </row>
    <row r="2385" spans="1:15">
      <c r="A2385" t="s">
        <v>3823</v>
      </c>
      <c r="B2385" s="2">
        <v>45618.823310185187</v>
      </c>
      <c r="C2385" s="2">
        <v>45618.858854166669</v>
      </c>
      <c r="D2385" t="s">
        <v>537</v>
      </c>
      <c r="E2385" t="s">
        <v>3742</v>
      </c>
      <c r="F2385" t="s">
        <v>3743</v>
      </c>
      <c r="G2385" t="s">
        <v>1122</v>
      </c>
      <c r="H2385" t="s">
        <v>1031</v>
      </c>
      <c r="I2385">
        <v>371883000</v>
      </c>
      <c r="J2385" t="s">
        <v>3614</v>
      </c>
      <c r="K2385">
        <v>142.58000000000001</v>
      </c>
      <c r="L2385">
        <v>7817.26</v>
      </c>
      <c r="M2385">
        <v>6253.8</v>
      </c>
      <c r="N2385">
        <v>609328004</v>
      </c>
      <c r="O2385" t="s">
        <v>1137</v>
      </c>
    </row>
    <row r="2386" spans="1:15">
      <c r="A2386" t="s">
        <v>3824</v>
      </c>
      <c r="B2386" s="2">
        <v>45641.642696759256</v>
      </c>
      <c r="C2386" s="2">
        <v>45641.653113425928</v>
      </c>
      <c r="D2386" t="s">
        <v>537</v>
      </c>
      <c r="E2386" t="s">
        <v>3742</v>
      </c>
      <c r="F2386" t="s">
        <v>3743</v>
      </c>
      <c r="G2386" t="s">
        <v>1122</v>
      </c>
      <c r="H2386" t="s">
        <v>1043</v>
      </c>
      <c r="I2386">
        <v>308335008</v>
      </c>
      <c r="J2386" t="s">
        <v>1194</v>
      </c>
      <c r="K2386">
        <v>142.58000000000001</v>
      </c>
      <c r="L2386">
        <v>1250.8499999999999</v>
      </c>
      <c r="M2386">
        <v>1000.68</v>
      </c>
      <c r="N2386">
        <v>389095005</v>
      </c>
      <c r="O2386" t="s">
        <v>1191</v>
      </c>
    </row>
    <row r="2387" spans="1:15">
      <c r="A2387" t="s">
        <v>3825</v>
      </c>
      <c r="B2387" s="2">
        <v>45655.642696759256</v>
      </c>
      <c r="C2387" s="2">
        <v>45655.676782407405</v>
      </c>
      <c r="D2387" t="s">
        <v>537</v>
      </c>
      <c r="E2387" t="s">
        <v>3742</v>
      </c>
      <c r="F2387" t="s">
        <v>3743</v>
      </c>
      <c r="G2387" t="s">
        <v>1122</v>
      </c>
      <c r="H2387" t="s">
        <v>1031</v>
      </c>
      <c r="I2387">
        <v>371883000</v>
      </c>
      <c r="J2387" t="s">
        <v>3614</v>
      </c>
      <c r="K2387">
        <v>142.58000000000001</v>
      </c>
      <c r="L2387">
        <v>11605.94</v>
      </c>
      <c r="M2387">
        <v>9284.75</v>
      </c>
      <c r="N2387">
        <v>609328004</v>
      </c>
      <c r="O2387" t="s">
        <v>1137</v>
      </c>
    </row>
    <row r="2388" spans="1:15">
      <c r="A2388" t="s">
        <v>3826</v>
      </c>
      <c r="B2388" s="2">
        <v>45682.676782407405</v>
      </c>
      <c r="C2388" s="2">
        <v>45682.70416666667</v>
      </c>
      <c r="D2388" t="s">
        <v>537</v>
      </c>
      <c r="E2388" t="s">
        <v>3742</v>
      </c>
      <c r="F2388" t="s">
        <v>3743</v>
      </c>
      <c r="G2388" t="s">
        <v>1122</v>
      </c>
      <c r="H2388" t="s">
        <v>1031</v>
      </c>
      <c r="I2388">
        <v>371883000</v>
      </c>
      <c r="J2388" t="s">
        <v>3614</v>
      </c>
      <c r="K2388">
        <v>142.58000000000001</v>
      </c>
      <c r="L2388">
        <v>8749.42</v>
      </c>
      <c r="M2388">
        <v>6999.53</v>
      </c>
      <c r="N2388">
        <v>609328004</v>
      </c>
      <c r="O2388" t="s">
        <v>1137</v>
      </c>
    </row>
    <row r="2389" spans="1:15">
      <c r="A2389" t="s">
        <v>3827</v>
      </c>
      <c r="B2389" s="2">
        <v>45706.70416666667</v>
      </c>
      <c r="C2389" s="2">
        <v>45706.735960648148</v>
      </c>
      <c r="D2389" t="s">
        <v>537</v>
      </c>
      <c r="E2389" t="s">
        <v>3742</v>
      </c>
      <c r="F2389" t="s">
        <v>3743</v>
      </c>
      <c r="G2389" t="s">
        <v>1122</v>
      </c>
      <c r="H2389" t="s">
        <v>1031</v>
      </c>
      <c r="I2389">
        <v>371883000</v>
      </c>
      <c r="J2389" t="s">
        <v>3614</v>
      </c>
      <c r="K2389">
        <v>142.58000000000001</v>
      </c>
      <c r="L2389">
        <v>6574.83</v>
      </c>
      <c r="M2389">
        <v>5259.86</v>
      </c>
      <c r="N2389">
        <v>609328004</v>
      </c>
      <c r="O2389" t="s">
        <v>1137</v>
      </c>
    </row>
    <row r="2390" spans="1:15">
      <c r="A2390" t="s">
        <v>3828</v>
      </c>
      <c r="B2390" s="2">
        <v>45731.777627314812</v>
      </c>
      <c r="C2390" s="2">
        <v>45731.789502314816</v>
      </c>
      <c r="D2390" t="s">
        <v>537</v>
      </c>
      <c r="E2390" t="s">
        <v>3742</v>
      </c>
      <c r="F2390" t="s">
        <v>3743</v>
      </c>
      <c r="G2390" t="s">
        <v>1122</v>
      </c>
      <c r="H2390" t="s">
        <v>1031</v>
      </c>
      <c r="I2390">
        <v>371883000</v>
      </c>
      <c r="J2390" t="s">
        <v>3614</v>
      </c>
      <c r="K2390">
        <v>142.58000000000001</v>
      </c>
      <c r="L2390">
        <v>15169.23</v>
      </c>
      <c r="M2390">
        <v>11948.98</v>
      </c>
      <c r="N2390">
        <v>609328004</v>
      </c>
      <c r="O2390" t="s">
        <v>1137</v>
      </c>
    </row>
    <row r="2391" spans="1:15">
      <c r="A2391" t="s">
        <v>3829</v>
      </c>
      <c r="B2391" s="2">
        <v>45732.684363425928</v>
      </c>
      <c r="C2391" s="2">
        <v>45732.694780092592</v>
      </c>
      <c r="D2391" t="s">
        <v>537</v>
      </c>
      <c r="E2391" t="s">
        <v>3742</v>
      </c>
      <c r="F2391" t="s">
        <v>3743</v>
      </c>
      <c r="G2391" t="s">
        <v>1122</v>
      </c>
      <c r="H2391" t="s">
        <v>1043</v>
      </c>
      <c r="I2391">
        <v>308335008</v>
      </c>
      <c r="J2391" t="s">
        <v>1194</v>
      </c>
      <c r="K2391">
        <v>142.58000000000001</v>
      </c>
      <c r="L2391">
        <v>1250.8499999999999</v>
      </c>
      <c r="M2391">
        <v>1000.68</v>
      </c>
      <c r="N2391">
        <v>389095005</v>
      </c>
      <c r="O2391" t="s">
        <v>1191</v>
      </c>
    </row>
    <row r="2392" spans="1:15">
      <c r="A2392" t="s">
        <v>3830</v>
      </c>
      <c r="B2392" s="2">
        <v>45757.789502314816</v>
      </c>
      <c r="C2392" s="2">
        <v>45757.815057870372</v>
      </c>
      <c r="D2392" t="s">
        <v>537</v>
      </c>
      <c r="E2392" t="s">
        <v>3742</v>
      </c>
      <c r="F2392" t="s">
        <v>3743</v>
      </c>
      <c r="G2392" t="s">
        <v>1122</v>
      </c>
      <c r="H2392" t="s">
        <v>1031</v>
      </c>
      <c r="I2392">
        <v>371883000</v>
      </c>
      <c r="J2392" t="s">
        <v>3614</v>
      </c>
      <c r="K2392">
        <v>142.58000000000001</v>
      </c>
      <c r="L2392">
        <v>5263.67</v>
      </c>
      <c r="M2392">
        <v>4210.93</v>
      </c>
      <c r="N2392">
        <v>609328004</v>
      </c>
      <c r="O2392" t="s">
        <v>1137</v>
      </c>
    </row>
    <row r="2393" spans="1:15">
      <c r="A2393" t="s">
        <v>3831</v>
      </c>
      <c r="B2393" s="2">
        <v>45774.684363425928</v>
      </c>
      <c r="C2393" s="2">
        <v>45774.694780092592</v>
      </c>
      <c r="D2393" t="s">
        <v>537</v>
      </c>
      <c r="E2393" t="s">
        <v>3748</v>
      </c>
      <c r="F2393" t="s">
        <v>3749</v>
      </c>
      <c r="G2393" t="s">
        <v>1122</v>
      </c>
      <c r="H2393" t="s">
        <v>1020</v>
      </c>
      <c r="I2393">
        <v>410620009</v>
      </c>
      <c r="J2393" t="s">
        <v>1054</v>
      </c>
      <c r="K2393">
        <v>136.80000000000001</v>
      </c>
      <c r="L2393">
        <v>1130.48</v>
      </c>
      <c r="M2393">
        <v>904.38</v>
      </c>
      <c r="O2393" t="s">
        <v>34</v>
      </c>
    </row>
    <row r="2394" spans="1:15">
      <c r="A2394" t="s">
        <v>3832</v>
      </c>
      <c r="B2394" s="2">
        <v>45780.815057870372</v>
      </c>
      <c r="C2394" s="2">
        <v>45780.831516203703</v>
      </c>
      <c r="D2394" t="s">
        <v>537</v>
      </c>
      <c r="E2394" t="s">
        <v>3742</v>
      </c>
      <c r="F2394" t="s">
        <v>3743</v>
      </c>
      <c r="G2394" t="s">
        <v>1122</v>
      </c>
      <c r="H2394" t="s">
        <v>1031</v>
      </c>
      <c r="I2394">
        <v>371883000</v>
      </c>
      <c r="J2394" t="s">
        <v>3614</v>
      </c>
      <c r="K2394">
        <v>142.58000000000001</v>
      </c>
      <c r="L2394">
        <v>20626.96</v>
      </c>
      <c r="M2394">
        <v>16501.560000000001</v>
      </c>
      <c r="N2394">
        <v>609328004</v>
      </c>
      <c r="O2394" t="s">
        <v>1137</v>
      </c>
    </row>
    <row r="2395" spans="1:15">
      <c r="A2395" t="s">
        <v>3833</v>
      </c>
      <c r="B2395" s="2">
        <v>45806.831516203703</v>
      </c>
      <c r="C2395" s="2">
        <v>45806.84574074074</v>
      </c>
      <c r="D2395" t="s">
        <v>537</v>
      </c>
      <c r="E2395" t="s">
        <v>3742</v>
      </c>
      <c r="F2395" t="s">
        <v>3743</v>
      </c>
      <c r="G2395" t="s">
        <v>1122</v>
      </c>
      <c r="H2395" t="s">
        <v>1031</v>
      </c>
      <c r="I2395">
        <v>371883000</v>
      </c>
      <c r="J2395" t="s">
        <v>3614</v>
      </c>
      <c r="K2395">
        <v>142.58000000000001</v>
      </c>
      <c r="L2395">
        <v>20626.96</v>
      </c>
      <c r="M2395">
        <v>16501.560000000001</v>
      </c>
      <c r="N2395">
        <v>609328004</v>
      </c>
      <c r="O2395" t="s">
        <v>1137</v>
      </c>
    </row>
    <row r="2396" spans="1:15">
      <c r="A2396" t="s">
        <v>3834</v>
      </c>
      <c r="B2396" s="2">
        <v>45823.684363425928</v>
      </c>
      <c r="C2396" s="2">
        <v>45823.694780092592</v>
      </c>
      <c r="D2396" t="s">
        <v>537</v>
      </c>
      <c r="E2396" t="s">
        <v>3742</v>
      </c>
      <c r="F2396" t="s">
        <v>3743</v>
      </c>
      <c r="G2396" t="s">
        <v>1122</v>
      </c>
      <c r="H2396" t="s">
        <v>1043</v>
      </c>
      <c r="I2396">
        <v>308335008</v>
      </c>
      <c r="J2396" t="s">
        <v>1194</v>
      </c>
      <c r="K2396">
        <v>142.58000000000001</v>
      </c>
      <c r="L2396">
        <v>1250.8499999999999</v>
      </c>
      <c r="M2396">
        <v>1000.68</v>
      </c>
      <c r="N2396">
        <v>389095005</v>
      </c>
      <c r="O2396" t="s">
        <v>1191</v>
      </c>
    </row>
    <row r="2397" spans="1:15">
      <c r="A2397" t="s">
        <v>3835</v>
      </c>
      <c r="B2397" s="2">
        <v>45831.84574074074</v>
      </c>
      <c r="C2397" s="2">
        <v>45831.877696759257</v>
      </c>
      <c r="D2397" t="s">
        <v>537</v>
      </c>
      <c r="E2397" t="s">
        <v>3742</v>
      </c>
      <c r="F2397" t="s">
        <v>3743</v>
      </c>
      <c r="G2397" t="s">
        <v>1122</v>
      </c>
      <c r="H2397" t="s">
        <v>1031</v>
      </c>
      <c r="I2397">
        <v>371883000</v>
      </c>
      <c r="J2397" t="s">
        <v>3614</v>
      </c>
      <c r="K2397">
        <v>142.58000000000001</v>
      </c>
      <c r="L2397">
        <v>10712.31</v>
      </c>
      <c r="M2397">
        <v>8569.84</v>
      </c>
      <c r="N2397">
        <v>609328004</v>
      </c>
      <c r="O2397" t="s">
        <v>1137</v>
      </c>
    </row>
    <row r="2398" spans="1:15">
      <c r="A2398" t="s">
        <v>3836</v>
      </c>
      <c r="B2398" s="2">
        <v>45858.877696759257</v>
      </c>
      <c r="C2398" s="2">
        <v>45858.916875000003</v>
      </c>
      <c r="D2398" t="s">
        <v>537</v>
      </c>
      <c r="E2398" t="s">
        <v>3742</v>
      </c>
      <c r="F2398" t="s">
        <v>3743</v>
      </c>
      <c r="G2398" t="s">
        <v>1122</v>
      </c>
      <c r="H2398" t="s">
        <v>1031</v>
      </c>
      <c r="I2398">
        <v>371883000</v>
      </c>
      <c r="J2398" t="s">
        <v>3614</v>
      </c>
      <c r="K2398">
        <v>142.58000000000001</v>
      </c>
      <c r="L2398">
        <v>5464.81</v>
      </c>
      <c r="M2398">
        <v>4371.84</v>
      </c>
      <c r="N2398">
        <v>609328004</v>
      </c>
      <c r="O2398" t="s">
        <v>1137</v>
      </c>
    </row>
    <row r="2399" spans="1:15">
      <c r="A2399" t="s">
        <v>3837</v>
      </c>
      <c r="B2399" s="2">
        <v>45882.916875000003</v>
      </c>
      <c r="C2399" s="2">
        <v>45882.955185185187</v>
      </c>
      <c r="D2399" t="s">
        <v>537</v>
      </c>
      <c r="E2399" t="s">
        <v>3742</v>
      </c>
      <c r="F2399" t="s">
        <v>3743</v>
      </c>
      <c r="G2399" t="s">
        <v>1122</v>
      </c>
      <c r="H2399" t="s">
        <v>1031</v>
      </c>
      <c r="I2399">
        <v>371883000</v>
      </c>
      <c r="J2399" t="s">
        <v>3614</v>
      </c>
      <c r="K2399">
        <v>142.58000000000001</v>
      </c>
      <c r="L2399">
        <v>5263.67</v>
      </c>
      <c r="M2399">
        <v>4210.93</v>
      </c>
      <c r="N2399">
        <v>609328004</v>
      </c>
      <c r="O2399" t="s">
        <v>1137</v>
      </c>
    </row>
    <row r="2400" spans="1:15">
      <c r="A2400" t="s">
        <v>3838</v>
      </c>
      <c r="B2400" s="2">
        <v>45906.955185185187</v>
      </c>
      <c r="C2400" s="2">
        <v>45906.978981481479</v>
      </c>
      <c r="D2400" t="s">
        <v>537</v>
      </c>
      <c r="E2400" t="s">
        <v>3742</v>
      </c>
      <c r="F2400" t="s">
        <v>3743</v>
      </c>
      <c r="G2400" t="s">
        <v>1122</v>
      </c>
      <c r="H2400" t="s">
        <v>1031</v>
      </c>
      <c r="I2400">
        <v>371883000</v>
      </c>
      <c r="J2400" t="s">
        <v>3614</v>
      </c>
      <c r="K2400">
        <v>142.58000000000001</v>
      </c>
      <c r="L2400">
        <v>10199.6</v>
      </c>
      <c r="M2400">
        <v>8159.68</v>
      </c>
      <c r="N2400">
        <v>609328004</v>
      </c>
      <c r="O2400" t="s">
        <v>1137</v>
      </c>
    </row>
    <row r="2401" spans="1:15">
      <c r="A2401" t="s">
        <v>3839</v>
      </c>
      <c r="B2401" s="2">
        <v>45914.684363425928</v>
      </c>
      <c r="C2401" s="2">
        <v>45914.694780092592</v>
      </c>
      <c r="D2401" t="s">
        <v>537</v>
      </c>
      <c r="E2401" t="s">
        <v>3742</v>
      </c>
      <c r="F2401" t="s">
        <v>3743</v>
      </c>
      <c r="G2401" t="s">
        <v>1122</v>
      </c>
      <c r="H2401" t="s">
        <v>1043</v>
      </c>
      <c r="I2401">
        <v>308335008</v>
      </c>
      <c r="J2401" t="s">
        <v>1194</v>
      </c>
      <c r="K2401">
        <v>142.58000000000001</v>
      </c>
      <c r="L2401">
        <v>1898.12</v>
      </c>
      <c r="M2401">
        <v>1518.49</v>
      </c>
      <c r="N2401">
        <v>389095005</v>
      </c>
      <c r="O2401" t="s">
        <v>1191</v>
      </c>
    </row>
    <row r="2402" spans="1:15">
      <c r="A2402" t="s">
        <v>3840</v>
      </c>
      <c r="B2402" s="2">
        <v>45928.978981481479</v>
      </c>
      <c r="C2402" s="2">
        <v>45928.997048611112</v>
      </c>
      <c r="D2402" t="s">
        <v>537</v>
      </c>
      <c r="E2402" t="s">
        <v>3742</v>
      </c>
      <c r="F2402" t="s">
        <v>3743</v>
      </c>
      <c r="G2402" t="s">
        <v>1122</v>
      </c>
      <c r="H2402" t="s">
        <v>1031</v>
      </c>
      <c r="I2402">
        <v>371883000</v>
      </c>
      <c r="J2402" t="s">
        <v>3614</v>
      </c>
      <c r="K2402">
        <v>142.58000000000001</v>
      </c>
      <c r="L2402">
        <v>5263.67</v>
      </c>
      <c r="M2402">
        <v>4210.93</v>
      </c>
      <c r="N2402">
        <v>609328004</v>
      </c>
      <c r="O2402" t="s">
        <v>1137</v>
      </c>
    </row>
    <row r="2403" spans="1:15">
      <c r="A2403" t="s">
        <v>3841</v>
      </c>
      <c r="B2403" s="2">
        <v>45952.997048611112</v>
      </c>
      <c r="C2403" s="2">
        <v>45953.009166666663</v>
      </c>
      <c r="D2403" t="s">
        <v>537</v>
      </c>
      <c r="E2403" t="s">
        <v>3742</v>
      </c>
      <c r="F2403" t="s">
        <v>3743</v>
      </c>
      <c r="G2403" t="s">
        <v>1122</v>
      </c>
      <c r="H2403" t="s">
        <v>1031</v>
      </c>
      <c r="I2403">
        <v>371883000</v>
      </c>
      <c r="J2403" t="s">
        <v>3614</v>
      </c>
      <c r="K2403">
        <v>142.58000000000001</v>
      </c>
      <c r="L2403">
        <v>18657.53</v>
      </c>
      <c r="M2403">
        <v>14926.02</v>
      </c>
      <c r="N2403">
        <v>609328004</v>
      </c>
      <c r="O2403" t="s">
        <v>1137</v>
      </c>
    </row>
    <row r="2404" spans="1:15">
      <c r="A2404" t="s">
        <v>3842</v>
      </c>
      <c r="B2404" s="2">
        <v>45975.967499999999</v>
      </c>
      <c r="C2404" s="2">
        <v>45976.008981481478</v>
      </c>
      <c r="D2404" t="s">
        <v>537</v>
      </c>
      <c r="E2404" t="s">
        <v>3742</v>
      </c>
      <c r="F2404" t="s">
        <v>3743</v>
      </c>
      <c r="G2404" t="s">
        <v>1122</v>
      </c>
      <c r="H2404" t="s">
        <v>1031</v>
      </c>
      <c r="I2404">
        <v>371883000</v>
      </c>
      <c r="J2404" t="s">
        <v>3614</v>
      </c>
      <c r="K2404">
        <v>142.58000000000001</v>
      </c>
      <c r="L2404">
        <v>5263.67</v>
      </c>
      <c r="M2404">
        <v>4210.93</v>
      </c>
      <c r="N2404">
        <v>609328004</v>
      </c>
      <c r="O2404" t="s">
        <v>1137</v>
      </c>
    </row>
    <row r="2405" spans="1:15">
      <c r="A2405" t="s">
        <v>3843</v>
      </c>
      <c r="B2405" s="2">
        <v>46000.008981481478</v>
      </c>
      <c r="C2405" s="2">
        <v>46000.044189814813</v>
      </c>
      <c r="D2405" t="s">
        <v>537</v>
      </c>
      <c r="E2405" t="s">
        <v>3742</v>
      </c>
      <c r="F2405" t="s">
        <v>3743</v>
      </c>
      <c r="G2405" t="s">
        <v>1122</v>
      </c>
      <c r="H2405" t="s">
        <v>1031</v>
      </c>
      <c r="I2405">
        <v>371883000</v>
      </c>
      <c r="J2405" t="s">
        <v>3614</v>
      </c>
      <c r="K2405">
        <v>142.58000000000001</v>
      </c>
      <c r="L2405">
        <v>5263.67</v>
      </c>
      <c r="M2405">
        <v>4210.93</v>
      </c>
      <c r="N2405">
        <v>609328004</v>
      </c>
      <c r="O2405" t="s">
        <v>1137</v>
      </c>
    </row>
    <row r="2406" spans="1:15">
      <c r="A2406" t="s">
        <v>3844</v>
      </c>
      <c r="B2406" s="2">
        <v>46005.642696759256</v>
      </c>
      <c r="C2406" s="2">
        <v>46005.653113425928</v>
      </c>
      <c r="D2406" t="s">
        <v>537</v>
      </c>
      <c r="E2406" t="s">
        <v>3742</v>
      </c>
      <c r="F2406" t="s">
        <v>3743</v>
      </c>
      <c r="G2406" t="s">
        <v>1122</v>
      </c>
      <c r="H2406" t="s">
        <v>1043</v>
      </c>
      <c r="I2406">
        <v>308335008</v>
      </c>
      <c r="J2406" t="s">
        <v>1194</v>
      </c>
      <c r="K2406">
        <v>142.58000000000001</v>
      </c>
      <c r="L2406">
        <v>1250.8499999999999</v>
      </c>
      <c r="M2406">
        <v>1000.68</v>
      </c>
      <c r="N2406">
        <v>389095005</v>
      </c>
      <c r="O2406" t="s">
        <v>1191</v>
      </c>
    </row>
    <row r="2407" spans="1:15">
      <c r="A2407" t="s">
        <v>3845</v>
      </c>
      <c r="B2407" s="2">
        <v>46021.044189814813</v>
      </c>
      <c r="C2407" s="2">
        <v>46021.072824074072</v>
      </c>
      <c r="D2407" t="s">
        <v>537</v>
      </c>
      <c r="E2407" t="s">
        <v>3742</v>
      </c>
      <c r="F2407" t="s">
        <v>3743</v>
      </c>
      <c r="G2407" t="s">
        <v>1122</v>
      </c>
      <c r="H2407" t="s">
        <v>1031</v>
      </c>
      <c r="I2407">
        <v>371883000</v>
      </c>
      <c r="J2407" t="s">
        <v>3614</v>
      </c>
      <c r="K2407">
        <v>142.58000000000001</v>
      </c>
      <c r="L2407">
        <v>5263.67</v>
      </c>
      <c r="M2407">
        <v>4210.93</v>
      </c>
      <c r="N2407">
        <v>609328004</v>
      </c>
      <c r="O2407" t="s">
        <v>1137</v>
      </c>
    </row>
    <row r="2408" spans="1:15">
      <c r="A2408" t="s">
        <v>3846</v>
      </c>
      <c r="B2408" s="2">
        <v>46048.072824074072</v>
      </c>
      <c r="C2408" s="2">
        <v>46048.088125000002</v>
      </c>
      <c r="D2408" t="s">
        <v>537</v>
      </c>
      <c r="E2408" t="s">
        <v>3742</v>
      </c>
      <c r="F2408" t="s">
        <v>3743</v>
      </c>
      <c r="G2408" t="s">
        <v>1122</v>
      </c>
      <c r="H2408" t="s">
        <v>1031</v>
      </c>
      <c r="I2408">
        <v>371883000</v>
      </c>
      <c r="J2408" t="s">
        <v>3614</v>
      </c>
      <c r="K2408">
        <v>142.58000000000001</v>
      </c>
      <c r="L2408">
        <v>17037.39</v>
      </c>
      <c r="M2408">
        <v>13629.91</v>
      </c>
      <c r="N2408">
        <v>609328004</v>
      </c>
      <c r="O2408" t="s">
        <v>1137</v>
      </c>
    </row>
    <row r="2409" spans="1:15">
      <c r="A2409" t="s">
        <v>3847</v>
      </c>
      <c r="B2409" s="2">
        <v>46069.088125000002</v>
      </c>
      <c r="C2409" s="2">
        <v>46069.120856481481</v>
      </c>
      <c r="D2409" t="s">
        <v>537</v>
      </c>
      <c r="E2409" t="s">
        <v>3742</v>
      </c>
      <c r="F2409" t="s">
        <v>3743</v>
      </c>
      <c r="G2409" t="s">
        <v>1122</v>
      </c>
      <c r="H2409" t="s">
        <v>1031</v>
      </c>
      <c r="I2409">
        <v>371883000</v>
      </c>
      <c r="J2409" t="s">
        <v>3614</v>
      </c>
      <c r="K2409">
        <v>142.58000000000001</v>
      </c>
      <c r="L2409">
        <v>5263.67</v>
      </c>
      <c r="M2409">
        <v>4210.93</v>
      </c>
      <c r="N2409">
        <v>609328004</v>
      </c>
      <c r="O2409" t="s">
        <v>1137</v>
      </c>
    </row>
    <row r="2410" spans="1:15">
      <c r="A2410" t="s">
        <v>3848</v>
      </c>
      <c r="B2410" s="2">
        <v>46094.162523148145</v>
      </c>
      <c r="C2410" s="2">
        <v>46094.175254629627</v>
      </c>
      <c r="D2410" t="s">
        <v>537</v>
      </c>
      <c r="E2410" t="s">
        <v>3742</v>
      </c>
      <c r="F2410" t="s">
        <v>3743</v>
      </c>
      <c r="G2410" t="s">
        <v>1122</v>
      </c>
      <c r="H2410" t="s">
        <v>1031</v>
      </c>
      <c r="I2410">
        <v>371883000</v>
      </c>
      <c r="J2410" t="s">
        <v>3614</v>
      </c>
      <c r="K2410">
        <v>142.58000000000001</v>
      </c>
      <c r="L2410">
        <v>14013.3</v>
      </c>
      <c r="M2410">
        <v>11024.24</v>
      </c>
      <c r="N2410">
        <v>609328004</v>
      </c>
      <c r="O2410" t="s">
        <v>1137</v>
      </c>
    </row>
    <row r="2411" spans="1:15">
      <c r="A2411" t="s">
        <v>3849</v>
      </c>
      <c r="B2411" s="2">
        <v>46096.684363425928</v>
      </c>
      <c r="C2411" s="2">
        <v>46096.694780092592</v>
      </c>
      <c r="D2411" t="s">
        <v>537</v>
      </c>
      <c r="E2411" t="s">
        <v>3742</v>
      </c>
      <c r="F2411" t="s">
        <v>3743</v>
      </c>
      <c r="G2411" t="s">
        <v>1122</v>
      </c>
      <c r="H2411" t="s">
        <v>1043</v>
      </c>
      <c r="I2411">
        <v>308335008</v>
      </c>
      <c r="J2411" t="s">
        <v>1194</v>
      </c>
      <c r="K2411">
        <v>142.58000000000001</v>
      </c>
      <c r="L2411">
        <v>1250.8499999999999</v>
      </c>
      <c r="M2411">
        <v>1000.68</v>
      </c>
      <c r="N2411">
        <v>389095005</v>
      </c>
      <c r="O2411" t="s">
        <v>1191</v>
      </c>
    </row>
    <row r="2412" spans="1:15">
      <c r="A2412" t="s">
        <v>3850</v>
      </c>
      <c r="B2412" s="2">
        <v>46115.175254629627</v>
      </c>
      <c r="C2412" s="2">
        <v>46115.210706018515</v>
      </c>
      <c r="D2412" t="s">
        <v>537</v>
      </c>
      <c r="E2412" t="s">
        <v>3742</v>
      </c>
      <c r="F2412" t="s">
        <v>3743</v>
      </c>
      <c r="G2412" t="s">
        <v>1122</v>
      </c>
      <c r="H2412" t="s">
        <v>1031</v>
      </c>
      <c r="I2412">
        <v>371883000</v>
      </c>
      <c r="J2412" t="s">
        <v>3614</v>
      </c>
      <c r="K2412">
        <v>142.58000000000001</v>
      </c>
      <c r="L2412">
        <v>7193.52</v>
      </c>
      <c r="M2412">
        <v>5754.81</v>
      </c>
      <c r="N2412">
        <v>609328004</v>
      </c>
      <c r="O2412" t="s">
        <v>1137</v>
      </c>
    </row>
    <row r="2413" spans="1:15">
      <c r="A2413" t="s">
        <v>3851</v>
      </c>
      <c r="B2413" s="2">
        <v>46137.210706018515</v>
      </c>
      <c r="C2413" s="2">
        <v>46137.2424537037</v>
      </c>
      <c r="D2413" t="s">
        <v>537</v>
      </c>
      <c r="E2413" t="s">
        <v>3742</v>
      </c>
      <c r="F2413" t="s">
        <v>3743</v>
      </c>
      <c r="G2413" t="s">
        <v>1122</v>
      </c>
      <c r="H2413" t="s">
        <v>1031</v>
      </c>
      <c r="I2413">
        <v>371883000</v>
      </c>
      <c r="J2413" t="s">
        <v>3614</v>
      </c>
      <c r="K2413">
        <v>142.58000000000001</v>
      </c>
      <c r="L2413">
        <v>14311.78</v>
      </c>
      <c r="M2413">
        <v>11449.42</v>
      </c>
      <c r="N2413">
        <v>609328004</v>
      </c>
      <c r="O2413" t="s">
        <v>1137</v>
      </c>
    </row>
    <row r="2414" spans="1:15">
      <c r="A2414" t="s">
        <v>3852</v>
      </c>
      <c r="B2414" s="2">
        <v>46145.684363425928</v>
      </c>
      <c r="C2414" s="2">
        <v>46145.694780092592</v>
      </c>
      <c r="D2414" t="s">
        <v>537</v>
      </c>
      <c r="E2414" t="s">
        <v>3748</v>
      </c>
      <c r="F2414" t="s">
        <v>3749</v>
      </c>
      <c r="G2414" t="s">
        <v>1122</v>
      </c>
      <c r="H2414" t="s">
        <v>1020</v>
      </c>
      <c r="I2414">
        <v>410620009</v>
      </c>
      <c r="J2414" t="s">
        <v>1054</v>
      </c>
      <c r="K2414">
        <v>136.80000000000001</v>
      </c>
      <c r="L2414">
        <v>1544.25</v>
      </c>
      <c r="M2414">
        <v>1235.4000000000001</v>
      </c>
      <c r="O2414" t="s">
        <v>34</v>
      </c>
    </row>
    <row r="2415" spans="1:15">
      <c r="A2415" t="s">
        <v>3853</v>
      </c>
      <c r="B2415" s="2">
        <v>46163.2424537037</v>
      </c>
      <c r="C2415" s="2">
        <v>46163.268530092595</v>
      </c>
      <c r="D2415" t="s">
        <v>537</v>
      </c>
      <c r="E2415" t="s">
        <v>3742</v>
      </c>
      <c r="F2415" t="s">
        <v>3743</v>
      </c>
      <c r="G2415" t="s">
        <v>1122</v>
      </c>
      <c r="H2415" t="s">
        <v>1031</v>
      </c>
      <c r="I2415">
        <v>170838006</v>
      </c>
      <c r="J2415" t="s">
        <v>3682</v>
      </c>
      <c r="K2415">
        <v>142.58000000000001</v>
      </c>
      <c r="L2415">
        <v>573.98</v>
      </c>
      <c r="M2415">
        <v>459.18</v>
      </c>
      <c r="N2415">
        <v>609328004</v>
      </c>
      <c r="O2415" t="s">
        <v>1137</v>
      </c>
    </row>
    <row r="2416" spans="1:15">
      <c r="A2416" t="s">
        <v>3854</v>
      </c>
      <c r="B2416" s="2">
        <v>46187.684363425928</v>
      </c>
      <c r="C2416" s="2">
        <v>46187.694780092592</v>
      </c>
      <c r="D2416" t="s">
        <v>537</v>
      </c>
      <c r="E2416" t="s">
        <v>3742</v>
      </c>
      <c r="F2416" t="s">
        <v>3743</v>
      </c>
      <c r="G2416" t="s">
        <v>1122</v>
      </c>
      <c r="H2416" t="s">
        <v>1043</v>
      </c>
      <c r="I2416">
        <v>308335008</v>
      </c>
      <c r="J2416" t="s">
        <v>1194</v>
      </c>
      <c r="K2416">
        <v>142.58000000000001</v>
      </c>
      <c r="L2416">
        <v>1274.57</v>
      </c>
      <c r="M2416">
        <v>1019.65</v>
      </c>
      <c r="N2416">
        <v>389095005</v>
      </c>
      <c r="O2416" t="s">
        <v>1191</v>
      </c>
    </row>
    <row r="2417" spans="1:15">
      <c r="A2417" t="s">
        <v>3855</v>
      </c>
      <c r="B2417" s="2">
        <v>42939.341469907406</v>
      </c>
      <c r="C2417" s="2">
        <v>42939.351886574077</v>
      </c>
      <c r="D2417" t="s">
        <v>544</v>
      </c>
      <c r="E2417" t="s">
        <v>3856</v>
      </c>
      <c r="F2417" t="s">
        <v>3857</v>
      </c>
      <c r="G2417" t="s">
        <v>1474</v>
      </c>
      <c r="H2417" t="s">
        <v>1020</v>
      </c>
      <c r="I2417">
        <v>410620009</v>
      </c>
      <c r="J2417" t="s">
        <v>1054</v>
      </c>
      <c r="K2417">
        <v>136.80000000000001</v>
      </c>
      <c r="L2417">
        <v>816.8</v>
      </c>
      <c r="M2417">
        <v>0</v>
      </c>
      <c r="O2417" t="s">
        <v>34</v>
      </c>
    </row>
    <row r="2418" spans="1:15">
      <c r="A2418" t="s">
        <v>3858</v>
      </c>
      <c r="B2418" s="2">
        <v>43283.133136574077</v>
      </c>
      <c r="C2418" s="2">
        <v>43283.143553240741</v>
      </c>
      <c r="D2418" t="s">
        <v>544</v>
      </c>
      <c r="E2418" t="s">
        <v>3859</v>
      </c>
      <c r="F2418" t="s">
        <v>3860</v>
      </c>
      <c r="G2418" t="s">
        <v>1474</v>
      </c>
      <c r="H2418" t="s">
        <v>1031</v>
      </c>
      <c r="I2418">
        <v>185345009</v>
      </c>
      <c r="J2418" t="s">
        <v>1032</v>
      </c>
      <c r="K2418">
        <v>85.55</v>
      </c>
      <c r="L2418">
        <v>1691.34</v>
      </c>
      <c r="M2418">
        <v>186.67</v>
      </c>
      <c r="N2418">
        <v>195662009</v>
      </c>
      <c r="O2418" t="s">
        <v>1130</v>
      </c>
    </row>
    <row r="2419" spans="1:15">
      <c r="A2419" t="s">
        <v>3861</v>
      </c>
      <c r="B2419" s="2">
        <v>43310.341469907406</v>
      </c>
      <c r="C2419" s="2">
        <v>43310.354479166665</v>
      </c>
      <c r="D2419" t="s">
        <v>544</v>
      </c>
      <c r="E2419" t="s">
        <v>3856</v>
      </c>
      <c r="F2419" t="s">
        <v>3857</v>
      </c>
      <c r="G2419" t="s">
        <v>1474</v>
      </c>
      <c r="H2419" t="s">
        <v>1020</v>
      </c>
      <c r="I2419">
        <v>410620009</v>
      </c>
      <c r="J2419" t="s">
        <v>1054</v>
      </c>
      <c r="K2419">
        <v>136.80000000000001</v>
      </c>
      <c r="L2419">
        <v>1425.26</v>
      </c>
      <c r="M2419">
        <v>1140.2</v>
      </c>
      <c r="O2419" t="s">
        <v>34</v>
      </c>
    </row>
    <row r="2420" spans="1:15">
      <c r="A2420" t="s">
        <v>3862</v>
      </c>
      <c r="B2420" s="2">
        <v>43317.341469907406</v>
      </c>
      <c r="C2420" s="2">
        <v>43317.508414351854</v>
      </c>
      <c r="D2420" t="s">
        <v>544</v>
      </c>
      <c r="E2420" t="s">
        <v>3859</v>
      </c>
      <c r="F2420" t="s">
        <v>3860</v>
      </c>
      <c r="G2420" t="s">
        <v>1474</v>
      </c>
      <c r="H2420" t="s">
        <v>1031</v>
      </c>
      <c r="I2420">
        <v>185349003</v>
      </c>
      <c r="J2420" t="s">
        <v>1038</v>
      </c>
      <c r="K2420">
        <v>85.55</v>
      </c>
      <c r="L2420">
        <v>3536.75</v>
      </c>
      <c r="M2420">
        <v>2829.4</v>
      </c>
      <c r="N2420">
        <v>103697008</v>
      </c>
      <c r="O2420" t="s">
        <v>1039</v>
      </c>
    </row>
    <row r="2421" spans="1:15">
      <c r="A2421" t="s">
        <v>3863</v>
      </c>
      <c r="B2421" s="2">
        <v>43329.508136574077</v>
      </c>
      <c r="C2421" s="2">
        <v>43329.518553240741</v>
      </c>
      <c r="D2421" t="s">
        <v>544</v>
      </c>
      <c r="E2421" t="s">
        <v>3859</v>
      </c>
      <c r="F2421" t="s">
        <v>3860</v>
      </c>
      <c r="G2421" t="s">
        <v>1474</v>
      </c>
      <c r="H2421" t="s">
        <v>1031</v>
      </c>
      <c r="I2421">
        <v>185345009</v>
      </c>
      <c r="J2421" t="s">
        <v>1032</v>
      </c>
      <c r="K2421">
        <v>85.55</v>
      </c>
      <c r="L2421">
        <v>85.55</v>
      </c>
      <c r="M2421">
        <v>68.44</v>
      </c>
      <c r="N2421">
        <v>444814009</v>
      </c>
      <c r="O2421" t="s">
        <v>1035</v>
      </c>
    </row>
    <row r="2422" spans="1:15">
      <c r="A2422" t="s">
        <v>3864</v>
      </c>
      <c r="B2422" s="2">
        <v>43681.341469907406</v>
      </c>
      <c r="C2422" s="2">
        <v>43681.351886574077</v>
      </c>
      <c r="D2422" t="s">
        <v>544</v>
      </c>
      <c r="E2422" t="s">
        <v>3856</v>
      </c>
      <c r="F2422" t="s">
        <v>3857</v>
      </c>
      <c r="G2422" t="s">
        <v>1474</v>
      </c>
      <c r="H2422" t="s">
        <v>1020</v>
      </c>
      <c r="I2422">
        <v>410620009</v>
      </c>
      <c r="J2422" t="s">
        <v>1054</v>
      </c>
      <c r="K2422">
        <v>136.80000000000001</v>
      </c>
      <c r="L2422">
        <v>488.5</v>
      </c>
      <c r="M2422">
        <v>390.8</v>
      </c>
      <c r="O2422" t="s">
        <v>34</v>
      </c>
    </row>
    <row r="2423" spans="1:15">
      <c r="A2423" t="s">
        <v>3865</v>
      </c>
      <c r="B2423" s="2">
        <v>43688.341469907406</v>
      </c>
      <c r="C2423" s="2">
        <v>43688.351886574077</v>
      </c>
      <c r="D2423" t="s">
        <v>544</v>
      </c>
      <c r="E2423" t="s">
        <v>3859</v>
      </c>
      <c r="F2423" t="s">
        <v>3860</v>
      </c>
      <c r="G2423" t="s">
        <v>1474</v>
      </c>
      <c r="H2423" t="s">
        <v>1031</v>
      </c>
      <c r="I2423">
        <v>185345009</v>
      </c>
      <c r="J2423" t="s">
        <v>1032</v>
      </c>
      <c r="K2423">
        <v>85.55</v>
      </c>
      <c r="L2423">
        <v>85.55</v>
      </c>
      <c r="M2423">
        <v>68.44</v>
      </c>
      <c r="N2423">
        <v>444814009</v>
      </c>
      <c r="O2423" t="s">
        <v>1035</v>
      </c>
    </row>
    <row r="2424" spans="1:15">
      <c r="A2424" t="s">
        <v>3866</v>
      </c>
      <c r="B2424" s="2">
        <v>44052.341469907406</v>
      </c>
      <c r="C2424" s="2">
        <v>44052.351886574077</v>
      </c>
      <c r="D2424" t="s">
        <v>544</v>
      </c>
      <c r="E2424" t="s">
        <v>3856</v>
      </c>
      <c r="F2424" t="s">
        <v>3857</v>
      </c>
      <c r="G2424" t="s">
        <v>1474</v>
      </c>
      <c r="H2424" t="s">
        <v>1020</v>
      </c>
      <c r="I2424">
        <v>410620009</v>
      </c>
      <c r="J2424" t="s">
        <v>1054</v>
      </c>
      <c r="K2424">
        <v>136.80000000000001</v>
      </c>
      <c r="L2424">
        <v>272.8</v>
      </c>
      <c r="M2424">
        <v>0</v>
      </c>
      <c r="O2424" t="s">
        <v>34</v>
      </c>
    </row>
    <row r="2425" spans="1:15">
      <c r="A2425" t="s">
        <v>3867</v>
      </c>
      <c r="B2425" s="2">
        <v>44283.924803240741</v>
      </c>
      <c r="C2425" s="2">
        <v>44283.935219907406</v>
      </c>
      <c r="D2425" t="s">
        <v>544</v>
      </c>
      <c r="E2425" t="s">
        <v>3859</v>
      </c>
      <c r="F2425" t="s">
        <v>3860</v>
      </c>
      <c r="G2425" t="s">
        <v>1474</v>
      </c>
      <c r="H2425" t="s">
        <v>1031</v>
      </c>
      <c r="I2425">
        <v>185345009</v>
      </c>
      <c r="J2425" t="s">
        <v>1032</v>
      </c>
      <c r="K2425">
        <v>85.55</v>
      </c>
      <c r="L2425">
        <v>85.55</v>
      </c>
      <c r="M2425">
        <v>0</v>
      </c>
      <c r="N2425">
        <v>444814009</v>
      </c>
      <c r="O2425" t="s">
        <v>1035</v>
      </c>
    </row>
    <row r="2426" spans="1:15">
      <c r="A2426" t="s">
        <v>3868</v>
      </c>
      <c r="B2426" s="2">
        <v>44423.341469907406</v>
      </c>
      <c r="C2426" s="2">
        <v>44423.351886574077</v>
      </c>
      <c r="D2426" t="s">
        <v>544</v>
      </c>
      <c r="E2426" t="s">
        <v>3856</v>
      </c>
      <c r="F2426" t="s">
        <v>3857</v>
      </c>
      <c r="G2426" t="s">
        <v>1474</v>
      </c>
      <c r="H2426" t="s">
        <v>1020</v>
      </c>
      <c r="I2426">
        <v>410620009</v>
      </c>
      <c r="J2426" t="s">
        <v>1054</v>
      </c>
      <c r="K2426">
        <v>136.80000000000001</v>
      </c>
      <c r="L2426">
        <v>488.5</v>
      </c>
      <c r="M2426">
        <v>0</v>
      </c>
      <c r="O2426" t="s">
        <v>34</v>
      </c>
    </row>
    <row r="2427" spans="1:15">
      <c r="A2427" t="s">
        <v>3869</v>
      </c>
      <c r="B2427" s="2">
        <v>44794.341469907406</v>
      </c>
      <c r="C2427" s="2">
        <v>44794.351886574077</v>
      </c>
      <c r="D2427" t="s">
        <v>544</v>
      </c>
      <c r="E2427" t="s">
        <v>3856</v>
      </c>
      <c r="F2427" t="s">
        <v>3857</v>
      </c>
      <c r="G2427" t="s">
        <v>1474</v>
      </c>
      <c r="H2427" t="s">
        <v>1020</v>
      </c>
      <c r="I2427">
        <v>410620009</v>
      </c>
      <c r="J2427" t="s">
        <v>1054</v>
      </c>
      <c r="K2427">
        <v>136.80000000000001</v>
      </c>
      <c r="L2427">
        <v>488.5</v>
      </c>
      <c r="M2427">
        <v>0</v>
      </c>
      <c r="O2427" t="s">
        <v>34</v>
      </c>
    </row>
    <row r="2428" spans="1:15">
      <c r="A2428" t="s">
        <v>3870</v>
      </c>
      <c r="B2428" s="2">
        <v>45152.883136574077</v>
      </c>
      <c r="C2428" s="2">
        <v>45152.893553240741</v>
      </c>
      <c r="D2428" t="s">
        <v>544</v>
      </c>
      <c r="E2428" t="s">
        <v>3859</v>
      </c>
      <c r="F2428" t="s">
        <v>3860</v>
      </c>
      <c r="G2428" t="s">
        <v>1474</v>
      </c>
      <c r="H2428" t="s">
        <v>1031</v>
      </c>
      <c r="I2428">
        <v>185345009</v>
      </c>
      <c r="J2428" t="s">
        <v>1032</v>
      </c>
      <c r="K2428">
        <v>85.55</v>
      </c>
      <c r="L2428">
        <v>85.55</v>
      </c>
      <c r="M2428">
        <v>0</v>
      </c>
      <c r="N2428">
        <v>444814009</v>
      </c>
      <c r="O2428" t="s">
        <v>1035</v>
      </c>
    </row>
    <row r="2429" spans="1:15">
      <c r="A2429" t="s">
        <v>3871</v>
      </c>
      <c r="B2429" s="2">
        <v>45165.341469907406</v>
      </c>
      <c r="C2429" s="2">
        <v>45165.351886574077</v>
      </c>
      <c r="D2429" t="s">
        <v>544</v>
      </c>
      <c r="E2429" t="s">
        <v>3856</v>
      </c>
      <c r="F2429" t="s">
        <v>3857</v>
      </c>
      <c r="G2429" t="s">
        <v>1474</v>
      </c>
      <c r="H2429" t="s">
        <v>1020</v>
      </c>
      <c r="I2429">
        <v>410620009</v>
      </c>
      <c r="J2429" t="s">
        <v>1054</v>
      </c>
      <c r="K2429">
        <v>136.80000000000001</v>
      </c>
      <c r="L2429">
        <v>1186.78</v>
      </c>
      <c r="M2429">
        <v>0</v>
      </c>
      <c r="O2429" t="s">
        <v>34</v>
      </c>
    </row>
    <row r="2430" spans="1:15">
      <c r="A2430" t="s">
        <v>3872</v>
      </c>
      <c r="B2430" s="2">
        <v>45172.341469907406</v>
      </c>
      <c r="C2430" s="2">
        <v>45172.465312499997</v>
      </c>
      <c r="D2430" t="s">
        <v>544</v>
      </c>
      <c r="E2430" t="s">
        <v>3859</v>
      </c>
      <c r="F2430" t="s">
        <v>3860</v>
      </c>
      <c r="G2430" t="s">
        <v>1474</v>
      </c>
      <c r="H2430" t="s">
        <v>1031</v>
      </c>
      <c r="I2430">
        <v>185349003</v>
      </c>
      <c r="J2430" t="s">
        <v>1038</v>
      </c>
      <c r="K2430">
        <v>85.55</v>
      </c>
      <c r="L2430">
        <v>2673.95</v>
      </c>
      <c r="M2430">
        <v>1990.62</v>
      </c>
      <c r="N2430">
        <v>66383009</v>
      </c>
      <c r="O2430" t="s">
        <v>1209</v>
      </c>
    </row>
    <row r="2431" spans="1:15">
      <c r="A2431" t="s">
        <v>3873</v>
      </c>
      <c r="B2431" s="2">
        <v>45367.049803240741</v>
      </c>
      <c r="C2431" s="2">
        <v>45367.060219907406</v>
      </c>
      <c r="D2431" t="s">
        <v>544</v>
      </c>
      <c r="E2431" t="s">
        <v>3859</v>
      </c>
      <c r="F2431" t="s">
        <v>3860</v>
      </c>
      <c r="G2431" t="s">
        <v>1474</v>
      </c>
      <c r="H2431" t="s">
        <v>1031</v>
      </c>
      <c r="I2431">
        <v>185345009</v>
      </c>
      <c r="J2431" t="s">
        <v>1032</v>
      </c>
      <c r="K2431">
        <v>85.55</v>
      </c>
      <c r="L2431">
        <v>2398.58</v>
      </c>
      <c r="M2431">
        <v>1918.86</v>
      </c>
      <c r="N2431">
        <v>195662009</v>
      </c>
      <c r="O2431" t="s">
        <v>1130</v>
      </c>
    </row>
    <row r="2432" spans="1:15">
      <c r="A2432" t="s">
        <v>3874</v>
      </c>
      <c r="B2432" s="2">
        <v>45529.341469907406</v>
      </c>
      <c r="C2432" s="2">
        <v>45529.351886574077</v>
      </c>
      <c r="D2432" t="s">
        <v>544</v>
      </c>
      <c r="E2432" t="s">
        <v>3859</v>
      </c>
      <c r="F2432" t="s">
        <v>3860</v>
      </c>
      <c r="G2432" t="s">
        <v>1474</v>
      </c>
      <c r="H2432" t="s">
        <v>1043</v>
      </c>
      <c r="I2432">
        <v>33879002</v>
      </c>
      <c r="J2432" t="s">
        <v>1044</v>
      </c>
      <c r="K2432">
        <v>142.58000000000001</v>
      </c>
      <c r="L2432">
        <v>278.58</v>
      </c>
      <c r="M2432">
        <v>0</v>
      </c>
      <c r="O2432" t="s">
        <v>34</v>
      </c>
    </row>
    <row r="2433" spans="1:15">
      <c r="A2433" t="s">
        <v>3875</v>
      </c>
      <c r="B2433" s="2">
        <v>45536.341469907406</v>
      </c>
      <c r="C2433" s="2">
        <v>45536.351886574077</v>
      </c>
      <c r="D2433" t="s">
        <v>544</v>
      </c>
      <c r="E2433" t="s">
        <v>3856</v>
      </c>
      <c r="F2433" t="s">
        <v>3857</v>
      </c>
      <c r="G2433" t="s">
        <v>1474</v>
      </c>
      <c r="H2433" t="s">
        <v>1020</v>
      </c>
      <c r="I2433">
        <v>410620009</v>
      </c>
      <c r="J2433" t="s">
        <v>1054</v>
      </c>
      <c r="K2433">
        <v>136.80000000000001</v>
      </c>
      <c r="L2433">
        <v>1132.78</v>
      </c>
      <c r="M2433">
        <v>0</v>
      </c>
      <c r="O2433" t="s">
        <v>34</v>
      </c>
    </row>
    <row r="2434" spans="1:15">
      <c r="A2434" t="s">
        <v>3876</v>
      </c>
      <c r="B2434" s="2">
        <v>45550.341469907406</v>
      </c>
      <c r="C2434" s="2">
        <v>45550.351886574077</v>
      </c>
      <c r="D2434" t="s">
        <v>544</v>
      </c>
      <c r="E2434" t="s">
        <v>3859</v>
      </c>
      <c r="F2434" t="s">
        <v>3860</v>
      </c>
      <c r="G2434" t="s">
        <v>1474</v>
      </c>
      <c r="H2434" t="s">
        <v>1043</v>
      </c>
      <c r="I2434">
        <v>33879002</v>
      </c>
      <c r="J2434" t="s">
        <v>1044</v>
      </c>
      <c r="K2434">
        <v>142.58000000000001</v>
      </c>
      <c r="L2434">
        <v>278.58</v>
      </c>
      <c r="M2434">
        <v>185.55</v>
      </c>
      <c r="O2434" t="s">
        <v>34</v>
      </c>
    </row>
    <row r="2435" spans="1:15">
      <c r="A2435" t="s">
        <v>3877</v>
      </c>
      <c r="B2435" s="2">
        <v>45907.341469907406</v>
      </c>
      <c r="C2435" s="2">
        <v>45907.351886574077</v>
      </c>
      <c r="D2435" t="s">
        <v>544</v>
      </c>
      <c r="E2435" t="s">
        <v>3856</v>
      </c>
      <c r="F2435" t="s">
        <v>3857</v>
      </c>
      <c r="G2435" t="s">
        <v>1474</v>
      </c>
      <c r="H2435" t="s">
        <v>1020</v>
      </c>
      <c r="I2435">
        <v>410620009</v>
      </c>
      <c r="J2435" t="s">
        <v>1054</v>
      </c>
      <c r="K2435">
        <v>136.80000000000001</v>
      </c>
      <c r="L2435">
        <v>1370.02</v>
      </c>
      <c r="M2435">
        <v>0</v>
      </c>
      <c r="O2435" t="s">
        <v>34</v>
      </c>
    </row>
    <row r="2436" spans="1:15">
      <c r="A2436" t="s">
        <v>3878</v>
      </c>
      <c r="B2436" s="2">
        <v>45921.341469907406</v>
      </c>
      <c r="C2436" s="2">
        <v>45921.468159722222</v>
      </c>
      <c r="D2436" t="s">
        <v>544</v>
      </c>
      <c r="E2436" t="s">
        <v>3859</v>
      </c>
      <c r="F2436" t="s">
        <v>3860</v>
      </c>
      <c r="G2436" t="s">
        <v>1474</v>
      </c>
      <c r="H2436" t="s">
        <v>1031</v>
      </c>
      <c r="I2436">
        <v>185349003</v>
      </c>
      <c r="J2436" t="s">
        <v>1038</v>
      </c>
      <c r="K2436">
        <v>85.55</v>
      </c>
      <c r="L2436">
        <v>3105.35</v>
      </c>
      <c r="M2436">
        <v>2413.9</v>
      </c>
      <c r="N2436">
        <v>103697008</v>
      </c>
      <c r="O2436" t="s">
        <v>1039</v>
      </c>
    </row>
    <row r="2437" spans="1:15">
      <c r="A2437" t="s">
        <v>3879</v>
      </c>
      <c r="B2437" s="2">
        <v>41066.883321759262</v>
      </c>
      <c r="C2437" s="2">
        <v>41066.893738425926</v>
      </c>
      <c r="D2437" t="s">
        <v>551</v>
      </c>
      <c r="E2437" t="s">
        <v>3880</v>
      </c>
      <c r="F2437" t="s">
        <v>3881</v>
      </c>
      <c r="G2437" t="s">
        <v>1019</v>
      </c>
      <c r="H2437" t="s">
        <v>1020</v>
      </c>
      <c r="I2437">
        <v>410620009</v>
      </c>
      <c r="J2437" t="s">
        <v>1054</v>
      </c>
      <c r="K2437">
        <v>136.80000000000001</v>
      </c>
      <c r="L2437">
        <v>816.8</v>
      </c>
      <c r="M2437">
        <v>0</v>
      </c>
      <c r="O2437" t="s">
        <v>34</v>
      </c>
    </row>
    <row r="2438" spans="1:15">
      <c r="A2438" t="s">
        <v>3882</v>
      </c>
      <c r="B2438" s="2">
        <v>42921.883321759262</v>
      </c>
      <c r="C2438" s="2">
        <v>42921.893738425926</v>
      </c>
      <c r="D2438" t="s">
        <v>551</v>
      </c>
      <c r="E2438" t="s">
        <v>3880</v>
      </c>
      <c r="F2438" t="s">
        <v>3881</v>
      </c>
      <c r="G2438" t="s">
        <v>1019</v>
      </c>
      <c r="H2438" t="s">
        <v>1020</v>
      </c>
      <c r="I2438">
        <v>410620009</v>
      </c>
      <c r="J2438" t="s">
        <v>1054</v>
      </c>
      <c r="K2438">
        <v>136.80000000000001</v>
      </c>
      <c r="L2438">
        <v>272.8</v>
      </c>
      <c r="M2438">
        <v>0</v>
      </c>
      <c r="O2438" t="s">
        <v>34</v>
      </c>
    </row>
    <row r="2439" spans="1:15">
      <c r="A2439" t="s">
        <v>3883</v>
      </c>
      <c r="B2439" s="2">
        <v>43292.883321759262</v>
      </c>
      <c r="C2439" s="2">
        <v>43292.893738425926</v>
      </c>
      <c r="D2439" t="s">
        <v>551</v>
      </c>
      <c r="E2439" t="s">
        <v>3880</v>
      </c>
      <c r="F2439" t="s">
        <v>3881</v>
      </c>
      <c r="G2439" t="s">
        <v>1019</v>
      </c>
      <c r="H2439" t="s">
        <v>1020</v>
      </c>
      <c r="I2439">
        <v>410620009</v>
      </c>
      <c r="J2439" t="s">
        <v>1054</v>
      </c>
      <c r="K2439">
        <v>136.80000000000001</v>
      </c>
      <c r="L2439">
        <v>971.08</v>
      </c>
      <c r="M2439">
        <v>0</v>
      </c>
      <c r="O2439" t="s">
        <v>34</v>
      </c>
    </row>
    <row r="2440" spans="1:15">
      <c r="A2440" t="s">
        <v>3884</v>
      </c>
      <c r="B2440" s="2">
        <v>43663.883321759262</v>
      </c>
      <c r="C2440" s="2">
        <v>43663.893738425926</v>
      </c>
      <c r="D2440" t="s">
        <v>551</v>
      </c>
      <c r="E2440" t="s">
        <v>3880</v>
      </c>
      <c r="F2440" t="s">
        <v>3881</v>
      </c>
      <c r="G2440" t="s">
        <v>1019</v>
      </c>
      <c r="H2440" t="s">
        <v>1020</v>
      </c>
      <c r="I2440">
        <v>410620009</v>
      </c>
      <c r="J2440" t="s">
        <v>1054</v>
      </c>
      <c r="K2440">
        <v>136.80000000000001</v>
      </c>
      <c r="L2440">
        <v>1055.9000000000001</v>
      </c>
      <c r="M2440">
        <v>0</v>
      </c>
      <c r="O2440" t="s">
        <v>34</v>
      </c>
    </row>
    <row r="2441" spans="1:15">
      <c r="A2441" t="s">
        <v>3885</v>
      </c>
      <c r="B2441" s="2">
        <v>44034.883321759262</v>
      </c>
      <c r="C2441" s="2">
        <v>44034.893738425926</v>
      </c>
      <c r="D2441" t="s">
        <v>551</v>
      </c>
      <c r="E2441" t="s">
        <v>3880</v>
      </c>
      <c r="F2441" t="s">
        <v>3881</v>
      </c>
      <c r="G2441" t="s">
        <v>1019</v>
      </c>
      <c r="H2441" t="s">
        <v>1020</v>
      </c>
      <c r="I2441">
        <v>410620009</v>
      </c>
      <c r="J2441" t="s">
        <v>1054</v>
      </c>
      <c r="K2441">
        <v>136.80000000000001</v>
      </c>
      <c r="L2441">
        <v>1284.98</v>
      </c>
      <c r="M2441">
        <v>0</v>
      </c>
      <c r="O2441" t="s">
        <v>34</v>
      </c>
    </row>
    <row r="2442" spans="1:15">
      <c r="A2442" t="s">
        <v>3886</v>
      </c>
      <c r="B2442" s="2">
        <v>44370.883321759262</v>
      </c>
      <c r="C2442" s="2">
        <v>44370.893738425926</v>
      </c>
      <c r="D2442" t="s">
        <v>551</v>
      </c>
      <c r="E2442" t="s">
        <v>3887</v>
      </c>
      <c r="F2442" t="s">
        <v>3888</v>
      </c>
      <c r="G2442" t="s">
        <v>1019</v>
      </c>
      <c r="H2442" t="s">
        <v>1043</v>
      </c>
      <c r="I2442">
        <v>33879002</v>
      </c>
      <c r="J2442" t="s">
        <v>1044</v>
      </c>
      <c r="K2442">
        <v>142.58000000000001</v>
      </c>
      <c r="L2442">
        <v>278.58</v>
      </c>
      <c r="M2442">
        <v>0</v>
      </c>
      <c r="O2442" t="s">
        <v>34</v>
      </c>
    </row>
    <row r="2443" spans="1:15">
      <c r="A2443" t="s">
        <v>3889</v>
      </c>
      <c r="B2443" s="2">
        <v>44391.883321759262</v>
      </c>
      <c r="C2443" s="2">
        <v>44391.893738425926</v>
      </c>
      <c r="D2443" t="s">
        <v>551</v>
      </c>
      <c r="E2443" t="s">
        <v>3887</v>
      </c>
      <c r="F2443" t="s">
        <v>3888</v>
      </c>
      <c r="G2443" t="s">
        <v>1019</v>
      </c>
      <c r="H2443" t="s">
        <v>1043</v>
      </c>
      <c r="I2443">
        <v>33879002</v>
      </c>
      <c r="J2443" t="s">
        <v>1044</v>
      </c>
      <c r="K2443">
        <v>142.58000000000001</v>
      </c>
      <c r="L2443">
        <v>278.58</v>
      </c>
      <c r="M2443">
        <v>0</v>
      </c>
      <c r="O2443" t="s">
        <v>34</v>
      </c>
    </row>
    <row r="2444" spans="1:15">
      <c r="A2444" t="s">
        <v>3890</v>
      </c>
      <c r="B2444" s="2">
        <v>44405.883321759262</v>
      </c>
      <c r="C2444" s="2">
        <v>44405.893738425926</v>
      </c>
      <c r="D2444" t="s">
        <v>551</v>
      </c>
      <c r="E2444" t="s">
        <v>3880</v>
      </c>
      <c r="F2444" t="s">
        <v>3881</v>
      </c>
      <c r="G2444" t="s">
        <v>1019</v>
      </c>
      <c r="H2444" t="s">
        <v>1020</v>
      </c>
      <c r="I2444">
        <v>410620009</v>
      </c>
      <c r="J2444" t="s">
        <v>1054</v>
      </c>
      <c r="K2444">
        <v>136.80000000000001</v>
      </c>
      <c r="L2444">
        <v>272.8</v>
      </c>
      <c r="M2444">
        <v>0</v>
      </c>
      <c r="O2444" t="s">
        <v>34</v>
      </c>
    </row>
    <row r="2445" spans="1:15">
      <c r="A2445" t="s">
        <v>3891</v>
      </c>
      <c r="B2445" s="2">
        <v>44456.883321759262</v>
      </c>
      <c r="C2445" s="2">
        <v>44456.924988425926</v>
      </c>
      <c r="D2445" t="s">
        <v>551</v>
      </c>
      <c r="E2445" t="s">
        <v>2314</v>
      </c>
      <c r="F2445" t="s">
        <v>2315</v>
      </c>
      <c r="G2445" t="s">
        <v>1019</v>
      </c>
      <c r="H2445" t="s">
        <v>1076</v>
      </c>
      <c r="I2445">
        <v>50849002</v>
      </c>
      <c r="J2445" t="s">
        <v>1163</v>
      </c>
      <c r="K2445">
        <v>146.18</v>
      </c>
      <c r="L2445">
        <v>1008.98</v>
      </c>
      <c r="M2445">
        <v>0</v>
      </c>
      <c r="N2445">
        <v>125605004</v>
      </c>
      <c r="O2445" t="s">
        <v>1644</v>
      </c>
    </row>
    <row r="2446" spans="1:15">
      <c r="A2446" t="s">
        <v>3892</v>
      </c>
      <c r="B2446" s="2">
        <v>44508.866319444445</v>
      </c>
      <c r="C2446" s="2">
        <v>44508.876736111109</v>
      </c>
      <c r="D2446" t="s">
        <v>551</v>
      </c>
      <c r="E2446" t="s">
        <v>3887</v>
      </c>
      <c r="F2446" t="s">
        <v>3888</v>
      </c>
      <c r="G2446" t="s">
        <v>1019</v>
      </c>
      <c r="H2446" t="s">
        <v>1031</v>
      </c>
      <c r="I2446">
        <v>185349003</v>
      </c>
      <c r="J2446" t="s">
        <v>1038</v>
      </c>
      <c r="K2446">
        <v>85.55</v>
      </c>
      <c r="L2446">
        <v>85.55</v>
      </c>
      <c r="M2446">
        <v>0</v>
      </c>
      <c r="N2446">
        <v>16114001</v>
      </c>
      <c r="O2446" t="s">
        <v>1858</v>
      </c>
    </row>
    <row r="2447" spans="1:15">
      <c r="A2447" t="s">
        <v>3893</v>
      </c>
      <c r="B2447" s="2">
        <v>44733.883321759262</v>
      </c>
      <c r="C2447" s="2">
        <v>44733.893738425926</v>
      </c>
      <c r="D2447" t="s">
        <v>551</v>
      </c>
      <c r="E2447" t="s">
        <v>3887</v>
      </c>
      <c r="F2447" t="s">
        <v>3888</v>
      </c>
      <c r="G2447" t="s">
        <v>1019</v>
      </c>
      <c r="H2447" t="s">
        <v>1043</v>
      </c>
      <c r="I2447">
        <v>698314001</v>
      </c>
      <c r="J2447" t="s">
        <v>1190</v>
      </c>
      <c r="K2447">
        <v>142.58000000000001</v>
      </c>
      <c r="L2447">
        <v>142.58000000000001</v>
      </c>
      <c r="M2447">
        <v>0</v>
      </c>
      <c r="N2447">
        <v>389095005</v>
      </c>
      <c r="O2447" t="s">
        <v>1191</v>
      </c>
    </row>
    <row r="2448" spans="1:15">
      <c r="A2448" t="s">
        <v>3894</v>
      </c>
      <c r="B2448" s="2">
        <v>44776.883321759262</v>
      </c>
      <c r="C2448" s="2">
        <v>44776.900833333333</v>
      </c>
      <c r="D2448" t="s">
        <v>551</v>
      </c>
      <c r="E2448" t="s">
        <v>3880</v>
      </c>
      <c r="F2448" t="s">
        <v>3881</v>
      </c>
      <c r="G2448" t="s">
        <v>1019</v>
      </c>
      <c r="H2448" t="s">
        <v>1020</v>
      </c>
      <c r="I2448">
        <v>410620009</v>
      </c>
      <c r="J2448" t="s">
        <v>1054</v>
      </c>
      <c r="K2448">
        <v>136.80000000000001</v>
      </c>
      <c r="L2448">
        <v>1028.8900000000001</v>
      </c>
      <c r="M2448">
        <v>0</v>
      </c>
      <c r="O2448" t="s">
        <v>34</v>
      </c>
    </row>
    <row r="2449" spans="1:15">
      <c r="A2449" t="s">
        <v>3895</v>
      </c>
      <c r="B2449" s="2">
        <v>44848.549988425926</v>
      </c>
      <c r="C2449" s="2">
        <v>44848.56040509259</v>
      </c>
      <c r="D2449" t="s">
        <v>551</v>
      </c>
      <c r="E2449" t="s">
        <v>3887</v>
      </c>
      <c r="F2449" t="s">
        <v>3888</v>
      </c>
      <c r="G2449" t="s">
        <v>1019</v>
      </c>
      <c r="H2449" t="s">
        <v>1031</v>
      </c>
      <c r="I2449">
        <v>185345009</v>
      </c>
      <c r="J2449" t="s">
        <v>1032</v>
      </c>
      <c r="K2449">
        <v>85.55</v>
      </c>
      <c r="L2449">
        <v>85.55</v>
      </c>
      <c r="M2449">
        <v>0</v>
      </c>
      <c r="N2449">
        <v>444814009</v>
      </c>
      <c r="O2449" t="s">
        <v>1035</v>
      </c>
    </row>
    <row r="2450" spans="1:15">
      <c r="A2450" t="s">
        <v>3896</v>
      </c>
      <c r="B2450" s="2">
        <v>45093.883321759262</v>
      </c>
      <c r="C2450" s="2">
        <v>45093.893738425926</v>
      </c>
      <c r="D2450" t="s">
        <v>551</v>
      </c>
      <c r="E2450" t="s">
        <v>3887</v>
      </c>
      <c r="F2450" t="s">
        <v>3888</v>
      </c>
      <c r="G2450" t="s">
        <v>1019</v>
      </c>
      <c r="H2450" t="s">
        <v>1043</v>
      </c>
      <c r="I2450">
        <v>698314001</v>
      </c>
      <c r="J2450" t="s">
        <v>1190</v>
      </c>
      <c r="K2450">
        <v>142.58000000000001</v>
      </c>
      <c r="L2450">
        <v>142.58000000000001</v>
      </c>
      <c r="M2450">
        <v>0</v>
      </c>
      <c r="N2450">
        <v>389095005</v>
      </c>
      <c r="O2450" t="s">
        <v>1191</v>
      </c>
    </row>
    <row r="2451" spans="1:15">
      <c r="A2451" t="s">
        <v>3897</v>
      </c>
      <c r="B2451" s="2">
        <v>45147.883321759262</v>
      </c>
      <c r="C2451" s="2">
        <v>45147.895231481481</v>
      </c>
      <c r="D2451" t="s">
        <v>551</v>
      </c>
      <c r="E2451" t="s">
        <v>3880</v>
      </c>
      <c r="F2451" t="s">
        <v>3881</v>
      </c>
      <c r="G2451" t="s">
        <v>1019</v>
      </c>
      <c r="H2451" t="s">
        <v>1020</v>
      </c>
      <c r="I2451">
        <v>410620009</v>
      </c>
      <c r="J2451" t="s">
        <v>1054</v>
      </c>
      <c r="K2451">
        <v>136.80000000000001</v>
      </c>
      <c r="L2451">
        <v>914.78</v>
      </c>
      <c r="M2451">
        <v>0</v>
      </c>
      <c r="O2451" t="s">
        <v>34</v>
      </c>
    </row>
    <row r="2452" spans="1:15">
      <c r="A2452" t="s">
        <v>3898</v>
      </c>
      <c r="B2452" s="2">
        <v>45191.883321759262</v>
      </c>
      <c r="C2452" s="2">
        <v>45191.944988425923</v>
      </c>
      <c r="D2452" t="s">
        <v>551</v>
      </c>
      <c r="E2452" t="s">
        <v>3887</v>
      </c>
      <c r="F2452" t="s">
        <v>3888</v>
      </c>
      <c r="G2452" t="s">
        <v>1019</v>
      </c>
      <c r="H2452" t="s">
        <v>1031</v>
      </c>
      <c r="I2452">
        <v>185345009</v>
      </c>
      <c r="J2452" t="s">
        <v>1032</v>
      </c>
      <c r="K2452">
        <v>85.55</v>
      </c>
      <c r="L2452">
        <v>3611.33</v>
      </c>
      <c r="M2452">
        <v>0</v>
      </c>
      <c r="N2452">
        <v>307426000</v>
      </c>
      <c r="O2452" t="s">
        <v>1097</v>
      </c>
    </row>
    <row r="2453" spans="1:15">
      <c r="A2453" t="s">
        <v>3899</v>
      </c>
      <c r="B2453" s="2">
        <v>45518.883321759262</v>
      </c>
      <c r="C2453" s="2">
        <v>45518.893738425926</v>
      </c>
      <c r="D2453" t="s">
        <v>551</v>
      </c>
      <c r="E2453" t="s">
        <v>3880</v>
      </c>
      <c r="F2453" t="s">
        <v>3881</v>
      </c>
      <c r="G2453" t="s">
        <v>1019</v>
      </c>
      <c r="H2453" t="s">
        <v>1020</v>
      </c>
      <c r="I2453">
        <v>410620009</v>
      </c>
      <c r="J2453" t="s">
        <v>1054</v>
      </c>
      <c r="K2453">
        <v>136.80000000000001</v>
      </c>
      <c r="L2453">
        <v>1134.31</v>
      </c>
      <c r="M2453">
        <v>0</v>
      </c>
      <c r="O2453" t="s">
        <v>34</v>
      </c>
    </row>
    <row r="2454" spans="1:15">
      <c r="A2454" t="s">
        <v>3900</v>
      </c>
      <c r="B2454" s="2">
        <v>45532.883321759262</v>
      </c>
      <c r="C2454" s="2">
        <v>45533.278090277781</v>
      </c>
      <c r="D2454" t="s">
        <v>551</v>
      </c>
      <c r="E2454" t="s">
        <v>3887</v>
      </c>
      <c r="F2454" t="s">
        <v>3888</v>
      </c>
      <c r="G2454" t="s">
        <v>1019</v>
      </c>
      <c r="H2454" t="s">
        <v>1031</v>
      </c>
      <c r="I2454">
        <v>185349003</v>
      </c>
      <c r="J2454" t="s">
        <v>1038</v>
      </c>
      <c r="K2454">
        <v>85.55</v>
      </c>
      <c r="L2454">
        <v>6556.55</v>
      </c>
      <c r="M2454">
        <v>0</v>
      </c>
      <c r="N2454">
        <v>103697008</v>
      </c>
      <c r="O2454" t="s">
        <v>1039</v>
      </c>
    </row>
    <row r="2455" spans="1:15">
      <c r="A2455" t="s">
        <v>3901</v>
      </c>
      <c r="B2455" s="2">
        <v>45889.883321759262</v>
      </c>
      <c r="C2455" s="2">
        <v>45889.908831018518</v>
      </c>
      <c r="D2455" t="s">
        <v>551</v>
      </c>
      <c r="E2455" t="s">
        <v>3880</v>
      </c>
      <c r="F2455" t="s">
        <v>3881</v>
      </c>
      <c r="G2455" t="s">
        <v>1019</v>
      </c>
      <c r="H2455" t="s">
        <v>1020</v>
      </c>
      <c r="I2455">
        <v>162673000</v>
      </c>
      <c r="J2455" t="s">
        <v>1021</v>
      </c>
      <c r="K2455">
        <v>136.80000000000001</v>
      </c>
      <c r="L2455">
        <v>919.9</v>
      </c>
      <c r="M2455">
        <v>0</v>
      </c>
      <c r="O2455" t="s">
        <v>34</v>
      </c>
    </row>
    <row r="2456" spans="1:15">
      <c r="A2456" t="s">
        <v>3902</v>
      </c>
      <c r="B2456" s="2">
        <v>46173.883321759262</v>
      </c>
      <c r="C2456" s="2">
        <v>46173.893738425926</v>
      </c>
      <c r="D2456" t="s">
        <v>551</v>
      </c>
      <c r="E2456" t="s">
        <v>3887</v>
      </c>
      <c r="F2456" t="s">
        <v>3888</v>
      </c>
      <c r="G2456" t="s">
        <v>1019</v>
      </c>
      <c r="H2456" t="s">
        <v>1043</v>
      </c>
      <c r="I2456">
        <v>698314001</v>
      </c>
      <c r="J2456" t="s">
        <v>1190</v>
      </c>
      <c r="K2456">
        <v>142.58000000000001</v>
      </c>
      <c r="L2456">
        <v>142.58000000000001</v>
      </c>
      <c r="M2456">
        <v>0</v>
      </c>
      <c r="N2456">
        <v>389095005</v>
      </c>
      <c r="O2456" t="s">
        <v>1191</v>
      </c>
    </row>
    <row r="2457" spans="1:15">
      <c r="A2457" t="s">
        <v>3903</v>
      </c>
      <c r="B2457" s="2">
        <v>36882.68891203704</v>
      </c>
      <c r="C2457" s="2">
        <v>36882.699328703704</v>
      </c>
      <c r="D2457" t="s">
        <v>560</v>
      </c>
      <c r="E2457" t="s">
        <v>1762</v>
      </c>
      <c r="F2457" t="s">
        <v>1763</v>
      </c>
      <c r="G2457" t="s">
        <v>1093</v>
      </c>
      <c r="H2457" t="s">
        <v>1031</v>
      </c>
      <c r="I2457">
        <v>185347001</v>
      </c>
      <c r="J2457" t="s">
        <v>1124</v>
      </c>
      <c r="K2457">
        <v>85.55</v>
      </c>
      <c r="L2457">
        <v>85.55</v>
      </c>
      <c r="M2457">
        <v>0</v>
      </c>
      <c r="N2457">
        <v>102263004</v>
      </c>
      <c r="O2457" t="s">
        <v>2272</v>
      </c>
    </row>
    <row r="2458" spans="1:15">
      <c r="A2458" t="s">
        <v>3904</v>
      </c>
      <c r="B2458" s="2">
        <v>36894.105578703704</v>
      </c>
      <c r="C2458" s="2">
        <v>36894.120833333334</v>
      </c>
      <c r="D2458" t="s">
        <v>560</v>
      </c>
      <c r="E2458" t="s">
        <v>1762</v>
      </c>
      <c r="F2458" t="s">
        <v>1763</v>
      </c>
      <c r="G2458" t="s">
        <v>1093</v>
      </c>
      <c r="H2458" t="s">
        <v>1031</v>
      </c>
      <c r="I2458">
        <v>185347001</v>
      </c>
      <c r="J2458" t="s">
        <v>1124</v>
      </c>
      <c r="K2458">
        <v>85.55</v>
      </c>
      <c r="L2458">
        <v>516.95000000000005</v>
      </c>
      <c r="M2458">
        <v>466.95</v>
      </c>
      <c r="N2458">
        <v>609328004</v>
      </c>
      <c r="O2458" t="s">
        <v>1137</v>
      </c>
    </row>
    <row r="2459" spans="1:15">
      <c r="A2459" t="s">
        <v>3905</v>
      </c>
      <c r="B2459" s="2">
        <v>37505.855578703704</v>
      </c>
      <c r="C2459" s="2">
        <v>37505.865995370368</v>
      </c>
      <c r="D2459" t="s">
        <v>560</v>
      </c>
      <c r="E2459" t="s">
        <v>1762</v>
      </c>
      <c r="F2459" t="s">
        <v>1763</v>
      </c>
      <c r="G2459" t="s">
        <v>1093</v>
      </c>
      <c r="H2459" t="s">
        <v>1031</v>
      </c>
      <c r="I2459">
        <v>185345009</v>
      </c>
      <c r="J2459" t="s">
        <v>1032</v>
      </c>
      <c r="K2459">
        <v>85.55</v>
      </c>
      <c r="L2459">
        <v>516.95000000000005</v>
      </c>
      <c r="M2459">
        <v>466.95</v>
      </c>
      <c r="N2459">
        <v>233678006</v>
      </c>
      <c r="O2459" t="s">
        <v>1148</v>
      </c>
    </row>
    <row r="2460" spans="1:15">
      <c r="A2460" t="s">
        <v>3906</v>
      </c>
      <c r="B2460" s="2">
        <v>38446.855578703704</v>
      </c>
      <c r="C2460" s="2">
        <v>38446.865995370368</v>
      </c>
      <c r="D2460" t="s">
        <v>560</v>
      </c>
      <c r="E2460" t="s">
        <v>1762</v>
      </c>
      <c r="F2460" t="s">
        <v>1763</v>
      </c>
      <c r="G2460" t="s">
        <v>1093</v>
      </c>
      <c r="H2460" t="s">
        <v>1031</v>
      </c>
      <c r="I2460">
        <v>185345009</v>
      </c>
      <c r="J2460" t="s">
        <v>1032</v>
      </c>
      <c r="K2460">
        <v>85.55</v>
      </c>
      <c r="L2460">
        <v>85.55</v>
      </c>
      <c r="M2460">
        <v>28.13</v>
      </c>
      <c r="N2460">
        <v>367498001</v>
      </c>
      <c r="O2460" t="s">
        <v>2140</v>
      </c>
    </row>
    <row r="2461" spans="1:15">
      <c r="A2461" t="s">
        <v>3907</v>
      </c>
      <c r="B2461" s="2">
        <v>41223.81391203704</v>
      </c>
      <c r="C2461" s="2">
        <v>41223.833495370367</v>
      </c>
      <c r="D2461" t="s">
        <v>560</v>
      </c>
      <c r="E2461" t="s">
        <v>1762</v>
      </c>
      <c r="F2461" t="s">
        <v>1763</v>
      </c>
      <c r="G2461" t="s">
        <v>1093</v>
      </c>
      <c r="H2461" t="s">
        <v>1031</v>
      </c>
      <c r="I2461">
        <v>170837001</v>
      </c>
      <c r="J2461" t="s">
        <v>3611</v>
      </c>
      <c r="K2461">
        <v>142.58000000000001</v>
      </c>
      <c r="L2461">
        <v>573.98</v>
      </c>
      <c r="M2461">
        <v>423.98</v>
      </c>
      <c r="N2461">
        <v>609328004</v>
      </c>
      <c r="O2461" t="s">
        <v>1137</v>
      </c>
    </row>
    <row r="2462" spans="1:15">
      <c r="A2462" t="s">
        <v>3908</v>
      </c>
      <c r="B2462" s="2">
        <v>42357.81391203704</v>
      </c>
      <c r="C2462" s="2">
        <v>42357.824328703704</v>
      </c>
      <c r="D2462" t="s">
        <v>560</v>
      </c>
      <c r="E2462" t="s">
        <v>1323</v>
      </c>
      <c r="F2462" t="s">
        <v>1324</v>
      </c>
      <c r="G2462" t="s">
        <v>1093</v>
      </c>
      <c r="H2462" t="s">
        <v>1020</v>
      </c>
      <c r="I2462">
        <v>410620009</v>
      </c>
      <c r="J2462" t="s">
        <v>1054</v>
      </c>
      <c r="K2462">
        <v>136.80000000000001</v>
      </c>
      <c r="L2462">
        <v>914.78</v>
      </c>
      <c r="M2462">
        <v>914.78</v>
      </c>
      <c r="O2462" t="s">
        <v>34</v>
      </c>
    </row>
    <row r="2463" spans="1:15">
      <c r="A2463" t="s">
        <v>3909</v>
      </c>
      <c r="B2463" s="2">
        <v>42612.067245370374</v>
      </c>
      <c r="C2463" s="2">
        <v>42612.081759259258</v>
      </c>
      <c r="D2463" t="s">
        <v>560</v>
      </c>
      <c r="E2463" t="s">
        <v>1762</v>
      </c>
      <c r="F2463" t="s">
        <v>1763</v>
      </c>
      <c r="G2463" t="s">
        <v>1093</v>
      </c>
      <c r="H2463" t="s">
        <v>1031</v>
      </c>
      <c r="I2463">
        <v>371883000</v>
      </c>
      <c r="J2463" t="s">
        <v>3614</v>
      </c>
      <c r="K2463">
        <v>142.58000000000001</v>
      </c>
      <c r="L2463">
        <v>12317.57</v>
      </c>
      <c r="M2463">
        <v>12267.57</v>
      </c>
      <c r="N2463">
        <v>609328004</v>
      </c>
      <c r="O2463" t="s">
        <v>1137</v>
      </c>
    </row>
    <row r="2464" spans="1:15">
      <c r="A2464" t="s">
        <v>3910</v>
      </c>
      <c r="B2464" s="2">
        <v>42639.081759259258</v>
      </c>
      <c r="C2464" s="2">
        <v>42639.108402777776</v>
      </c>
      <c r="D2464" t="s">
        <v>560</v>
      </c>
      <c r="E2464" t="s">
        <v>1762</v>
      </c>
      <c r="F2464" t="s">
        <v>1763</v>
      </c>
      <c r="G2464" t="s">
        <v>1093</v>
      </c>
      <c r="H2464" t="s">
        <v>1031</v>
      </c>
      <c r="I2464">
        <v>371883000</v>
      </c>
      <c r="J2464" t="s">
        <v>3614</v>
      </c>
      <c r="K2464">
        <v>142.58000000000001</v>
      </c>
      <c r="L2464">
        <v>20626.96</v>
      </c>
      <c r="M2464">
        <v>20576.96</v>
      </c>
      <c r="N2464">
        <v>609328004</v>
      </c>
      <c r="O2464" t="s">
        <v>1137</v>
      </c>
    </row>
    <row r="2465" spans="1:15">
      <c r="A2465" t="s">
        <v>3911</v>
      </c>
      <c r="B2465" s="2">
        <v>42664.108402777776</v>
      </c>
      <c r="C2465" s="2">
        <v>42664.128460648149</v>
      </c>
      <c r="D2465" t="s">
        <v>560</v>
      </c>
      <c r="E2465" t="s">
        <v>1762</v>
      </c>
      <c r="F2465" t="s">
        <v>1763</v>
      </c>
      <c r="G2465" t="s">
        <v>1093</v>
      </c>
      <c r="H2465" t="s">
        <v>1031</v>
      </c>
      <c r="I2465">
        <v>371883000</v>
      </c>
      <c r="J2465" t="s">
        <v>3614</v>
      </c>
      <c r="K2465">
        <v>142.58000000000001</v>
      </c>
      <c r="L2465">
        <v>9674.26</v>
      </c>
      <c r="M2465">
        <v>9624.26</v>
      </c>
      <c r="N2465">
        <v>609328004</v>
      </c>
      <c r="O2465" t="s">
        <v>1137</v>
      </c>
    </row>
    <row r="2466" spans="1:15">
      <c r="A2466" t="s">
        <v>3912</v>
      </c>
      <c r="B2466" s="2">
        <v>42688.086793981478</v>
      </c>
      <c r="C2466" s="2">
        <v>42688.106365740743</v>
      </c>
      <c r="D2466" t="s">
        <v>560</v>
      </c>
      <c r="E2466" t="s">
        <v>1762</v>
      </c>
      <c r="F2466" t="s">
        <v>1763</v>
      </c>
      <c r="G2466" t="s">
        <v>1093</v>
      </c>
      <c r="H2466" t="s">
        <v>1031</v>
      </c>
      <c r="I2466">
        <v>170838006</v>
      </c>
      <c r="J2466" t="s">
        <v>3682</v>
      </c>
      <c r="K2466">
        <v>142.58000000000001</v>
      </c>
      <c r="L2466">
        <v>573.98</v>
      </c>
      <c r="M2466">
        <v>423.98</v>
      </c>
      <c r="N2466">
        <v>609328004</v>
      </c>
      <c r="O2466" t="s">
        <v>1137</v>
      </c>
    </row>
    <row r="2467" spans="1:15">
      <c r="A2467" t="s">
        <v>3913</v>
      </c>
      <c r="B2467" s="2">
        <v>42728.81391203704</v>
      </c>
      <c r="C2467" s="2">
        <v>42728.824328703704</v>
      </c>
      <c r="D2467" t="s">
        <v>560</v>
      </c>
      <c r="E2467" t="s">
        <v>1323</v>
      </c>
      <c r="F2467" t="s">
        <v>1324</v>
      </c>
      <c r="G2467" t="s">
        <v>1093</v>
      </c>
      <c r="H2467" t="s">
        <v>1020</v>
      </c>
      <c r="I2467">
        <v>410620009</v>
      </c>
      <c r="J2467" t="s">
        <v>1054</v>
      </c>
      <c r="K2467">
        <v>136.80000000000001</v>
      </c>
      <c r="L2467">
        <v>1134.43</v>
      </c>
      <c r="M2467">
        <v>1134.43</v>
      </c>
      <c r="O2467" t="s">
        <v>34</v>
      </c>
    </row>
    <row r="2468" spans="1:15">
      <c r="A2468" t="s">
        <v>3914</v>
      </c>
      <c r="B2468" s="2">
        <v>42742.81391203704</v>
      </c>
      <c r="C2468" s="2">
        <v>42742.938518518517</v>
      </c>
      <c r="D2468" t="s">
        <v>560</v>
      </c>
      <c r="E2468" t="s">
        <v>1762</v>
      </c>
      <c r="F2468" t="s">
        <v>1763</v>
      </c>
      <c r="G2468" t="s">
        <v>1093</v>
      </c>
      <c r="H2468" t="s">
        <v>1031</v>
      </c>
      <c r="I2468">
        <v>185349003</v>
      </c>
      <c r="J2468" t="s">
        <v>1038</v>
      </c>
      <c r="K2468">
        <v>85.55</v>
      </c>
      <c r="L2468">
        <v>3105.35</v>
      </c>
      <c r="M2468">
        <v>3055.35</v>
      </c>
      <c r="N2468">
        <v>103697008</v>
      </c>
      <c r="O2468" t="s">
        <v>1039</v>
      </c>
    </row>
    <row r="2469" spans="1:15">
      <c r="A2469" t="s">
        <v>3915</v>
      </c>
      <c r="B2469" s="2">
        <v>43085.81391203704</v>
      </c>
      <c r="C2469" s="2">
        <v>43085.824328703704</v>
      </c>
      <c r="D2469" t="s">
        <v>560</v>
      </c>
      <c r="E2469" t="s">
        <v>1762</v>
      </c>
      <c r="F2469" t="s">
        <v>1763</v>
      </c>
      <c r="G2469" t="s">
        <v>1093</v>
      </c>
      <c r="H2469" t="s">
        <v>1031</v>
      </c>
      <c r="I2469">
        <v>394701000</v>
      </c>
      <c r="J2469" t="s">
        <v>1154</v>
      </c>
      <c r="K2469">
        <v>142.58000000000001</v>
      </c>
      <c r="L2469">
        <v>142.58000000000001</v>
      </c>
      <c r="M2469">
        <v>0</v>
      </c>
      <c r="N2469">
        <v>233678006</v>
      </c>
      <c r="O2469" t="s">
        <v>1148</v>
      </c>
    </row>
    <row r="2470" spans="1:15">
      <c r="A2470" t="s">
        <v>3916</v>
      </c>
      <c r="B2470" s="2">
        <v>43080.81391203704</v>
      </c>
      <c r="C2470" s="2">
        <v>43080.824328703704</v>
      </c>
      <c r="D2470" t="s">
        <v>560</v>
      </c>
      <c r="E2470" t="s">
        <v>1762</v>
      </c>
      <c r="F2470" t="s">
        <v>1763</v>
      </c>
      <c r="G2470" t="s">
        <v>1093</v>
      </c>
      <c r="H2470" t="s">
        <v>1043</v>
      </c>
      <c r="I2470">
        <v>185347001</v>
      </c>
      <c r="J2470" t="s">
        <v>1124</v>
      </c>
      <c r="K2470">
        <v>85.55</v>
      </c>
      <c r="L2470">
        <v>85.55</v>
      </c>
      <c r="M2470">
        <v>28.13</v>
      </c>
      <c r="N2470">
        <v>82423001</v>
      </c>
      <c r="O2470" t="s">
        <v>1542</v>
      </c>
    </row>
    <row r="2471" spans="1:15">
      <c r="A2471" t="s">
        <v>3917</v>
      </c>
      <c r="B2471" s="2">
        <v>43083.81391203704</v>
      </c>
      <c r="C2471" s="2">
        <v>43083.849791666667</v>
      </c>
      <c r="D2471" t="s">
        <v>560</v>
      </c>
      <c r="E2471" t="s">
        <v>1762</v>
      </c>
      <c r="F2471" t="s">
        <v>1763</v>
      </c>
      <c r="G2471" t="s">
        <v>1093</v>
      </c>
      <c r="H2471" t="s">
        <v>1031</v>
      </c>
      <c r="I2471">
        <v>308335008</v>
      </c>
      <c r="J2471" t="s">
        <v>1194</v>
      </c>
      <c r="K2471">
        <v>142.58000000000001</v>
      </c>
      <c r="L2471">
        <v>573.98</v>
      </c>
      <c r="M2471">
        <v>523.98</v>
      </c>
      <c r="N2471">
        <v>82423001</v>
      </c>
      <c r="O2471" t="s">
        <v>1542</v>
      </c>
    </row>
    <row r="2472" spans="1:15">
      <c r="A2472" t="s">
        <v>3918</v>
      </c>
      <c r="B2472" s="2">
        <v>43086.849791666667</v>
      </c>
      <c r="C2472" s="2">
        <v>43086.888657407406</v>
      </c>
      <c r="D2472" t="s">
        <v>560</v>
      </c>
      <c r="E2472" t="s">
        <v>1762</v>
      </c>
      <c r="F2472" t="s">
        <v>1763</v>
      </c>
      <c r="G2472" t="s">
        <v>1093</v>
      </c>
      <c r="H2472" t="s">
        <v>1031</v>
      </c>
      <c r="I2472">
        <v>308335008</v>
      </c>
      <c r="J2472" t="s">
        <v>1194</v>
      </c>
      <c r="K2472">
        <v>142.58000000000001</v>
      </c>
      <c r="L2472">
        <v>573.98</v>
      </c>
      <c r="M2472">
        <v>523.98</v>
      </c>
      <c r="N2472">
        <v>82423001</v>
      </c>
      <c r="O2472" t="s">
        <v>1542</v>
      </c>
    </row>
    <row r="2473" spans="1:15">
      <c r="A2473" t="s">
        <v>3919</v>
      </c>
      <c r="B2473" s="2">
        <v>43089.888657407406</v>
      </c>
      <c r="C2473" s="2">
        <v>43089.926574074074</v>
      </c>
      <c r="D2473" t="s">
        <v>560</v>
      </c>
      <c r="E2473" t="s">
        <v>1762</v>
      </c>
      <c r="F2473" t="s">
        <v>1763</v>
      </c>
      <c r="G2473" t="s">
        <v>1093</v>
      </c>
      <c r="H2473" t="s">
        <v>1031</v>
      </c>
      <c r="I2473">
        <v>308335008</v>
      </c>
      <c r="J2473" t="s">
        <v>1194</v>
      </c>
      <c r="K2473">
        <v>142.58000000000001</v>
      </c>
      <c r="L2473">
        <v>573.98</v>
      </c>
      <c r="M2473">
        <v>523.98</v>
      </c>
      <c r="N2473">
        <v>82423001</v>
      </c>
      <c r="O2473" t="s">
        <v>1542</v>
      </c>
    </row>
    <row r="2474" spans="1:15">
      <c r="A2474" t="s">
        <v>3920</v>
      </c>
      <c r="B2474" s="2">
        <v>43099.81391203704</v>
      </c>
      <c r="C2474" s="2">
        <v>43099.848078703704</v>
      </c>
      <c r="D2474" t="s">
        <v>560</v>
      </c>
      <c r="E2474" t="s">
        <v>1323</v>
      </c>
      <c r="F2474" t="s">
        <v>1324</v>
      </c>
      <c r="G2474" t="s">
        <v>1093</v>
      </c>
      <c r="H2474" t="s">
        <v>1020</v>
      </c>
      <c r="I2474">
        <v>162673000</v>
      </c>
      <c r="J2474" t="s">
        <v>1021</v>
      </c>
      <c r="K2474">
        <v>136.80000000000001</v>
      </c>
      <c r="L2474">
        <v>1430.51</v>
      </c>
      <c r="M2474">
        <v>1430.51</v>
      </c>
      <c r="O2474" t="s">
        <v>34</v>
      </c>
    </row>
    <row r="2475" spans="1:15">
      <c r="A2475" t="s">
        <v>3921</v>
      </c>
      <c r="B2475" s="2">
        <v>43106.81391203704</v>
      </c>
      <c r="C2475" s="2">
        <v>43106.848761574074</v>
      </c>
      <c r="D2475" t="s">
        <v>560</v>
      </c>
      <c r="E2475" t="s">
        <v>1762</v>
      </c>
      <c r="F2475" t="s">
        <v>1763</v>
      </c>
      <c r="G2475" t="s">
        <v>1093</v>
      </c>
      <c r="H2475" t="s">
        <v>1031</v>
      </c>
      <c r="I2475">
        <v>308335008</v>
      </c>
      <c r="J2475" t="s">
        <v>1194</v>
      </c>
      <c r="K2475">
        <v>142.58000000000001</v>
      </c>
      <c r="L2475">
        <v>573.98</v>
      </c>
      <c r="M2475">
        <v>523.98</v>
      </c>
      <c r="N2475">
        <v>82423001</v>
      </c>
      <c r="O2475" t="s">
        <v>1542</v>
      </c>
    </row>
    <row r="2476" spans="1:15">
      <c r="A2476" t="s">
        <v>3922</v>
      </c>
      <c r="B2476" s="2">
        <v>43109.848761574074</v>
      </c>
      <c r="C2476" s="2">
        <v>43109.887349537035</v>
      </c>
      <c r="D2476" t="s">
        <v>560</v>
      </c>
      <c r="E2476" t="s">
        <v>1762</v>
      </c>
      <c r="F2476" t="s">
        <v>1763</v>
      </c>
      <c r="G2476" t="s">
        <v>1093</v>
      </c>
      <c r="H2476" t="s">
        <v>1031</v>
      </c>
      <c r="I2476">
        <v>308335008</v>
      </c>
      <c r="J2476" t="s">
        <v>1194</v>
      </c>
      <c r="K2476">
        <v>142.58000000000001</v>
      </c>
      <c r="L2476">
        <v>573.98</v>
      </c>
      <c r="M2476">
        <v>523.98</v>
      </c>
      <c r="N2476">
        <v>82423001</v>
      </c>
      <c r="O2476" t="s">
        <v>1542</v>
      </c>
    </row>
    <row r="2477" spans="1:15">
      <c r="A2477" t="s">
        <v>3923</v>
      </c>
      <c r="B2477" s="2">
        <v>43112.887349537035</v>
      </c>
      <c r="C2477" s="2">
        <v>43112.921550925923</v>
      </c>
      <c r="D2477" t="s">
        <v>560</v>
      </c>
      <c r="E2477" t="s">
        <v>1762</v>
      </c>
      <c r="F2477" t="s">
        <v>1763</v>
      </c>
      <c r="G2477" t="s">
        <v>1093</v>
      </c>
      <c r="H2477" t="s">
        <v>1031</v>
      </c>
      <c r="I2477">
        <v>308335008</v>
      </c>
      <c r="J2477" t="s">
        <v>1194</v>
      </c>
      <c r="K2477">
        <v>142.58000000000001</v>
      </c>
      <c r="L2477">
        <v>573.98</v>
      </c>
      <c r="M2477">
        <v>523.98</v>
      </c>
      <c r="N2477">
        <v>82423001</v>
      </c>
      <c r="O2477" t="s">
        <v>1542</v>
      </c>
    </row>
    <row r="2478" spans="1:15">
      <c r="A2478" t="s">
        <v>3924</v>
      </c>
      <c r="B2478" s="2">
        <v>43120.81391203704</v>
      </c>
      <c r="C2478" s="2">
        <v>43120.928101851852</v>
      </c>
      <c r="D2478" t="s">
        <v>560</v>
      </c>
      <c r="E2478" t="s">
        <v>1762</v>
      </c>
      <c r="F2478" t="s">
        <v>1763</v>
      </c>
      <c r="G2478" t="s">
        <v>1093</v>
      </c>
      <c r="H2478" t="s">
        <v>1031</v>
      </c>
      <c r="I2478">
        <v>185349003</v>
      </c>
      <c r="J2478" t="s">
        <v>1038</v>
      </c>
      <c r="K2478">
        <v>85.55</v>
      </c>
      <c r="L2478">
        <v>3105.35</v>
      </c>
      <c r="M2478">
        <v>3055.35</v>
      </c>
      <c r="N2478">
        <v>66383009</v>
      </c>
      <c r="O2478" t="s">
        <v>1209</v>
      </c>
    </row>
    <row r="2479" spans="1:15">
      <c r="A2479" t="s">
        <v>3925</v>
      </c>
      <c r="B2479" s="2">
        <v>43127.81391203704</v>
      </c>
      <c r="C2479" s="2">
        <v>43127.854953703703</v>
      </c>
      <c r="D2479" t="s">
        <v>560</v>
      </c>
      <c r="E2479" t="s">
        <v>1762</v>
      </c>
      <c r="F2479" t="s">
        <v>1763</v>
      </c>
      <c r="G2479" t="s">
        <v>1093</v>
      </c>
      <c r="H2479" t="s">
        <v>1031</v>
      </c>
      <c r="I2479">
        <v>308335008</v>
      </c>
      <c r="J2479" t="s">
        <v>1194</v>
      </c>
      <c r="K2479">
        <v>142.58000000000001</v>
      </c>
      <c r="L2479">
        <v>573.98</v>
      </c>
      <c r="M2479">
        <v>523.98</v>
      </c>
      <c r="N2479">
        <v>82423001</v>
      </c>
      <c r="O2479" t="s">
        <v>1542</v>
      </c>
    </row>
    <row r="2480" spans="1:15">
      <c r="A2480" t="s">
        <v>3926</v>
      </c>
      <c r="B2480" s="2">
        <v>43130.854953703703</v>
      </c>
      <c r="C2480" s="2">
        <v>43130.894745370373</v>
      </c>
      <c r="D2480" t="s">
        <v>560</v>
      </c>
      <c r="E2480" t="s">
        <v>1762</v>
      </c>
      <c r="F2480" t="s">
        <v>1763</v>
      </c>
      <c r="G2480" t="s">
        <v>1093</v>
      </c>
      <c r="H2480" t="s">
        <v>1031</v>
      </c>
      <c r="I2480">
        <v>308335008</v>
      </c>
      <c r="J2480" t="s">
        <v>1194</v>
      </c>
      <c r="K2480">
        <v>142.58000000000001</v>
      </c>
      <c r="L2480">
        <v>573.98</v>
      </c>
      <c r="M2480">
        <v>523.98</v>
      </c>
      <c r="N2480">
        <v>82423001</v>
      </c>
      <c r="O2480" t="s">
        <v>1542</v>
      </c>
    </row>
    <row r="2481" spans="1:15">
      <c r="A2481" t="s">
        <v>3927</v>
      </c>
      <c r="B2481" s="2">
        <v>43133.894745370373</v>
      </c>
      <c r="C2481" s="2">
        <v>43133.935590277775</v>
      </c>
      <c r="D2481" t="s">
        <v>560</v>
      </c>
      <c r="E2481" t="s">
        <v>1762</v>
      </c>
      <c r="F2481" t="s">
        <v>1763</v>
      </c>
      <c r="G2481" t="s">
        <v>1093</v>
      </c>
      <c r="H2481" t="s">
        <v>1031</v>
      </c>
      <c r="I2481">
        <v>308335008</v>
      </c>
      <c r="J2481" t="s">
        <v>1194</v>
      </c>
      <c r="K2481">
        <v>142.58000000000001</v>
      </c>
      <c r="L2481">
        <v>573.98</v>
      </c>
      <c r="M2481">
        <v>523.98</v>
      </c>
      <c r="N2481">
        <v>82423001</v>
      </c>
      <c r="O2481" t="s">
        <v>1542</v>
      </c>
    </row>
    <row r="2482" spans="1:15">
      <c r="A2482" t="s">
        <v>3928</v>
      </c>
      <c r="B2482" s="2">
        <v>43136.935590277775</v>
      </c>
      <c r="C2482" s="2">
        <v>43136.973032407404</v>
      </c>
      <c r="D2482" t="s">
        <v>560</v>
      </c>
      <c r="E2482" t="s">
        <v>1762</v>
      </c>
      <c r="F2482" t="s">
        <v>1763</v>
      </c>
      <c r="G2482" t="s">
        <v>1093</v>
      </c>
      <c r="H2482" t="s">
        <v>1031</v>
      </c>
      <c r="I2482">
        <v>308335008</v>
      </c>
      <c r="J2482" t="s">
        <v>1194</v>
      </c>
      <c r="K2482">
        <v>142.58000000000001</v>
      </c>
      <c r="L2482">
        <v>573.98</v>
      </c>
      <c r="M2482">
        <v>523.98</v>
      </c>
      <c r="N2482">
        <v>82423001</v>
      </c>
      <c r="O2482" t="s">
        <v>1542</v>
      </c>
    </row>
    <row r="2483" spans="1:15">
      <c r="A2483" t="s">
        <v>3929</v>
      </c>
      <c r="B2483" s="2">
        <v>43265.855578703704</v>
      </c>
      <c r="C2483" s="2">
        <v>43265.865995370368</v>
      </c>
      <c r="D2483" t="s">
        <v>560</v>
      </c>
      <c r="E2483" t="s">
        <v>1762</v>
      </c>
      <c r="F2483" t="s">
        <v>1763</v>
      </c>
      <c r="G2483" t="s">
        <v>1093</v>
      </c>
      <c r="H2483" t="s">
        <v>1031</v>
      </c>
      <c r="I2483">
        <v>394701000</v>
      </c>
      <c r="J2483" t="s">
        <v>1154</v>
      </c>
      <c r="K2483">
        <v>142.58000000000001</v>
      </c>
      <c r="L2483">
        <v>142.58000000000001</v>
      </c>
      <c r="M2483">
        <v>92.58</v>
      </c>
      <c r="N2483">
        <v>233678006</v>
      </c>
      <c r="O2483" t="s">
        <v>1148</v>
      </c>
    </row>
    <row r="2484" spans="1:15">
      <c r="A2484" t="s">
        <v>3930</v>
      </c>
      <c r="B2484" s="2">
        <v>43470.81391203704</v>
      </c>
      <c r="C2484" s="2">
        <v>43470.83494212963</v>
      </c>
      <c r="D2484" t="s">
        <v>560</v>
      </c>
      <c r="E2484" t="s">
        <v>1323</v>
      </c>
      <c r="F2484" t="s">
        <v>1324</v>
      </c>
      <c r="G2484" t="s">
        <v>1093</v>
      </c>
      <c r="H2484" t="s">
        <v>1020</v>
      </c>
      <c r="I2484">
        <v>162673000</v>
      </c>
      <c r="J2484" t="s">
        <v>1021</v>
      </c>
      <c r="K2484">
        <v>136.80000000000001</v>
      </c>
      <c r="L2484">
        <v>704.2</v>
      </c>
      <c r="M2484">
        <v>704.2</v>
      </c>
      <c r="O2484" t="s">
        <v>34</v>
      </c>
    </row>
    <row r="2485" spans="1:15">
      <c r="A2485" t="s">
        <v>3931</v>
      </c>
      <c r="B2485" s="2">
        <v>43484.81391203704</v>
      </c>
      <c r="C2485" s="2">
        <v>43484.921238425923</v>
      </c>
      <c r="D2485" t="s">
        <v>560</v>
      </c>
      <c r="E2485" t="s">
        <v>1762</v>
      </c>
      <c r="F2485" t="s">
        <v>1763</v>
      </c>
      <c r="G2485" t="s">
        <v>1093</v>
      </c>
      <c r="H2485" t="s">
        <v>1031</v>
      </c>
      <c r="I2485">
        <v>185349003</v>
      </c>
      <c r="J2485" t="s">
        <v>1038</v>
      </c>
      <c r="K2485">
        <v>85.55</v>
      </c>
      <c r="L2485">
        <v>3536.75</v>
      </c>
      <c r="M2485">
        <v>3486.75</v>
      </c>
      <c r="N2485">
        <v>66383009</v>
      </c>
      <c r="O2485" t="s">
        <v>1209</v>
      </c>
    </row>
    <row r="2486" spans="1:15">
      <c r="A2486" t="s">
        <v>3932</v>
      </c>
      <c r="B2486" s="2">
        <v>43841.81391203704</v>
      </c>
      <c r="C2486" s="2">
        <v>43841.837939814817</v>
      </c>
      <c r="D2486" t="s">
        <v>560</v>
      </c>
      <c r="E2486" t="s">
        <v>1323</v>
      </c>
      <c r="F2486" t="s">
        <v>1324</v>
      </c>
      <c r="G2486" t="s">
        <v>1093</v>
      </c>
      <c r="H2486" t="s">
        <v>1020</v>
      </c>
      <c r="I2486">
        <v>162673000</v>
      </c>
      <c r="J2486" t="s">
        <v>1021</v>
      </c>
      <c r="K2486">
        <v>136.80000000000001</v>
      </c>
      <c r="L2486">
        <v>840.2</v>
      </c>
      <c r="M2486">
        <v>840.2</v>
      </c>
      <c r="O2486" t="s">
        <v>34</v>
      </c>
    </row>
    <row r="2487" spans="1:15">
      <c r="A2487" t="s">
        <v>3933</v>
      </c>
      <c r="B2487" s="2">
        <v>44103.855578703704</v>
      </c>
      <c r="C2487" s="2">
        <v>44103.865995370368</v>
      </c>
      <c r="D2487" t="s">
        <v>560</v>
      </c>
      <c r="E2487" t="s">
        <v>1762</v>
      </c>
      <c r="F2487" t="s">
        <v>1763</v>
      </c>
      <c r="G2487" t="s">
        <v>1093</v>
      </c>
      <c r="H2487" t="s">
        <v>1043</v>
      </c>
      <c r="I2487">
        <v>698314001</v>
      </c>
      <c r="J2487" t="s">
        <v>1190</v>
      </c>
      <c r="K2487">
        <v>142.58000000000001</v>
      </c>
      <c r="L2487">
        <v>142.58000000000001</v>
      </c>
      <c r="M2487">
        <v>92.58</v>
      </c>
      <c r="N2487">
        <v>389095005</v>
      </c>
      <c r="O2487" t="s">
        <v>1191</v>
      </c>
    </row>
    <row r="2488" spans="1:15">
      <c r="A2488" t="s">
        <v>3934</v>
      </c>
      <c r="B2488" s="2">
        <v>44180.904131944444</v>
      </c>
      <c r="C2488" s="2">
        <v>44180.945798611108</v>
      </c>
      <c r="D2488" t="s">
        <v>560</v>
      </c>
      <c r="E2488" t="s">
        <v>1754</v>
      </c>
      <c r="F2488" t="s">
        <v>1755</v>
      </c>
      <c r="G2488" t="s">
        <v>1093</v>
      </c>
      <c r="H2488" t="s">
        <v>1076</v>
      </c>
      <c r="I2488">
        <v>50849002</v>
      </c>
      <c r="J2488" t="s">
        <v>1163</v>
      </c>
      <c r="K2488">
        <v>146.18</v>
      </c>
      <c r="L2488">
        <v>146.18</v>
      </c>
      <c r="M2488">
        <v>37.9</v>
      </c>
      <c r="N2488">
        <v>384709000</v>
      </c>
      <c r="O2488" t="s">
        <v>1164</v>
      </c>
    </row>
    <row r="2489" spans="1:15">
      <c r="A2489" t="s">
        <v>3935</v>
      </c>
      <c r="B2489" s="2">
        <v>44212.81391203704</v>
      </c>
      <c r="C2489" s="2">
        <v>44212.851018518515</v>
      </c>
      <c r="D2489" t="s">
        <v>560</v>
      </c>
      <c r="E2489" t="s">
        <v>1323</v>
      </c>
      <c r="F2489" t="s">
        <v>1324</v>
      </c>
      <c r="G2489" t="s">
        <v>1093</v>
      </c>
      <c r="H2489" t="s">
        <v>1020</v>
      </c>
      <c r="I2489">
        <v>162673000</v>
      </c>
      <c r="J2489" t="s">
        <v>1021</v>
      </c>
      <c r="K2489">
        <v>136.80000000000001</v>
      </c>
      <c r="L2489">
        <v>1186.78</v>
      </c>
      <c r="M2489">
        <v>1186.78</v>
      </c>
      <c r="O2489" t="s">
        <v>34</v>
      </c>
    </row>
    <row r="2490" spans="1:15">
      <c r="A2490" t="s">
        <v>3936</v>
      </c>
      <c r="B2490" s="2">
        <v>44345.855578703704</v>
      </c>
      <c r="C2490" s="2">
        <v>44345.865995370368</v>
      </c>
      <c r="D2490" t="s">
        <v>560</v>
      </c>
      <c r="E2490" t="s">
        <v>1762</v>
      </c>
      <c r="F2490" t="s">
        <v>1763</v>
      </c>
      <c r="G2490" t="s">
        <v>1093</v>
      </c>
      <c r="H2490" t="s">
        <v>1043</v>
      </c>
      <c r="I2490">
        <v>33879002</v>
      </c>
      <c r="J2490" t="s">
        <v>1044</v>
      </c>
      <c r="K2490">
        <v>142.58000000000001</v>
      </c>
      <c r="L2490">
        <v>278.58</v>
      </c>
      <c r="M2490">
        <v>228.58</v>
      </c>
      <c r="O2490" t="s">
        <v>34</v>
      </c>
    </row>
    <row r="2491" spans="1:15">
      <c r="A2491" t="s">
        <v>3937</v>
      </c>
      <c r="B2491" s="2">
        <v>44366.855578703704</v>
      </c>
      <c r="C2491" s="2">
        <v>44366.865995370368</v>
      </c>
      <c r="D2491" t="s">
        <v>560</v>
      </c>
      <c r="E2491" t="s">
        <v>1762</v>
      </c>
      <c r="F2491" t="s">
        <v>1763</v>
      </c>
      <c r="G2491" t="s">
        <v>1093</v>
      </c>
      <c r="H2491" t="s">
        <v>1043</v>
      </c>
      <c r="I2491">
        <v>33879002</v>
      </c>
      <c r="J2491" t="s">
        <v>1044</v>
      </c>
      <c r="K2491">
        <v>142.58000000000001</v>
      </c>
      <c r="L2491">
        <v>278.58</v>
      </c>
      <c r="M2491">
        <v>228.58</v>
      </c>
      <c r="O2491" t="s">
        <v>34</v>
      </c>
    </row>
    <row r="2492" spans="1:15">
      <c r="A2492" t="s">
        <v>3938</v>
      </c>
      <c r="B2492" s="2">
        <v>44583.81391203704</v>
      </c>
      <c r="C2492" s="2">
        <v>44583.850763888891</v>
      </c>
      <c r="D2492" t="s">
        <v>560</v>
      </c>
      <c r="E2492" t="s">
        <v>1323</v>
      </c>
      <c r="F2492" t="s">
        <v>1324</v>
      </c>
      <c r="G2492" t="s">
        <v>1093</v>
      </c>
      <c r="H2492" t="s">
        <v>1020</v>
      </c>
      <c r="I2492">
        <v>162673000</v>
      </c>
      <c r="J2492" t="s">
        <v>1021</v>
      </c>
      <c r="K2492">
        <v>136.80000000000001</v>
      </c>
      <c r="L2492">
        <v>1075.79</v>
      </c>
      <c r="M2492">
        <v>1075.79</v>
      </c>
      <c r="O2492" t="s">
        <v>34</v>
      </c>
    </row>
    <row r="2493" spans="1:15">
      <c r="A2493" t="s">
        <v>3939</v>
      </c>
      <c r="B2493" s="2">
        <v>44597.81391203704</v>
      </c>
      <c r="C2493" s="2">
        <v>44597.980208333334</v>
      </c>
      <c r="D2493" t="s">
        <v>560</v>
      </c>
      <c r="E2493" t="s">
        <v>1762</v>
      </c>
      <c r="F2493" t="s">
        <v>1763</v>
      </c>
      <c r="G2493" t="s">
        <v>1093</v>
      </c>
      <c r="H2493" t="s">
        <v>1031</v>
      </c>
      <c r="I2493">
        <v>185349003</v>
      </c>
      <c r="J2493" t="s">
        <v>1038</v>
      </c>
      <c r="K2493">
        <v>85.55</v>
      </c>
      <c r="L2493">
        <v>3105.35</v>
      </c>
      <c r="M2493">
        <v>3055.35</v>
      </c>
      <c r="N2493">
        <v>103697008</v>
      </c>
      <c r="O2493" t="s">
        <v>1039</v>
      </c>
    </row>
    <row r="2494" spans="1:15">
      <c r="A2494" t="s">
        <v>3940</v>
      </c>
      <c r="B2494" s="2">
        <v>44653.855578703704</v>
      </c>
      <c r="C2494" s="2">
        <v>44653.865995370368</v>
      </c>
      <c r="D2494" t="s">
        <v>560</v>
      </c>
      <c r="E2494" t="s">
        <v>1762</v>
      </c>
      <c r="F2494" t="s">
        <v>1763</v>
      </c>
      <c r="G2494" t="s">
        <v>1093</v>
      </c>
      <c r="H2494" t="s">
        <v>1031</v>
      </c>
      <c r="I2494">
        <v>424441002</v>
      </c>
      <c r="J2494" t="s">
        <v>1059</v>
      </c>
      <c r="K2494">
        <v>142.58000000000001</v>
      </c>
      <c r="L2494">
        <v>54685.03</v>
      </c>
      <c r="M2494">
        <v>54635.03</v>
      </c>
      <c r="N2494">
        <v>72892002</v>
      </c>
      <c r="O2494" t="s">
        <v>1060</v>
      </c>
    </row>
    <row r="2495" spans="1:15">
      <c r="A2495" t="s">
        <v>3941</v>
      </c>
      <c r="B2495" s="2">
        <v>44681.855578703704</v>
      </c>
      <c r="C2495" s="2">
        <v>44681.865995370368</v>
      </c>
      <c r="D2495" t="s">
        <v>560</v>
      </c>
      <c r="E2495" t="s">
        <v>1762</v>
      </c>
      <c r="F2495" t="s">
        <v>1763</v>
      </c>
      <c r="G2495" t="s">
        <v>1093</v>
      </c>
      <c r="H2495" t="s">
        <v>1031</v>
      </c>
      <c r="I2495">
        <v>424619006</v>
      </c>
      <c r="J2495" t="s">
        <v>1062</v>
      </c>
      <c r="K2495">
        <v>142.58000000000001</v>
      </c>
      <c r="L2495">
        <v>11819.01</v>
      </c>
      <c r="M2495">
        <v>11769.01</v>
      </c>
      <c r="N2495">
        <v>72892002</v>
      </c>
      <c r="O2495" t="s">
        <v>1060</v>
      </c>
    </row>
    <row r="2496" spans="1:15">
      <c r="A2496" t="s">
        <v>3942</v>
      </c>
      <c r="B2496" s="2">
        <v>44709.855578703704</v>
      </c>
      <c r="C2496" s="2">
        <v>44709.865995370368</v>
      </c>
      <c r="D2496" t="s">
        <v>560</v>
      </c>
      <c r="E2496" t="s">
        <v>1762</v>
      </c>
      <c r="F2496" t="s">
        <v>1763</v>
      </c>
      <c r="G2496" t="s">
        <v>1093</v>
      </c>
      <c r="H2496" t="s">
        <v>1031</v>
      </c>
      <c r="I2496">
        <v>424619006</v>
      </c>
      <c r="J2496" t="s">
        <v>1062</v>
      </c>
      <c r="K2496">
        <v>142.58000000000001</v>
      </c>
      <c r="L2496">
        <v>8247.14</v>
      </c>
      <c r="M2496">
        <v>8197.14</v>
      </c>
      <c r="N2496">
        <v>72892002</v>
      </c>
      <c r="O2496" t="s">
        <v>1060</v>
      </c>
    </row>
    <row r="2497" spans="1:15">
      <c r="A2497" t="s">
        <v>3943</v>
      </c>
      <c r="B2497" s="2">
        <v>44730.855578703704</v>
      </c>
      <c r="C2497" s="2">
        <v>44730.865995370368</v>
      </c>
      <c r="D2497" t="s">
        <v>560</v>
      </c>
      <c r="E2497" t="s">
        <v>1762</v>
      </c>
      <c r="F2497" t="s">
        <v>1763</v>
      </c>
      <c r="G2497" t="s">
        <v>1093</v>
      </c>
      <c r="H2497" t="s">
        <v>1031</v>
      </c>
      <c r="I2497">
        <v>394701000</v>
      </c>
      <c r="J2497" t="s">
        <v>1154</v>
      </c>
      <c r="K2497">
        <v>142.58000000000001</v>
      </c>
      <c r="L2497">
        <v>142.58000000000001</v>
      </c>
      <c r="M2497">
        <v>92.58</v>
      </c>
      <c r="N2497">
        <v>195967001</v>
      </c>
      <c r="O2497" t="s">
        <v>1676</v>
      </c>
    </row>
    <row r="2498" spans="1:15">
      <c r="A2498" t="s">
        <v>3944</v>
      </c>
      <c r="B2498" s="2">
        <v>44737.855578703704</v>
      </c>
      <c r="C2498" s="2">
        <v>44737.865995370368</v>
      </c>
      <c r="D2498" t="s">
        <v>560</v>
      </c>
      <c r="E2498" t="s">
        <v>1762</v>
      </c>
      <c r="F2498" t="s">
        <v>1763</v>
      </c>
      <c r="G2498" t="s">
        <v>1093</v>
      </c>
      <c r="H2498" t="s">
        <v>1031</v>
      </c>
      <c r="I2498">
        <v>424619006</v>
      </c>
      <c r="J2498" t="s">
        <v>1062</v>
      </c>
      <c r="K2498">
        <v>142.58000000000001</v>
      </c>
      <c r="L2498">
        <v>11451.02</v>
      </c>
      <c r="M2498">
        <v>11401.02</v>
      </c>
      <c r="N2498">
        <v>72892002</v>
      </c>
      <c r="O2498" t="s">
        <v>1060</v>
      </c>
    </row>
    <row r="2499" spans="1:15">
      <c r="A2499" t="s">
        <v>3945</v>
      </c>
      <c r="B2499" s="2">
        <v>44765.855578703704</v>
      </c>
      <c r="C2499" s="2">
        <v>44765.865995370368</v>
      </c>
      <c r="D2499" t="s">
        <v>560</v>
      </c>
      <c r="E2499" t="s">
        <v>1762</v>
      </c>
      <c r="F2499" t="s">
        <v>1763</v>
      </c>
      <c r="G2499" t="s">
        <v>1093</v>
      </c>
      <c r="H2499" t="s">
        <v>1031</v>
      </c>
      <c r="I2499">
        <v>424619006</v>
      </c>
      <c r="J2499" t="s">
        <v>1062</v>
      </c>
      <c r="K2499">
        <v>142.58000000000001</v>
      </c>
      <c r="L2499">
        <v>4857.3900000000003</v>
      </c>
      <c r="M2499">
        <v>4807.3900000000003</v>
      </c>
      <c r="N2499">
        <v>72892002</v>
      </c>
      <c r="O2499" t="s">
        <v>1060</v>
      </c>
    </row>
    <row r="2500" spans="1:15">
      <c r="A2500" t="s">
        <v>3946</v>
      </c>
      <c r="B2500" s="2">
        <v>44793.855578703704</v>
      </c>
      <c r="C2500" s="2">
        <v>44793.865995370368</v>
      </c>
      <c r="D2500" t="s">
        <v>560</v>
      </c>
      <c r="E2500" t="s">
        <v>1762</v>
      </c>
      <c r="F2500" t="s">
        <v>1763</v>
      </c>
      <c r="G2500" t="s">
        <v>1093</v>
      </c>
      <c r="H2500" t="s">
        <v>1031</v>
      </c>
      <c r="I2500">
        <v>424619006</v>
      </c>
      <c r="J2500" t="s">
        <v>1062</v>
      </c>
      <c r="K2500">
        <v>142.58000000000001</v>
      </c>
      <c r="L2500">
        <v>14312.79</v>
      </c>
      <c r="M2500">
        <v>14262.79</v>
      </c>
      <c r="N2500">
        <v>72892002</v>
      </c>
      <c r="O2500" t="s">
        <v>1060</v>
      </c>
    </row>
    <row r="2501" spans="1:15">
      <c r="A2501" t="s">
        <v>3947</v>
      </c>
      <c r="B2501" s="2">
        <v>44821.855578703704</v>
      </c>
      <c r="C2501" s="2">
        <v>44821.865995370368</v>
      </c>
      <c r="D2501" t="s">
        <v>560</v>
      </c>
      <c r="E2501" t="s">
        <v>1762</v>
      </c>
      <c r="F2501" t="s">
        <v>1763</v>
      </c>
      <c r="G2501" t="s">
        <v>1093</v>
      </c>
      <c r="H2501" t="s">
        <v>1031</v>
      </c>
      <c r="I2501">
        <v>424619006</v>
      </c>
      <c r="J2501" t="s">
        <v>1062</v>
      </c>
      <c r="K2501">
        <v>142.58000000000001</v>
      </c>
      <c r="L2501">
        <v>4665.96</v>
      </c>
      <c r="M2501">
        <v>4615.96</v>
      </c>
      <c r="N2501">
        <v>72892002</v>
      </c>
      <c r="O2501" t="s">
        <v>1060</v>
      </c>
    </row>
    <row r="2502" spans="1:15">
      <c r="A2502" t="s">
        <v>3948</v>
      </c>
      <c r="B2502" s="2">
        <v>44849.855578703704</v>
      </c>
      <c r="C2502" s="2">
        <v>44849.865995370368</v>
      </c>
      <c r="D2502" t="s">
        <v>560</v>
      </c>
      <c r="E2502" t="s">
        <v>1762</v>
      </c>
      <c r="F2502" t="s">
        <v>1763</v>
      </c>
      <c r="G2502" t="s">
        <v>1093</v>
      </c>
      <c r="H2502" t="s">
        <v>1031</v>
      </c>
      <c r="I2502">
        <v>424619006</v>
      </c>
      <c r="J2502" t="s">
        <v>1062</v>
      </c>
      <c r="K2502">
        <v>142.58000000000001</v>
      </c>
      <c r="L2502">
        <v>6737.4</v>
      </c>
      <c r="M2502">
        <v>6687.4</v>
      </c>
      <c r="N2502">
        <v>72892002</v>
      </c>
      <c r="O2502" t="s">
        <v>1060</v>
      </c>
    </row>
    <row r="2503" spans="1:15">
      <c r="A2503" t="s">
        <v>3949</v>
      </c>
      <c r="B2503" s="2">
        <v>44863.855578703704</v>
      </c>
      <c r="C2503" s="2">
        <v>44863.865995370368</v>
      </c>
      <c r="D2503" t="s">
        <v>560</v>
      </c>
      <c r="E2503" t="s">
        <v>1762</v>
      </c>
      <c r="F2503" t="s">
        <v>1763</v>
      </c>
      <c r="G2503" t="s">
        <v>1093</v>
      </c>
      <c r="H2503" t="s">
        <v>1031</v>
      </c>
      <c r="I2503">
        <v>424619006</v>
      </c>
      <c r="J2503" t="s">
        <v>1062</v>
      </c>
      <c r="K2503">
        <v>142.58000000000001</v>
      </c>
      <c r="L2503">
        <v>12987.42</v>
      </c>
      <c r="M2503">
        <v>12937.42</v>
      </c>
      <c r="N2503">
        <v>72892002</v>
      </c>
      <c r="O2503" t="s">
        <v>1060</v>
      </c>
    </row>
    <row r="2504" spans="1:15">
      <c r="A2504" t="s">
        <v>3950</v>
      </c>
      <c r="B2504" s="2">
        <v>44870.855578703704</v>
      </c>
      <c r="C2504" s="2">
        <v>44870.897245370368</v>
      </c>
      <c r="D2504" t="s">
        <v>560</v>
      </c>
      <c r="E2504" t="s">
        <v>1754</v>
      </c>
      <c r="F2504" t="s">
        <v>1755</v>
      </c>
      <c r="G2504" t="s">
        <v>1093</v>
      </c>
      <c r="H2504" t="s">
        <v>1076</v>
      </c>
      <c r="I2504">
        <v>183460006</v>
      </c>
      <c r="J2504" t="s">
        <v>1077</v>
      </c>
      <c r="K2504">
        <v>146.18</v>
      </c>
      <c r="L2504">
        <v>577.58000000000004</v>
      </c>
      <c r="M2504">
        <v>527.58000000000004</v>
      </c>
      <c r="N2504">
        <v>72892002</v>
      </c>
      <c r="O2504" t="s">
        <v>1060</v>
      </c>
    </row>
    <row r="2505" spans="1:15">
      <c r="A2505" t="s">
        <v>3951</v>
      </c>
      <c r="B2505" s="2">
        <v>44912.81391203704</v>
      </c>
      <c r="C2505" s="2">
        <v>44912.824328703704</v>
      </c>
      <c r="D2505" t="s">
        <v>560</v>
      </c>
      <c r="E2505" t="s">
        <v>1762</v>
      </c>
      <c r="F2505" t="s">
        <v>1763</v>
      </c>
      <c r="G2505" t="s">
        <v>1093</v>
      </c>
      <c r="H2505" t="s">
        <v>1031</v>
      </c>
      <c r="I2505">
        <v>169762003</v>
      </c>
      <c r="J2505" t="s">
        <v>1079</v>
      </c>
      <c r="K2505">
        <v>142.58000000000001</v>
      </c>
      <c r="L2505">
        <v>1005.38</v>
      </c>
      <c r="M2505">
        <v>855.38</v>
      </c>
      <c r="O2505" t="s">
        <v>34</v>
      </c>
    </row>
    <row r="2506" spans="1:15">
      <c r="A2506" t="s">
        <v>3952</v>
      </c>
      <c r="B2506" s="2">
        <v>44919.81391203704</v>
      </c>
      <c r="C2506" s="2">
        <v>44919.824328703704</v>
      </c>
      <c r="D2506" t="s">
        <v>560</v>
      </c>
      <c r="E2506" t="s">
        <v>1762</v>
      </c>
      <c r="F2506" t="s">
        <v>1763</v>
      </c>
      <c r="G2506" t="s">
        <v>1093</v>
      </c>
      <c r="H2506" t="s">
        <v>1043</v>
      </c>
      <c r="I2506">
        <v>698314001</v>
      </c>
      <c r="J2506" t="s">
        <v>1190</v>
      </c>
      <c r="K2506">
        <v>142.58000000000001</v>
      </c>
      <c r="L2506">
        <v>142.58000000000001</v>
      </c>
      <c r="M2506">
        <v>92.58</v>
      </c>
      <c r="N2506">
        <v>389095005</v>
      </c>
      <c r="O2506" t="s">
        <v>1191</v>
      </c>
    </row>
    <row r="2507" spans="1:15">
      <c r="A2507" t="s">
        <v>3953</v>
      </c>
      <c r="B2507" s="2">
        <v>44954.81391203704</v>
      </c>
      <c r="C2507" s="2">
        <v>44954.845219907409</v>
      </c>
      <c r="D2507" t="s">
        <v>560</v>
      </c>
      <c r="E2507" t="s">
        <v>1323</v>
      </c>
      <c r="F2507" t="s">
        <v>1324</v>
      </c>
      <c r="G2507" t="s">
        <v>1093</v>
      </c>
      <c r="H2507" t="s">
        <v>1020</v>
      </c>
      <c r="I2507">
        <v>162673000</v>
      </c>
      <c r="J2507" t="s">
        <v>1021</v>
      </c>
      <c r="K2507">
        <v>136.80000000000001</v>
      </c>
      <c r="L2507">
        <v>919.9</v>
      </c>
      <c r="M2507">
        <v>919.9</v>
      </c>
      <c r="O2507" t="s">
        <v>34</v>
      </c>
    </row>
    <row r="2508" spans="1:15">
      <c r="A2508" t="s">
        <v>3954</v>
      </c>
      <c r="B2508" s="2">
        <v>44968.81391203704</v>
      </c>
      <c r="C2508" s="2">
        <v>44969.066400462965</v>
      </c>
      <c r="D2508" t="s">
        <v>560</v>
      </c>
      <c r="E2508" t="s">
        <v>1762</v>
      </c>
      <c r="F2508" t="s">
        <v>1763</v>
      </c>
      <c r="G2508" t="s">
        <v>1093</v>
      </c>
      <c r="H2508" t="s">
        <v>1031</v>
      </c>
      <c r="I2508">
        <v>185349003</v>
      </c>
      <c r="J2508" t="s">
        <v>1038</v>
      </c>
      <c r="K2508">
        <v>85.55</v>
      </c>
      <c r="L2508">
        <v>4830.95</v>
      </c>
      <c r="M2508">
        <v>4780.95</v>
      </c>
      <c r="N2508">
        <v>66383009</v>
      </c>
      <c r="O2508" t="s">
        <v>1209</v>
      </c>
    </row>
    <row r="2509" spans="1:15">
      <c r="A2509" t="s">
        <v>3955</v>
      </c>
      <c r="B2509" s="2">
        <v>45279.81391203704</v>
      </c>
      <c r="C2509" s="2">
        <v>45279.824328703704</v>
      </c>
      <c r="D2509" t="s">
        <v>560</v>
      </c>
      <c r="E2509" t="s">
        <v>1762</v>
      </c>
      <c r="F2509" t="s">
        <v>1763</v>
      </c>
      <c r="G2509" t="s">
        <v>1093</v>
      </c>
      <c r="H2509" t="s">
        <v>1043</v>
      </c>
      <c r="I2509">
        <v>698314001</v>
      </c>
      <c r="J2509" t="s">
        <v>1190</v>
      </c>
      <c r="K2509">
        <v>142.58000000000001</v>
      </c>
      <c r="L2509">
        <v>142.58000000000001</v>
      </c>
      <c r="M2509">
        <v>92.58</v>
      </c>
      <c r="N2509">
        <v>389095005</v>
      </c>
      <c r="O2509" t="s">
        <v>1191</v>
      </c>
    </row>
    <row r="2510" spans="1:15">
      <c r="A2510" t="s">
        <v>3956</v>
      </c>
      <c r="B2510" s="2">
        <v>45325.81391203704</v>
      </c>
      <c r="C2510" s="2">
        <v>45325.847268518519</v>
      </c>
      <c r="D2510" t="s">
        <v>560</v>
      </c>
      <c r="E2510" t="s">
        <v>1323</v>
      </c>
      <c r="F2510" t="s">
        <v>1324</v>
      </c>
      <c r="G2510" t="s">
        <v>1093</v>
      </c>
      <c r="H2510" t="s">
        <v>1020</v>
      </c>
      <c r="I2510">
        <v>162673000</v>
      </c>
      <c r="J2510" t="s">
        <v>1021</v>
      </c>
      <c r="K2510">
        <v>136.80000000000001</v>
      </c>
      <c r="L2510">
        <v>704.2</v>
      </c>
      <c r="M2510">
        <v>704.2</v>
      </c>
      <c r="O2510" t="s">
        <v>34</v>
      </c>
    </row>
    <row r="2511" spans="1:15">
      <c r="A2511" t="s">
        <v>3957</v>
      </c>
      <c r="B2511" s="2">
        <v>45339.81391203704</v>
      </c>
      <c r="C2511" s="2">
        <v>45339.938784722224</v>
      </c>
      <c r="D2511" t="s">
        <v>560</v>
      </c>
      <c r="E2511" t="s">
        <v>1762</v>
      </c>
      <c r="F2511" t="s">
        <v>1763</v>
      </c>
      <c r="G2511" t="s">
        <v>1093</v>
      </c>
      <c r="H2511" t="s">
        <v>1031</v>
      </c>
      <c r="I2511">
        <v>185349003</v>
      </c>
      <c r="J2511" t="s">
        <v>1038</v>
      </c>
      <c r="K2511">
        <v>85.55</v>
      </c>
      <c r="L2511">
        <v>2673.95</v>
      </c>
      <c r="M2511">
        <v>2623.95</v>
      </c>
      <c r="N2511">
        <v>103697008</v>
      </c>
      <c r="O2511" t="s">
        <v>1039</v>
      </c>
    </row>
    <row r="2512" spans="1:15">
      <c r="A2512" t="s">
        <v>3958</v>
      </c>
      <c r="B2512" s="2">
        <v>45355.81391203704</v>
      </c>
      <c r="C2512" s="2">
        <v>45355.824328703704</v>
      </c>
      <c r="D2512" t="s">
        <v>560</v>
      </c>
      <c r="E2512" t="s">
        <v>1762</v>
      </c>
      <c r="F2512" t="s">
        <v>1763</v>
      </c>
      <c r="G2512" t="s">
        <v>1093</v>
      </c>
      <c r="H2512" t="s">
        <v>2173</v>
      </c>
      <c r="I2512">
        <v>390906007</v>
      </c>
      <c r="J2512" t="s">
        <v>1255</v>
      </c>
      <c r="K2512">
        <v>75</v>
      </c>
      <c r="L2512">
        <v>75</v>
      </c>
      <c r="M2512">
        <v>25</v>
      </c>
      <c r="N2512">
        <v>59621000</v>
      </c>
      <c r="O2512" t="s">
        <v>1461</v>
      </c>
    </row>
    <row r="2513" spans="1:15">
      <c r="A2513" t="s">
        <v>3959</v>
      </c>
      <c r="B2513" s="2">
        <v>45415.855578703704</v>
      </c>
      <c r="C2513" s="2">
        <v>45415.865995370368</v>
      </c>
      <c r="D2513" t="s">
        <v>560</v>
      </c>
      <c r="E2513" t="s">
        <v>1762</v>
      </c>
      <c r="F2513" t="s">
        <v>1763</v>
      </c>
      <c r="G2513" t="s">
        <v>1093</v>
      </c>
      <c r="H2513" t="s">
        <v>2173</v>
      </c>
      <c r="I2513">
        <v>390906007</v>
      </c>
      <c r="J2513" t="s">
        <v>1255</v>
      </c>
      <c r="K2513">
        <v>75</v>
      </c>
      <c r="L2513">
        <v>75</v>
      </c>
      <c r="M2513">
        <v>25</v>
      </c>
      <c r="N2513">
        <v>59621000</v>
      </c>
      <c r="O2513" t="s">
        <v>1461</v>
      </c>
    </row>
    <row r="2514" spans="1:15">
      <c r="A2514" t="s">
        <v>3960</v>
      </c>
      <c r="B2514" s="2">
        <v>45475.855578703704</v>
      </c>
      <c r="C2514" s="2">
        <v>45475.865995370368</v>
      </c>
      <c r="D2514" t="s">
        <v>560</v>
      </c>
      <c r="E2514" t="s">
        <v>1762</v>
      </c>
      <c r="F2514" t="s">
        <v>1763</v>
      </c>
      <c r="G2514" t="s">
        <v>1093</v>
      </c>
      <c r="H2514" t="s">
        <v>1031</v>
      </c>
      <c r="I2514">
        <v>390906007</v>
      </c>
      <c r="J2514" t="s">
        <v>1255</v>
      </c>
      <c r="K2514">
        <v>85.55</v>
      </c>
      <c r="L2514">
        <v>516.95000000000005</v>
      </c>
      <c r="M2514">
        <v>466.95</v>
      </c>
      <c r="N2514">
        <v>59621000</v>
      </c>
      <c r="O2514" t="s">
        <v>1461</v>
      </c>
    </row>
    <row r="2515" spans="1:15">
      <c r="A2515" t="s">
        <v>3961</v>
      </c>
      <c r="B2515" s="2">
        <v>45612.81391203704</v>
      </c>
      <c r="C2515" s="2">
        <v>45612.824328703704</v>
      </c>
      <c r="D2515" t="s">
        <v>560</v>
      </c>
      <c r="E2515" t="s">
        <v>1762</v>
      </c>
      <c r="F2515" t="s">
        <v>1763</v>
      </c>
      <c r="G2515" t="s">
        <v>1093</v>
      </c>
      <c r="H2515" t="s">
        <v>1031</v>
      </c>
      <c r="I2515">
        <v>424441002</v>
      </c>
      <c r="J2515" t="s">
        <v>1059</v>
      </c>
      <c r="K2515">
        <v>142.58000000000001</v>
      </c>
      <c r="L2515">
        <v>40426.53</v>
      </c>
      <c r="M2515">
        <v>40276.53</v>
      </c>
      <c r="N2515">
        <v>72892002</v>
      </c>
      <c r="O2515" t="s">
        <v>1060</v>
      </c>
    </row>
    <row r="2516" spans="1:15">
      <c r="A2516" t="s">
        <v>3962</v>
      </c>
      <c r="B2516" s="2">
        <v>45640.81391203704</v>
      </c>
      <c r="C2516" s="2">
        <v>45640.824328703704</v>
      </c>
      <c r="D2516" t="s">
        <v>560</v>
      </c>
      <c r="E2516" t="s">
        <v>1762</v>
      </c>
      <c r="F2516" t="s">
        <v>1763</v>
      </c>
      <c r="G2516" t="s">
        <v>1093</v>
      </c>
      <c r="H2516" t="s">
        <v>1031</v>
      </c>
      <c r="I2516">
        <v>424619006</v>
      </c>
      <c r="J2516" t="s">
        <v>1062</v>
      </c>
      <c r="K2516">
        <v>142.58000000000001</v>
      </c>
      <c r="L2516">
        <v>18772.2</v>
      </c>
      <c r="M2516">
        <v>18722.2</v>
      </c>
      <c r="N2516">
        <v>72892002</v>
      </c>
      <c r="O2516" t="s">
        <v>1060</v>
      </c>
    </row>
    <row r="2517" spans="1:15">
      <c r="A2517" t="s">
        <v>3963</v>
      </c>
      <c r="B2517" s="2">
        <v>45668.81391203704</v>
      </c>
      <c r="C2517" s="2">
        <v>45668.824328703704</v>
      </c>
      <c r="D2517" t="s">
        <v>560</v>
      </c>
      <c r="E2517" t="s">
        <v>1762</v>
      </c>
      <c r="F2517" t="s">
        <v>1763</v>
      </c>
      <c r="G2517" t="s">
        <v>1093</v>
      </c>
      <c r="H2517" t="s">
        <v>1031</v>
      </c>
      <c r="I2517">
        <v>424619006</v>
      </c>
      <c r="J2517" t="s">
        <v>1062</v>
      </c>
      <c r="K2517">
        <v>142.58000000000001</v>
      </c>
      <c r="L2517">
        <v>12745.22</v>
      </c>
      <c r="M2517">
        <v>12695.22</v>
      </c>
      <c r="N2517">
        <v>72892002</v>
      </c>
      <c r="O2517" t="s">
        <v>1060</v>
      </c>
    </row>
    <row r="2518" spans="1:15">
      <c r="A2518" t="s">
        <v>3964</v>
      </c>
      <c r="B2518" s="2">
        <v>45696.81391203704</v>
      </c>
      <c r="C2518" s="2">
        <v>45696.847500000003</v>
      </c>
      <c r="D2518" t="s">
        <v>560</v>
      </c>
      <c r="E2518" t="s">
        <v>1323</v>
      </c>
      <c r="F2518" t="s">
        <v>1324</v>
      </c>
      <c r="G2518" t="s">
        <v>1093</v>
      </c>
      <c r="H2518" t="s">
        <v>1020</v>
      </c>
      <c r="I2518">
        <v>162673000</v>
      </c>
      <c r="J2518" t="s">
        <v>1021</v>
      </c>
      <c r="K2518">
        <v>136.80000000000001</v>
      </c>
      <c r="L2518">
        <v>938.72</v>
      </c>
      <c r="M2518">
        <v>938.72</v>
      </c>
      <c r="O2518" t="s">
        <v>34</v>
      </c>
    </row>
    <row r="2519" spans="1:15">
      <c r="A2519" t="s">
        <v>3965</v>
      </c>
      <c r="B2519" s="2">
        <v>45703.81391203704</v>
      </c>
      <c r="C2519" s="2">
        <v>45703.824328703704</v>
      </c>
      <c r="D2519" t="s">
        <v>560</v>
      </c>
      <c r="E2519" t="s">
        <v>1762</v>
      </c>
      <c r="F2519" t="s">
        <v>1763</v>
      </c>
      <c r="G2519" t="s">
        <v>1093</v>
      </c>
      <c r="H2519" t="s">
        <v>1031</v>
      </c>
      <c r="I2519">
        <v>424619006</v>
      </c>
      <c r="J2519" t="s">
        <v>1062</v>
      </c>
      <c r="K2519">
        <v>142.58000000000001</v>
      </c>
      <c r="L2519">
        <v>7218.27</v>
      </c>
      <c r="M2519">
        <v>7168.27</v>
      </c>
      <c r="N2519">
        <v>72892002</v>
      </c>
      <c r="O2519" t="s">
        <v>1060</v>
      </c>
    </row>
    <row r="2520" spans="1:15">
      <c r="A2520" t="s">
        <v>3966</v>
      </c>
      <c r="B2520" s="2">
        <v>45710.81391203704</v>
      </c>
      <c r="C2520" s="2">
        <v>45711.08284722222</v>
      </c>
      <c r="D2520" t="s">
        <v>560</v>
      </c>
      <c r="E2520" t="s">
        <v>1762</v>
      </c>
      <c r="F2520" t="s">
        <v>1763</v>
      </c>
      <c r="G2520" t="s">
        <v>1093</v>
      </c>
      <c r="H2520" t="s">
        <v>1031</v>
      </c>
      <c r="I2520">
        <v>185349003</v>
      </c>
      <c r="J2520" t="s">
        <v>1038</v>
      </c>
      <c r="K2520">
        <v>85.55</v>
      </c>
      <c r="L2520">
        <v>5693.75</v>
      </c>
      <c r="M2520">
        <v>5643.75</v>
      </c>
      <c r="N2520">
        <v>66383009</v>
      </c>
      <c r="O2520" t="s">
        <v>1209</v>
      </c>
    </row>
    <row r="2521" spans="1:15">
      <c r="A2521" t="s">
        <v>3967</v>
      </c>
      <c r="B2521" s="2">
        <v>45731.855578703704</v>
      </c>
      <c r="C2521" s="2">
        <v>45731.865995370368</v>
      </c>
      <c r="D2521" t="s">
        <v>560</v>
      </c>
      <c r="E2521" t="s">
        <v>1762</v>
      </c>
      <c r="F2521" t="s">
        <v>1763</v>
      </c>
      <c r="G2521" t="s">
        <v>1093</v>
      </c>
      <c r="H2521" t="s">
        <v>1031</v>
      </c>
      <c r="I2521">
        <v>424619006</v>
      </c>
      <c r="J2521" t="s">
        <v>1062</v>
      </c>
      <c r="K2521">
        <v>142.58000000000001</v>
      </c>
      <c r="L2521">
        <v>5907.24</v>
      </c>
      <c r="M2521">
        <v>5857.24</v>
      </c>
      <c r="N2521">
        <v>72892002</v>
      </c>
      <c r="O2521" t="s">
        <v>1060</v>
      </c>
    </row>
    <row r="2522" spans="1:15">
      <c r="A2522" t="s">
        <v>3968</v>
      </c>
      <c r="B2522" s="2">
        <v>45759.855578703704</v>
      </c>
      <c r="C2522" s="2">
        <v>45759.865995370368</v>
      </c>
      <c r="D2522" t="s">
        <v>560</v>
      </c>
      <c r="E2522" t="s">
        <v>1762</v>
      </c>
      <c r="F2522" t="s">
        <v>1763</v>
      </c>
      <c r="G2522" t="s">
        <v>1093</v>
      </c>
      <c r="H2522" t="s">
        <v>1031</v>
      </c>
      <c r="I2522">
        <v>424619006</v>
      </c>
      <c r="J2522" t="s">
        <v>1062</v>
      </c>
      <c r="K2522">
        <v>142.58000000000001</v>
      </c>
      <c r="L2522">
        <v>15732.53</v>
      </c>
      <c r="M2522">
        <v>15682.53</v>
      </c>
      <c r="N2522">
        <v>72892002</v>
      </c>
      <c r="O2522" t="s">
        <v>1060</v>
      </c>
    </row>
    <row r="2523" spans="1:15">
      <c r="A2523" t="s">
        <v>3969</v>
      </c>
      <c r="B2523" s="2">
        <v>45787.855578703704</v>
      </c>
      <c r="C2523" s="2">
        <v>45787.865995370368</v>
      </c>
      <c r="D2523" t="s">
        <v>560</v>
      </c>
      <c r="E2523" t="s">
        <v>1762</v>
      </c>
      <c r="F2523" t="s">
        <v>1763</v>
      </c>
      <c r="G2523" t="s">
        <v>1093</v>
      </c>
      <c r="H2523" t="s">
        <v>1031</v>
      </c>
      <c r="I2523">
        <v>424619006</v>
      </c>
      <c r="J2523" t="s">
        <v>1062</v>
      </c>
      <c r="K2523">
        <v>142.58000000000001</v>
      </c>
      <c r="L2523">
        <v>6029.94</v>
      </c>
      <c r="M2523">
        <v>5979.94</v>
      </c>
      <c r="N2523">
        <v>72892002</v>
      </c>
      <c r="O2523" t="s">
        <v>1060</v>
      </c>
    </row>
    <row r="2524" spans="1:15">
      <c r="A2524" t="s">
        <v>3970</v>
      </c>
      <c r="B2524" s="2">
        <v>45815.855578703704</v>
      </c>
      <c r="C2524" s="2">
        <v>45815.865995370368</v>
      </c>
      <c r="D2524" t="s">
        <v>560</v>
      </c>
      <c r="E2524" t="s">
        <v>1762</v>
      </c>
      <c r="F2524" t="s">
        <v>1763</v>
      </c>
      <c r="G2524" t="s">
        <v>1093</v>
      </c>
      <c r="H2524" t="s">
        <v>1031</v>
      </c>
      <c r="I2524">
        <v>424619006</v>
      </c>
      <c r="J2524" t="s">
        <v>1062</v>
      </c>
      <c r="K2524">
        <v>142.58000000000001</v>
      </c>
      <c r="L2524">
        <v>5528.76</v>
      </c>
      <c r="M2524">
        <v>5478.76</v>
      </c>
      <c r="N2524">
        <v>72892002</v>
      </c>
      <c r="O2524" t="s">
        <v>1060</v>
      </c>
    </row>
    <row r="2525" spans="1:15">
      <c r="A2525" t="s">
        <v>3971</v>
      </c>
      <c r="B2525" s="2">
        <v>45829.855578703704</v>
      </c>
      <c r="C2525" s="2">
        <v>45829.897245370368</v>
      </c>
      <c r="D2525" t="s">
        <v>560</v>
      </c>
      <c r="E2525" t="s">
        <v>1754</v>
      </c>
      <c r="F2525" t="s">
        <v>1755</v>
      </c>
      <c r="G2525" t="s">
        <v>1093</v>
      </c>
      <c r="H2525" t="s">
        <v>1076</v>
      </c>
      <c r="I2525">
        <v>183460006</v>
      </c>
      <c r="J2525" t="s">
        <v>1077</v>
      </c>
      <c r="K2525">
        <v>146.18</v>
      </c>
      <c r="L2525">
        <v>2925.6</v>
      </c>
      <c r="M2525">
        <v>2875.6</v>
      </c>
      <c r="N2525">
        <v>72892002</v>
      </c>
      <c r="O2525" t="s">
        <v>1060</v>
      </c>
    </row>
    <row r="2526" spans="1:15">
      <c r="A2526" t="s">
        <v>3972</v>
      </c>
      <c r="B2526" s="2">
        <v>45871.855578703704</v>
      </c>
      <c r="C2526" s="2">
        <v>45871.865995370368</v>
      </c>
      <c r="D2526" t="s">
        <v>560</v>
      </c>
      <c r="E2526" t="s">
        <v>1762</v>
      </c>
      <c r="F2526" t="s">
        <v>1763</v>
      </c>
      <c r="G2526" t="s">
        <v>1093</v>
      </c>
      <c r="H2526" t="s">
        <v>1031</v>
      </c>
      <c r="I2526">
        <v>169762003</v>
      </c>
      <c r="J2526" t="s">
        <v>1079</v>
      </c>
      <c r="K2526">
        <v>142.58000000000001</v>
      </c>
      <c r="L2526">
        <v>1005.38</v>
      </c>
      <c r="M2526">
        <v>955.38</v>
      </c>
      <c r="O2526" t="s">
        <v>34</v>
      </c>
    </row>
    <row r="2527" spans="1:15">
      <c r="A2527" t="s">
        <v>3973</v>
      </c>
      <c r="B2527" s="2">
        <v>45878.855578703704</v>
      </c>
      <c r="C2527" s="2">
        <v>45878.89298611111</v>
      </c>
      <c r="D2527" t="s">
        <v>560</v>
      </c>
      <c r="E2527" t="s">
        <v>1762</v>
      </c>
      <c r="F2527" t="s">
        <v>1763</v>
      </c>
      <c r="G2527" t="s">
        <v>1093</v>
      </c>
      <c r="H2527" t="s">
        <v>1043</v>
      </c>
      <c r="I2527">
        <v>698314001</v>
      </c>
      <c r="J2527" t="s">
        <v>1190</v>
      </c>
      <c r="K2527">
        <v>142.58000000000001</v>
      </c>
      <c r="L2527">
        <v>573.98</v>
      </c>
      <c r="M2527">
        <v>523.98</v>
      </c>
      <c r="N2527">
        <v>183996000</v>
      </c>
      <c r="O2527" t="s">
        <v>1622</v>
      </c>
    </row>
    <row r="2528" spans="1:15">
      <c r="A2528" t="s">
        <v>3974</v>
      </c>
      <c r="B2528" s="2">
        <v>45890.89298611111</v>
      </c>
      <c r="C2528" s="2">
        <v>45891.89298611111</v>
      </c>
      <c r="D2528" t="s">
        <v>560</v>
      </c>
      <c r="E2528" t="s">
        <v>1748</v>
      </c>
      <c r="F2528" t="s">
        <v>1749</v>
      </c>
      <c r="G2528" t="s">
        <v>1093</v>
      </c>
      <c r="H2528" t="s">
        <v>1431</v>
      </c>
      <c r="I2528">
        <v>305408004</v>
      </c>
      <c r="J2528" t="s">
        <v>1626</v>
      </c>
      <c r="K2528">
        <v>146.18</v>
      </c>
      <c r="L2528">
        <v>3817.64</v>
      </c>
      <c r="M2528">
        <v>3767.64</v>
      </c>
      <c r="N2528">
        <v>183996000</v>
      </c>
      <c r="O2528" t="s">
        <v>1622</v>
      </c>
    </row>
    <row r="2529" spans="1:15">
      <c r="A2529" t="s">
        <v>3975</v>
      </c>
      <c r="B2529" s="2">
        <v>46067.81391203704</v>
      </c>
      <c r="C2529" s="2">
        <v>46067.849328703705</v>
      </c>
      <c r="D2529" t="s">
        <v>560</v>
      </c>
      <c r="E2529" t="s">
        <v>1323</v>
      </c>
      <c r="F2529" t="s">
        <v>1324</v>
      </c>
      <c r="G2529" t="s">
        <v>1093</v>
      </c>
      <c r="H2529" t="s">
        <v>1020</v>
      </c>
      <c r="I2529">
        <v>162673000</v>
      </c>
      <c r="J2529" t="s">
        <v>1021</v>
      </c>
      <c r="K2529">
        <v>136.80000000000001</v>
      </c>
      <c r="L2529">
        <v>778.78</v>
      </c>
      <c r="M2529">
        <v>778.78</v>
      </c>
      <c r="O2529" t="s">
        <v>34</v>
      </c>
    </row>
    <row r="2530" spans="1:15">
      <c r="A2530" t="s">
        <v>3976</v>
      </c>
      <c r="B2530" s="2">
        <v>46081.81391203704</v>
      </c>
      <c r="C2530" s="2">
        <v>46081.913877314815</v>
      </c>
      <c r="D2530" t="s">
        <v>560</v>
      </c>
      <c r="E2530" t="s">
        <v>1762</v>
      </c>
      <c r="F2530" t="s">
        <v>1763</v>
      </c>
      <c r="G2530" t="s">
        <v>1093</v>
      </c>
      <c r="H2530" t="s">
        <v>1031</v>
      </c>
      <c r="I2530">
        <v>185349003</v>
      </c>
      <c r="J2530" t="s">
        <v>1038</v>
      </c>
      <c r="K2530">
        <v>85.55</v>
      </c>
      <c r="L2530">
        <v>2673.95</v>
      </c>
      <c r="M2530">
        <v>2623.95</v>
      </c>
      <c r="N2530">
        <v>66383009</v>
      </c>
      <c r="O2530" t="s">
        <v>1209</v>
      </c>
    </row>
    <row r="2531" spans="1:15">
      <c r="A2531" t="s">
        <v>3977</v>
      </c>
      <c r="B2531" s="2">
        <v>34589.448946759258</v>
      </c>
      <c r="C2531" s="2">
        <v>34589.459363425929</v>
      </c>
      <c r="D2531" t="s">
        <v>568</v>
      </c>
      <c r="E2531" t="s">
        <v>3712</v>
      </c>
      <c r="F2531" t="s">
        <v>3713</v>
      </c>
      <c r="G2531" t="s">
        <v>1325</v>
      </c>
      <c r="H2531" t="s">
        <v>1031</v>
      </c>
      <c r="I2531">
        <v>185345009</v>
      </c>
      <c r="J2531" t="s">
        <v>1032</v>
      </c>
      <c r="K2531">
        <v>85.55</v>
      </c>
      <c r="L2531">
        <v>92.93</v>
      </c>
      <c r="M2531">
        <v>0</v>
      </c>
      <c r="N2531">
        <v>75498004</v>
      </c>
      <c r="O2531" t="s">
        <v>1174</v>
      </c>
    </row>
    <row r="2532" spans="1:15">
      <c r="A2532" t="s">
        <v>3978</v>
      </c>
      <c r="B2532" s="2">
        <v>35385.240613425929</v>
      </c>
      <c r="C2532" s="2">
        <v>35385.253587962965</v>
      </c>
      <c r="D2532" t="s">
        <v>568</v>
      </c>
      <c r="E2532" t="s">
        <v>3715</v>
      </c>
      <c r="F2532" t="s">
        <v>3716</v>
      </c>
      <c r="G2532" t="s">
        <v>1325</v>
      </c>
      <c r="H2532" t="s">
        <v>1020</v>
      </c>
      <c r="I2532">
        <v>410620009</v>
      </c>
      <c r="J2532" t="s">
        <v>1054</v>
      </c>
      <c r="K2532">
        <v>136.80000000000001</v>
      </c>
      <c r="L2532">
        <v>778.78</v>
      </c>
      <c r="M2532">
        <v>0</v>
      </c>
      <c r="O2532" t="s">
        <v>34</v>
      </c>
    </row>
    <row r="2533" spans="1:15">
      <c r="A2533" t="s">
        <v>3979</v>
      </c>
      <c r="B2533" s="2">
        <v>36127.240613425929</v>
      </c>
      <c r="C2533" s="2">
        <v>36127.277349537035</v>
      </c>
      <c r="D2533" t="s">
        <v>568</v>
      </c>
      <c r="E2533" t="s">
        <v>3715</v>
      </c>
      <c r="F2533" t="s">
        <v>3716</v>
      </c>
      <c r="G2533" t="s">
        <v>1325</v>
      </c>
      <c r="H2533" t="s">
        <v>1020</v>
      </c>
      <c r="I2533">
        <v>162673000</v>
      </c>
      <c r="J2533" t="s">
        <v>1021</v>
      </c>
      <c r="K2533">
        <v>136.80000000000001</v>
      </c>
      <c r="L2533">
        <v>704.2</v>
      </c>
      <c r="M2533">
        <v>0</v>
      </c>
      <c r="O2533" t="s">
        <v>34</v>
      </c>
    </row>
    <row r="2534" spans="1:15">
      <c r="A2534" t="s">
        <v>3980</v>
      </c>
      <c r="B2534" s="2">
        <v>37597.240613425929</v>
      </c>
      <c r="C2534" s="2">
        <v>37597.27884259259</v>
      </c>
      <c r="D2534" t="s">
        <v>568</v>
      </c>
      <c r="E2534" t="s">
        <v>3715</v>
      </c>
      <c r="F2534" t="s">
        <v>3716</v>
      </c>
      <c r="G2534" t="s">
        <v>1325</v>
      </c>
      <c r="H2534" t="s">
        <v>1020</v>
      </c>
      <c r="I2534">
        <v>162673000</v>
      </c>
      <c r="J2534" t="s">
        <v>1021</v>
      </c>
      <c r="K2534">
        <v>136.80000000000001</v>
      </c>
      <c r="L2534">
        <v>1050.78</v>
      </c>
      <c r="M2534">
        <v>0</v>
      </c>
      <c r="O2534" t="s">
        <v>34</v>
      </c>
    </row>
    <row r="2535" spans="1:15">
      <c r="A2535" t="s">
        <v>3981</v>
      </c>
      <c r="B2535" s="2">
        <v>38696.240613425929</v>
      </c>
      <c r="C2535" s="2">
        <v>38696.272627314815</v>
      </c>
      <c r="D2535" t="s">
        <v>568</v>
      </c>
      <c r="E2535" t="s">
        <v>3715</v>
      </c>
      <c r="F2535" t="s">
        <v>3716</v>
      </c>
      <c r="G2535" t="s">
        <v>1325</v>
      </c>
      <c r="H2535" t="s">
        <v>1020</v>
      </c>
      <c r="I2535">
        <v>162673000</v>
      </c>
      <c r="J2535" t="s">
        <v>1021</v>
      </c>
      <c r="K2535">
        <v>136.80000000000001</v>
      </c>
      <c r="L2535">
        <v>704.2</v>
      </c>
      <c r="M2535">
        <v>0</v>
      </c>
      <c r="O2535" t="s">
        <v>34</v>
      </c>
    </row>
    <row r="2536" spans="1:15">
      <c r="A2536" t="s">
        <v>3982</v>
      </c>
      <c r="B2536" s="2">
        <v>39385.782280092593</v>
      </c>
      <c r="C2536" s="2">
        <v>39385.792696759258</v>
      </c>
      <c r="D2536" t="s">
        <v>568</v>
      </c>
      <c r="E2536" t="s">
        <v>3712</v>
      </c>
      <c r="F2536" t="s">
        <v>3713</v>
      </c>
      <c r="G2536" t="s">
        <v>1325</v>
      </c>
      <c r="H2536" t="s">
        <v>1031</v>
      </c>
      <c r="I2536">
        <v>185345009</v>
      </c>
      <c r="J2536" t="s">
        <v>1032</v>
      </c>
      <c r="K2536">
        <v>85.55</v>
      </c>
      <c r="L2536">
        <v>2224.38</v>
      </c>
      <c r="M2536">
        <v>0</v>
      </c>
      <c r="N2536">
        <v>195662009</v>
      </c>
      <c r="O2536" t="s">
        <v>1130</v>
      </c>
    </row>
    <row r="2537" spans="1:15">
      <c r="A2537" t="s">
        <v>3983</v>
      </c>
      <c r="B2537" s="2">
        <v>39482.258564814816</v>
      </c>
      <c r="C2537" s="2">
        <v>39482.30023148148</v>
      </c>
      <c r="D2537" t="s">
        <v>568</v>
      </c>
      <c r="E2537" t="s">
        <v>3726</v>
      </c>
      <c r="F2537" t="s">
        <v>3727</v>
      </c>
      <c r="G2537" t="s">
        <v>1325</v>
      </c>
      <c r="H2537" t="s">
        <v>1076</v>
      </c>
      <c r="I2537">
        <v>50849002</v>
      </c>
      <c r="J2537" t="s">
        <v>1163</v>
      </c>
      <c r="K2537">
        <v>146.18</v>
      </c>
      <c r="L2537">
        <v>17233.310000000001</v>
      </c>
      <c r="M2537">
        <v>8097.63</v>
      </c>
      <c r="N2537">
        <v>312608009</v>
      </c>
      <c r="O2537" t="s">
        <v>1249</v>
      </c>
    </row>
    <row r="2538" spans="1:15">
      <c r="A2538" t="s">
        <v>3984</v>
      </c>
      <c r="B2538" s="2">
        <v>39795.240613425929</v>
      </c>
      <c r="C2538" s="2">
        <v>39795.273055555554</v>
      </c>
      <c r="D2538" t="s">
        <v>568</v>
      </c>
      <c r="E2538" t="s">
        <v>3715</v>
      </c>
      <c r="F2538" t="s">
        <v>3716</v>
      </c>
      <c r="G2538" t="s">
        <v>1325</v>
      </c>
      <c r="H2538" t="s">
        <v>1020</v>
      </c>
      <c r="I2538">
        <v>162673000</v>
      </c>
      <c r="J2538" t="s">
        <v>1021</v>
      </c>
      <c r="K2538">
        <v>136.80000000000001</v>
      </c>
      <c r="L2538">
        <v>1050.01</v>
      </c>
      <c r="M2538">
        <v>0</v>
      </c>
      <c r="O2538" t="s">
        <v>34</v>
      </c>
    </row>
    <row r="2539" spans="1:15">
      <c r="A2539" t="s">
        <v>3985</v>
      </c>
      <c r="B2539" s="2">
        <v>39809.240613425929</v>
      </c>
      <c r="C2539" s="2">
        <v>39809.379930555559</v>
      </c>
      <c r="D2539" t="s">
        <v>568</v>
      </c>
      <c r="E2539" t="s">
        <v>3712</v>
      </c>
      <c r="F2539" t="s">
        <v>3713</v>
      </c>
      <c r="G2539" t="s">
        <v>1325</v>
      </c>
      <c r="H2539" t="s">
        <v>1031</v>
      </c>
      <c r="I2539">
        <v>185349003</v>
      </c>
      <c r="J2539" t="s">
        <v>1038</v>
      </c>
      <c r="K2539">
        <v>85.55</v>
      </c>
      <c r="L2539">
        <v>3536.75</v>
      </c>
      <c r="M2539">
        <v>0</v>
      </c>
      <c r="N2539">
        <v>103697008</v>
      </c>
      <c r="O2539" t="s">
        <v>1039</v>
      </c>
    </row>
    <row r="2540" spans="1:15">
      <c r="A2540" t="s">
        <v>3986</v>
      </c>
      <c r="B2540" s="2">
        <v>40652.740613425929</v>
      </c>
      <c r="C2540" s="2">
        <v>40652.751030092593</v>
      </c>
      <c r="D2540" t="s">
        <v>568</v>
      </c>
      <c r="E2540" t="s">
        <v>3712</v>
      </c>
      <c r="F2540" t="s">
        <v>3713</v>
      </c>
      <c r="G2540" t="s">
        <v>1325</v>
      </c>
      <c r="H2540" t="s">
        <v>1031</v>
      </c>
      <c r="I2540">
        <v>185345009</v>
      </c>
      <c r="J2540" t="s">
        <v>1032</v>
      </c>
      <c r="K2540">
        <v>85.55</v>
      </c>
      <c r="L2540">
        <v>85.55</v>
      </c>
      <c r="M2540">
        <v>0</v>
      </c>
      <c r="N2540">
        <v>444814009</v>
      </c>
      <c r="O2540" t="s">
        <v>1035</v>
      </c>
    </row>
    <row r="2541" spans="1:15">
      <c r="A2541" t="s">
        <v>3987</v>
      </c>
      <c r="B2541" s="2">
        <v>40894.240613425929</v>
      </c>
      <c r="C2541" s="2">
        <v>40894.270185185182</v>
      </c>
      <c r="D2541" t="s">
        <v>568</v>
      </c>
      <c r="E2541" t="s">
        <v>3715</v>
      </c>
      <c r="F2541" t="s">
        <v>3716</v>
      </c>
      <c r="G2541" t="s">
        <v>1325</v>
      </c>
      <c r="H2541" t="s">
        <v>1020</v>
      </c>
      <c r="I2541">
        <v>162673000</v>
      </c>
      <c r="J2541" t="s">
        <v>1021</v>
      </c>
      <c r="K2541">
        <v>136.80000000000001</v>
      </c>
      <c r="L2541">
        <v>914.78</v>
      </c>
      <c r="M2541">
        <v>0</v>
      </c>
      <c r="O2541" t="s">
        <v>34</v>
      </c>
    </row>
    <row r="2542" spans="1:15">
      <c r="A2542" t="s">
        <v>3988</v>
      </c>
      <c r="B2542" s="2">
        <v>40908.240613425929</v>
      </c>
      <c r="C2542" s="2">
        <v>40908.365219907406</v>
      </c>
      <c r="D2542" t="s">
        <v>568</v>
      </c>
      <c r="E2542" t="s">
        <v>3712</v>
      </c>
      <c r="F2542" t="s">
        <v>3713</v>
      </c>
      <c r="G2542" t="s">
        <v>1325</v>
      </c>
      <c r="H2542" t="s">
        <v>1031</v>
      </c>
      <c r="I2542">
        <v>185349003</v>
      </c>
      <c r="J2542" t="s">
        <v>1038</v>
      </c>
      <c r="K2542">
        <v>85.55</v>
      </c>
      <c r="L2542">
        <v>2673.95</v>
      </c>
      <c r="M2542">
        <v>0</v>
      </c>
      <c r="N2542">
        <v>103697008</v>
      </c>
      <c r="O2542" t="s">
        <v>1039</v>
      </c>
    </row>
    <row r="2543" spans="1:15">
      <c r="A2543" t="s">
        <v>3989</v>
      </c>
      <c r="B2543" s="2">
        <v>41363.282280092593</v>
      </c>
      <c r="C2543" s="2">
        <v>41363.306145833332</v>
      </c>
      <c r="D2543" t="s">
        <v>568</v>
      </c>
      <c r="E2543" t="s">
        <v>1226</v>
      </c>
      <c r="F2543" t="s">
        <v>1227</v>
      </c>
      <c r="G2543" t="s">
        <v>1325</v>
      </c>
      <c r="H2543" t="s">
        <v>1031</v>
      </c>
      <c r="I2543">
        <v>185347001</v>
      </c>
      <c r="J2543" t="s">
        <v>1124</v>
      </c>
      <c r="K2543">
        <v>85.55</v>
      </c>
      <c r="L2543">
        <v>2880.88</v>
      </c>
      <c r="M2543">
        <v>0</v>
      </c>
      <c r="N2543">
        <v>88805009</v>
      </c>
      <c r="O2543" t="s">
        <v>2378</v>
      </c>
    </row>
    <row r="2544" spans="1:15">
      <c r="A2544" t="s">
        <v>3990</v>
      </c>
      <c r="B2544" s="2">
        <v>41378.306145833332</v>
      </c>
      <c r="C2544" s="2">
        <v>41378.326979166668</v>
      </c>
      <c r="D2544" t="s">
        <v>568</v>
      </c>
      <c r="E2544" t="s">
        <v>1226</v>
      </c>
      <c r="F2544" t="s">
        <v>1227</v>
      </c>
      <c r="G2544" t="s">
        <v>1325</v>
      </c>
      <c r="H2544" t="s">
        <v>1031</v>
      </c>
      <c r="I2544">
        <v>185347001</v>
      </c>
      <c r="J2544" t="s">
        <v>1124</v>
      </c>
      <c r="K2544">
        <v>85.55</v>
      </c>
      <c r="L2544">
        <v>795.53</v>
      </c>
      <c r="M2544">
        <v>0</v>
      </c>
      <c r="N2544">
        <v>88805009</v>
      </c>
      <c r="O2544" t="s">
        <v>2378</v>
      </c>
    </row>
    <row r="2545" spans="1:15">
      <c r="A2545" t="s">
        <v>3991</v>
      </c>
      <c r="B2545" s="2">
        <v>41391.282280092593</v>
      </c>
      <c r="C2545" s="2">
        <v>41391.32340277778</v>
      </c>
      <c r="D2545" t="s">
        <v>568</v>
      </c>
      <c r="E2545" t="s">
        <v>3715</v>
      </c>
      <c r="F2545" t="s">
        <v>3716</v>
      </c>
      <c r="G2545" t="s">
        <v>1325</v>
      </c>
      <c r="H2545" t="s">
        <v>1020</v>
      </c>
      <c r="I2545">
        <v>162673000</v>
      </c>
      <c r="J2545" t="s">
        <v>1021</v>
      </c>
      <c r="K2545">
        <v>136.80000000000001</v>
      </c>
      <c r="L2545">
        <v>704.2</v>
      </c>
      <c r="M2545">
        <v>0</v>
      </c>
      <c r="O2545" t="s">
        <v>34</v>
      </c>
    </row>
    <row r="2546" spans="1:15">
      <c r="A2546" t="s">
        <v>3992</v>
      </c>
      <c r="B2546" s="2">
        <v>41405.282280092593</v>
      </c>
      <c r="C2546" s="2">
        <v>41405.424618055556</v>
      </c>
      <c r="D2546" t="s">
        <v>568</v>
      </c>
      <c r="E2546" t="s">
        <v>3712</v>
      </c>
      <c r="F2546" t="s">
        <v>3713</v>
      </c>
      <c r="G2546" t="s">
        <v>1325</v>
      </c>
      <c r="H2546" t="s">
        <v>1031</v>
      </c>
      <c r="I2546">
        <v>185349003</v>
      </c>
      <c r="J2546" t="s">
        <v>1038</v>
      </c>
      <c r="K2546">
        <v>85.55</v>
      </c>
      <c r="L2546">
        <v>2673.95</v>
      </c>
      <c r="M2546">
        <v>889.66</v>
      </c>
      <c r="N2546">
        <v>103697008</v>
      </c>
      <c r="O2546" t="s">
        <v>1039</v>
      </c>
    </row>
    <row r="2547" spans="1:15">
      <c r="A2547" t="s">
        <v>3993</v>
      </c>
      <c r="B2547" s="2">
        <v>41558.306145833332</v>
      </c>
      <c r="C2547" s="2">
        <v>41558.326979166668</v>
      </c>
      <c r="D2547" t="s">
        <v>568</v>
      </c>
      <c r="E2547" t="s">
        <v>1226</v>
      </c>
      <c r="F2547" t="s">
        <v>1227</v>
      </c>
      <c r="G2547" t="s">
        <v>1122</v>
      </c>
      <c r="H2547" t="s">
        <v>1031</v>
      </c>
      <c r="I2547">
        <v>185347001</v>
      </c>
      <c r="J2547" t="s">
        <v>1124</v>
      </c>
      <c r="K2547">
        <v>85.55</v>
      </c>
      <c r="L2547">
        <v>1450.05</v>
      </c>
      <c r="M2547">
        <v>1077.58</v>
      </c>
      <c r="N2547">
        <v>88805009</v>
      </c>
      <c r="O2547" t="s">
        <v>2378</v>
      </c>
    </row>
    <row r="2548" spans="1:15">
      <c r="A2548" t="s">
        <v>3994</v>
      </c>
      <c r="B2548" s="2">
        <v>41738.306145833332</v>
      </c>
      <c r="C2548" s="2">
        <v>41738.347812499997</v>
      </c>
      <c r="D2548" t="s">
        <v>568</v>
      </c>
      <c r="E2548" t="s">
        <v>1226</v>
      </c>
      <c r="F2548" t="s">
        <v>1227</v>
      </c>
      <c r="G2548" t="s">
        <v>1122</v>
      </c>
      <c r="H2548" t="s">
        <v>1076</v>
      </c>
      <c r="I2548">
        <v>185347001</v>
      </c>
      <c r="J2548" t="s">
        <v>1124</v>
      </c>
      <c r="K2548">
        <v>87.71</v>
      </c>
      <c r="L2548">
        <v>4681.1899999999996</v>
      </c>
      <c r="M2548">
        <v>3744.93</v>
      </c>
      <c r="N2548">
        <v>88805009</v>
      </c>
      <c r="O2548" t="s">
        <v>2378</v>
      </c>
    </row>
    <row r="2549" spans="1:15">
      <c r="A2549" t="s">
        <v>3995</v>
      </c>
      <c r="B2549" s="2">
        <v>41738.306145833332</v>
      </c>
      <c r="C2549" s="2">
        <v>41746.337291666663</v>
      </c>
      <c r="D2549" t="s">
        <v>568</v>
      </c>
      <c r="E2549" t="s">
        <v>1226</v>
      </c>
      <c r="F2549" t="s">
        <v>1227</v>
      </c>
      <c r="G2549" t="s">
        <v>1122</v>
      </c>
      <c r="H2549" t="s">
        <v>1431</v>
      </c>
      <c r="I2549">
        <v>305351004</v>
      </c>
      <c r="J2549" t="s">
        <v>2387</v>
      </c>
      <c r="K2549">
        <v>146.18</v>
      </c>
      <c r="L2549">
        <v>11861.52</v>
      </c>
      <c r="M2549">
        <v>9489.02</v>
      </c>
      <c r="N2549">
        <v>88805009</v>
      </c>
      <c r="O2549" t="s">
        <v>2378</v>
      </c>
    </row>
    <row r="2550" spans="1:15">
      <c r="A2550" t="s">
        <v>3996</v>
      </c>
      <c r="B2550" s="2">
        <v>41749.337291666663</v>
      </c>
      <c r="C2550" s="2">
        <v>41749.347708333335</v>
      </c>
      <c r="D2550" t="s">
        <v>568</v>
      </c>
      <c r="E2550" t="s">
        <v>1226</v>
      </c>
      <c r="F2550" t="s">
        <v>1227</v>
      </c>
      <c r="G2550" t="s">
        <v>1122</v>
      </c>
      <c r="H2550" t="s">
        <v>1031</v>
      </c>
      <c r="I2550">
        <v>448337001</v>
      </c>
      <c r="J2550" t="s">
        <v>3997</v>
      </c>
      <c r="K2550">
        <v>142.58000000000001</v>
      </c>
      <c r="L2550">
        <v>142.58000000000001</v>
      </c>
      <c r="M2550">
        <v>114.06</v>
      </c>
      <c r="N2550">
        <v>88805009</v>
      </c>
      <c r="O2550" t="s">
        <v>2378</v>
      </c>
    </row>
    <row r="2551" spans="1:15">
      <c r="A2551" t="s">
        <v>3998</v>
      </c>
      <c r="B2551" s="2">
        <v>41753.337291666663</v>
      </c>
      <c r="C2551" s="2">
        <v>41753.347708333335</v>
      </c>
      <c r="D2551" t="s">
        <v>568</v>
      </c>
      <c r="E2551" t="s">
        <v>1226</v>
      </c>
      <c r="F2551" t="s">
        <v>1227</v>
      </c>
      <c r="G2551" t="s">
        <v>1122</v>
      </c>
      <c r="H2551" t="s">
        <v>1031</v>
      </c>
      <c r="I2551">
        <v>448337001</v>
      </c>
      <c r="J2551" t="s">
        <v>3997</v>
      </c>
      <c r="K2551">
        <v>142.58000000000001</v>
      </c>
      <c r="L2551">
        <v>142.58000000000001</v>
      </c>
      <c r="M2551">
        <v>114.06</v>
      </c>
      <c r="N2551">
        <v>88805009</v>
      </c>
      <c r="O2551" t="s">
        <v>2378</v>
      </c>
    </row>
    <row r="2552" spans="1:15">
      <c r="A2552" t="s">
        <v>3999</v>
      </c>
      <c r="B2552" s="2">
        <v>41762.282280092593</v>
      </c>
      <c r="C2552" s="2">
        <v>41762.315601851849</v>
      </c>
      <c r="D2552" t="s">
        <v>568</v>
      </c>
      <c r="E2552" t="s">
        <v>3715</v>
      </c>
      <c r="F2552" t="s">
        <v>3716</v>
      </c>
      <c r="G2552" t="s">
        <v>1122</v>
      </c>
      <c r="H2552" t="s">
        <v>1020</v>
      </c>
      <c r="I2552">
        <v>162673000</v>
      </c>
      <c r="J2552" t="s">
        <v>1021</v>
      </c>
      <c r="K2552">
        <v>136.80000000000001</v>
      </c>
      <c r="L2552">
        <v>778.78</v>
      </c>
      <c r="M2552">
        <v>623.02</v>
      </c>
      <c r="O2552" t="s">
        <v>34</v>
      </c>
    </row>
    <row r="2553" spans="1:15">
      <c r="A2553" t="s">
        <v>4000</v>
      </c>
      <c r="B2553" s="2">
        <v>41769.282280092593</v>
      </c>
      <c r="C2553" s="2">
        <v>41769.292696759258</v>
      </c>
      <c r="D2553" t="s">
        <v>568</v>
      </c>
      <c r="E2553" t="s">
        <v>1226</v>
      </c>
      <c r="F2553" t="s">
        <v>1227</v>
      </c>
      <c r="G2553" t="s">
        <v>1122</v>
      </c>
      <c r="H2553" t="s">
        <v>1031</v>
      </c>
      <c r="I2553">
        <v>448337001</v>
      </c>
      <c r="J2553" t="s">
        <v>3997</v>
      </c>
      <c r="K2553">
        <v>142.58000000000001</v>
      </c>
      <c r="L2553">
        <v>142.58000000000001</v>
      </c>
      <c r="M2553">
        <v>114.06</v>
      </c>
      <c r="N2553">
        <v>88805009</v>
      </c>
      <c r="O2553" t="s">
        <v>2378</v>
      </c>
    </row>
    <row r="2554" spans="1:15">
      <c r="A2554" t="s">
        <v>4001</v>
      </c>
      <c r="B2554" s="2">
        <v>41770.282280092593</v>
      </c>
      <c r="C2554" s="2">
        <v>41770.292696759258</v>
      </c>
      <c r="D2554" t="s">
        <v>568</v>
      </c>
      <c r="E2554" t="s">
        <v>1226</v>
      </c>
      <c r="F2554" t="s">
        <v>1227</v>
      </c>
      <c r="G2554" t="s">
        <v>1122</v>
      </c>
      <c r="H2554" t="s">
        <v>1031</v>
      </c>
      <c r="I2554">
        <v>448337001</v>
      </c>
      <c r="J2554" t="s">
        <v>3997</v>
      </c>
      <c r="K2554">
        <v>142.58000000000001</v>
      </c>
      <c r="L2554">
        <v>142.58000000000001</v>
      </c>
      <c r="M2554">
        <v>114.06</v>
      </c>
      <c r="N2554">
        <v>88805009</v>
      </c>
      <c r="O2554" t="s">
        <v>2378</v>
      </c>
    </row>
    <row r="2555" spans="1:15">
      <c r="A2555" t="s">
        <v>4002</v>
      </c>
      <c r="B2555" s="2">
        <v>41771.282280092593</v>
      </c>
      <c r="C2555" s="2">
        <v>41771.292696759258</v>
      </c>
      <c r="D2555" t="s">
        <v>568</v>
      </c>
      <c r="E2555" t="s">
        <v>1226</v>
      </c>
      <c r="F2555" t="s">
        <v>1227</v>
      </c>
      <c r="G2555" t="s">
        <v>1122</v>
      </c>
      <c r="H2555" t="s">
        <v>1031</v>
      </c>
      <c r="I2555">
        <v>448337001</v>
      </c>
      <c r="J2555" t="s">
        <v>3997</v>
      </c>
      <c r="K2555">
        <v>142.58000000000001</v>
      </c>
      <c r="L2555">
        <v>142.58000000000001</v>
      </c>
      <c r="M2555">
        <v>114.06</v>
      </c>
      <c r="N2555">
        <v>88805009</v>
      </c>
      <c r="O2555" t="s">
        <v>2378</v>
      </c>
    </row>
    <row r="2556" spans="1:15">
      <c r="A2556" t="s">
        <v>4003</v>
      </c>
      <c r="B2556" s="2">
        <v>41772.282280092593</v>
      </c>
      <c r="C2556" s="2">
        <v>41772.292696759258</v>
      </c>
      <c r="D2556" t="s">
        <v>568</v>
      </c>
      <c r="E2556" t="s">
        <v>1226</v>
      </c>
      <c r="F2556" t="s">
        <v>1227</v>
      </c>
      <c r="G2556" t="s">
        <v>1122</v>
      </c>
      <c r="H2556" t="s">
        <v>1031</v>
      </c>
      <c r="I2556">
        <v>448337001</v>
      </c>
      <c r="J2556" t="s">
        <v>3997</v>
      </c>
      <c r="K2556">
        <v>142.58000000000001</v>
      </c>
      <c r="L2556">
        <v>142.58000000000001</v>
      </c>
      <c r="M2556">
        <v>114.06</v>
      </c>
      <c r="N2556">
        <v>88805009</v>
      </c>
      <c r="O2556" t="s">
        <v>2378</v>
      </c>
    </row>
    <row r="2557" spans="1:15">
      <c r="A2557" t="s">
        <v>4004</v>
      </c>
      <c r="B2557" s="2">
        <v>41773.282280092593</v>
      </c>
      <c r="C2557" s="2">
        <v>41773.292696759258</v>
      </c>
      <c r="D2557" t="s">
        <v>568</v>
      </c>
      <c r="E2557" t="s">
        <v>1226</v>
      </c>
      <c r="F2557" t="s">
        <v>1227</v>
      </c>
      <c r="G2557" t="s">
        <v>1122</v>
      </c>
      <c r="H2557" t="s">
        <v>1031</v>
      </c>
      <c r="I2557">
        <v>448337001</v>
      </c>
      <c r="J2557" t="s">
        <v>3997</v>
      </c>
      <c r="K2557">
        <v>142.58000000000001</v>
      </c>
      <c r="L2557">
        <v>142.58000000000001</v>
      </c>
      <c r="M2557">
        <v>114.06</v>
      </c>
      <c r="N2557">
        <v>88805009</v>
      </c>
      <c r="O2557" t="s">
        <v>2378</v>
      </c>
    </row>
    <row r="2558" spans="1:15">
      <c r="A2558" t="s">
        <v>4005</v>
      </c>
      <c r="B2558" s="2">
        <v>41775.282280092593</v>
      </c>
      <c r="C2558" s="2">
        <v>41775.292696759258</v>
      </c>
      <c r="D2558" t="s">
        <v>568</v>
      </c>
      <c r="E2558" t="s">
        <v>1226</v>
      </c>
      <c r="F2558" t="s">
        <v>1227</v>
      </c>
      <c r="G2558" t="s">
        <v>1122</v>
      </c>
      <c r="H2558" t="s">
        <v>1031</v>
      </c>
      <c r="I2558">
        <v>448337001</v>
      </c>
      <c r="J2558" t="s">
        <v>3997</v>
      </c>
      <c r="K2558">
        <v>142.58000000000001</v>
      </c>
      <c r="L2558">
        <v>142.58000000000001</v>
      </c>
      <c r="M2558">
        <v>114.06</v>
      </c>
      <c r="N2558">
        <v>88805009</v>
      </c>
      <c r="O2558" t="s">
        <v>2378</v>
      </c>
    </row>
    <row r="2559" spans="1:15">
      <c r="A2559" t="s">
        <v>4006</v>
      </c>
      <c r="B2559" s="2">
        <v>41776.282280092593</v>
      </c>
      <c r="C2559" s="2">
        <v>41776.292696759258</v>
      </c>
      <c r="D2559" t="s">
        <v>568</v>
      </c>
      <c r="E2559" t="s">
        <v>1226</v>
      </c>
      <c r="F2559" t="s">
        <v>1227</v>
      </c>
      <c r="G2559" t="s">
        <v>1122</v>
      </c>
      <c r="H2559" t="s">
        <v>1031</v>
      </c>
      <c r="I2559">
        <v>448337001</v>
      </c>
      <c r="J2559" t="s">
        <v>3997</v>
      </c>
      <c r="K2559">
        <v>142.58000000000001</v>
      </c>
      <c r="L2559">
        <v>142.58000000000001</v>
      </c>
      <c r="M2559">
        <v>114.06</v>
      </c>
      <c r="N2559">
        <v>88805009</v>
      </c>
      <c r="O2559" t="s">
        <v>2378</v>
      </c>
    </row>
    <row r="2560" spans="1:15">
      <c r="A2560" t="s">
        <v>4007</v>
      </c>
      <c r="B2560" s="2">
        <v>41777.282280092593</v>
      </c>
      <c r="C2560" s="2">
        <v>41777.292696759258</v>
      </c>
      <c r="D2560" t="s">
        <v>568</v>
      </c>
      <c r="E2560" t="s">
        <v>1226</v>
      </c>
      <c r="F2560" t="s">
        <v>1227</v>
      </c>
      <c r="G2560" t="s">
        <v>1122</v>
      </c>
      <c r="H2560" t="s">
        <v>1031</v>
      </c>
      <c r="I2560">
        <v>448337001</v>
      </c>
      <c r="J2560" t="s">
        <v>3997</v>
      </c>
      <c r="K2560">
        <v>142.58000000000001</v>
      </c>
      <c r="L2560">
        <v>142.58000000000001</v>
      </c>
      <c r="M2560">
        <v>114.06</v>
      </c>
      <c r="N2560">
        <v>88805009</v>
      </c>
      <c r="O2560" t="s">
        <v>2378</v>
      </c>
    </row>
    <row r="2561" spans="1:15">
      <c r="A2561" t="s">
        <v>4008</v>
      </c>
      <c r="B2561" s="2">
        <v>41778.282280092593</v>
      </c>
      <c r="C2561" s="2">
        <v>41778.292696759258</v>
      </c>
      <c r="D2561" t="s">
        <v>568</v>
      </c>
      <c r="E2561" t="s">
        <v>1226</v>
      </c>
      <c r="F2561" t="s">
        <v>1227</v>
      </c>
      <c r="G2561" t="s">
        <v>1122</v>
      </c>
      <c r="H2561" t="s">
        <v>1031</v>
      </c>
      <c r="I2561">
        <v>448337001</v>
      </c>
      <c r="J2561" t="s">
        <v>3997</v>
      </c>
      <c r="K2561">
        <v>142.58000000000001</v>
      </c>
      <c r="L2561">
        <v>142.58000000000001</v>
      </c>
      <c r="M2561">
        <v>114.06</v>
      </c>
      <c r="N2561">
        <v>88805009</v>
      </c>
      <c r="O2561" t="s">
        <v>2378</v>
      </c>
    </row>
    <row r="2562" spans="1:15">
      <c r="A2562" t="s">
        <v>4009</v>
      </c>
      <c r="B2562" s="2">
        <v>41780.282280092593</v>
      </c>
      <c r="C2562" s="2">
        <v>41780.292696759258</v>
      </c>
      <c r="D2562" t="s">
        <v>568</v>
      </c>
      <c r="E2562" t="s">
        <v>1226</v>
      </c>
      <c r="F2562" t="s">
        <v>1227</v>
      </c>
      <c r="G2562" t="s">
        <v>1122</v>
      </c>
      <c r="H2562" t="s">
        <v>1031</v>
      </c>
      <c r="I2562">
        <v>448337001</v>
      </c>
      <c r="J2562" t="s">
        <v>3997</v>
      </c>
      <c r="K2562">
        <v>142.58000000000001</v>
      </c>
      <c r="L2562">
        <v>142.58000000000001</v>
      </c>
      <c r="M2562">
        <v>114.06</v>
      </c>
      <c r="N2562">
        <v>88805009</v>
      </c>
      <c r="O2562" t="s">
        <v>2378</v>
      </c>
    </row>
    <row r="2563" spans="1:15">
      <c r="A2563" t="s">
        <v>4010</v>
      </c>
      <c r="B2563" s="2">
        <v>41781.282280092593</v>
      </c>
      <c r="C2563" s="2">
        <v>41781.292696759258</v>
      </c>
      <c r="D2563" t="s">
        <v>568</v>
      </c>
      <c r="E2563" t="s">
        <v>1226</v>
      </c>
      <c r="F2563" t="s">
        <v>1227</v>
      </c>
      <c r="G2563" t="s">
        <v>1122</v>
      </c>
      <c r="H2563" t="s">
        <v>1031</v>
      </c>
      <c r="I2563">
        <v>448337001</v>
      </c>
      <c r="J2563" t="s">
        <v>3997</v>
      </c>
      <c r="K2563">
        <v>142.58000000000001</v>
      </c>
      <c r="L2563">
        <v>142.58000000000001</v>
      </c>
      <c r="M2563">
        <v>114.06</v>
      </c>
      <c r="N2563">
        <v>88805009</v>
      </c>
      <c r="O2563" t="s">
        <v>2378</v>
      </c>
    </row>
    <row r="2564" spans="1:15">
      <c r="A2564" t="s">
        <v>4011</v>
      </c>
      <c r="B2564" s="2">
        <v>41783.282280092593</v>
      </c>
      <c r="C2564" s="2">
        <v>41783.292696759258</v>
      </c>
      <c r="D2564" t="s">
        <v>568</v>
      </c>
      <c r="E2564" t="s">
        <v>1226</v>
      </c>
      <c r="F2564" t="s">
        <v>1227</v>
      </c>
      <c r="G2564" t="s">
        <v>1122</v>
      </c>
      <c r="H2564" t="s">
        <v>1031</v>
      </c>
      <c r="I2564">
        <v>448337001</v>
      </c>
      <c r="J2564" t="s">
        <v>3997</v>
      </c>
      <c r="K2564">
        <v>142.58000000000001</v>
      </c>
      <c r="L2564">
        <v>142.58000000000001</v>
      </c>
      <c r="M2564">
        <v>114.06</v>
      </c>
      <c r="N2564">
        <v>88805009</v>
      </c>
      <c r="O2564" t="s">
        <v>2378</v>
      </c>
    </row>
    <row r="2565" spans="1:15">
      <c r="A2565" t="s">
        <v>4012</v>
      </c>
      <c r="B2565" s="2">
        <v>41784.282280092593</v>
      </c>
      <c r="C2565" s="2">
        <v>41784.292696759258</v>
      </c>
      <c r="D2565" t="s">
        <v>568</v>
      </c>
      <c r="E2565" t="s">
        <v>1226</v>
      </c>
      <c r="F2565" t="s">
        <v>1227</v>
      </c>
      <c r="G2565" t="s">
        <v>1122</v>
      </c>
      <c r="H2565" t="s">
        <v>1031</v>
      </c>
      <c r="I2565">
        <v>448337001</v>
      </c>
      <c r="J2565" t="s">
        <v>3997</v>
      </c>
      <c r="K2565">
        <v>142.58000000000001</v>
      </c>
      <c r="L2565">
        <v>142.58000000000001</v>
      </c>
      <c r="M2565">
        <v>114.06</v>
      </c>
      <c r="N2565">
        <v>88805009</v>
      </c>
      <c r="O2565" t="s">
        <v>2378</v>
      </c>
    </row>
    <row r="2566" spans="1:15">
      <c r="A2566" t="s">
        <v>4013</v>
      </c>
      <c r="B2566" s="2">
        <v>41785.282280092593</v>
      </c>
      <c r="C2566" s="2">
        <v>41785.292696759258</v>
      </c>
      <c r="D2566" t="s">
        <v>568</v>
      </c>
      <c r="E2566" t="s">
        <v>1226</v>
      </c>
      <c r="F2566" t="s">
        <v>1227</v>
      </c>
      <c r="G2566" t="s">
        <v>1122</v>
      </c>
      <c r="H2566" t="s">
        <v>1031</v>
      </c>
      <c r="I2566">
        <v>448337001</v>
      </c>
      <c r="J2566" t="s">
        <v>3997</v>
      </c>
      <c r="K2566">
        <v>142.58000000000001</v>
      </c>
      <c r="L2566">
        <v>142.58000000000001</v>
      </c>
      <c r="M2566">
        <v>114.06</v>
      </c>
      <c r="N2566">
        <v>88805009</v>
      </c>
      <c r="O2566" t="s">
        <v>2378</v>
      </c>
    </row>
    <row r="2567" spans="1:15">
      <c r="A2567" t="s">
        <v>4014</v>
      </c>
      <c r="B2567" s="2">
        <v>41786.282280092593</v>
      </c>
      <c r="C2567" s="2">
        <v>41786.292696759258</v>
      </c>
      <c r="D2567" t="s">
        <v>568</v>
      </c>
      <c r="E2567" t="s">
        <v>1226</v>
      </c>
      <c r="F2567" t="s">
        <v>1227</v>
      </c>
      <c r="G2567" t="s">
        <v>1122</v>
      </c>
      <c r="H2567" t="s">
        <v>1031</v>
      </c>
      <c r="I2567">
        <v>448337001</v>
      </c>
      <c r="J2567" t="s">
        <v>3997</v>
      </c>
      <c r="K2567">
        <v>142.58000000000001</v>
      </c>
      <c r="L2567">
        <v>142.58000000000001</v>
      </c>
      <c r="M2567">
        <v>114.06</v>
      </c>
      <c r="N2567">
        <v>88805009</v>
      </c>
      <c r="O2567" t="s">
        <v>2378</v>
      </c>
    </row>
    <row r="2568" spans="1:15">
      <c r="A2568" t="s">
        <v>4015</v>
      </c>
      <c r="B2568" s="2">
        <v>41787.282280092593</v>
      </c>
      <c r="C2568" s="2">
        <v>41787.323946759258</v>
      </c>
      <c r="D2568" t="s">
        <v>568</v>
      </c>
      <c r="E2568" t="s">
        <v>1226</v>
      </c>
      <c r="F2568" t="s">
        <v>1227</v>
      </c>
      <c r="G2568" t="s">
        <v>1122</v>
      </c>
      <c r="H2568" t="s">
        <v>1076</v>
      </c>
      <c r="I2568">
        <v>185347001</v>
      </c>
      <c r="J2568" t="s">
        <v>1124</v>
      </c>
      <c r="K2568">
        <v>87.71</v>
      </c>
      <c r="L2568">
        <v>14530.8</v>
      </c>
      <c r="M2568">
        <v>11624.62</v>
      </c>
      <c r="N2568">
        <v>88805009</v>
      </c>
      <c r="O2568" t="s">
        <v>2378</v>
      </c>
    </row>
    <row r="2569" spans="1:15">
      <c r="A2569" t="s">
        <v>4016</v>
      </c>
      <c r="B2569" s="2">
        <v>41787.282280092593</v>
      </c>
      <c r="C2569" s="2">
        <v>41790.32671296296</v>
      </c>
      <c r="D2569" t="s">
        <v>568</v>
      </c>
      <c r="E2569" t="s">
        <v>1226</v>
      </c>
      <c r="F2569" t="s">
        <v>1227</v>
      </c>
      <c r="G2569" t="s">
        <v>1122</v>
      </c>
      <c r="H2569" t="s">
        <v>1431</v>
      </c>
      <c r="I2569">
        <v>305351004</v>
      </c>
      <c r="J2569" t="s">
        <v>2387</v>
      </c>
      <c r="K2569">
        <v>146.18</v>
      </c>
      <c r="L2569">
        <v>8289.34</v>
      </c>
      <c r="M2569">
        <v>6631.39</v>
      </c>
      <c r="N2569">
        <v>88805009</v>
      </c>
      <c r="O2569" t="s">
        <v>2378</v>
      </c>
    </row>
    <row r="2570" spans="1:15">
      <c r="A2570" t="s">
        <v>4017</v>
      </c>
      <c r="B2570" s="2">
        <v>41970.285046296296</v>
      </c>
      <c r="C2570" s="2">
        <v>41970.32671296296</v>
      </c>
      <c r="D2570" t="s">
        <v>568</v>
      </c>
      <c r="E2570" t="s">
        <v>1226</v>
      </c>
      <c r="F2570" t="s">
        <v>1227</v>
      </c>
      <c r="G2570" t="s">
        <v>1122</v>
      </c>
      <c r="H2570" t="s">
        <v>1076</v>
      </c>
      <c r="I2570">
        <v>185347001</v>
      </c>
      <c r="J2570" t="s">
        <v>1124</v>
      </c>
      <c r="K2570">
        <v>87.71</v>
      </c>
      <c r="L2570">
        <v>4681.1899999999996</v>
      </c>
      <c r="M2570">
        <v>3558.53</v>
      </c>
      <c r="N2570">
        <v>88805009</v>
      </c>
      <c r="O2570" t="s">
        <v>2378</v>
      </c>
    </row>
    <row r="2571" spans="1:15">
      <c r="A2571" t="s">
        <v>4018</v>
      </c>
      <c r="B2571" s="2">
        <v>41970.285046296296</v>
      </c>
      <c r="C2571" s="2">
        <v>41972.33121527778</v>
      </c>
      <c r="D2571" t="s">
        <v>568</v>
      </c>
      <c r="E2571" t="s">
        <v>1226</v>
      </c>
      <c r="F2571" t="s">
        <v>1227</v>
      </c>
      <c r="G2571" t="s">
        <v>1122</v>
      </c>
      <c r="H2571" t="s">
        <v>1431</v>
      </c>
      <c r="I2571">
        <v>305351004</v>
      </c>
      <c r="J2571" t="s">
        <v>2387</v>
      </c>
      <c r="K2571">
        <v>146.18</v>
      </c>
      <c r="L2571">
        <v>5253.59</v>
      </c>
      <c r="M2571">
        <v>4202.82</v>
      </c>
      <c r="N2571">
        <v>88805009</v>
      </c>
      <c r="O2571" t="s">
        <v>2378</v>
      </c>
    </row>
    <row r="2572" spans="1:15">
      <c r="A2572" t="s">
        <v>4019</v>
      </c>
      <c r="B2572" s="2">
        <v>42133.282280092593</v>
      </c>
      <c r="C2572" s="2">
        <v>42133.303391203706</v>
      </c>
      <c r="D2572" t="s">
        <v>568</v>
      </c>
      <c r="E2572" t="s">
        <v>3715</v>
      </c>
      <c r="F2572" t="s">
        <v>3716</v>
      </c>
      <c r="G2572" t="s">
        <v>1122</v>
      </c>
      <c r="H2572" t="s">
        <v>1020</v>
      </c>
      <c r="I2572">
        <v>162673000</v>
      </c>
      <c r="J2572" t="s">
        <v>1021</v>
      </c>
      <c r="K2572">
        <v>136.80000000000001</v>
      </c>
      <c r="L2572">
        <v>994.48</v>
      </c>
      <c r="M2572">
        <v>795.58</v>
      </c>
      <c r="O2572" t="s">
        <v>34</v>
      </c>
    </row>
    <row r="2573" spans="1:15">
      <c r="A2573" t="s">
        <v>4020</v>
      </c>
      <c r="B2573" s="2">
        <v>42147.282280092593</v>
      </c>
      <c r="C2573" s="2">
        <v>42147.421620370369</v>
      </c>
      <c r="D2573" t="s">
        <v>568</v>
      </c>
      <c r="E2573" t="s">
        <v>3712</v>
      </c>
      <c r="F2573" t="s">
        <v>3713</v>
      </c>
      <c r="G2573" t="s">
        <v>1122</v>
      </c>
      <c r="H2573" t="s">
        <v>1031</v>
      </c>
      <c r="I2573">
        <v>185349003</v>
      </c>
      <c r="J2573" t="s">
        <v>1038</v>
      </c>
      <c r="K2573">
        <v>85.55</v>
      </c>
      <c r="L2573">
        <v>2673.95</v>
      </c>
      <c r="M2573">
        <v>2139.16</v>
      </c>
      <c r="N2573">
        <v>103697008</v>
      </c>
      <c r="O2573" t="s">
        <v>1039</v>
      </c>
    </row>
    <row r="2574" spans="1:15">
      <c r="A2574" t="s">
        <v>4021</v>
      </c>
      <c r="B2574" s="2">
        <v>42161.282280092593</v>
      </c>
      <c r="C2574" s="2">
        <v>42161.303113425929</v>
      </c>
      <c r="D2574" t="s">
        <v>568</v>
      </c>
      <c r="E2574" t="s">
        <v>1226</v>
      </c>
      <c r="F2574" t="s">
        <v>1227</v>
      </c>
      <c r="G2574" t="s">
        <v>1122</v>
      </c>
      <c r="H2574" t="s">
        <v>1031</v>
      </c>
      <c r="I2574">
        <v>185347001</v>
      </c>
      <c r="J2574" t="s">
        <v>1124</v>
      </c>
      <c r="K2574">
        <v>85.55</v>
      </c>
      <c r="L2574">
        <v>795.53</v>
      </c>
      <c r="M2574">
        <v>636.41999999999996</v>
      </c>
      <c r="N2574">
        <v>88805009</v>
      </c>
      <c r="O2574" t="s">
        <v>2378</v>
      </c>
    </row>
    <row r="2575" spans="1:15">
      <c r="A2575" t="s">
        <v>4022</v>
      </c>
      <c r="B2575" s="2">
        <v>42245.282280092593</v>
      </c>
      <c r="C2575" s="2">
        <v>42271.664548611108</v>
      </c>
      <c r="D2575" t="s">
        <v>568</v>
      </c>
      <c r="E2575" t="s">
        <v>4023</v>
      </c>
      <c r="F2575" t="s">
        <v>4024</v>
      </c>
      <c r="G2575" t="s">
        <v>1122</v>
      </c>
      <c r="H2575" t="s">
        <v>1263</v>
      </c>
      <c r="I2575">
        <v>305336008</v>
      </c>
      <c r="J2575" t="s">
        <v>1264</v>
      </c>
      <c r="K2575">
        <v>137.53</v>
      </c>
      <c r="L2575">
        <v>11353.93</v>
      </c>
      <c r="M2575">
        <v>9083.14</v>
      </c>
      <c r="N2575">
        <v>88805009</v>
      </c>
      <c r="O2575" t="s">
        <v>2378</v>
      </c>
    </row>
    <row r="2576" spans="1:15">
      <c r="A2576" t="s">
        <v>4025</v>
      </c>
      <c r="B2576" s="2">
        <v>42273.282280092593</v>
      </c>
      <c r="C2576" s="2">
        <v>42273.292696759258</v>
      </c>
      <c r="D2576" t="s">
        <v>568</v>
      </c>
      <c r="E2576" t="s">
        <v>3715</v>
      </c>
      <c r="F2576" t="s">
        <v>3716</v>
      </c>
      <c r="G2576" t="s">
        <v>1122</v>
      </c>
      <c r="H2576" t="s">
        <v>1020</v>
      </c>
      <c r="I2576">
        <v>308646001</v>
      </c>
      <c r="J2576" t="s">
        <v>1708</v>
      </c>
      <c r="K2576">
        <v>136.80000000000001</v>
      </c>
      <c r="L2576">
        <v>211.38</v>
      </c>
      <c r="M2576">
        <v>169.1</v>
      </c>
      <c r="N2576">
        <v>88805009</v>
      </c>
      <c r="O2576" t="s">
        <v>2378</v>
      </c>
    </row>
    <row r="2577" spans="1:15">
      <c r="A2577" t="s">
        <v>4026</v>
      </c>
      <c r="B2577" s="2">
        <v>42078.364282407405</v>
      </c>
      <c r="C2577" s="2">
        <v>42078.374699074076</v>
      </c>
      <c r="D2577" t="s">
        <v>577</v>
      </c>
      <c r="E2577" t="s">
        <v>4027</v>
      </c>
      <c r="F2577" t="s">
        <v>4028</v>
      </c>
      <c r="G2577" t="s">
        <v>1023</v>
      </c>
      <c r="H2577" t="s">
        <v>1020</v>
      </c>
      <c r="I2577">
        <v>410620009</v>
      </c>
      <c r="J2577" t="s">
        <v>1054</v>
      </c>
      <c r="K2577">
        <v>136.80000000000001</v>
      </c>
      <c r="L2577">
        <v>816.8</v>
      </c>
      <c r="M2577">
        <v>0</v>
      </c>
      <c r="O2577" t="s">
        <v>34</v>
      </c>
    </row>
    <row r="2578" spans="1:15">
      <c r="A2578" t="s">
        <v>4029</v>
      </c>
      <c r="B2578" s="2">
        <v>42708.322615740741</v>
      </c>
      <c r="C2578" s="2">
        <v>42708.333032407405</v>
      </c>
      <c r="D2578" t="s">
        <v>577</v>
      </c>
      <c r="E2578" t="s">
        <v>4030</v>
      </c>
      <c r="F2578" t="s">
        <v>4031</v>
      </c>
      <c r="G2578" t="s">
        <v>1023</v>
      </c>
      <c r="H2578" t="s">
        <v>1043</v>
      </c>
      <c r="I2578">
        <v>185345009</v>
      </c>
      <c r="J2578" t="s">
        <v>1032</v>
      </c>
      <c r="K2578">
        <v>85.55</v>
      </c>
      <c r="L2578">
        <v>85.55</v>
      </c>
      <c r="M2578">
        <v>0</v>
      </c>
      <c r="N2578">
        <v>65363002</v>
      </c>
      <c r="O2578" t="s">
        <v>1335</v>
      </c>
    </row>
    <row r="2579" spans="1:15">
      <c r="A2579" t="s">
        <v>4032</v>
      </c>
      <c r="B2579" s="2">
        <v>42715.322615740741</v>
      </c>
      <c r="C2579" s="2">
        <v>42715.333032407405</v>
      </c>
      <c r="D2579" t="s">
        <v>577</v>
      </c>
      <c r="E2579" t="s">
        <v>4027</v>
      </c>
      <c r="F2579" t="s">
        <v>4028</v>
      </c>
      <c r="G2579" t="s">
        <v>1023</v>
      </c>
      <c r="H2579" t="s">
        <v>1020</v>
      </c>
      <c r="I2579">
        <v>410620009</v>
      </c>
      <c r="J2579" t="s">
        <v>1054</v>
      </c>
      <c r="K2579">
        <v>136.80000000000001</v>
      </c>
      <c r="L2579">
        <v>488.5</v>
      </c>
      <c r="M2579">
        <v>0</v>
      </c>
      <c r="O2579" t="s">
        <v>34</v>
      </c>
    </row>
    <row r="2580" spans="1:15">
      <c r="A2580" t="s">
        <v>4033</v>
      </c>
      <c r="B2580" s="2">
        <v>42897.364282407405</v>
      </c>
      <c r="C2580" s="2">
        <v>42897.374699074076</v>
      </c>
      <c r="D2580" t="s">
        <v>577</v>
      </c>
      <c r="E2580" t="s">
        <v>4027</v>
      </c>
      <c r="F2580" t="s">
        <v>4028</v>
      </c>
      <c r="G2580" t="s">
        <v>1023</v>
      </c>
      <c r="H2580" t="s">
        <v>1020</v>
      </c>
      <c r="I2580">
        <v>410620009</v>
      </c>
      <c r="J2580" t="s">
        <v>1054</v>
      </c>
      <c r="K2580">
        <v>136.80000000000001</v>
      </c>
      <c r="L2580">
        <v>136.80000000000001</v>
      </c>
      <c r="M2580">
        <v>0</v>
      </c>
      <c r="O2580" t="s">
        <v>34</v>
      </c>
    </row>
    <row r="2581" spans="1:15">
      <c r="A2581" t="s">
        <v>4034</v>
      </c>
      <c r="B2581" s="2">
        <v>43079.322615740741</v>
      </c>
      <c r="C2581" s="2">
        <v>43079.333032407405</v>
      </c>
      <c r="D2581" t="s">
        <v>577</v>
      </c>
      <c r="E2581" t="s">
        <v>4027</v>
      </c>
      <c r="F2581" t="s">
        <v>4028</v>
      </c>
      <c r="G2581" t="s">
        <v>1023</v>
      </c>
      <c r="H2581" t="s">
        <v>1020</v>
      </c>
      <c r="I2581">
        <v>410620009</v>
      </c>
      <c r="J2581" t="s">
        <v>1054</v>
      </c>
      <c r="K2581">
        <v>136.80000000000001</v>
      </c>
      <c r="L2581">
        <v>704.2</v>
      </c>
      <c r="M2581">
        <v>0</v>
      </c>
      <c r="O2581" t="s">
        <v>34</v>
      </c>
    </row>
    <row r="2582" spans="1:15">
      <c r="A2582" t="s">
        <v>4035</v>
      </c>
      <c r="B2582" s="2">
        <v>43086.322615740741</v>
      </c>
      <c r="C2582" s="2">
        <v>43086.472280092596</v>
      </c>
      <c r="D2582" t="s">
        <v>577</v>
      </c>
      <c r="E2582" t="s">
        <v>4030</v>
      </c>
      <c r="F2582" t="s">
        <v>4031</v>
      </c>
      <c r="G2582" t="s">
        <v>1023</v>
      </c>
      <c r="H2582" t="s">
        <v>1031</v>
      </c>
      <c r="I2582">
        <v>185349003</v>
      </c>
      <c r="J2582" t="s">
        <v>1038</v>
      </c>
      <c r="K2582">
        <v>85.55</v>
      </c>
      <c r="L2582">
        <v>3105.35</v>
      </c>
      <c r="M2582">
        <v>2094.63</v>
      </c>
      <c r="N2582">
        <v>103697008</v>
      </c>
      <c r="O2582" t="s">
        <v>1039</v>
      </c>
    </row>
    <row r="2583" spans="1:15">
      <c r="A2583" t="s">
        <v>4036</v>
      </c>
      <c r="B2583" s="2">
        <v>43450.322615740741</v>
      </c>
      <c r="C2583" s="2">
        <v>43450.333032407405</v>
      </c>
      <c r="D2583" t="s">
        <v>577</v>
      </c>
      <c r="E2583" t="s">
        <v>4027</v>
      </c>
      <c r="F2583" t="s">
        <v>4028</v>
      </c>
      <c r="G2583" t="s">
        <v>1023</v>
      </c>
      <c r="H2583" t="s">
        <v>1020</v>
      </c>
      <c r="I2583">
        <v>410620009</v>
      </c>
      <c r="J2583" t="s">
        <v>1054</v>
      </c>
      <c r="K2583">
        <v>136.80000000000001</v>
      </c>
      <c r="L2583">
        <v>1595.39</v>
      </c>
      <c r="M2583">
        <v>109.91</v>
      </c>
      <c r="O2583" t="s">
        <v>34</v>
      </c>
    </row>
    <row r="2584" spans="1:15">
      <c r="A2584" t="s">
        <v>4037</v>
      </c>
      <c r="B2584" s="2">
        <v>43457.322615740741</v>
      </c>
      <c r="C2584" s="2">
        <v>43457.455775462964</v>
      </c>
      <c r="D2584" t="s">
        <v>577</v>
      </c>
      <c r="E2584" t="s">
        <v>4030</v>
      </c>
      <c r="F2584" t="s">
        <v>4031</v>
      </c>
      <c r="G2584" t="s">
        <v>1023</v>
      </c>
      <c r="H2584" t="s">
        <v>1031</v>
      </c>
      <c r="I2584">
        <v>185349003</v>
      </c>
      <c r="J2584" t="s">
        <v>1038</v>
      </c>
      <c r="K2584">
        <v>85.55</v>
      </c>
      <c r="L2584">
        <v>3105.35</v>
      </c>
      <c r="M2584">
        <v>2484.2800000000002</v>
      </c>
      <c r="N2584">
        <v>103697008</v>
      </c>
      <c r="O2584" t="s">
        <v>1039</v>
      </c>
    </row>
    <row r="2585" spans="1:15">
      <c r="A2585" t="s">
        <v>4038</v>
      </c>
      <c r="B2585" s="2">
        <v>43821.322615740741</v>
      </c>
      <c r="C2585" s="2">
        <v>43821.333032407405</v>
      </c>
      <c r="D2585" t="s">
        <v>577</v>
      </c>
      <c r="E2585" t="s">
        <v>4027</v>
      </c>
      <c r="F2585" t="s">
        <v>4028</v>
      </c>
      <c r="G2585" t="s">
        <v>1023</v>
      </c>
      <c r="H2585" t="s">
        <v>1020</v>
      </c>
      <c r="I2585">
        <v>410620009</v>
      </c>
      <c r="J2585" t="s">
        <v>1054</v>
      </c>
      <c r="K2585">
        <v>136.80000000000001</v>
      </c>
      <c r="L2585">
        <v>563.08000000000004</v>
      </c>
      <c r="M2585">
        <v>0</v>
      </c>
      <c r="O2585" t="s">
        <v>34</v>
      </c>
    </row>
    <row r="2586" spans="1:15">
      <c r="A2586" t="s">
        <v>4039</v>
      </c>
      <c r="B2586" s="2">
        <v>44192.322615740741</v>
      </c>
      <c r="C2586" s="2">
        <v>44192.333032407405</v>
      </c>
      <c r="D2586" t="s">
        <v>577</v>
      </c>
      <c r="E2586" t="s">
        <v>4027</v>
      </c>
      <c r="F2586" t="s">
        <v>4028</v>
      </c>
      <c r="G2586" t="s">
        <v>1023</v>
      </c>
      <c r="H2586" t="s">
        <v>1020</v>
      </c>
      <c r="I2586">
        <v>410620009</v>
      </c>
      <c r="J2586" t="s">
        <v>1054</v>
      </c>
      <c r="K2586">
        <v>136.80000000000001</v>
      </c>
      <c r="L2586">
        <v>1135.5999999999999</v>
      </c>
      <c r="M2586">
        <v>0</v>
      </c>
      <c r="O2586" t="s">
        <v>34</v>
      </c>
    </row>
    <row r="2587" spans="1:15">
      <c r="A2587" t="s">
        <v>4040</v>
      </c>
      <c r="B2587" s="2">
        <v>44563.322615740741</v>
      </c>
      <c r="C2587" s="2">
        <v>44563.333032407405</v>
      </c>
      <c r="D2587" t="s">
        <v>577</v>
      </c>
      <c r="E2587" t="s">
        <v>4027</v>
      </c>
      <c r="F2587" t="s">
        <v>4028</v>
      </c>
      <c r="G2587" t="s">
        <v>1023</v>
      </c>
      <c r="H2587" t="s">
        <v>1020</v>
      </c>
      <c r="I2587">
        <v>410620009</v>
      </c>
      <c r="J2587" t="s">
        <v>1054</v>
      </c>
      <c r="K2587">
        <v>136.80000000000001</v>
      </c>
      <c r="L2587">
        <v>1204.94</v>
      </c>
      <c r="M2587">
        <v>0</v>
      </c>
      <c r="O2587" t="s">
        <v>34</v>
      </c>
    </row>
    <row r="2588" spans="1:15">
      <c r="A2588" t="s">
        <v>4041</v>
      </c>
      <c r="B2588" s="2">
        <v>44570.322615740741</v>
      </c>
      <c r="C2588" s="2">
        <v>44570.625937500001</v>
      </c>
      <c r="D2588" t="s">
        <v>577</v>
      </c>
      <c r="E2588" t="s">
        <v>4030</v>
      </c>
      <c r="F2588" t="s">
        <v>4031</v>
      </c>
      <c r="G2588" t="s">
        <v>1107</v>
      </c>
      <c r="H2588" t="s">
        <v>1031</v>
      </c>
      <c r="I2588">
        <v>185349003</v>
      </c>
      <c r="J2588" t="s">
        <v>1038</v>
      </c>
      <c r="K2588">
        <v>85.55</v>
      </c>
      <c r="L2588">
        <v>5262.35</v>
      </c>
      <c r="M2588">
        <v>624.6</v>
      </c>
      <c r="N2588">
        <v>66383009</v>
      </c>
      <c r="O2588" t="s">
        <v>1209</v>
      </c>
    </row>
    <row r="2589" spans="1:15">
      <c r="A2589" t="s">
        <v>4042</v>
      </c>
      <c r="B2589" s="2">
        <v>44934.322615740741</v>
      </c>
      <c r="C2589" s="2">
        <v>44934.333032407405</v>
      </c>
      <c r="D2589" t="s">
        <v>577</v>
      </c>
      <c r="E2589" t="s">
        <v>4027</v>
      </c>
      <c r="F2589" t="s">
        <v>4028</v>
      </c>
      <c r="G2589" t="s">
        <v>1107</v>
      </c>
      <c r="H2589" t="s">
        <v>1020</v>
      </c>
      <c r="I2589">
        <v>410620009</v>
      </c>
      <c r="J2589" t="s">
        <v>1054</v>
      </c>
      <c r="K2589">
        <v>136.80000000000001</v>
      </c>
      <c r="L2589">
        <v>704.2</v>
      </c>
      <c r="M2589">
        <v>0</v>
      </c>
      <c r="O2589" t="s">
        <v>34</v>
      </c>
    </row>
    <row r="2590" spans="1:15">
      <c r="A2590" t="s">
        <v>4043</v>
      </c>
      <c r="B2590" s="2">
        <v>44941.322615740741</v>
      </c>
      <c r="C2590" s="2">
        <v>44941.493159722224</v>
      </c>
      <c r="D2590" t="s">
        <v>577</v>
      </c>
      <c r="E2590" t="s">
        <v>4030</v>
      </c>
      <c r="F2590" t="s">
        <v>4031</v>
      </c>
      <c r="G2590" t="s">
        <v>1107</v>
      </c>
      <c r="H2590" t="s">
        <v>1031</v>
      </c>
      <c r="I2590">
        <v>185349003</v>
      </c>
      <c r="J2590" t="s">
        <v>1038</v>
      </c>
      <c r="K2590">
        <v>85.55</v>
      </c>
      <c r="L2590">
        <v>3105.35</v>
      </c>
      <c r="M2590">
        <v>0</v>
      </c>
      <c r="N2590">
        <v>103697008</v>
      </c>
      <c r="O2590" t="s">
        <v>1039</v>
      </c>
    </row>
    <row r="2591" spans="1:15">
      <c r="A2591" t="s">
        <v>4044</v>
      </c>
      <c r="B2591" s="2">
        <v>45267.322615740741</v>
      </c>
      <c r="C2591" s="2">
        <v>45267.364282407405</v>
      </c>
      <c r="D2591" t="s">
        <v>577</v>
      </c>
      <c r="E2591" t="s">
        <v>4045</v>
      </c>
      <c r="F2591" t="s">
        <v>4046</v>
      </c>
      <c r="G2591" t="s">
        <v>1107</v>
      </c>
      <c r="H2591" t="s">
        <v>1076</v>
      </c>
      <c r="I2591">
        <v>50849002</v>
      </c>
      <c r="J2591" t="s">
        <v>1163</v>
      </c>
      <c r="K2591">
        <v>146.18</v>
      </c>
      <c r="L2591">
        <v>146.18</v>
      </c>
      <c r="M2591">
        <v>0</v>
      </c>
      <c r="N2591">
        <v>110030002</v>
      </c>
      <c r="O2591" t="s">
        <v>2628</v>
      </c>
    </row>
    <row r="2592" spans="1:15">
      <c r="A2592" t="s">
        <v>4047</v>
      </c>
      <c r="B2592" s="2">
        <v>45305.322615740741</v>
      </c>
      <c r="C2592" s="2">
        <v>45305.333032407405</v>
      </c>
      <c r="D2592" t="s">
        <v>577</v>
      </c>
      <c r="E2592" t="s">
        <v>4027</v>
      </c>
      <c r="F2592" t="s">
        <v>4028</v>
      </c>
      <c r="G2592" t="s">
        <v>1026</v>
      </c>
      <c r="H2592" t="s">
        <v>1020</v>
      </c>
      <c r="I2592">
        <v>410620009</v>
      </c>
      <c r="J2592" t="s">
        <v>1054</v>
      </c>
      <c r="K2592">
        <v>136.80000000000001</v>
      </c>
      <c r="L2592">
        <v>704.2</v>
      </c>
      <c r="M2592">
        <v>0</v>
      </c>
      <c r="O2592" t="s">
        <v>34</v>
      </c>
    </row>
    <row r="2593" spans="1:15">
      <c r="A2593" t="s">
        <v>4048</v>
      </c>
      <c r="B2593" s="2">
        <v>45312.322615740741</v>
      </c>
      <c r="C2593" s="2">
        <v>45312.466435185182</v>
      </c>
      <c r="D2593" t="s">
        <v>577</v>
      </c>
      <c r="E2593" t="s">
        <v>4030</v>
      </c>
      <c r="F2593" t="s">
        <v>4031</v>
      </c>
      <c r="G2593" t="s">
        <v>1026</v>
      </c>
      <c r="H2593" t="s">
        <v>1031</v>
      </c>
      <c r="I2593">
        <v>185349003</v>
      </c>
      <c r="J2593" t="s">
        <v>1038</v>
      </c>
      <c r="K2593">
        <v>85.55</v>
      </c>
      <c r="L2593">
        <v>3105.35</v>
      </c>
      <c r="M2593">
        <v>0</v>
      </c>
      <c r="N2593">
        <v>66383009</v>
      </c>
      <c r="O2593" t="s">
        <v>1209</v>
      </c>
    </row>
    <row r="2594" spans="1:15">
      <c r="A2594" t="s">
        <v>4049</v>
      </c>
      <c r="B2594" s="2">
        <v>45338.322615740741</v>
      </c>
      <c r="C2594" s="2">
        <v>45338.333032407405</v>
      </c>
      <c r="D2594" t="s">
        <v>577</v>
      </c>
      <c r="E2594" t="s">
        <v>4030</v>
      </c>
      <c r="F2594" t="s">
        <v>4031</v>
      </c>
      <c r="G2594" t="s">
        <v>1026</v>
      </c>
      <c r="H2594" t="s">
        <v>1031</v>
      </c>
      <c r="I2594">
        <v>185349003</v>
      </c>
      <c r="J2594" t="s">
        <v>1038</v>
      </c>
      <c r="K2594">
        <v>85.55</v>
      </c>
      <c r="L2594">
        <v>85.55</v>
      </c>
      <c r="M2594">
        <v>0</v>
      </c>
      <c r="N2594">
        <v>62106007</v>
      </c>
      <c r="O2594" t="s">
        <v>3730</v>
      </c>
    </row>
    <row r="2595" spans="1:15">
      <c r="A2595" t="s">
        <v>4050</v>
      </c>
      <c r="B2595" s="2">
        <v>45676.322615740741</v>
      </c>
      <c r="C2595" s="2">
        <v>45676.333032407405</v>
      </c>
      <c r="D2595" t="s">
        <v>577</v>
      </c>
      <c r="E2595" t="s">
        <v>4027</v>
      </c>
      <c r="F2595" t="s">
        <v>4028</v>
      </c>
      <c r="G2595" t="s">
        <v>1026</v>
      </c>
      <c r="H2595" t="s">
        <v>1020</v>
      </c>
      <c r="I2595">
        <v>410620009</v>
      </c>
      <c r="J2595" t="s">
        <v>1054</v>
      </c>
      <c r="K2595">
        <v>136.80000000000001</v>
      </c>
      <c r="L2595">
        <v>755.38</v>
      </c>
      <c r="M2595">
        <v>0</v>
      </c>
      <c r="O2595" t="s">
        <v>34</v>
      </c>
    </row>
    <row r="2596" spans="1:15">
      <c r="A2596" t="s">
        <v>4051</v>
      </c>
      <c r="B2596" s="2">
        <v>45784.614282407405</v>
      </c>
      <c r="C2596" s="2">
        <v>45784.624699074076</v>
      </c>
      <c r="D2596" t="s">
        <v>577</v>
      </c>
      <c r="E2596" t="s">
        <v>4030</v>
      </c>
      <c r="F2596" t="s">
        <v>4031</v>
      </c>
      <c r="G2596" t="s">
        <v>1026</v>
      </c>
      <c r="H2596" t="s">
        <v>1031</v>
      </c>
      <c r="I2596">
        <v>185345009</v>
      </c>
      <c r="J2596" t="s">
        <v>1032</v>
      </c>
      <c r="K2596">
        <v>85.55</v>
      </c>
      <c r="L2596">
        <v>2946.9</v>
      </c>
      <c r="M2596">
        <v>0</v>
      </c>
      <c r="N2596">
        <v>195662009</v>
      </c>
      <c r="O2596" t="s">
        <v>1130</v>
      </c>
    </row>
    <row r="2597" spans="1:15">
      <c r="A2597" t="s">
        <v>4052</v>
      </c>
      <c r="B2597" s="2">
        <v>46040.322615740741</v>
      </c>
      <c r="C2597" s="2">
        <v>46040.333032407405</v>
      </c>
      <c r="D2597" t="s">
        <v>577</v>
      </c>
      <c r="E2597" t="s">
        <v>4030</v>
      </c>
      <c r="F2597" t="s">
        <v>4031</v>
      </c>
      <c r="G2597" t="s">
        <v>1026</v>
      </c>
      <c r="H2597" t="s">
        <v>1043</v>
      </c>
      <c r="I2597">
        <v>33879002</v>
      </c>
      <c r="J2597" t="s">
        <v>1044</v>
      </c>
      <c r="K2597">
        <v>142.58000000000001</v>
      </c>
      <c r="L2597">
        <v>278.58</v>
      </c>
      <c r="M2597">
        <v>0</v>
      </c>
      <c r="O2597" t="s">
        <v>34</v>
      </c>
    </row>
    <row r="2598" spans="1:15">
      <c r="A2598" t="s">
        <v>4053</v>
      </c>
      <c r="B2598" s="2">
        <v>46047.322615740741</v>
      </c>
      <c r="C2598" s="2">
        <v>46047.342523148145</v>
      </c>
      <c r="D2598" t="s">
        <v>577</v>
      </c>
      <c r="E2598" t="s">
        <v>4027</v>
      </c>
      <c r="F2598" t="s">
        <v>4028</v>
      </c>
      <c r="G2598" t="s">
        <v>1026</v>
      </c>
      <c r="H2598" t="s">
        <v>1020</v>
      </c>
      <c r="I2598">
        <v>410620009</v>
      </c>
      <c r="J2598" t="s">
        <v>1054</v>
      </c>
      <c r="K2598">
        <v>136.80000000000001</v>
      </c>
      <c r="L2598">
        <v>1102.94</v>
      </c>
      <c r="M2598">
        <v>0</v>
      </c>
      <c r="O2598" t="s">
        <v>34</v>
      </c>
    </row>
    <row r="2599" spans="1:15">
      <c r="A2599" t="s">
        <v>4054</v>
      </c>
      <c r="B2599" s="2">
        <v>46061.322615740741</v>
      </c>
      <c r="C2599" s="2">
        <v>46061.333032407405</v>
      </c>
      <c r="D2599" t="s">
        <v>577</v>
      </c>
      <c r="E2599" t="s">
        <v>4030</v>
      </c>
      <c r="F2599" t="s">
        <v>4031</v>
      </c>
      <c r="G2599" t="s">
        <v>1026</v>
      </c>
      <c r="H2599" t="s">
        <v>1043</v>
      </c>
      <c r="I2599">
        <v>33879002</v>
      </c>
      <c r="J2599" t="s">
        <v>1044</v>
      </c>
      <c r="K2599">
        <v>142.58000000000001</v>
      </c>
      <c r="L2599">
        <v>278.58</v>
      </c>
      <c r="M2599">
        <v>0</v>
      </c>
      <c r="O2599" t="s">
        <v>34</v>
      </c>
    </row>
    <row r="2600" spans="1:15">
      <c r="A2600" t="s">
        <v>4055</v>
      </c>
      <c r="B2600" s="2">
        <v>46061.322615740741</v>
      </c>
      <c r="C2600" s="2">
        <v>46061.439074074071</v>
      </c>
      <c r="D2600" t="s">
        <v>577</v>
      </c>
      <c r="E2600" t="s">
        <v>4030</v>
      </c>
      <c r="F2600" t="s">
        <v>4031</v>
      </c>
      <c r="G2600" t="s">
        <v>1026</v>
      </c>
      <c r="H2600" t="s">
        <v>1031</v>
      </c>
      <c r="I2600">
        <v>185349003</v>
      </c>
      <c r="J2600" t="s">
        <v>1038</v>
      </c>
      <c r="K2600">
        <v>85.55</v>
      </c>
      <c r="L2600">
        <v>3105.35</v>
      </c>
      <c r="M2600">
        <v>0</v>
      </c>
      <c r="N2600">
        <v>66383009</v>
      </c>
      <c r="O2600" t="s">
        <v>1209</v>
      </c>
    </row>
    <row r="2601" spans="1:15">
      <c r="A2601" t="s">
        <v>4056</v>
      </c>
      <c r="B2601" s="2">
        <v>33576.07608796296</v>
      </c>
      <c r="C2601" s="2">
        <v>33576.088287037041</v>
      </c>
      <c r="D2601" t="s">
        <v>585</v>
      </c>
      <c r="E2601" t="s">
        <v>4057</v>
      </c>
      <c r="F2601" t="s">
        <v>4058</v>
      </c>
      <c r="G2601" t="s">
        <v>1019</v>
      </c>
      <c r="H2601" t="s">
        <v>1020</v>
      </c>
      <c r="I2601">
        <v>410620009</v>
      </c>
      <c r="J2601" t="s">
        <v>1054</v>
      </c>
      <c r="K2601">
        <v>136.80000000000001</v>
      </c>
      <c r="L2601">
        <v>994.48</v>
      </c>
      <c r="M2601">
        <v>0</v>
      </c>
      <c r="O2601" t="s">
        <v>34</v>
      </c>
    </row>
    <row r="2602" spans="1:15">
      <c r="A2602" t="s">
        <v>4059</v>
      </c>
      <c r="B2602" s="2">
        <v>34318.07608796296</v>
      </c>
      <c r="C2602" s="2">
        <v>34318.109351851854</v>
      </c>
      <c r="D2602" t="s">
        <v>585</v>
      </c>
      <c r="E2602" t="s">
        <v>4057</v>
      </c>
      <c r="F2602" t="s">
        <v>4058</v>
      </c>
      <c r="G2602" t="s">
        <v>1019</v>
      </c>
      <c r="H2602" t="s">
        <v>1020</v>
      </c>
      <c r="I2602">
        <v>162673000</v>
      </c>
      <c r="J2602" t="s">
        <v>1021</v>
      </c>
      <c r="K2602">
        <v>136.80000000000001</v>
      </c>
      <c r="L2602">
        <v>849.22</v>
      </c>
      <c r="M2602">
        <v>0</v>
      </c>
      <c r="O2602" t="s">
        <v>34</v>
      </c>
    </row>
    <row r="2603" spans="1:15">
      <c r="A2603" t="s">
        <v>4060</v>
      </c>
      <c r="B2603" s="2">
        <v>34689.07608796296</v>
      </c>
      <c r="C2603" s="2">
        <v>34689.105347222219</v>
      </c>
      <c r="D2603" t="s">
        <v>585</v>
      </c>
      <c r="E2603" t="s">
        <v>4057</v>
      </c>
      <c r="F2603" t="s">
        <v>4058</v>
      </c>
      <c r="G2603" t="s">
        <v>1019</v>
      </c>
      <c r="H2603" t="s">
        <v>1020</v>
      </c>
      <c r="I2603">
        <v>162673000</v>
      </c>
      <c r="J2603" t="s">
        <v>1021</v>
      </c>
      <c r="K2603">
        <v>136.80000000000001</v>
      </c>
      <c r="L2603">
        <v>785.58</v>
      </c>
      <c r="M2603">
        <v>0</v>
      </c>
      <c r="O2603" t="s">
        <v>34</v>
      </c>
    </row>
    <row r="2604" spans="1:15">
      <c r="A2604" t="s">
        <v>4061</v>
      </c>
      <c r="B2604" s="2">
        <v>36887.07608796296</v>
      </c>
      <c r="C2604" s="2">
        <v>36887.108900462961</v>
      </c>
      <c r="D2604" t="s">
        <v>585</v>
      </c>
      <c r="E2604" t="s">
        <v>4057</v>
      </c>
      <c r="F2604" t="s">
        <v>4058</v>
      </c>
      <c r="G2604" t="s">
        <v>1019</v>
      </c>
      <c r="H2604" t="s">
        <v>1020</v>
      </c>
      <c r="I2604">
        <v>162673000</v>
      </c>
      <c r="J2604" t="s">
        <v>1021</v>
      </c>
      <c r="K2604">
        <v>136.80000000000001</v>
      </c>
      <c r="L2604">
        <v>860.16</v>
      </c>
      <c r="M2604">
        <v>0</v>
      </c>
      <c r="O2604" t="s">
        <v>34</v>
      </c>
    </row>
    <row r="2605" spans="1:15">
      <c r="A2605" t="s">
        <v>4062</v>
      </c>
      <c r="B2605" s="2">
        <v>37986.07608796296</v>
      </c>
      <c r="C2605" s="2">
        <v>37986.110706018517</v>
      </c>
      <c r="D2605" t="s">
        <v>585</v>
      </c>
      <c r="E2605" t="s">
        <v>4057</v>
      </c>
      <c r="F2605" t="s">
        <v>4058</v>
      </c>
      <c r="G2605" t="s">
        <v>1019</v>
      </c>
      <c r="H2605" t="s">
        <v>1020</v>
      </c>
      <c r="I2605">
        <v>162673000</v>
      </c>
      <c r="J2605" t="s">
        <v>1021</v>
      </c>
      <c r="K2605">
        <v>136.80000000000001</v>
      </c>
      <c r="L2605">
        <v>1607.74</v>
      </c>
      <c r="M2605">
        <v>0</v>
      </c>
      <c r="O2605" t="s">
        <v>34</v>
      </c>
    </row>
    <row r="2606" spans="1:15">
      <c r="A2606" t="s">
        <v>4063</v>
      </c>
      <c r="B2606" s="2">
        <v>39095.95108796296</v>
      </c>
      <c r="C2606" s="2">
        <v>39095.961504629631</v>
      </c>
      <c r="D2606" t="s">
        <v>585</v>
      </c>
      <c r="E2606" t="s">
        <v>3599</v>
      </c>
      <c r="F2606" t="s">
        <v>3600</v>
      </c>
      <c r="G2606" t="s">
        <v>1019</v>
      </c>
      <c r="H2606" t="s">
        <v>1031</v>
      </c>
      <c r="I2606">
        <v>185347001</v>
      </c>
      <c r="J2606" t="s">
        <v>1124</v>
      </c>
      <c r="K2606">
        <v>85.55</v>
      </c>
      <c r="L2606">
        <v>85.55</v>
      </c>
      <c r="M2606">
        <v>0</v>
      </c>
      <c r="N2606">
        <v>40275004</v>
      </c>
      <c r="O2606" t="s">
        <v>1774</v>
      </c>
    </row>
    <row r="2607" spans="1:15">
      <c r="A2607" t="s">
        <v>4064</v>
      </c>
      <c r="B2607" s="2">
        <v>39110.45108796296</v>
      </c>
      <c r="C2607" s="2">
        <v>39110.477893518517</v>
      </c>
      <c r="D2607" t="s">
        <v>585</v>
      </c>
      <c r="E2607" t="s">
        <v>3599</v>
      </c>
      <c r="F2607" t="s">
        <v>3600</v>
      </c>
      <c r="G2607" t="s">
        <v>1019</v>
      </c>
      <c r="H2607" t="s">
        <v>1031</v>
      </c>
      <c r="I2607">
        <v>185347001</v>
      </c>
      <c r="J2607" t="s">
        <v>1124</v>
      </c>
      <c r="K2607">
        <v>85.55</v>
      </c>
      <c r="L2607">
        <v>516.95000000000005</v>
      </c>
      <c r="M2607">
        <v>0</v>
      </c>
      <c r="N2607">
        <v>609328004</v>
      </c>
      <c r="O2607" t="s">
        <v>1137</v>
      </c>
    </row>
    <row r="2608" spans="1:15">
      <c r="A2608" t="s">
        <v>4065</v>
      </c>
      <c r="B2608" s="2">
        <v>39753.617754629631</v>
      </c>
      <c r="C2608" s="2">
        <v>39753.628171296295</v>
      </c>
      <c r="D2608" t="s">
        <v>585</v>
      </c>
      <c r="E2608" t="s">
        <v>3599</v>
      </c>
      <c r="F2608" t="s">
        <v>3600</v>
      </c>
      <c r="G2608" t="s">
        <v>1019</v>
      </c>
      <c r="H2608" t="s">
        <v>1031</v>
      </c>
      <c r="I2608">
        <v>185345009</v>
      </c>
      <c r="J2608" t="s">
        <v>1032</v>
      </c>
      <c r="K2608">
        <v>85.55</v>
      </c>
      <c r="L2608">
        <v>92.93</v>
      </c>
      <c r="M2608">
        <v>0</v>
      </c>
      <c r="N2608">
        <v>75498004</v>
      </c>
      <c r="O2608" t="s">
        <v>1174</v>
      </c>
    </row>
    <row r="2609" spans="1:15">
      <c r="A2609" t="s">
        <v>4066</v>
      </c>
      <c r="B2609" s="2">
        <v>40184.07608796296</v>
      </c>
      <c r="C2609" s="2">
        <v>40184.107499999998</v>
      </c>
      <c r="D2609" t="s">
        <v>585</v>
      </c>
      <c r="E2609" t="s">
        <v>4057</v>
      </c>
      <c r="F2609" t="s">
        <v>4058</v>
      </c>
      <c r="G2609" t="s">
        <v>1093</v>
      </c>
      <c r="H2609" t="s">
        <v>1020</v>
      </c>
      <c r="I2609">
        <v>162673000</v>
      </c>
      <c r="J2609" t="s">
        <v>1021</v>
      </c>
      <c r="K2609">
        <v>136.80000000000001</v>
      </c>
      <c r="L2609">
        <v>934.74</v>
      </c>
      <c r="M2609">
        <v>934.74</v>
      </c>
      <c r="O2609" t="s">
        <v>34</v>
      </c>
    </row>
    <row r="2610" spans="1:15">
      <c r="A2610" t="s">
        <v>4067</v>
      </c>
      <c r="B2610" s="2">
        <v>40660.117754629631</v>
      </c>
      <c r="C2610" s="2">
        <v>40660.139016203706</v>
      </c>
      <c r="D2610" t="s">
        <v>585</v>
      </c>
      <c r="E2610" t="s">
        <v>3700</v>
      </c>
      <c r="F2610" t="s">
        <v>3701</v>
      </c>
      <c r="G2610" t="s">
        <v>1019</v>
      </c>
      <c r="H2610" t="s">
        <v>1159</v>
      </c>
      <c r="I2610">
        <v>702927004</v>
      </c>
      <c r="J2610" t="s">
        <v>1160</v>
      </c>
      <c r="K2610">
        <v>142.58000000000001</v>
      </c>
      <c r="L2610">
        <v>1015.1</v>
      </c>
      <c r="M2610">
        <v>0</v>
      </c>
      <c r="O2610" t="s">
        <v>34</v>
      </c>
    </row>
    <row r="2611" spans="1:15">
      <c r="A2611" t="s">
        <v>4068</v>
      </c>
      <c r="B2611" s="2">
        <v>41780.117754629631</v>
      </c>
      <c r="C2611" s="2">
        <v>41780.15425925926</v>
      </c>
      <c r="D2611" t="s">
        <v>585</v>
      </c>
      <c r="E2611" t="s">
        <v>4057</v>
      </c>
      <c r="F2611" t="s">
        <v>4058</v>
      </c>
      <c r="G2611" t="s">
        <v>1019</v>
      </c>
      <c r="H2611" t="s">
        <v>1020</v>
      </c>
      <c r="I2611">
        <v>162673000</v>
      </c>
      <c r="J2611" t="s">
        <v>1021</v>
      </c>
      <c r="K2611">
        <v>136.80000000000001</v>
      </c>
      <c r="L2611">
        <v>1002.52</v>
      </c>
      <c r="M2611">
        <v>0</v>
      </c>
      <c r="O2611" t="s">
        <v>34</v>
      </c>
    </row>
    <row r="2612" spans="1:15">
      <c r="A2612" t="s">
        <v>4069</v>
      </c>
      <c r="B2612" s="2">
        <v>42480.117754629631</v>
      </c>
      <c r="C2612" s="2">
        <v>42480.128171296295</v>
      </c>
      <c r="D2612" t="s">
        <v>585</v>
      </c>
      <c r="E2612" t="s">
        <v>3700</v>
      </c>
      <c r="F2612" t="s">
        <v>3701</v>
      </c>
      <c r="G2612" t="s">
        <v>1019</v>
      </c>
      <c r="H2612" t="s">
        <v>1159</v>
      </c>
      <c r="I2612">
        <v>702927004</v>
      </c>
      <c r="J2612" t="s">
        <v>1160</v>
      </c>
      <c r="K2612">
        <v>142.58000000000001</v>
      </c>
      <c r="L2612">
        <v>291.74</v>
      </c>
      <c r="M2612">
        <v>0</v>
      </c>
      <c r="O2612" t="s">
        <v>34</v>
      </c>
    </row>
    <row r="2613" spans="1:15">
      <c r="A2613" t="s">
        <v>4070</v>
      </c>
      <c r="B2613" s="2">
        <v>42522.117754629631</v>
      </c>
      <c r="C2613" s="2">
        <v>42522.149097222224</v>
      </c>
      <c r="D2613" t="s">
        <v>585</v>
      </c>
      <c r="E2613" t="s">
        <v>4057</v>
      </c>
      <c r="F2613" t="s">
        <v>4058</v>
      </c>
      <c r="G2613" t="s">
        <v>1019</v>
      </c>
      <c r="H2613" t="s">
        <v>1020</v>
      </c>
      <c r="I2613">
        <v>162673000</v>
      </c>
      <c r="J2613" t="s">
        <v>1021</v>
      </c>
      <c r="K2613">
        <v>136.80000000000001</v>
      </c>
      <c r="L2613">
        <v>866.52</v>
      </c>
      <c r="M2613">
        <v>0</v>
      </c>
      <c r="O2613" t="s">
        <v>34</v>
      </c>
    </row>
    <row r="2614" spans="1:15">
      <c r="A2614" t="s">
        <v>4071</v>
      </c>
      <c r="B2614" s="2">
        <v>42809.117754629631</v>
      </c>
      <c r="C2614" s="2">
        <v>42809.141979166663</v>
      </c>
      <c r="D2614" t="s">
        <v>585</v>
      </c>
      <c r="E2614" t="s">
        <v>3599</v>
      </c>
      <c r="F2614" t="s">
        <v>3600</v>
      </c>
      <c r="G2614" t="s">
        <v>1019</v>
      </c>
      <c r="H2614" t="s">
        <v>1043</v>
      </c>
      <c r="I2614">
        <v>185349003</v>
      </c>
      <c r="J2614" t="s">
        <v>1038</v>
      </c>
      <c r="K2614">
        <v>85.55</v>
      </c>
      <c r="L2614">
        <v>951.27</v>
      </c>
      <c r="M2614">
        <v>0</v>
      </c>
      <c r="O2614" t="s">
        <v>34</v>
      </c>
    </row>
    <row r="2615" spans="1:15">
      <c r="A2615" t="s">
        <v>4072</v>
      </c>
      <c r="B2615" s="2">
        <v>42823.117754629631</v>
      </c>
      <c r="C2615" s="2">
        <v>42823.254293981481</v>
      </c>
      <c r="D2615" t="s">
        <v>585</v>
      </c>
      <c r="E2615" t="s">
        <v>3599</v>
      </c>
      <c r="F2615" t="s">
        <v>3600</v>
      </c>
      <c r="G2615" t="s">
        <v>1019</v>
      </c>
      <c r="H2615" t="s">
        <v>1031</v>
      </c>
      <c r="I2615">
        <v>185349003</v>
      </c>
      <c r="J2615" t="s">
        <v>1038</v>
      </c>
      <c r="K2615">
        <v>85.55</v>
      </c>
      <c r="L2615">
        <v>2673.95</v>
      </c>
      <c r="M2615">
        <v>0</v>
      </c>
      <c r="N2615">
        <v>66383009</v>
      </c>
      <c r="O2615" t="s">
        <v>1209</v>
      </c>
    </row>
    <row r="2616" spans="1:15">
      <c r="A2616" t="s">
        <v>4073</v>
      </c>
      <c r="B2616" s="2">
        <v>42893.117754629631</v>
      </c>
      <c r="C2616" s="2">
        <v>42893.144988425927</v>
      </c>
      <c r="D2616" t="s">
        <v>585</v>
      </c>
      <c r="E2616" t="s">
        <v>4057</v>
      </c>
      <c r="F2616" t="s">
        <v>4058</v>
      </c>
      <c r="G2616" t="s">
        <v>1019</v>
      </c>
      <c r="H2616" t="s">
        <v>1020</v>
      </c>
      <c r="I2616">
        <v>162673000</v>
      </c>
      <c r="J2616" t="s">
        <v>1021</v>
      </c>
      <c r="K2616">
        <v>136.80000000000001</v>
      </c>
      <c r="L2616">
        <v>1544.85</v>
      </c>
      <c r="M2616">
        <v>0</v>
      </c>
      <c r="O2616" t="s">
        <v>34</v>
      </c>
    </row>
    <row r="2617" spans="1:15">
      <c r="A2617" t="s">
        <v>4074</v>
      </c>
      <c r="B2617" s="2">
        <v>42907.117754629631</v>
      </c>
      <c r="C2617" s="2">
        <v>42907.232372685183</v>
      </c>
      <c r="D2617" t="s">
        <v>585</v>
      </c>
      <c r="E2617" t="s">
        <v>3599</v>
      </c>
      <c r="F2617" t="s">
        <v>3600</v>
      </c>
      <c r="G2617" t="s">
        <v>1019</v>
      </c>
      <c r="H2617" t="s">
        <v>1031</v>
      </c>
      <c r="I2617">
        <v>185349003</v>
      </c>
      <c r="J2617" t="s">
        <v>1038</v>
      </c>
      <c r="K2617">
        <v>85.55</v>
      </c>
      <c r="L2617">
        <v>2673.95</v>
      </c>
      <c r="M2617">
        <v>0</v>
      </c>
      <c r="N2617">
        <v>66383009</v>
      </c>
      <c r="O2617" t="s">
        <v>1209</v>
      </c>
    </row>
    <row r="2618" spans="1:15">
      <c r="A2618" t="s">
        <v>4075</v>
      </c>
      <c r="B2618" s="2">
        <v>42994.09170138889</v>
      </c>
      <c r="C2618" s="2">
        <v>42994.102118055554</v>
      </c>
      <c r="D2618" t="s">
        <v>585</v>
      </c>
      <c r="E2618" t="s">
        <v>3599</v>
      </c>
      <c r="F2618" t="s">
        <v>3600</v>
      </c>
      <c r="G2618" t="s">
        <v>1019</v>
      </c>
      <c r="H2618" t="s">
        <v>1031</v>
      </c>
      <c r="I2618">
        <v>185345009</v>
      </c>
      <c r="J2618" t="s">
        <v>1032</v>
      </c>
      <c r="K2618">
        <v>85.55</v>
      </c>
      <c r="L2618">
        <v>2715.8</v>
      </c>
      <c r="M2618">
        <v>0</v>
      </c>
      <c r="N2618">
        <v>10509002</v>
      </c>
      <c r="O2618" t="s">
        <v>1033</v>
      </c>
    </row>
    <row r="2619" spans="1:15">
      <c r="A2619" t="s">
        <v>4076</v>
      </c>
      <c r="B2619" s="2">
        <v>43005.117754629631</v>
      </c>
      <c r="C2619" s="2">
        <v>43005.159421296295</v>
      </c>
      <c r="D2619" t="s">
        <v>585</v>
      </c>
      <c r="E2619" t="s">
        <v>2599</v>
      </c>
      <c r="F2619" t="s">
        <v>2600</v>
      </c>
      <c r="G2619" t="s">
        <v>1019</v>
      </c>
      <c r="H2619" t="s">
        <v>1076</v>
      </c>
      <c r="I2619">
        <v>50849002</v>
      </c>
      <c r="J2619" t="s">
        <v>1163</v>
      </c>
      <c r="K2619">
        <v>146.18</v>
      </c>
      <c r="L2619">
        <v>875.9</v>
      </c>
      <c r="M2619">
        <v>0</v>
      </c>
      <c r="O2619" t="s">
        <v>34</v>
      </c>
    </row>
    <row r="2620" spans="1:15">
      <c r="A2620" t="s">
        <v>4077</v>
      </c>
      <c r="B2620" s="2">
        <v>43012.117754629631</v>
      </c>
      <c r="C2620" s="2">
        <v>43012.159421296295</v>
      </c>
      <c r="D2620" t="s">
        <v>585</v>
      </c>
      <c r="E2620" t="s">
        <v>2599</v>
      </c>
      <c r="F2620" t="s">
        <v>2600</v>
      </c>
      <c r="G2620" t="s">
        <v>1019</v>
      </c>
      <c r="H2620" t="s">
        <v>1076</v>
      </c>
      <c r="I2620">
        <v>50849002</v>
      </c>
      <c r="J2620" t="s">
        <v>1163</v>
      </c>
      <c r="K2620">
        <v>146.18</v>
      </c>
      <c r="L2620">
        <v>295.33999999999997</v>
      </c>
      <c r="M2620">
        <v>0</v>
      </c>
      <c r="O2620" t="s">
        <v>34</v>
      </c>
    </row>
    <row r="2621" spans="1:15">
      <c r="A2621" t="s">
        <v>4078</v>
      </c>
      <c r="B2621" s="2">
        <v>43019.117754629631</v>
      </c>
      <c r="C2621" s="2">
        <v>43019.159421296295</v>
      </c>
      <c r="D2621" t="s">
        <v>585</v>
      </c>
      <c r="E2621" t="s">
        <v>2599</v>
      </c>
      <c r="F2621" t="s">
        <v>2600</v>
      </c>
      <c r="G2621" t="s">
        <v>1019</v>
      </c>
      <c r="H2621" t="s">
        <v>1076</v>
      </c>
      <c r="I2621">
        <v>50849002</v>
      </c>
      <c r="J2621" t="s">
        <v>1163</v>
      </c>
      <c r="K2621">
        <v>146.18</v>
      </c>
      <c r="L2621">
        <v>1726.96</v>
      </c>
      <c r="M2621">
        <v>0</v>
      </c>
      <c r="O2621" t="s">
        <v>34</v>
      </c>
    </row>
    <row r="2622" spans="1:15">
      <c r="A2622" t="s">
        <v>4079</v>
      </c>
      <c r="B2622" s="2">
        <v>43026.117754629631</v>
      </c>
      <c r="C2622" s="2">
        <v>43026.128171296295</v>
      </c>
      <c r="D2622" t="s">
        <v>585</v>
      </c>
      <c r="E2622" t="s">
        <v>3700</v>
      </c>
      <c r="F2622" t="s">
        <v>3701</v>
      </c>
      <c r="G2622" t="s">
        <v>1019</v>
      </c>
      <c r="H2622" t="s">
        <v>1159</v>
      </c>
      <c r="I2622">
        <v>702927004</v>
      </c>
      <c r="J2622" t="s">
        <v>1160</v>
      </c>
      <c r="K2622">
        <v>142.58000000000001</v>
      </c>
      <c r="L2622">
        <v>291.74</v>
      </c>
      <c r="M2622">
        <v>0</v>
      </c>
      <c r="O2622" t="s">
        <v>34</v>
      </c>
    </row>
    <row r="2623" spans="1:15">
      <c r="A2623" t="s">
        <v>4080</v>
      </c>
      <c r="B2623" s="2">
        <v>43033.117754629631</v>
      </c>
      <c r="C2623" s="2">
        <v>43033.150023148148</v>
      </c>
      <c r="D2623" t="s">
        <v>585</v>
      </c>
      <c r="E2623" t="s">
        <v>3599</v>
      </c>
      <c r="F2623" t="s">
        <v>3600</v>
      </c>
      <c r="G2623" t="s">
        <v>1019</v>
      </c>
      <c r="H2623" t="s">
        <v>1043</v>
      </c>
      <c r="I2623">
        <v>185349003</v>
      </c>
      <c r="J2623" t="s">
        <v>1038</v>
      </c>
      <c r="K2623">
        <v>85.55</v>
      </c>
      <c r="L2623">
        <v>815.27</v>
      </c>
      <c r="M2623">
        <v>0</v>
      </c>
      <c r="O2623" t="s">
        <v>34</v>
      </c>
    </row>
    <row r="2624" spans="1:15">
      <c r="A2624" t="s">
        <v>4081</v>
      </c>
      <c r="B2624" s="2">
        <v>43040.117754629631</v>
      </c>
      <c r="C2624" s="2">
        <v>43040.128171296295</v>
      </c>
      <c r="D2624" t="s">
        <v>585</v>
      </c>
      <c r="E2624" t="s">
        <v>3599</v>
      </c>
      <c r="F2624" t="s">
        <v>3600</v>
      </c>
      <c r="G2624" t="s">
        <v>1019</v>
      </c>
      <c r="H2624" t="s">
        <v>1043</v>
      </c>
      <c r="I2624">
        <v>185349003</v>
      </c>
      <c r="J2624" t="s">
        <v>1038</v>
      </c>
      <c r="K2624">
        <v>85.55</v>
      </c>
      <c r="L2624">
        <v>450.41</v>
      </c>
      <c r="M2624">
        <v>0</v>
      </c>
      <c r="O2624" t="s">
        <v>34</v>
      </c>
    </row>
    <row r="2625" spans="1:15">
      <c r="A2625" t="s">
        <v>4082</v>
      </c>
      <c r="B2625" s="2">
        <v>43047.07608796296</v>
      </c>
      <c r="C2625" s="2">
        <v>43047.101111111115</v>
      </c>
      <c r="D2625" t="s">
        <v>585</v>
      </c>
      <c r="E2625" t="s">
        <v>3700</v>
      </c>
      <c r="F2625" t="s">
        <v>3701</v>
      </c>
      <c r="G2625" t="s">
        <v>1019</v>
      </c>
      <c r="H2625" t="s">
        <v>1159</v>
      </c>
      <c r="I2625">
        <v>702927004</v>
      </c>
      <c r="J2625" t="s">
        <v>1160</v>
      </c>
      <c r="K2625">
        <v>142.58000000000001</v>
      </c>
      <c r="L2625">
        <v>1735.1</v>
      </c>
      <c r="M2625">
        <v>0</v>
      </c>
      <c r="O2625" t="s">
        <v>34</v>
      </c>
    </row>
    <row r="2626" spans="1:15">
      <c r="A2626" t="s">
        <v>4083</v>
      </c>
      <c r="B2626" s="2">
        <v>43054.07608796296</v>
      </c>
      <c r="C2626" s="2">
        <v>43054.086504629631</v>
      </c>
      <c r="D2626" t="s">
        <v>585</v>
      </c>
      <c r="E2626" t="s">
        <v>3599</v>
      </c>
      <c r="F2626" t="s">
        <v>3600</v>
      </c>
      <c r="G2626" t="s">
        <v>1019</v>
      </c>
      <c r="H2626" t="s">
        <v>1031</v>
      </c>
      <c r="I2626">
        <v>185345009</v>
      </c>
      <c r="J2626" t="s">
        <v>1032</v>
      </c>
      <c r="K2626">
        <v>85.55</v>
      </c>
      <c r="L2626">
        <v>85.55</v>
      </c>
      <c r="M2626">
        <v>0</v>
      </c>
      <c r="N2626">
        <v>195662009</v>
      </c>
      <c r="O2626" t="s">
        <v>1130</v>
      </c>
    </row>
    <row r="2627" spans="1:15">
      <c r="A2627" t="s">
        <v>4084</v>
      </c>
      <c r="B2627" s="2">
        <v>43096.07608796296</v>
      </c>
      <c r="C2627" s="2">
        <v>43096.100277777776</v>
      </c>
      <c r="D2627" t="s">
        <v>585</v>
      </c>
      <c r="E2627" t="s">
        <v>3599</v>
      </c>
      <c r="F2627" t="s">
        <v>3600</v>
      </c>
      <c r="G2627" t="s">
        <v>1019</v>
      </c>
      <c r="H2627" t="s">
        <v>1043</v>
      </c>
      <c r="I2627">
        <v>185349003</v>
      </c>
      <c r="J2627" t="s">
        <v>1038</v>
      </c>
      <c r="K2627">
        <v>85.55</v>
      </c>
      <c r="L2627">
        <v>1125.42</v>
      </c>
      <c r="M2627">
        <v>0</v>
      </c>
      <c r="O2627" t="s">
        <v>34</v>
      </c>
    </row>
    <row r="2628" spans="1:15">
      <c r="A2628" t="s">
        <v>4085</v>
      </c>
      <c r="B2628" s="2">
        <v>43110.07608796296</v>
      </c>
      <c r="C2628" s="2">
        <v>43110.115949074076</v>
      </c>
      <c r="D2628" t="s">
        <v>585</v>
      </c>
      <c r="E2628" t="s">
        <v>3599</v>
      </c>
      <c r="F2628" t="s">
        <v>3600</v>
      </c>
      <c r="G2628" t="s">
        <v>1019</v>
      </c>
      <c r="H2628" t="s">
        <v>1043</v>
      </c>
      <c r="I2628">
        <v>185349003</v>
      </c>
      <c r="J2628" t="s">
        <v>1038</v>
      </c>
      <c r="K2628">
        <v>85.55</v>
      </c>
      <c r="L2628">
        <v>815.27</v>
      </c>
      <c r="M2628">
        <v>0</v>
      </c>
      <c r="O2628" t="s">
        <v>34</v>
      </c>
    </row>
    <row r="2629" spans="1:15">
      <c r="A2629" t="s">
        <v>4086</v>
      </c>
      <c r="B2629" s="2">
        <v>43117.07608796296</v>
      </c>
      <c r="C2629" s="2">
        <v>43117.171701388892</v>
      </c>
      <c r="D2629" t="s">
        <v>585</v>
      </c>
      <c r="E2629" t="s">
        <v>3599</v>
      </c>
      <c r="F2629" t="s">
        <v>3600</v>
      </c>
      <c r="G2629" t="s">
        <v>1019</v>
      </c>
      <c r="H2629" t="s">
        <v>1031</v>
      </c>
      <c r="I2629">
        <v>185349003</v>
      </c>
      <c r="J2629" t="s">
        <v>1038</v>
      </c>
      <c r="K2629">
        <v>85.55</v>
      </c>
      <c r="L2629">
        <v>3105.35</v>
      </c>
      <c r="M2629">
        <v>0</v>
      </c>
      <c r="N2629">
        <v>103697008</v>
      </c>
      <c r="O2629" t="s">
        <v>1039</v>
      </c>
    </row>
    <row r="2630" spans="1:15">
      <c r="A2630" t="s">
        <v>4087</v>
      </c>
      <c r="B2630" s="2">
        <v>43138.07608796296</v>
      </c>
      <c r="C2630" s="2">
        <v>43138.100659722222</v>
      </c>
      <c r="D2630" t="s">
        <v>585</v>
      </c>
      <c r="E2630" t="s">
        <v>3700</v>
      </c>
      <c r="F2630" t="s">
        <v>3701</v>
      </c>
      <c r="G2630" t="s">
        <v>1019</v>
      </c>
      <c r="H2630" t="s">
        <v>1159</v>
      </c>
      <c r="I2630">
        <v>702927004</v>
      </c>
      <c r="J2630" t="s">
        <v>1160</v>
      </c>
      <c r="K2630">
        <v>142.58000000000001</v>
      </c>
      <c r="L2630">
        <v>1735.1</v>
      </c>
      <c r="M2630">
        <v>0</v>
      </c>
      <c r="O2630" t="s">
        <v>34</v>
      </c>
    </row>
    <row r="2631" spans="1:15">
      <c r="A2631" t="s">
        <v>4088</v>
      </c>
      <c r="B2631" s="2">
        <v>43194.117754629631</v>
      </c>
      <c r="C2631" s="2">
        <v>43194.146435185183</v>
      </c>
      <c r="D2631" t="s">
        <v>585</v>
      </c>
      <c r="E2631" t="s">
        <v>3599</v>
      </c>
      <c r="F2631" t="s">
        <v>3600</v>
      </c>
      <c r="G2631" t="s">
        <v>1019</v>
      </c>
      <c r="H2631" t="s">
        <v>1043</v>
      </c>
      <c r="I2631">
        <v>185349003</v>
      </c>
      <c r="J2631" t="s">
        <v>1038</v>
      </c>
      <c r="K2631">
        <v>85.55</v>
      </c>
      <c r="L2631">
        <v>1152.9000000000001</v>
      </c>
      <c r="M2631">
        <v>0</v>
      </c>
      <c r="O2631" t="s">
        <v>34</v>
      </c>
    </row>
    <row r="2632" spans="1:15">
      <c r="A2632" t="s">
        <v>4089</v>
      </c>
      <c r="B2632" s="2">
        <v>43208.117754629631</v>
      </c>
      <c r="C2632" s="2">
        <v>43208.40247685185</v>
      </c>
      <c r="D2632" t="s">
        <v>585</v>
      </c>
      <c r="E2632" t="s">
        <v>3599</v>
      </c>
      <c r="F2632" t="s">
        <v>3600</v>
      </c>
      <c r="G2632" t="s">
        <v>1019</v>
      </c>
      <c r="H2632" t="s">
        <v>1031</v>
      </c>
      <c r="I2632">
        <v>185349003</v>
      </c>
      <c r="J2632" t="s">
        <v>1038</v>
      </c>
      <c r="K2632">
        <v>85.55</v>
      </c>
      <c r="L2632">
        <v>4399.55</v>
      </c>
      <c r="M2632">
        <v>0</v>
      </c>
      <c r="N2632">
        <v>66383009</v>
      </c>
      <c r="O2632" t="s">
        <v>1209</v>
      </c>
    </row>
    <row r="2633" spans="1:15">
      <c r="A2633" t="s">
        <v>4090</v>
      </c>
      <c r="B2633" s="2">
        <v>43264.117754629631</v>
      </c>
      <c r="C2633" s="2">
        <v>43264.150949074072</v>
      </c>
      <c r="D2633" t="s">
        <v>585</v>
      </c>
      <c r="E2633" t="s">
        <v>4057</v>
      </c>
      <c r="F2633" t="s">
        <v>4058</v>
      </c>
      <c r="G2633" t="s">
        <v>1019</v>
      </c>
      <c r="H2633" t="s">
        <v>1020</v>
      </c>
      <c r="I2633">
        <v>162673000</v>
      </c>
      <c r="J2633" t="s">
        <v>1021</v>
      </c>
      <c r="K2633">
        <v>136.80000000000001</v>
      </c>
      <c r="L2633">
        <v>1731.03</v>
      </c>
      <c r="M2633">
        <v>0</v>
      </c>
      <c r="O2633" t="s">
        <v>34</v>
      </c>
    </row>
    <row r="2634" spans="1:15">
      <c r="A2634" t="s">
        <v>4091</v>
      </c>
      <c r="B2634" s="2">
        <v>43278.117754629631</v>
      </c>
      <c r="C2634" s="2">
        <v>43278.283356481479</v>
      </c>
      <c r="D2634" t="s">
        <v>585</v>
      </c>
      <c r="E2634" t="s">
        <v>3599</v>
      </c>
      <c r="F2634" t="s">
        <v>3600</v>
      </c>
      <c r="G2634" t="s">
        <v>1019</v>
      </c>
      <c r="H2634" t="s">
        <v>1031</v>
      </c>
      <c r="I2634">
        <v>185349003</v>
      </c>
      <c r="J2634" t="s">
        <v>1038</v>
      </c>
      <c r="K2634">
        <v>85.55</v>
      </c>
      <c r="L2634">
        <v>3968.15</v>
      </c>
      <c r="M2634">
        <v>0</v>
      </c>
      <c r="N2634">
        <v>66383009</v>
      </c>
      <c r="O2634" t="s">
        <v>1209</v>
      </c>
    </row>
    <row r="2635" spans="1:15">
      <c r="A2635" t="s">
        <v>4092</v>
      </c>
      <c r="B2635" s="2">
        <v>43376.117754629631</v>
      </c>
      <c r="C2635" s="2">
        <v>43376.138807870368</v>
      </c>
      <c r="D2635" t="s">
        <v>585</v>
      </c>
      <c r="E2635" t="s">
        <v>3700</v>
      </c>
      <c r="F2635" t="s">
        <v>3701</v>
      </c>
      <c r="G2635" t="s">
        <v>1019</v>
      </c>
      <c r="H2635" t="s">
        <v>1159</v>
      </c>
      <c r="I2635">
        <v>702927004</v>
      </c>
      <c r="J2635" t="s">
        <v>1160</v>
      </c>
      <c r="K2635">
        <v>142.58000000000001</v>
      </c>
      <c r="L2635">
        <v>872.3</v>
      </c>
      <c r="M2635">
        <v>0</v>
      </c>
      <c r="O2635" t="s">
        <v>34</v>
      </c>
    </row>
    <row r="2636" spans="1:15">
      <c r="A2636" t="s">
        <v>4093</v>
      </c>
      <c r="B2636" s="2">
        <v>43383.117754629631</v>
      </c>
      <c r="C2636" s="2">
        <v>43383.128171296295</v>
      </c>
      <c r="D2636" t="s">
        <v>585</v>
      </c>
      <c r="E2636" t="s">
        <v>3599</v>
      </c>
      <c r="F2636" t="s">
        <v>3600</v>
      </c>
      <c r="G2636" t="s">
        <v>1019</v>
      </c>
      <c r="H2636" t="s">
        <v>1043</v>
      </c>
      <c r="I2636">
        <v>185349003</v>
      </c>
      <c r="J2636" t="s">
        <v>1038</v>
      </c>
      <c r="K2636">
        <v>85.55</v>
      </c>
      <c r="L2636">
        <v>234.71</v>
      </c>
      <c r="M2636">
        <v>0</v>
      </c>
      <c r="O2636" t="s">
        <v>34</v>
      </c>
    </row>
    <row r="2637" spans="1:15">
      <c r="A2637" t="s">
        <v>4094</v>
      </c>
      <c r="B2637" s="2">
        <v>43390.117754629631</v>
      </c>
      <c r="C2637" s="2">
        <v>43390.255127314813</v>
      </c>
      <c r="D2637" t="s">
        <v>585</v>
      </c>
      <c r="E2637" t="s">
        <v>3599</v>
      </c>
      <c r="F2637" t="s">
        <v>3600</v>
      </c>
      <c r="G2637" t="s">
        <v>1019</v>
      </c>
      <c r="H2637" t="s">
        <v>1031</v>
      </c>
      <c r="I2637">
        <v>185349003</v>
      </c>
      <c r="J2637" t="s">
        <v>1038</v>
      </c>
      <c r="K2637">
        <v>85.55</v>
      </c>
      <c r="L2637">
        <v>3105.35</v>
      </c>
      <c r="M2637">
        <v>0</v>
      </c>
      <c r="N2637">
        <v>66383009</v>
      </c>
      <c r="O2637" t="s">
        <v>1209</v>
      </c>
    </row>
    <row r="2638" spans="1:15">
      <c r="A2638" t="s">
        <v>4095</v>
      </c>
      <c r="B2638" s="2">
        <v>43404.117754629631</v>
      </c>
      <c r="C2638" s="2">
        <v>43404.144988425927</v>
      </c>
      <c r="D2638" t="s">
        <v>585</v>
      </c>
      <c r="E2638" t="s">
        <v>3599</v>
      </c>
      <c r="F2638" t="s">
        <v>3600</v>
      </c>
      <c r="G2638" t="s">
        <v>1019</v>
      </c>
      <c r="H2638" t="s">
        <v>1043</v>
      </c>
      <c r="I2638">
        <v>185349003</v>
      </c>
      <c r="J2638" t="s">
        <v>1038</v>
      </c>
      <c r="K2638">
        <v>85.55</v>
      </c>
      <c r="L2638">
        <v>815.27</v>
      </c>
      <c r="M2638">
        <v>0</v>
      </c>
      <c r="O2638" t="s">
        <v>34</v>
      </c>
    </row>
    <row r="2639" spans="1:15">
      <c r="A2639" t="s">
        <v>4096</v>
      </c>
      <c r="B2639" s="2">
        <v>43551.117754629631</v>
      </c>
      <c r="C2639" s="2">
        <v>43551.145567129628</v>
      </c>
      <c r="D2639" t="s">
        <v>585</v>
      </c>
      <c r="E2639" t="s">
        <v>3599</v>
      </c>
      <c r="F2639" t="s">
        <v>3600</v>
      </c>
      <c r="G2639" t="s">
        <v>1019</v>
      </c>
      <c r="H2639" t="s">
        <v>1043</v>
      </c>
      <c r="I2639">
        <v>185349003</v>
      </c>
      <c r="J2639" t="s">
        <v>1038</v>
      </c>
      <c r="K2639">
        <v>85.55</v>
      </c>
      <c r="L2639">
        <v>815.27</v>
      </c>
      <c r="M2639">
        <v>0</v>
      </c>
      <c r="O2639" t="s">
        <v>34</v>
      </c>
    </row>
    <row r="2640" spans="1:15">
      <c r="A2640" t="s">
        <v>4097</v>
      </c>
      <c r="B2640" s="2">
        <v>43558.117754629631</v>
      </c>
      <c r="C2640" s="2">
        <v>43558.128171296295</v>
      </c>
      <c r="D2640" t="s">
        <v>585</v>
      </c>
      <c r="E2640" t="s">
        <v>3700</v>
      </c>
      <c r="F2640" t="s">
        <v>3701</v>
      </c>
      <c r="G2640" t="s">
        <v>1019</v>
      </c>
      <c r="H2640" t="s">
        <v>1159</v>
      </c>
      <c r="I2640">
        <v>702927004</v>
      </c>
      <c r="J2640" t="s">
        <v>1160</v>
      </c>
      <c r="K2640">
        <v>142.58000000000001</v>
      </c>
      <c r="L2640">
        <v>666.02</v>
      </c>
      <c r="M2640">
        <v>0</v>
      </c>
      <c r="O2640" t="s">
        <v>34</v>
      </c>
    </row>
    <row r="2641" spans="1:15">
      <c r="A2641" t="s">
        <v>4098</v>
      </c>
      <c r="B2641" s="2">
        <v>43565.117754629631</v>
      </c>
      <c r="C2641" s="2">
        <v>43565.262696759259</v>
      </c>
      <c r="D2641" t="s">
        <v>585</v>
      </c>
      <c r="E2641" t="s">
        <v>3599</v>
      </c>
      <c r="F2641" t="s">
        <v>3600</v>
      </c>
      <c r="G2641" t="s">
        <v>1019</v>
      </c>
      <c r="H2641" t="s">
        <v>1031</v>
      </c>
      <c r="I2641">
        <v>185349003</v>
      </c>
      <c r="J2641" t="s">
        <v>1038</v>
      </c>
      <c r="K2641">
        <v>85.55</v>
      </c>
      <c r="L2641">
        <v>3105.35</v>
      </c>
      <c r="M2641">
        <v>0</v>
      </c>
      <c r="N2641">
        <v>66383009</v>
      </c>
      <c r="O2641" t="s">
        <v>1209</v>
      </c>
    </row>
    <row r="2642" spans="1:15">
      <c r="A2642" t="s">
        <v>4099</v>
      </c>
      <c r="B2642" s="2">
        <v>43635.117754629631</v>
      </c>
      <c r="C2642" s="2">
        <v>43635.142905092594</v>
      </c>
      <c r="D2642" t="s">
        <v>585</v>
      </c>
      <c r="E2642" t="s">
        <v>4057</v>
      </c>
      <c r="F2642" t="s">
        <v>4058</v>
      </c>
      <c r="G2642" t="s">
        <v>1019</v>
      </c>
      <c r="H2642" t="s">
        <v>1020</v>
      </c>
      <c r="I2642">
        <v>162673000</v>
      </c>
      <c r="J2642" t="s">
        <v>1021</v>
      </c>
      <c r="K2642">
        <v>136.80000000000001</v>
      </c>
      <c r="L2642">
        <v>1002.52</v>
      </c>
      <c r="M2642">
        <v>0</v>
      </c>
      <c r="O2642" t="s">
        <v>34</v>
      </c>
    </row>
    <row r="2643" spans="1:15">
      <c r="A2643" t="s">
        <v>4100</v>
      </c>
      <c r="B2643" s="2">
        <v>43677.117754629631</v>
      </c>
      <c r="C2643" s="2">
        <v>43677.155601851853</v>
      </c>
      <c r="D2643" t="s">
        <v>585</v>
      </c>
      <c r="E2643" t="s">
        <v>3599</v>
      </c>
      <c r="F2643" t="s">
        <v>3600</v>
      </c>
      <c r="G2643" t="s">
        <v>1019</v>
      </c>
      <c r="H2643" t="s">
        <v>1043</v>
      </c>
      <c r="I2643">
        <v>185349003</v>
      </c>
      <c r="J2643" t="s">
        <v>1038</v>
      </c>
      <c r="K2643">
        <v>85.55</v>
      </c>
      <c r="L2643">
        <v>815.27</v>
      </c>
      <c r="M2643">
        <v>0</v>
      </c>
      <c r="O2643" t="s">
        <v>34</v>
      </c>
    </row>
    <row r="2644" spans="1:15">
      <c r="A2644" t="s">
        <v>4101</v>
      </c>
      <c r="B2644" s="2">
        <v>43691.117754629631</v>
      </c>
      <c r="C2644" s="2">
        <v>43691.295324074075</v>
      </c>
      <c r="D2644" t="s">
        <v>585</v>
      </c>
      <c r="E2644" t="s">
        <v>3599</v>
      </c>
      <c r="F2644" t="s">
        <v>3600</v>
      </c>
      <c r="G2644" t="s">
        <v>1019</v>
      </c>
      <c r="H2644" t="s">
        <v>1031</v>
      </c>
      <c r="I2644">
        <v>185349003</v>
      </c>
      <c r="J2644" t="s">
        <v>1038</v>
      </c>
      <c r="K2644">
        <v>85.55</v>
      </c>
      <c r="L2644">
        <v>3968.15</v>
      </c>
      <c r="M2644">
        <v>0</v>
      </c>
      <c r="N2644">
        <v>103697008</v>
      </c>
      <c r="O2644" t="s">
        <v>1039</v>
      </c>
    </row>
    <row r="2645" spans="1:15">
      <c r="A2645" t="s">
        <v>4102</v>
      </c>
      <c r="B2645" s="2">
        <v>43705.117754629631</v>
      </c>
      <c r="C2645" s="2">
        <v>43705.155717592592</v>
      </c>
      <c r="D2645" t="s">
        <v>585</v>
      </c>
      <c r="E2645" t="s">
        <v>3700</v>
      </c>
      <c r="F2645" t="s">
        <v>3701</v>
      </c>
      <c r="G2645" t="s">
        <v>1019</v>
      </c>
      <c r="H2645" t="s">
        <v>1159</v>
      </c>
      <c r="I2645">
        <v>702927004</v>
      </c>
      <c r="J2645" t="s">
        <v>1160</v>
      </c>
      <c r="K2645">
        <v>142.58000000000001</v>
      </c>
      <c r="L2645">
        <v>1453.22</v>
      </c>
      <c r="M2645">
        <v>0</v>
      </c>
      <c r="O2645" t="s">
        <v>34</v>
      </c>
    </row>
    <row r="2646" spans="1:15">
      <c r="A2646" t="s">
        <v>4103</v>
      </c>
      <c r="B2646" s="2">
        <v>43719.117754629631</v>
      </c>
      <c r="C2646" s="2">
        <v>43719.261365740742</v>
      </c>
      <c r="D2646" t="s">
        <v>585</v>
      </c>
      <c r="E2646" t="s">
        <v>3599</v>
      </c>
      <c r="F2646" t="s">
        <v>3600</v>
      </c>
      <c r="G2646" t="s">
        <v>1019</v>
      </c>
      <c r="H2646" t="s">
        <v>1031</v>
      </c>
      <c r="I2646">
        <v>185349003</v>
      </c>
      <c r="J2646" t="s">
        <v>1038</v>
      </c>
      <c r="K2646">
        <v>85.55</v>
      </c>
      <c r="L2646">
        <v>3536.75</v>
      </c>
      <c r="M2646">
        <v>0</v>
      </c>
      <c r="N2646">
        <v>66383009</v>
      </c>
      <c r="O2646" t="s">
        <v>1209</v>
      </c>
    </row>
    <row r="2647" spans="1:15">
      <c r="A2647" t="s">
        <v>4104</v>
      </c>
      <c r="B2647" s="2">
        <v>43768.117754629631</v>
      </c>
      <c r="C2647" s="2">
        <v>43768.143912037034</v>
      </c>
      <c r="D2647" t="s">
        <v>585</v>
      </c>
      <c r="E2647" t="s">
        <v>3599</v>
      </c>
      <c r="F2647" t="s">
        <v>3600</v>
      </c>
      <c r="G2647" t="s">
        <v>1019</v>
      </c>
      <c r="H2647" t="s">
        <v>1043</v>
      </c>
      <c r="I2647">
        <v>185349003</v>
      </c>
      <c r="J2647" t="s">
        <v>1038</v>
      </c>
      <c r="K2647">
        <v>85.55</v>
      </c>
      <c r="L2647">
        <v>815.27</v>
      </c>
      <c r="M2647">
        <v>0</v>
      </c>
      <c r="O2647" t="s">
        <v>34</v>
      </c>
    </row>
    <row r="2648" spans="1:15">
      <c r="A2648" t="s">
        <v>4105</v>
      </c>
      <c r="B2648" s="2">
        <v>43796.07608796296</v>
      </c>
      <c r="C2648" s="2">
        <v>43796.109826388885</v>
      </c>
      <c r="D2648" t="s">
        <v>585</v>
      </c>
      <c r="E2648" t="s">
        <v>3599</v>
      </c>
      <c r="F2648" t="s">
        <v>3600</v>
      </c>
      <c r="G2648" t="s">
        <v>1019</v>
      </c>
      <c r="H2648" t="s">
        <v>1043</v>
      </c>
      <c r="I2648">
        <v>185349003</v>
      </c>
      <c r="J2648" t="s">
        <v>1038</v>
      </c>
      <c r="K2648">
        <v>85.55</v>
      </c>
      <c r="L2648">
        <v>1678.07</v>
      </c>
      <c r="M2648">
        <v>0</v>
      </c>
      <c r="O2648" t="s">
        <v>34</v>
      </c>
    </row>
    <row r="2649" spans="1:15">
      <c r="A2649" t="s">
        <v>4106</v>
      </c>
      <c r="B2649" s="2">
        <v>43810.07608796296</v>
      </c>
      <c r="C2649" s="2">
        <v>43810.381192129629</v>
      </c>
      <c r="D2649" t="s">
        <v>585</v>
      </c>
      <c r="E2649" t="s">
        <v>3599</v>
      </c>
      <c r="F2649" t="s">
        <v>3600</v>
      </c>
      <c r="G2649" t="s">
        <v>1019</v>
      </c>
      <c r="H2649" t="s">
        <v>1031</v>
      </c>
      <c r="I2649">
        <v>185349003</v>
      </c>
      <c r="J2649" t="s">
        <v>1038</v>
      </c>
      <c r="K2649">
        <v>85.55</v>
      </c>
      <c r="L2649">
        <v>4830.95</v>
      </c>
      <c r="M2649">
        <v>0</v>
      </c>
      <c r="N2649">
        <v>66383009</v>
      </c>
      <c r="O2649" t="s">
        <v>1209</v>
      </c>
    </row>
    <row r="2650" spans="1:15">
      <c r="A2650" t="s">
        <v>4107</v>
      </c>
      <c r="B2650" s="2">
        <v>43824.07608796296</v>
      </c>
      <c r="C2650" s="2">
        <v>43824.110694444447</v>
      </c>
      <c r="D2650" t="s">
        <v>585</v>
      </c>
      <c r="E2650" t="s">
        <v>3700</v>
      </c>
      <c r="F2650" t="s">
        <v>3701</v>
      </c>
      <c r="G2650" t="s">
        <v>1019</v>
      </c>
      <c r="H2650" t="s">
        <v>1159</v>
      </c>
      <c r="I2650">
        <v>702927004</v>
      </c>
      <c r="J2650" t="s">
        <v>1160</v>
      </c>
      <c r="K2650">
        <v>142.58000000000001</v>
      </c>
      <c r="L2650">
        <v>1380.71</v>
      </c>
      <c r="M2650">
        <v>0</v>
      </c>
      <c r="O2650" t="s">
        <v>34</v>
      </c>
    </row>
    <row r="2651" spans="1:15">
      <c r="A2651" t="s">
        <v>4108</v>
      </c>
      <c r="B2651" s="2">
        <v>43838.07608796296</v>
      </c>
      <c r="C2651" s="2">
        <v>43838.216446759259</v>
      </c>
      <c r="D2651" t="s">
        <v>585</v>
      </c>
      <c r="E2651" t="s">
        <v>3599</v>
      </c>
      <c r="F2651" t="s">
        <v>3600</v>
      </c>
      <c r="G2651" t="s">
        <v>1019</v>
      </c>
      <c r="H2651" t="s">
        <v>1031</v>
      </c>
      <c r="I2651">
        <v>185349003</v>
      </c>
      <c r="J2651" t="s">
        <v>1038</v>
      </c>
      <c r="K2651">
        <v>85.55</v>
      </c>
      <c r="L2651">
        <v>3105.35</v>
      </c>
      <c r="M2651">
        <v>0</v>
      </c>
      <c r="N2651">
        <v>66383009</v>
      </c>
      <c r="O2651" t="s">
        <v>1209</v>
      </c>
    </row>
    <row r="2652" spans="1:15">
      <c r="A2652" t="s">
        <v>4109</v>
      </c>
      <c r="B2652" s="2">
        <v>43880.07608796296</v>
      </c>
      <c r="C2652" s="2">
        <v>43880.114317129628</v>
      </c>
      <c r="D2652" t="s">
        <v>585</v>
      </c>
      <c r="E2652" t="s">
        <v>3599</v>
      </c>
      <c r="F2652" t="s">
        <v>3600</v>
      </c>
      <c r="G2652" t="s">
        <v>1019</v>
      </c>
      <c r="H2652" t="s">
        <v>1043</v>
      </c>
      <c r="I2652">
        <v>185349003</v>
      </c>
      <c r="J2652" t="s">
        <v>1038</v>
      </c>
      <c r="K2652">
        <v>85.55</v>
      </c>
      <c r="L2652">
        <v>815.27</v>
      </c>
      <c r="M2652">
        <v>0</v>
      </c>
      <c r="O2652" t="s">
        <v>34</v>
      </c>
    </row>
    <row r="2653" spans="1:15">
      <c r="A2653" t="s">
        <v>4110</v>
      </c>
      <c r="B2653" s="2">
        <v>43887.07608796296</v>
      </c>
      <c r="C2653" s="2">
        <v>43887.086504629631</v>
      </c>
      <c r="D2653" t="s">
        <v>585</v>
      </c>
      <c r="E2653" t="s">
        <v>3599</v>
      </c>
      <c r="F2653" t="s">
        <v>3600</v>
      </c>
      <c r="G2653" t="s">
        <v>1019</v>
      </c>
      <c r="H2653" t="s">
        <v>1043</v>
      </c>
      <c r="I2653">
        <v>185349003</v>
      </c>
      <c r="J2653" t="s">
        <v>1038</v>
      </c>
      <c r="K2653">
        <v>85.55</v>
      </c>
      <c r="L2653">
        <v>234.71</v>
      </c>
      <c r="M2653">
        <v>0</v>
      </c>
      <c r="O2653" t="s">
        <v>34</v>
      </c>
    </row>
    <row r="2654" spans="1:15">
      <c r="A2654" t="s">
        <v>4111</v>
      </c>
      <c r="B2654" s="2">
        <v>43894.07608796296</v>
      </c>
      <c r="C2654" s="2">
        <v>43894.221643518518</v>
      </c>
      <c r="D2654" t="s">
        <v>585</v>
      </c>
      <c r="E2654" t="s">
        <v>3599</v>
      </c>
      <c r="F2654" t="s">
        <v>3600</v>
      </c>
      <c r="G2654" t="s">
        <v>1019</v>
      </c>
      <c r="H2654" t="s">
        <v>1031</v>
      </c>
      <c r="I2654">
        <v>185349003</v>
      </c>
      <c r="J2654" t="s">
        <v>1038</v>
      </c>
      <c r="K2654">
        <v>85.55</v>
      </c>
      <c r="L2654">
        <v>3536.75</v>
      </c>
      <c r="M2654">
        <v>0</v>
      </c>
      <c r="N2654">
        <v>103697008</v>
      </c>
      <c r="O2654" t="s">
        <v>1039</v>
      </c>
    </row>
    <row r="2655" spans="1:15">
      <c r="A2655" t="s">
        <v>4112</v>
      </c>
      <c r="B2655" s="2">
        <v>43950.117754629631</v>
      </c>
      <c r="C2655" s="2">
        <v>43950.138749999998</v>
      </c>
      <c r="D2655" t="s">
        <v>585</v>
      </c>
      <c r="E2655" t="s">
        <v>3599</v>
      </c>
      <c r="F2655" t="s">
        <v>3600</v>
      </c>
      <c r="G2655" t="s">
        <v>1019</v>
      </c>
      <c r="H2655" t="s">
        <v>1043</v>
      </c>
      <c r="I2655">
        <v>185349003</v>
      </c>
      <c r="J2655" t="s">
        <v>1038</v>
      </c>
      <c r="K2655">
        <v>85.55</v>
      </c>
      <c r="L2655">
        <v>1166.97</v>
      </c>
      <c r="M2655">
        <v>0</v>
      </c>
      <c r="O2655" t="s">
        <v>34</v>
      </c>
    </row>
    <row r="2656" spans="1:15">
      <c r="A2656" t="s">
        <v>4113</v>
      </c>
      <c r="B2656" s="2">
        <v>44006.117754629631</v>
      </c>
      <c r="C2656" s="2">
        <v>44006.138657407406</v>
      </c>
      <c r="D2656" t="s">
        <v>585</v>
      </c>
      <c r="E2656" t="s">
        <v>4057</v>
      </c>
      <c r="F2656" t="s">
        <v>4058</v>
      </c>
      <c r="G2656" t="s">
        <v>1019</v>
      </c>
      <c r="H2656" t="s">
        <v>1020</v>
      </c>
      <c r="I2656">
        <v>162673000</v>
      </c>
      <c r="J2656" t="s">
        <v>1021</v>
      </c>
      <c r="K2656">
        <v>136.80000000000001</v>
      </c>
      <c r="L2656">
        <v>941.1</v>
      </c>
      <c r="M2656">
        <v>0</v>
      </c>
      <c r="O2656" t="s">
        <v>34</v>
      </c>
    </row>
    <row r="2657" spans="1:15">
      <c r="A2657" t="s">
        <v>4114</v>
      </c>
      <c r="B2657" s="2">
        <v>44118.117754629631</v>
      </c>
      <c r="C2657" s="2">
        <v>44118.154050925928</v>
      </c>
      <c r="D2657" t="s">
        <v>585</v>
      </c>
      <c r="E2657" t="s">
        <v>3599</v>
      </c>
      <c r="F2657" t="s">
        <v>3600</v>
      </c>
      <c r="G2657" t="s">
        <v>1019</v>
      </c>
      <c r="H2657" t="s">
        <v>1043</v>
      </c>
      <c r="I2657">
        <v>185349003</v>
      </c>
      <c r="J2657" t="s">
        <v>1038</v>
      </c>
      <c r="K2657">
        <v>85.55</v>
      </c>
      <c r="L2657">
        <v>815.27</v>
      </c>
      <c r="M2657">
        <v>0</v>
      </c>
      <c r="O2657" t="s">
        <v>34</v>
      </c>
    </row>
    <row r="2658" spans="1:15">
      <c r="A2658" t="s">
        <v>4115</v>
      </c>
      <c r="B2658" s="2">
        <v>44125.117754629631</v>
      </c>
      <c r="C2658" s="2">
        <v>44125.128171296295</v>
      </c>
      <c r="D2658" t="s">
        <v>585</v>
      </c>
      <c r="E2658" t="s">
        <v>3599</v>
      </c>
      <c r="F2658" t="s">
        <v>3600</v>
      </c>
      <c r="G2658" t="s">
        <v>1019</v>
      </c>
      <c r="H2658" t="s">
        <v>1043</v>
      </c>
      <c r="I2658">
        <v>185349003</v>
      </c>
      <c r="J2658" t="s">
        <v>1038</v>
      </c>
      <c r="K2658">
        <v>85.55</v>
      </c>
      <c r="L2658">
        <v>234.71</v>
      </c>
      <c r="M2658">
        <v>0</v>
      </c>
      <c r="O2658" t="s">
        <v>34</v>
      </c>
    </row>
    <row r="2659" spans="1:15">
      <c r="A2659" t="s">
        <v>4116</v>
      </c>
      <c r="B2659" s="2">
        <v>44160.07608796296</v>
      </c>
      <c r="C2659" s="2">
        <v>44160.116412037038</v>
      </c>
      <c r="D2659" t="s">
        <v>585</v>
      </c>
      <c r="E2659" t="s">
        <v>3700</v>
      </c>
      <c r="F2659" t="s">
        <v>3701</v>
      </c>
      <c r="G2659" t="s">
        <v>1019</v>
      </c>
      <c r="H2659" t="s">
        <v>1159</v>
      </c>
      <c r="I2659">
        <v>702927004</v>
      </c>
      <c r="J2659" t="s">
        <v>1160</v>
      </c>
      <c r="K2659">
        <v>142.58000000000001</v>
      </c>
      <c r="L2659">
        <v>872.3</v>
      </c>
      <c r="M2659">
        <v>0</v>
      </c>
      <c r="O2659" t="s">
        <v>34</v>
      </c>
    </row>
    <row r="2660" spans="1:15">
      <c r="A2660" t="s">
        <v>4117</v>
      </c>
      <c r="B2660" s="2">
        <v>44209.07608796296</v>
      </c>
      <c r="C2660" s="2">
        <v>44209.103449074071</v>
      </c>
      <c r="D2660" t="s">
        <v>585</v>
      </c>
      <c r="E2660" t="s">
        <v>3599</v>
      </c>
      <c r="F2660" t="s">
        <v>3600</v>
      </c>
      <c r="G2660" t="s">
        <v>1019</v>
      </c>
      <c r="H2660" t="s">
        <v>1043</v>
      </c>
      <c r="I2660">
        <v>185349003</v>
      </c>
      <c r="J2660" t="s">
        <v>1038</v>
      </c>
      <c r="K2660">
        <v>85.55</v>
      </c>
      <c r="L2660">
        <v>815.27</v>
      </c>
      <c r="M2660">
        <v>0</v>
      </c>
      <c r="O2660" t="s">
        <v>34</v>
      </c>
    </row>
    <row r="2661" spans="1:15">
      <c r="A2661" t="s">
        <v>4118</v>
      </c>
      <c r="B2661" s="2">
        <v>44216.07608796296</v>
      </c>
      <c r="C2661" s="2">
        <v>44216.086504629631</v>
      </c>
      <c r="D2661" t="s">
        <v>585</v>
      </c>
      <c r="E2661" t="s">
        <v>3700</v>
      </c>
      <c r="F2661" t="s">
        <v>3701</v>
      </c>
      <c r="G2661" t="s">
        <v>1019</v>
      </c>
      <c r="H2661" t="s">
        <v>1159</v>
      </c>
      <c r="I2661">
        <v>702927004</v>
      </c>
      <c r="J2661" t="s">
        <v>1160</v>
      </c>
      <c r="K2661">
        <v>142.58000000000001</v>
      </c>
      <c r="L2661">
        <v>603.48</v>
      </c>
      <c r="M2661">
        <v>0</v>
      </c>
      <c r="O2661" t="s">
        <v>34</v>
      </c>
    </row>
    <row r="2662" spans="1:15">
      <c r="A2662" t="s">
        <v>4119</v>
      </c>
      <c r="B2662" s="2">
        <v>44244.07608796296</v>
      </c>
      <c r="C2662" s="2">
        <v>44244.103842592594</v>
      </c>
      <c r="D2662" t="s">
        <v>585</v>
      </c>
      <c r="E2662" t="s">
        <v>3599</v>
      </c>
      <c r="F2662" t="s">
        <v>3600</v>
      </c>
      <c r="G2662" t="s">
        <v>1019</v>
      </c>
      <c r="H2662" t="s">
        <v>1043</v>
      </c>
      <c r="I2662">
        <v>185349003</v>
      </c>
      <c r="J2662" t="s">
        <v>1038</v>
      </c>
      <c r="K2662">
        <v>85.55</v>
      </c>
      <c r="L2662">
        <v>1273.79</v>
      </c>
      <c r="M2662">
        <v>0</v>
      </c>
      <c r="O2662" t="s">
        <v>34</v>
      </c>
    </row>
    <row r="2663" spans="1:15">
      <c r="A2663" t="s">
        <v>4120</v>
      </c>
      <c r="B2663" s="2">
        <v>44258.07608796296</v>
      </c>
      <c r="C2663" s="2">
        <v>44258.216539351852</v>
      </c>
      <c r="D2663" t="s">
        <v>585</v>
      </c>
      <c r="E2663" t="s">
        <v>3599</v>
      </c>
      <c r="F2663" t="s">
        <v>3600</v>
      </c>
      <c r="G2663" t="s">
        <v>1019</v>
      </c>
      <c r="H2663" t="s">
        <v>1031</v>
      </c>
      <c r="I2663">
        <v>185349003</v>
      </c>
      <c r="J2663" t="s">
        <v>1038</v>
      </c>
      <c r="K2663">
        <v>85.55</v>
      </c>
      <c r="L2663">
        <v>3105.35</v>
      </c>
      <c r="M2663">
        <v>0</v>
      </c>
      <c r="N2663">
        <v>66383009</v>
      </c>
      <c r="O2663" t="s">
        <v>1209</v>
      </c>
    </row>
    <row r="2664" spans="1:15">
      <c r="A2664" t="s">
        <v>4121</v>
      </c>
      <c r="B2664" s="2">
        <v>44307.117754629631</v>
      </c>
      <c r="C2664" s="2">
        <v>44307.144479166665</v>
      </c>
      <c r="D2664" t="s">
        <v>585</v>
      </c>
      <c r="E2664" t="s">
        <v>3599</v>
      </c>
      <c r="F2664" t="s">
        <v>3600</v>
      </c>
      <c r="G2664" t="s">
        <v>1019</v>
      </c>
      <c r="H2664" t="s">
        <v>1043</v>
      </c>
      <c r="I2664">
        <v>185349003</v>
      </c>
      <c r="J2664" t="s">
        <v>1038</v>
      </c>
      <c r="K2664">
        <v>85.55</v>
      </c>
      <c r="L2664">
        <v>1316.4</v>
      </c>
      <c r="M2664">
        <v>0</v>
      </c>
      <c r="O2664" t="s">
        <v>34</v>
      </c>
    </row>
    <row r="2665" spans="1:15">
      <c r="A2665" t="s">
        <v>4122</v>
      </c>
      <c r="B2665" s="2">
        <v>44321.117754629631</v>
      </c>
      <c r="C2665" s="2">
        <v>44321.272314814814</v>
      </c>
      <c r="D2665" t="s">
        <v>585</v>
      </c>
      <c r="E2665" t="s">
        <v>3599</v>
      </c>
      <c r="F2665" t="s">
        <v>3600</v>
      </c>
      <c r="G2665" t="s">
        <v>1019</v>
      </c>
      <c r="H2665" t="s">
        <v>1031</v>
      </c>
      <c r="I2665">
        <v>185349003</v>
      </c>
      <c r="J2665" t="s">
        <v>1038</v>
      </c>
      <c r="K2665">
        <v>85.55</v>
      </c>
      <c r="L2665">
        <v>3105.35</v>
      </c>
      <c r="M2665">
        <v>0</v>
      </c>
      <c r="N2665">
        <v>66383009</v>
      </c>
      <c r="O2665" t="s">
        <v>1209</v>
      </c>
    </row>
    <row r="2666" spans="1:15">
      <c r="A2666" t="s">
        <v>4123</v>
      </c>
      <c r="B2666" s="2">
        <v>44335.117754629631</v>
      </c>
      <c r="C2666" s="2">
        <v>44335.15625</v>
      </c>
      <c r="D2666" t="s">
        <v>585</v>
      </c>
      <c r="E2666" t="s">
        <v>3599</v>
      </c>
      <c r="F2666" t="s">
        <v>3600</v>
      </c>
      <c r="G2666" t="s">
        <v>1019</v>
      </c>
      <c r="H2666" t="s">
        <v>1043</v>
      </c>
      <c r="I2666">
        <v>185349003</v>
      </c>
      <c r="J2666" t="s">
        <v>1038</v>
      </c>
      <c r="K2666">
        <v>85.55</v>
      </c>
      <c r="L2666">
        <v>1511.13</v>
      </c>
      <c r="M2666">
        <v>0</v>
      </c>
      <c r="O2666" t="s">
        <v>34</v>
      </c>
    </row>
    <row r="2667" spans="1:15">
      <c r="A2667" t="s">
        <v>4124</v>
      </c>
      <c r="B2667" s="2">
        <v>44342.117754629631</v>
      </c>
      <c r="C2667" s="2">
        <v>44342.225393518522</v>
      </c>
      <c r="D2667" t="s">
        <v>585</v>
      </c>
      <c r="E2667" t="s">
        <v>3599</v>
      </c>
      <c r="F2667" t="s">
        <v>3600</v>
      </c>
      <c r="G2667" t="s">
        <v>1019</v>
      </c>
      <c r="H2667" t="s">
        <v>1031</v>
      </c>
      <c r="I2667">
        <v>185347001</v>
      </c>
      <c r="J2667" t="s">
        <v>1124</v>
      </c>
      <c r="K2667">
        <v>85.55</v>
      </c>
      <c r="L2667">
        <v>1209.76</v>
      </c>
      <c r="M2667">
        <v>0</v>
      </c>
      <c r="N2667">
        <v>431857002</v>
      </c>
      <c r="O2667" t="s">
        <v>4125</v>
      </c>
    </row>
    <row r="2668" spans="1:15">
      <c r="A2668" t="s">
        <v>4126</v>
      </c>
      <c r="B2668" s="2">
        <v>44342.225393518522</v>
      </c>
      <c r="C2668" s="2">
        <v>44342.235810185186</v>
      </c>
      <c r="D2668" t="s">
        <v>585</v>
      </c>
      <c r="E2668" t="s">
        <v>3599</v>
      </c>
      <c r="F2668" t="s">
        <v>3600</v>
      </c>
      <c r="G2668" t="s">
        <v>1019</v>
      </c>
      <c r="H2668" t="s">
        <v>1031</v>
      </c>
      <c r="I2668">
        <v>185347001</v>
      </c>
      <c r="J2668" t="s">
        <v>1124</v>
      </c>
      <c r="K2668">
        <v>85.55</v>
      </c>
      <c r="L2668">
        <v>234.71</v>
      </c>
      <c r="M2668">
        <v>0</v>
      </c>
      <c r="N2668">
        <v>431857002</v>
      </c>
      <c r="O2668" t="s">
        <v>4125</v>
      </c>
    </row>
    <row r="2669" spans="1:15">
      <c r="A2669" t="s">
        <v>4127</v>
      </c>
      <c r="B2669" s="2">
        <v>44345.225393518522</v>
      </c>
      <c r="C2669" s="2">
        <v>44345.316365740742</v>
      </c>
      <c r="D2669" t="s">
        <v>585</v>
      </c>
      <c r="E2669" t="s">
        <v>3599</v>
      </c>
      <c r="F2669" t="s">
        <v>3600</v>
      </c>
      <c r="G2669" t="s">
        <v>1019</v>
      </c>
      <c r="H2669" t="s">
        <v>1031</v>
      </c>
      <c r="I2669">
        <v>185347001</v>
      </c>
      <c r="J2669" t="s">
        <v>1124</v>
      </c>
      <c r="K2669">
        <v>85.55</v>
      </c>
      <c r="L2669">
        <v>535.87</v>
      </c>
      <c r="M2669">
        <v>0</v>
      </c>
      <c r="N2669">
        <v>431857002</v>
      </c>
      <c r="O2669" t="s">
        <v>4125</v>
      </c>
    </row>
    <row r="2670" spans="1:15">
      <c r="A2670" t="s">
        <v>4128</v>
      </c>
      <c r="B2670" s="2">
        <v>44348.316365740742</v>
      </c>
      <c r="C2670" s="2">
        <v>44348.460810185185</v>
      </c>
      <c r="D2670" t="s">
        <v>585</v>
      </c>
      <c r="E2670" t="s">
        <v>3599</v>
      </c>
      <c r="F2670" t="s">
        <v>3600</v>
      </c>
      <c r="G2670" t="s">
        <v>1019</v>
      </c>
      <c r="H2670" t="s">
        <v>1031</v>
      </c>
      <c r="I2670">
        <v>185347001</v>
      </c>
      <c r="J2670" t="s">
        <v>1124</v>
      </c>
      <c r="K2670">
        <v>85.55</v>
      </c>
      <c r="L2670">
        <v>535.87</v>
      </c>
      <c r="M2670">
        <v>0</v>
      </c>
      <c r="N2670">
        <v>431857002</v>
      </c>
      <c r="O2670" t="s">
        <v>4125</v>
      </c>
    </row>
    <row r="2671" spans="1:15">
      <c r="A2671" t="s">
        <v>4129</v>
      </c>
      <c r="B2671" s="2">
        <v>44351.460810185185</v>
      </c>
      <c r="C2671" s="2">
        <v>44351.60664351852</v>
      </c>
      <c r="D2671" t="s">
        <v>585</v>
      </c>
      <c r="E2671" t="s">
        <v>3599</v>
      </c>
      <c r="F2671" t="s">
        <v>3600</v>
      </c>
      <c r="G2671" t="s">
        <v>1019</v>
      </c>
      <c r="H2671" t="s">
        <v>1031</v>
      </c>
      <c r="I2671">
        <v>185347001</v>
      </c>
      <c r="J2671" t="s">
        <v>1124</v>
      </c>
      <c r="K2671">
        <v>85.55</v>
      </c>
      <c r="L2671">
        <v>1738.67</v>
      </c>
      <c r="M2671">
        <v>0</v>
      </c>
      <c r="N2671">
        <v>431857002</v>
      </c>
      <c r="O2671" t="s">
        <v>4125</v>
      </c>
    </row>
    <row r="2672" spans="1:15">
      <c r="A2672" t="s">
        <v>4130</v>
      </c>
      <c r="B2672" s="2">
        <v>44354.60664351852</v>
      </c>
      <c r="C2672" s="2">
        <v>44354.746921296297</v>
      </c>
      <c r="D2672" t="s">
        <v>585</v>
      </c>
      <c r="E2672" t="s">
        <v>3599</v>
      </c>
      <c r="F2672" t="s">
        <v>3600</v>
      </c>
      <c r="G2672" t="s">
        <v>1019</v>
      </c>
      <c r="H2672" t="s">
        <v>1031</v>
      </c>
      <c r="I2672">
        <v>185347001</v>
      </c>
      <c r="J2672" t="s">
        <v>1124</v>
      </c>
      <c r="K2672">
        <v>85.55</v>
      </c>
      <c r="L2672">
        <v>1791.03</v>
      </c>
      <c r="M2672">
        <v>0</v>
      </c>
      <c r="N2672">
        <v>431857002</v>
      </c>
      <c r="O2672" t="s">
        <v>4125</v>
      </c>
    </row>
    <row r="2673" spans="1:15">
      <c r="A2673" t="s">
        <v>4131</v>
      </c>
      <c r="B2673" s="2">
        <v>44357.746921296297</v>
      </c>
      <c r="C2673" s="2">
        <v>44357.876782407409</v>
      </c>
      <c r="D2673" t="s">
        <v>585</v>
      </c>
      <c r="E2673" t="s">
        <v>3599</v>
      </c>
      <c r="F2673" t="s">
        <v>3600</v>
      </c>
      <c r="G2673" t="s">
        <v>1019</v>
      </c>
      <c r="H2673" t="s">
        <v>1031</v>
      </c>
      <c r="I2673">
        <v>185347001</v>
      </c>
      <c r="J2673" t="s">
        <v>1124</v>
      </c>
      <c r="K2673">
        <v>85.55</v>
      </c>
      <c r="L2673">
        <v>535.87</v>
      </c>
      <c r="M2673">
        <v>0</v>
      </c>
      <c r="N2673">
        <v>431857002</v>
      </c>
      <c r="O2673" t="s">
        <v>4125</v>
      </c>
    </row>
    <row r="2674" spans="1:15">
      <c r="A2674" t="s">
        <v>4132</v>
      </c>
      <c r="B2674" s="2">
        <v>44360.876782407409</v>
      </c>
      <c r="C2674" s="2">
        <v>44361.014976851853</v>
      </c>
      <c r="D2674" t="s">
        <v>585</v>
      </c>
      <c r="E2674" t="s">
        <v>3599</v>
      </c>
      <c r="F2674" t="s">
        <v>3600</v>
      </c>
      <c r="G2674" t="s">
        <v>1019</v>
      </c>
      <c r="H2674" t="s">
        <v>1031</v>
      </c>
      <c r="I2674">
        <v>185347001</v>
      </c>
      <c r="J2674" t="s">
        <v>1124</v>
      </c>
      <c r="K2674">
        <v>85.55</v>
      </c>
      <c r="L2674">
        <v>535.87</v>
      </c>
      <c r="M2674">
        <v>0</v>
      </c>
      <c r="N2674">
        <v>431857002</v>
      </c>
      <c r="O2674" t="s">
        <v>4125</v>
      </c>
    </row>
    <row r="2675" spans="1:15">
      <c r="A2675" t="s">
        <v>4133</v>
      </c>
      <c r="B2675" s="2">
        <v>44370.117754629631</v>
      </c>
      <c r="C2675" s="2">
        <v>44370.152557870373</v>
      </c>
      <c r="D2675" t="s">
        <v>585</v>
      </c>
      <c r="E2675" t="s">
        <v>3599</v>
      </c>
      <c r="F2675" t="s">
        <v>3600</v>
      </c>
      <c r="G2675" t="s">
        <v>1019</v>
      </c>
      <c r="H2675" t="s">
        <v>1043</v>
      </c>
      <c r="I2675">
        <v>185349003</v>
      </c>
      <c r="J2675" t="s">
        <v>1038</v>
      </c>
      <c r="K2675">
        <v>85.55</v>
      </c>
      <c r="L2675">
        <v>1298.8800000000001</v>
      </c>
      <c r="M2675">
        <v>0</v>
      </c>
      <c r="O2675" t="s">
        <v>34</v>
      </c>
    </row>
    <row r="2676" spans="1:15">
      <c r="A2676" t="s">
        <v>4134</v>
      </c>
      <c r="B2676" s="2">
        <v>44377.117754629631</v>
      </c>
      <c r="C2676" s="2">
        <v>44377.128171296295</v>
      </c>
      <c r="D2676" t="s">
        <v>585</v>
      </c>
      <c r="E2676" t="s">
        <v>4057</v>
      </c>
      <c r="F2676" t="s">
        <v>4058</v>
      </c>
      <c r="G2676" t="s">
        <v>1019</v>
      </c>
      <c r="H2676" t="s">
        <v>1020</v>
      </c>
      <c r="I2676">
        <v>162673000</v>
      </c>
      <c r="J2676" t="s">
        <v>1021</v>
      </c>
      <c r="K2676">
        <v>136.80000000000001</v>
      </c>
      <c r="L2676">
        <v>285.95999999999998</v>
      </c>
      <c r="M2676">
        <v>0</v>
      </c>
      <c r="O2676" t="s">
        <v>34</v>
      </c>
    </row>
    <row r="2677" spans="1:15">
      <c r="A2677" t="s">
        <v>4135</v>
      </c>
      <c r="B2677" s="2">
        <v>44384.117754629631</v>
      </c>
      <c r="C2677" s="2">
        <v>44384.229560185187</v>
      </c>
      <c r="D2677" t="s">
        <v>585</v>
      </c>
      <c r="E2677" t="s">
        <v>3599</v>
      </c>
      <c r="F2677" t="s">
        <v>3600</v>
      </c>
      <c r="G2677" t="s">
        <v>1019</v>
      </c>
      <c r="H2677" t="s">
        <v>1031</v>
      </c>
      <c r="I2677">
        <v>185347001</v>
      </c>
      <c r="J2677" t="s">
        <v>1124</v>
      </c>
      <c r="K2677">
        <v>85.55</v>
      </c>
      <c r="L2677">
        <v>536.88</v>
      </c>
      <c r="M2677">
        <v>0</v>
      </c>
      <c r="N2677">
        <v>431857002</v>
      </c>
      <c r="O2677" t="s">
        <v>4125</v>
      </c>
    </row>
    <row r="2678" spans="1:15">
      <c r="A2678" t="s">
        <v>4136</v>
      </c>
      <c r="B2678" s="2">
        <v>44384.229560185187</v>
      </c>
      <c r="C2678" s="2">
        <v>44384.239976851852</v>
      </c>
      <c r="D2678" t="s">
        <v>585</v>
      </c>
      <c r="E2678" t="s">
        <v>3599</v>
      </c>
      <c r="F2678" t="s">
        <v>3600</v>
      </c>
      <c r="G2678" t="s">
        <v>1019</v>
      </c>
      <c r="H2678" t="s">
        <v>1031</v>
      </c>
      <c r="I2678">
        <v>185347001</v>
      </c>
      <c r="J2678" t="s">
        <v>1124</v>
      </c>
      <c r="K2678">
        <v>85.55</v>
      </c>
      <c r="L2678">
        <v>234.71</v>
      </c>
      <c r="M2678">
        <v>0</v>
      </c>
      <c r="N2678">
        <v>431857002</v>
      </c>
      <c r="O2678" t="s">
        <v>4125</v>
      </c>
    </row>
    <row r="2679" spans="1:15">
      <c r="A2679" t="s">
        <v>4137</v>
      </c>
      <c r="B2679" s="2">
        <v>44387.229560185187</v>
      </c>
      <c r="C2679" s="2">
        <v>44387.365671296298</v>
      </c>
      <c r="D2679" t="s">
        <v>585</v>
      </c>
      <c r="E2679" t="s">
        <v>3599</v>
      </c>
      <c r="F2679" t="s">
        <v>3600</v>
      </c>
      <c r="G2679" t="s">
        <v>1019</v>
      </c>
      <c r="H2679" t="s">
        <v>1031</v>
      </c>
      <c r="I2679">
        <v>185347001</v>
      </c>
      <c r="J2679" t="s">
        <v>1124</v>
      </c>
      <c r="K2679">
        <v>85.55</v>
      </c>
      <c r="L2679">
        <v>631.24</v>
      </c>
      <c r="M2679">
        <v>0</v>
      </c>
      <c r="N2679">
        <v>431857002</v>
      </c>
      <c r="O2679" t="s">
        <v>4125</v>
      </c>
    </row>
    <row r="2680" spans="1:15">
      <c r="A2680" t="s">
        <v>4138</v>
      </c>
      <c r="B2680" s="2">
        <v>44390.365671296298</v>
      </c>
      <c r="C2680" s="2">
        <v>44390.521226851852</v>
      </c>
      <c r="D2680" t="s">
        <v>585</v>
      </c>
      <c r="E2680" t="s">
        <v>3599</v>
      </c>
      <c r="F2680" t="s">
        <v>3600</v>
      </c>
      <c r="G2680" t="s">
        <v>1019</v>
      </c>
      <c r="H2680" t="s">
        <v>1031</v>
      </c>
      <c r="I2680">
        <v>185347001</v>
      </c>
      <c r="J2680" t="s">
        <v>1124</v>
      </c>
      <c r="K2680">
        <v>85.55</v>
      </c>
      <c r="L2680">
        <v>837.13</v>
      </c>
      <c r="M2680">
        <v>0</v>
      </c>
      <c r="N2680">
        <v>431857002</v>
      </c>
      <c r="O2680" t="s">
        <v>4125</v>
      </c>
    </row>
    <row r="2681" spans="1:15">
      <c r="A2681" t="s">
        <v>4139</v>
      </c>
      <c r="B2681" s="2">
        <v>44393.521226851852</v>
      </c>
      <c r="C2681" s="2">
        <v>44393.6094212963</v>
      </c>
      <c r="D2681" t="s">
        <v>585</v>
      </c>
      <c r="E2681" t="s">
        <v>3599</v>
      </c>
      <c r="F2681" t="s">
        <v>3600</v>
      </c>
      <c r="G2681" t="s">
        <v>1019</v>
      </c>
      <c r="H2681" t="s">
        <v>1031</v>
      </c>
      <c r="I2681">
        <v>185347001</v>
      </c>
      <c r="J2681" t="s">
        <v>1124</v>
      </c>
      <c r="K2681">
        <v>85.55</v>
      </c>
      <c r="L2681">
        <v>1791.03</v>
      </c>
      <c r="M2681">
        <v>0</v>
      </c>
      <c r="N2681">
        <v>431857002</v>
      </c>
      <c r="O2681" t="s">
        <v>4125</v>
      </c>
    </row>
    <row r="2682" spans="1:15">
      <c r="A2682" t="s">
        <v>4140</v>
      </c>
      <c r="B2682" s="2">
        <v>44396.6094212963</v>
      </c>
      <c r="C2682" s="2">
        <v>44396.712893518517</v>
      </c>
      <c r="D2682" t="s">
        <v>585</v>
      </c>
      <c r="E2682" t="s">
        <v>3599</v>
      </c>
      <c r="F2682" t="s">
        <v>3600</v>
      </c>
      <c r="G2682" t="s">
        <v>1019</v>
      </c>
      <c r="H2682" t="s">
        <v>1031</v>
      </c>
      <c r="I2682">
        <v>185347001</v>
      </c>
      <c r="J2682" t="s">
        <v>1124</v>
      </c>
      <c r="K2682">
        <v>85.55</v>
      </c>
      <c r="L2682">
        <v>663.37</v>
      </c>
      <c r="M2682">
        <v>0</v>
      </c>
      <c r="N2682">
        <v>431857002</v>
      </c>
      <c r="O2682" t="s">
        <v>4125</v>
      </c>
    </row>
    <row r="2683" spans="1:15">
      <c r="A2683" t="s">
        <v>4141</v>
      </c>
      <c r="B2683" s="2">
        <v>44399.712893518517</v>
      </c>
      <c r="C2683" s="2">
        <v>44399.814282407409</v>
      </c>
      <c r="D2683" t="s">
        <v>585</v>
      </c>
      <c r="E2683" t="s">
        <v>3599</v>
      </c>
      <c r="F2683" t="s">
        <v>3600</v>
      </c>
      <c r="G2683" t="s">
        <v>1019</v>
      </c>
      <c r="H2683" t="s">
        <v>1031</v>
      </c>
      <c r="I2683">
        <v>185347001</v>
      </c>
      <c r="J2683" t="s">
        <v>1124</v>
      </c>
      <c r="K2683">
        <v>85.55</v>
      </c>
      <c r="L2683">
        <v>873.16</v>
      </c>
      <c r="M2683">
        <v>0</v>
      </c>
      <c r="N2683">
        <v>431857002</v>
      </c>
      <c r="O2683" t="s">
        <v>4125</v>
      </c>
    </row>
    <row r="2684" spans="1:15">
      <c r="A2684" t="s">
        <v>4142</v>
      </c>
      <c r="B2684" s="2">
        <v>44402.814282407409</v>
      </c>
      <c r="C2684" s="2">
        <v>44402.911504629628</v>
      </c>
      <c r="D2684" t="s">
        <v>585</v>
      </c>
      <c r="E2684" t="s">
        <v>3599</v>
      </c>
      <c r="F2684" t="s">
        <v>3600</v>
      </c>
      <c r="G2684" t="s">
        <v>1019</v>
      </c>
      <c r="H2684" t="s">
        <v>1031</v>
      </c>
      <c r="I2684">
        <v>185347001</v>
      </c>
      <c r="J2684" t="s">
        <v>1124</v>
      </c>
      <c r="K2684">
        <v>85.55</v>
      </c>
      <c r="L2684">
        <v>1392.99</v>
      </c>
      <c r="M2684">
        <v>0</v>
      </c>
      <c r="N2684">
        <v>431857002</v>
      </c>
      <c r="O2684" t="s">
        <v>4125</v>
      </c>
    </row>
    <row r="2685" spans="1:15">
      <c r="A2685" t="s">
        <v>4143</v>
      </c>
      <c r="B2685" s="2">
        <v>44405.911504629628</v>
      </c>
      <c r="C2685" s="2">
        <v>44406.0469212963</v>
      </c>
      <c r="D2685" t="s">
        <v>585</v>
      </c>
      <c r="E2685" t="s">
        <v>3599</v>
      </c>
      <c r="F2685" t="s">
        <v>3600</v>
      </c>
      <c r="G2685" t="s">
        <v>1019</v>
      </c>
      <c r="H2685" t="s">
        <v>1031</v>
      </c>
      <c r="I2685">
        <v>185347001</v>
      </c>
      <c r="J2685" t="s">
        <v>1124</v>
      </c>
      <c r="K2685">
        <v>85.55</v>
      </c>
      <c r="L2685">
        <v>1211.92</v>
      </c>
      <c r="M2685">
        <v>0</v>
      </c>
      <c r="N2685">
        <v>431857002</v>
      </c>
      <c r="O2685" t="s">
        <v>4125</v>
      </c>
    </row>
    <row r="2686" spans="1:15">
      <c r="A2686" t="s">
        <v>4144</v>
      </c>
      <c r="B2686" s="2">
        <v>44409.0469212963</v>
      </c>
      <c r="C2686" s="2">
        <v>44409.158032407409</v>
      </c>
      <c r="D2686" t="s">
        <v>585</v>
      </c>
      <c r="E2686" t="s">
        <v>3599</v>
      </c>
      <c r="F2686" t="s">
        <v>3600</v>
      </c>
      <c r="G2686" t="s">
        <v>1019</v>
      </c>
      <c r="H2686" t="s">
        <v>1031</v>
      </c>
      <c r="I2686">
        <v>185347001</v>
      </c>
      <c r="J2686" t="s">
        <v>1124</v>
      </c>
      <c r="K2686">
        <v>85.55</v>
      </c>
      <c r="L2686">
        <v>578.27</v>
      </c>
      <c r="M2686">
        <v>0</v>
      </c>
      <c r="N2686">
        <v>431857002</v>
      </c>
      <c r="O2686" t="s">
        <v>4125</v>
      </c>
    </row>
    <row r="2687" spans="1:15">
      <c r="A2687" t="s">
        <v>4145</v>
      </c>
      <c r="B2687" s="2">
        <v>44419.117754629631</v>
      </c>
      <c r="C2687" s="2">
        <v>44419.128171296295</v>
      </c>
      <c r="D2687" t="s">
        <v>585</v>
      </c>
      <c r="E2687" t="s">
        <v>3599</v>
      </c>
      <c r="F2687" t="s">
        <v>3600</v>
      </c>
      <c r="G2687" t="s">
        <v>1019</v>
      </c>
      <c r="H2687" t="s">
        <v>1043</v>
      </c>
      <c r="I2687">
        <v>33879002</v>
      </c>
      <c r="J2687" t="s">
        <v>1044</v>
      </c>
      <c r="K2687">
        <v>142.58000000000001</v>
      </c>
      <c r="L2687">
        <v>278.58</v>
      </c>
      <c r="M2687">
        <v>0</v>
      </c>
      <c r="O2687" t="s">
        <v>34</v>
      </c>
    </row>
    <row r="2688" spans="1:15">
      <c r="A2688" t="s">
        <v>4146</v>
      </c>
      <c r="B2688" s="2">
        <v>44412.158032407409</v>
      </c>
      <c r="C2688" s="2">
        <v>44412.295532407406</v>
      </c>
      <c r="D2688" t="s">
        <v>585</v>
      </c>
      <c r="E2688" t="s">
        <v>3599</v>
      </c>
      <c r="F2688" t="s">
        <v>3600</v>
      </c>
      <c r="G2688" t="s">
        <v>1019</v>
      </c>
      <c r="H2688" t="s">
        <v>1031</v>
      </c>
      <c r="I2688">
        <v>185347001</v>
      </c>
      <c r="J2688" t="s">
        <v>1124</v>
      </c>
      <c r="K2688">
        <v>85.55</v>
      </c>
      <c r="L2688">
        <v>682.46</v>
      </c>
      <c r="M2688">
        <v>0</v>
      </c>
      <c r="N2688">
        <v>431857002</v>
      </c>
      <c r="O2688" t="s">
        <v>4125</v>
      </c>
    </row>
    <row r="2689" spans="1:15">
      <c r="A2689" t="s">
        <v>4147</v>
      </c>
      <c r="B2689" s="2">
        <v>44415.295532407406</v>
      </c>
      <c r="C2689" s="2">
        <v>44415.456643518519</v>
      </c>
      <c r="D2689" t="s">
        <v>585</v>
      </c>
      <c r="E2689" t="s">
        <v>3599</v>
      </c>
      <c r="F2689" t="s">
        <v>3600</v>
      </c>
      <c r="G2689" t="s">
        <v>1019</v>
      </c>
      <c r="H2689" t="s">
        <v>1031</v>
      </c>
      <c r="I2689">
        <v>185347001</v>
      </c>
      <c r="J2689" t="s">
        <v>1124</v>
      </c>
      <c r="K2689">
        <v>85.55</v>
      </c>
      <c r="L2689">
        <v>1082.97</v>
      </c>
      <c r="M2689">
        <v>0</v>
      </c>
      <c r="N2689">
        <v>431857002</v>
      </c>
      <c r="O2689" t="s">
        <v>4125</v>
      </c>
    </row>
    <row r="2690" spans="1:15">
      <c r="A2690" t="s">
        <v>4148</v>
      </c>
      <c r="B2690" s="2">
        <v>44415.456643518519</v>
      </c>
      <c r="C2690" s="2">
        <v>44415.467060185183</v>
      </c>
      <c r="D2690" t="s">
        <v>585</v>
      </c>
      <c r="E2690" t="s">
        <v>3599</v>
      </c>
      <c r="F2690" t="s">
        <v>3600</v>
      </c>
      <c r="G2690" t="s">
        <v>1019</v>
      </c>
      <c r="H2690" t="s">
        <v>1031</v>
      </c>
      <c r="I2690">
        <v>185347001</v>
      </c>
      <c r="J2690" t="s">
        <v>1124</v>
      </c>
      <c r="K2690">
        <v>85.55</v>
      </c>
      <c r="L2690">
        <v>234.71</v>
      </c>
      <c r="M2690">
        <v>0</v>
      </c>
      <c r="N2690">
        <v>431857002</v>
      </c>
      <c r="O2690" t="s">
        <v>4125</v>
      </c>
    </row>
    <row r="2691" spans="1:15">
      <c r="A2691" t="s">
        <v>4149</v>
      </c>
      <c r="B2691" s="2">
        <v>44418.456643518519</v>
      </c>
      <c r="C2691" s="2">
        <v>44418.583726851852</v>
      </c>
      <c r="D2691" t="s">
        <v>585</v>
      </c>
      <c r="E2691" t="s">
        <v>3599</v>
      </c>
      <c r="F2691" t="s">
        <v>3600</v>
      </c>
      <c r="G2691" t="s">
        <v>1019</v>
      </c>
      <c r="H2691" t="s">
        <v>1031</v>
      </c>
      <c r="I2691">
        <v>185347001</v>
      </c>
      <c r="J2691" t="s">
        <v>1124</v>
      </c>
      <c r="K2691">
        <v>85.55</v>
      </c>
      <c r="L2691">
        <v>535.87</v>
      </c>
      <c r="M2691">
        <v>0</v>
      </c>
      <c r="N2691">
        <v>431857002</v>
      </c>
      <c r="O2691" t="s">
        <v>4125</v>
      </c>
    </row>
    <row r="2692" spans="1:15">
      <c r="A2692" t="s">
        <v>4150</v>
      </c>
      <c r="B2692" s="2">
        <v>44418.117754629631</v>
      </c>
      <c r="C2692" s="2">
        <v>44418.152939814812</v>
      </c>
      <c r="D2692" t="s">
        <v>585</v>
      </c>
      <c r="E2692" t="s">
        <v>3599</v>
      </c>
      <c r="F2692" t="s">
        <v>3600</v>
      </c>
      <c r="G2692" t="s">
        <v>1019</v>
      </c>
      <c r="H2692" t="s">
        <v>1031</v>
      </c>
      <c r="I2692">
        <v>185347001</v>
      </c>
      <c r="J2692" t="s">
        <v>1124</v>
      </c>
      <c r="K2692">
        <v>85.55</v>
      </c>
      <c r="L2692">
        <v>666.11</v>
      </c>
      <c r="M2692">
        <v>0</v>
      </c>
      <c r="N2692">
        <v>431857002</v>
      </c>
      <c r="O2692" t="s">
        <v>4125</v>
      </c>
    </row>
    <row r="2693" spans="1:15">
      <c r="A2693" t="s">
        <v>4151</v>
      </c>
      <c r="B2693" s="2">
        <v>44426.117754629631</v>
      </c>
      <c r="C2693" s="2">
        <v>44426.151250000003</v>
      </c>
      <c r="D2693" t="s">
        <v>585</v>
      </c>
      <c r="E2693" t="s">
        <v>3599</v>
      </c>
      <c r="F2693" t="s">
        <v>3600</v>
      </c>
      <c r="G2693" t="s">
        <v>1019</v>
      </c>
      <c r="H2693" t="s">
        <v>1043</v>
      </c>
      <c r="I2693">
        <v>185349003</v>
      </c>
      <c r="J2693" t="s">
        <v>1038</v>
      </c>
      <c r="K2693">
        <v>85.55</v>
      </c>
      <c r="L2693">
        <v>815.27</v>
      </c>
      <c r="M2693">
        <v>0</v>
      </c>
      <c r="O2693" t="s">
        <v>34</v>
      </c>
    </row>
    <row r="2694" spans="1:15">
      <c r="A2694" t="s">
        <v>4152</v>
      </c>
      <c r="B2694" s="2">
        <v>44433.117754629631</v>
      </c>
      <c r="C2694" s="2">
        <v>44433.280949074076</v>
      </c>
      <c r="D2694" t="s">
        <v>585</v>
      </c>
      <c r="E2694" t="s">
        <v>3599</v>
      </c>
      <c r="F2694" t="s">
        <v>3600</v>
      </c>
      <c r="G2694" t="s">
        <v>1019</v>
      </c>
      <c r="H2694" t="s">
        <v>1031</v>
      </c>
      <c r="I2694">
        <v>185347001</v>
      </c>
      <c r="J2694" t="s">
        <v>1124</v>
      </c>
      <c r="K2694">
        <v>85.55</v>
      </c>
      <c r="L2694">
        <v>535.87</v>
      </c>
      <c r="M2694">
        <v>0</v>
      </c>
      <c r="N2694">
        <v>431857002</v>
      </c>
      <c r="O2694" t="s">
        <v>4125</v>
      </c>
    </row>
    <row r="2695" spans="1:15">
      <c r="A2695" t="s">
        <v>4153</v>
      </c>
      <c r="B2695" s="2">
        <v>44436.280949074076</v>
      </c>
      <c r="C2695" s="2">
        <v>44436.386504629627</v>
      </c>
      <c r="D2695" t="s">
        <v>585</v>
      </c>
      <c r="E2695" t="s">
        <v>3599</v>
      </c>
      <c r="F2695" t="s">
        <v>3600</v>
      </c>
      <c r="G2695" t="s">
        <v>1019</v>
      </c>
      <c r="H2695" t="s">
        <v>1031</v>
      </c>
      <c r="I2695">
        <v>185347001</v>
      </c>
      <c r="J2695" t="s">
        <v>1124</v>
      </c>
      <c r="K2695">
        <v>85.55</v>
      </c>
      <c r="L2695">
        <v>596.26</v>
      </c>
      <c r="M2695">
        <v>0</v>
      </c>
      <c r="N2695">
        <v>431857002</v>
      </c>
      <c r="O2695" t="s">
        <v>4125</v>
      </c>
    </row>
    <row r="2696" spans="1:15">
      <c r="A2696" t="s">
        <v>4154</v>
      </c>
      <c r="B2696" s="2">
        <v>44439.386504629627</v>
      </c>
      <c r="C2696" s="2">
        <v>44439.475393518522</v>
      </c>
      <c r="D2696" t="s">
        <v>585</v>
      </c>
      <c r="E2696" t="s">
        <v>3599</v>
      </c>
      <c r="F2696" t="s">
        <v>3600</v>
      </c>
      <c r="G2696" t="s">
        <v>1019</v>
      </c>
      <c r="H2696" t="s">
        <v>1031</v>
      </c>
      <c r="I2696">
        <v>185347001</v>
      </c>
      <c r="J2696" t="s">
        <v>1124</v>
      </c>
      <c r="K2696">
        <v>85.55</v>
      </c>
      <c r="L2696">
        <v>535.87</v>
      </c>
      <c r="M2696">
        <v>0</v>
      </c>
      <c r="N2696">
        <v>431857002</v>
      </c>
      <c r="O2696" t="s">
        <v>4125</v>
      </c>
    </row>
    <row r="2697" spans="1:15">
      <c r="A2697" t="s">
        <v>4155</v>
      </c>
      <c r="B2697" s="2">
        <v>44447.117754629631</v>
      </c>
      <c r="C2697" s="2">
        <v>44447.128171296295</v>
      </c>
      <c r="D2697" t="s">
        <v>585</v>
      </c>
      <c r="E2697" t="s">
        <v>3599</v>
      </c>
      <c r="F2697" t="s">
        <v>3600</v>
      </c>
      <c r="G2697" t="s">
        <v>1019</v>
      </c>
      <c r="H2697" t="s">
        <v>1043</v>
      </c>
      <c r="I2697">
        <v>33879002</v>
      </c>
      <c r="J2697" t="s">
        <v>1044</v>
      </c>
      <c r="K2697">
        <v>142.58000000000001</v>
      </c>
      <c r="L2697">
        <v>278.58</v>
      </c>
      <c r="M2697">
        <v>0</v>
      </c>
      <c r="O2697" t="s">
        <v>34</v>
      </c>
    </row>
    <row r="2698" spans="1:15">
      <c r="A2698" t="s">
        <v>4156</v>
      </c>
      <c r="B2698" s="2">
        <v>44442.475393518522</v>
      </c>
      <c r="C2698" s="2">
        <v>44442.595532407409</v>
      </c>
      <c r="D2698" t="s">
        <v>585</v>
      </c>
      <c r="E2698" t="s">
        <v>3599</v>
      </c>
      <c r="F2698" t="s">
        <v>3600</v>
      </c>
      <c r="G2698" t="s">
        <v>1019</v>
      </c>
      <c r="H2698" t="s">
        <v>1031</v>
      </c>
      <c r="I2698">
        <v>185347001</v>
      </c>
      <c r="J2698" t="s">
        <v>1124</v>
      </c>
      <c r="K2698">
        <v>85.55</v>
      </c>
      <c r="L2698">
        <v>1791.03</v>
      </c>
      <c r="M2698">
        <v>0</v>
      </c>
      <c r="N2698">
        <v>431857002</v>
      </c>
      <c r="O2698" t="s">
        <v>4125</v>
      </c>
    </row>
    <row r="2699" spans="1:15">
      <c r="A2699" t="s">
        <v>4157</v>
      </c>
      <c r="B2699" s="2">
        <v>44445.595532407409</v>
      </c>
      <c r="C2699" s="2">
        <v>44445.703865740739</v>
      </c>
      <c r="D2699" t="s">
        <v>585</v>
      </c>
      <c r="E2699" t="s">
        <v>3599</v>
      </c>
      <c r="F2699" t="s">
        <v>3600</v>
      </c>
      <c r="G2699" t="s">
        <v>1019</v>
      </c>
      <c r="H2699" t="s">
        <v>1031</v>
      </c>
      <c r="I2699">
        <v>185347001</v>
      </c>
      <c r="J2699" t="s">
        <v>1124</v>
      </c>
      <c r="K2699">
        <v>85.55</v>
      </c>
      <c r="L2699">
        <v>535.87</v>
      </c>
      <c r="M2699">
        <v>0</v>
      </c>
      <c r="N2699">
        <v>431857002</v>
      </c>
      <c r="O2699" t="s">
        <v>4125</v>
      </c>
    </row>
    <row r="2700" spans="1:15">
      <c r="A2700" t="s">
        <v>4158</v>
      </c>
      <c r="B2700" s="2">
        <v>44445.703865740739</v>
      </c>
      <c r="C2700" s="2">
        <v>44445.714282407411</v>
      </c>
      <c r="D2700" t="s">
        <v>585</v>
      </c>
      <c r="E2700" t="s">
        <v>3599</v>
      </c>
      <c r="F2700" t="s">
        <v>3600</v>
      </c>
      <c r="G2700" t="s">
        <v>1019</v>
      </c>
      <c r="H2700" t="s">
        <v>1031</v>
      </c>
      <c r="I2700">
        <v>185347001</v>
      </c>
      <c r="J2700" t="s">
        <v>1124</v>
      </c>
      <c r="K2700">
        <v>85.55</v>
      </c>
      <c r="L2700">
        <v>234.71</v>
      </c>
      <c r="M2700">
        <v>0</v>
      </c>
      <c r="N2700">
        <v>431857002</v>
      </c>
      <c r="O2700" t="s">
        <v>4125</v>
      </c>
    </row>
    <row r="2701" spans="1:15">
      <c r="A2701" t="s">
        <v>4159</v>
      </c>
      <c r="B2701" s="2">
        <v>44454.117754629631</v>
      </c>
      <c r="C2701" s="2">
        <v>44454.14707175926</v>
      </c>
      <c r="D2701" t="s">
        <v>585</v>
      </c>
      <c r="E2701" t="s">
        <v>3599</v>
      </c>
      <c r="F2701" t="s">
        <v>3600</v>
      </c>
      <c r="G2701" t="s">
        <v>1019</v>
      </c>
      <c r="H2701" t="s">
        <v>1043</v>
      </c>
      <c r="I2701">
        <v>185349003</v>
      </c>
      <c r="J2701" t="s">
        <v>1038</v>
      </c>
      <c r="K2701">
        <v>85.55</v>
      </c>
      <c r="L2701">
        <v>815.27</v>
      </c>
      <c r="M2701">
        <v>0</v>
      </c>
      <c r="O2701" t="s">
        <v>34</v>
      </c>
    </row>
    <row r="2702" spans="1:15">
      <c r="A2702" t="s">
        <v>4160</v>
      </c>
      <c r="B2702" s="2">
        <v>44461.117754629631</v>
      </c>
      <c r="C2702" s="2">
        <v>44461.251782407409</v>
      </c>
      <c r="D2702" t="s">
        <v>585</v>
      </c>
      <c r="E2702" t="s">
        <v>3599</v>
      </c>
      <c r="F2702" t="s">
        <v>3600</v>
      </c>
      <c r="G2702" t="s">
        <v>1019</v>
      </c>
      <c r="H2702" t="s">
        <v>1031</v>
      </c>
      <c r="I2702">
        <v>185347001</v>
      </c>
      <c r="J2702" t="s">
        <v>1124</v>
      </c>
      <c r="K2702">
        <v>85.55</v>
      </c>
      <c r="L2702">
        <v>535.87</v>
      </c>
      <c r="M2702">
        <v>0</v>
      </c>
      <c r="N2702">
        <v>431857002</v>
      </c>
      <c r="O2702" t="s">
        <v>4125</v>
      </c>
    </row>
    <row r="2703" spans="1:15">
      <c r="A2703" t="s">
        <v>4161</v>
      </c>
      <c r="B2703" s="2">
        <v>44464.251782407409</v>
      </c>
      <c r="C2703" s="2">
        <v>44464.384421296294</v>
      </c>
      <c r="D2703" t="s">
        <v>585</v>
      </c>
      <c r="E2703" t="s">
        <v>3599</v>
      </c>
      <c r="F2703" t="s">
        <v>3600</v>
      </c>
      <c r="G2703" t="s">
        <v>1019</v>
      </c>
      <c r="H2703" t="s">
        <v>1031</v>
      </c>
      <c r="I2703">
        <v>185347001</v>
      </c>
      <c r="J2703" t="s">
        <v>1124</v>
      </c>
      <c r="K2703">
        <v>85.55</v>
      </c>
      <c r="L2703">
        <v>943.05</v>
      </c>
      <c r="M2703">
        <v>0</v>
      </c>
      <c r="N2703">
        <v>431857002</v>
      </c>
      <c r="O2703" t="s">
        <v>4125</v>
      </c>
    </row>
    <row r="2704" spans="1:15">
      <c r="A2704" t="s">
        <v>4162</v>
      </c>
      <c r="B2704" s="2">
        <v>44467.384421296294</v>
      </c>
      <c r="C2704" s="2">
        <v>44467.542060185187</v>
      </c>
      <c r="D2704" t="s">
        <v>585</v>
      </c>
      <c r="E2704" t="s">
        <v>3599</v>
      </c>
      <c r="F2704" t="s">
        <v>3600</v>
      </c>
      <c r="G2704" t="s">
        <v>1019</v>
      </c>
      <c r="H2704" t="s">
        <v>1031</v>
      </c>
      <c r="I2704">
        <v>185347001</v>
      </c>
      <c r="J2704" t="s">
        <v>1124</v>
      </c>
      <c r="K2704">
        <v>85.55</v>
      </c>
      <c r="L2704">
        <v>535.87</v>
      </c>
      <c r="M2704">
        <v>0</v>
      </c>
      <c r="N2704">
        <v>431857002</v>
      </c>
      <c r="O2704" t="s">
        <v>4125</v>
      </c>
    </row>
    <row r="2705" spans="1:15">
      <c r="A2705" t="s">
        <v>4163</v>
      </c>
      <c r="B2705" s="2">
        <v>44475.117754629631</v>
      </c>
      <c r="C2705" s="2">
        <v>44475.272696759261</v>
      </c>
      <c r="D2705" t="s">
        <v>585</v>
      </c>
      <c r="E2705" t="s">
        <v>3599</v>
      </c>
      <c r="F2705" t="s">
        <v>3600</v>
      </c>
      <c r="G2705" t="s">
        <v>1019</v>
      </c>
      <c r="H2705" t="s">
        <v>1031</v>
      </c>
      <c r="I2705">
        <v>185349003</v>
      </c>
      <c r="J2705" t="s">
        <v>1038</v>
      </c>
      <c r="K2705">
        <v>85.55</v>
      </c>
      <c r="L2705">
        <v>3536.75</v>
      </c>
      <c r="M2705">
        <v>0</v>
      </c>
      <c r="N2705">
        <v>103697008</v>
      </c>
      <c r="O2705" t="s">
        <v>1039</v>
      </c>
    </row>
    <row r="2706" spans="1:15">
      <c r="A2706" t="s">
        <v>4164</v>
      </c>
      <c r="B2706" s="2">
        <v>44482.117754629631</v>
      </c>
      <c r="C2706" s="2">
        <v>44482.235115740739</v>
      </c>
      <c r="D2706" t="s">
        <v>585</v>
      </c>
      <c r="E2706" t="s">
        <v>3599</v>
      </c>
      <c r="F2706" t="s">
        <v>3600</v>
      </c>
      <c r="G2706" t="s">
        <v>1019</v>
      </c>
      <c r="H2706" t="s">
        <v>1031</v>
      </c>
      <c r="I2706">
        <v>185347001</v>
      </c>
      <c r="J2706" t="s">
        <v>1124</v>
      </c>
      <c r="K2706">
        <v>85.55</v>
      </c>
      <c r="L2706">
        <v>1791.03</v>
      </c>
      <c r="M2706">
        <v>0</v>
      </c>
      <c r="N2706">
        <v>431857002</v>
      </c>
      <c r="O2706" t="s">
        <v>4125</v>
      </c>
    </row>
    <row r="2707" spans="1:15">
      <c r="A2707" t="s">
        <v>4165</v>
      </c>
      <c r="B2707" s="2">
        <v>44482.235115740739</v>
      </c>
      <c r="C2707" s="2">
        <v>44482.245532407411</v>
      </c>
      <c r="D2707" t="s">
        <v>585</v>
      </c>
      <c r="E2707" t="s">
        <v>3599</v>
      </c>
      <c r="F2707" t="s">
        <v>3600</v>
      </c>
      <c r="G2707" t="s">
        <v>1019</v>
      </c>
      <c r="H2707" t="s">
        <v>1031</v>
      </c>
      <c r="I2707">
        <v>185347001</v>
      </c>
      <c r="J2707" t="s">
        <v>1124</v>
      </c>
      <c r="K2707">
        <v>85.55</v>
      </c>
      <c r="L2707">
        <v>234.71</v>
      </c>
      <c r="M2707">
        <v>0</v>
      </c>
      <c r="N2707">
        <v>431857002</v>
      </c>
      <c r="O2707" t="s">
        <v>4125</v>
      </c>
    </row>
    <row r="2708" spans="1:15">
      <c r="A2708" t="s">
        <v>4166</v>
      </c>
      <c r="B2708" s="2">
        <v>44485.235115740739</v>
      </c>
      <c r="C2708" s="2">
        <v>44485.347615740742</v>
      </c>
      <c r="D2708" t="s">
        <v>585</v>
      </c>
      <c r="E2708" t="s">
        <v>3599</v>
      </c>
      <c r="F2708" t="s">
        <v>3600</v>
      </c>
      <c r="G2708" t="s">
        <v>1019</v>
      </c>
      <c r="H2708" t="s">
        <v>1031</v>
      </c>
      <c r="I2708">
        <v>185347001</v>
      </c>
      <c r="J2708" t="s">
        <v>1124</v>
      </c>
      <c r="K2708">
        <v>85.55</v>
      </c>
      <c r="L2708">
        <v>1791.03</v>
      </c>
      <c r="M2708">
        <v>0</v>
      </c>
      <c r="N2708">
        <v>431857002</v>
      </c>
      <c r="O2708" t="s">
        <v>4125</v>
      </c>
    </row>
    <row r="2709" spans="1:15">
      <c r="A2709" t="s">
        <v>4167</v>
      </c>
      <c r="B2709" s="2">
        <v>44488.347615740742</v>
      </c>
      <c r="C2709" s="2">
        <v>44488.433032407411</v>
      </c>
      <c r="D2709" t="s">
        <v>585</v>
      </c>
      <c r="E2709" t="s">
        <v>3599</v>
      </c>
      <c r="F2709" t="s">
        <v>3600</v>
      </c>
      <c r="G2709" t="s">
        <v>1019</v>
      </c>
      <c r="H2709" t="s">
        <v>1031</v>
      </c>
      <c r="I2709">
        <v>185347001</v>
      </c>
      <c r="J2709" t="s">
        <v>1124</v>
      </c>
      <c r="K2709">
        <v>85.55</v>
      </c>
      <c r="L2709">
        <v>1105.94</v>
      </c>
      <c r="M2709">
        <v>0</v>
      </c>
      <c r="N2709">
        <v>431857002</v>
      </c>
      <c r="O2709" t="s">
        <v>4125</v>
      </c>
    </row>
    <row r="2710" spans="1:15">
      <c r="A2710" t="s">
        <v>4168</v>
      </c>
      <c r="B2710" s="2">
        <v>44496.117754629631</v>
      </c>
      <c r="C2710" s="2">
        <v>44496.156006944446</v>
      </c>
      <c r="D2710" t="s">
        <v>585</v>
      </c>
      <c r="E2710" t="s">
        <v>3599</v>
      </c>
      <c r="F2710" t="s">
        <v>3600</v>
      </c>
      <c r="G2710" t="s">
        <v>1093</v>
      </c>
      <c r="H2710" t="s">
        <v>1043</v>
      </c>
      <c r="I2710">
        <v>185349003</v>
      </c>
      <c r="J2710" t="s">
        <v>1038</v>
      </c>
      <c r="K2710">
        <v>85.55</v>
      </c>
      <c r="L2710">
        <v>1129.98</v>
      </c>
      <c r="M2710">
        <v>1056.8699999999999</v>
      </c>
      <c r="O2710" t="s">
        <v>34</v>
      </c>
    </row>
    <row r="2711" spans="1:15">
      <c r="A2711" t="s">
        <v>4169</v>
      </c>
      <c r="B2711" s="2">
        <v>44503.117754629631</v>
      </c>
      <c r="C2711" s="2">
        <v>44503.244837962964</v>
      </c>
      <c r="D2711" t="s">
        <v>585</v>
      </c>
      <c r="E2711" t="s">
        <v>3599</v>
      </c>
      <c r="F2711" t="s">
        <v>3600</v>
      </c>
      <c r="G2711" t="s">
        <v>1093</v>
      </c>
      <c r="H2711" t="s">
        <v>1031</v>
      </c>
      <c r="I2711">
        <v>185347001</v>
      </c>
      <c r="J2711" t="s">
        <v>1124</v>
      </c>
      <c r="K2711">
        <v>85.55</v>
      </c>
      <c r="L2711">
        <v>581.35</v>
      </c>
      <c r="M2711">
        <v>531.35</v>
      </c>
      <c r="N2711">
        <v>431857002</v>
      </c>
      <c r="O2711" t="s">
        <v>4125</v>
      </c>
    </row>
    <row r="2712" spans="1:15">
      <c r="A2712" t="s">
        <v>4170</v>
      </c>
      <c r="B2712" s="2">
        <v>44506.244837962964</v>
      </c>
      <c r="C2712" s="2">
        <v>44506.342060185183</v>
      </c>
      <c r="D2712" t="s">
        <v>585</v>
      </c>
      <c r="E2712" t="s">
        <v>3599</v>
      </c>
      <c r="F2712" t="s">
        <v>3600</v>
      </c>
      <c r="G2712" t="s">
        <v>1093</v>
      </c>
      <c r="H2712" t="s">
        <v>1031</v>
      </c>
      <c r="I2712">
        <v>185347001</v>
      </c>
      <c r="J2712" t="s">
        <v>1124</v>
      </c>
      <c r="K2712">
        <v>85.55</v>
      </c>
      <c r="L2712">
        <v>1502.84</v>
      </c>
      <c r="M2712">
        <v>1452.84</v>
      </c>
      <c r="N2712">
        <v>431857002</v>
      </c>
      <c r="O2712" t="s">
        <v>4125</v>
      </c>
    </row>
    <row r="2713" spans="1:15">
      <c r="A2713" t="s">
        <v>4171</v>
      </c>
      <c r="B2713" s="2">
        <v>44509.300393518519</v>
      </c>
      <c r="C2713" s="2">
        <v>44509.401087962964</v>
      </c>
      <c r="D2713" t="s">
        <v>585</v>
      </c>
      <c r="E2713" t="s">
        <v>3599</v>
      </c>
      <c r="F2713" t="s">
        <v>3600</v>
      </c>
      <c r="G2713" t="s">
        <v>1093</v>
      </c>
      <c r="H2713" t="s">
        <v>1031</v>
      </c>
      <c r="I2713">
        <v>185347001</v>
      </c>
      <c r="J2713" t="s">
        <v>1124</v>
      </c>
      <c r="K2713">
        <v>85.55</v>
      </c>
      <c r="L2713">
        <v>535.87</v>
      </c>
      <c r="M2713">
        <v>485.87</v>
      </c>
      <c r="N2713">
        <v>431857002</v>
      </c>
      <c r="O2713" t="s">
        <v>4125</v>
      </c>
    </row>
    <row r="2714" spans="1:15">
      <c r="A2714" t="s">
        <v>4172</v>
      </c>
      <c r="B2714" s="2">
        <v>44512.401087962964</v>
      </c>
      <c r="C2714" s="2">
        <v>44512.567060185182</v>
      </c>
      <c r="D2714" t="s">
        <v>585</v>
      </c>
      <c r="E2714" t="s">
        <v>3599</v>
      </c>
      <c r="F2714" t="s">
        <v>3600</v>
      </c>
      <c r="G2714" t="s">
        <v>1093</v>
      </c>
      <c r="H2714" t="s">
        <v>1031</v>
      </c>
      <c r="I2714">
        <v>185347001</v>
      </c>
      <c r="J2714" t="s">
        <v>1124</v>
      </c>
      <c r="K2714">
        <v>85.55</v>
      </c>
      <c r="L2714">
        <v>1791.03</v>
      </c>
      <c r="M2714">
        <v>1741.03</v>
      </c>
      <c r="N2714">
        <v>431857002</v>
      </c>
      <c r="O2714" t="s">
        <v>4125</v>
      </c>
    </row>
    <row r="2715" spans="1:15">
      <c r="A2715" t="s">
        <v>4173</v>
      </c>
      <c r="B2715" s="2">
        <v>44512.567060185182</v>
      </c>
      <c r="C2715" s="2">
        <v>44512.577476851853</v>
      </c>
      <c r="D2715" t="s">
        <v>585</v>
      </c>
      <c r="E2715" t="s">
        <v>3599</v>
      </c>
      <c r="F2715" t="s">
        <v>3600</v>
      </c>
      <c r="G2715" t="s">
        <v>1093</v>
      </c>
      <c r="H2715" t="s">
        <v>1031</v>
      </c>
      <c r="I2715">
        <v>185347001</v>
      </c>
      <c r="J2715" t="s">
        <v>1124</v>
      </c>
      <c r="K2715">
        <v>85.55</v>
      </c>
      <c r="L2715">
        <v>234.71</v>
      </c>
      <c r="M2715">
        <v>184.71</v>
      </c>
      <c r="N2715">
        <v>431857002</v>
      </c>
      <c r="O2715" t="s">
        <v>4125</v>
      </c>
    </row>
    <row r="2716" spans="1:15">
      <c r="A2716" t="s">
        <v>4174</v>
      </c>
      <c r="B2716" s="2">
        <v>44515.567060185182</v>
      </c>
      <c r="C2716" s="2">
        <v>44515.683032407411</v>
      </c>
      <c r="D2716" t="s">
        <v>585</v>
      </c>
      <c r="E2716" t="s">
        <v>3599</v>
      </c>
      <c r="F2716" t="s">
        <v>3600</v>
      </c>
      <c r="G2716" t="s">
        <v>1093</v>
      </c>
      <c r="H2716" t="s">
        <v>1031</v>
      </c>
      <c r="I2716">
        <v>185347001</v>
      </c>
      <c r="J2716" t="s">
        <v>1124</v>
      </c>
      <c r="K2716">
        <v>85.55</v>
      </c>
      <c r="L2716">
        <v>581.88</v>
      </c>
      <c r="M2716">
        <v>531.88</v>
      </c>
      <c r="N2716">
        <v>431857002</v>
      </c>
      <c r="O2716" t="s">
        <v>4125</v>
      </c>
    </row>
    <row r="2717" spans="1:15">
      <c r="A2717" t="s">
        <v>4175</v>
      </c>
      <c r="B2717" s="2">
        <v>44518.683032407411</v>
      </c>
      <c r="C2717" s="2">
        <v>44518.79483796296</v>
      </c>
      <c r="D2717" t="s">
        <v>585</v>
      </c>
      <c r="E2717" t="s">
        <v>3599</v>
      </c>
      <c r="F2717" t="s">
        <v>3600</v>
      </c>
      <c r="G2717" t="s">
        <v>1093</v>
      </c>
      <c r="H2717" t="s">
        <v>1031</v>
      </c>
      <c r="I2717">
        <v>185347001</v>
      </c>
      <c r="J2717" t="s">
        <v>1124</v>
      </c>
      <c r="K2717">
        <v>85.55</v>
      </c>
      <c r="L2717">
        <v>535.87</v>
      </c>
      <c r="M2717">
        <v>485.87</v>
      </c>
      <c r="N2717">
        <v>431857002</v>
      </c>
      <c r="O2717" t="s">
        <v>4125</v>
      </c>
    </row>
    <row r="2718" spans="1:15">
      <c r="A2718" t="s">
        <v>4176</v>
      </c>
      <c r="B2718" s="2">
        <v>44521.79483796296</v>
      </c>
      <c r="C2718" s="2">
        <v>44521.935810185183</v>
      </c>
      <c r="D2718" t="s">
        <v>585</v>
      </c>
      <c r="E2718" t="s">
        <v>3599</v>
      </c>
      <c r="F2718" t="s">
        <v>3600</v>
      </c>
      <c r="G2718" t="s">
        <v>1093</v>
      </c>
      <c r="H2718" t="s">
        <v>1031</v>
      </c>
      <c r="I2718">
        <v>185347001</v>
      </c>
      <c r="J2718" t="s">
        <v>1124</v>
      </c>
      <c r="K2718">
        <v>85.55</v>
      </c>
      <c r="L2718">
        <v>576.12</v>
      </c>
      <c r="M2718">
        <v>526.12</v>
      </c>
      <c r="N2718">
        <v>431857002</v>
      </c>
      <c r="O2718" t="s">
        <v>4125</v>
      </c>
    </row>
    <row r="2719" spans="1:15">
      <c r="A2719" t="s">
        <v>4177</v>
      </c>
      <c r="B2719" s="2">
        <v>44524.935810185183</v>
      </c>
      <c r="C2719" s="2">
        <v>44525.040671296294</v>
      </c>
      <c r="D2719" t="s">
        <v>585</v>
      </c>
      <c r="E2719" t="s">
        <v>3599</v>
      </c>
      <c r="F2719" t="s">
        <v>3600</v>
      </c>
      <c r="G2719" t="s">
        <v>1093</v>
      </c>
      <c r="H2719" t="s">
        <v>1031</v>
      </c>
      <c r="I2719">
        <v>185347001</v>
      </c>
      <c r="J2719" t="s">
        <v>1124</v>
      </c>
      <c r="K2719">
        <v>85.55</v>
      </c>
      <c r="L2719">
        <v>542.85</v>
      </c>
      <c r="M2719">
        <v>492.85</v>
      </c>
      <c r="N2719">
        <v>431857002</v>
      </c>
      <c r="O2719" t="s">
        <v>4125</v>
      </c>
    </row>
    <row r="2720" spans="1:15">
      <c r="A2720" t="s">
        <v>4178</v>
      </c>
      <c r="B2720" s="2">
        <v>44528.040671296294</v>
      </c>
      <c r="C2720" s="2">
        <v>44528.170532407406</v>
      </c>
      <c r="D2720" t="s">
        <v>585</v>
      </c>
      <c r="E2720" t="s">
        <v>3599</v>
      </c>
      <c r="F2720" t="s">
        <v>3600</v>
      </c>
      <c r="G2720" t="s">
        <v>1093</v>
      </c>
      <c r="H2720" t="s">
        <v>1031</v>
      </c>
      <c r="I2720">
        <v>185347001</v>
      </c>
      <c r="J2720" t="s">
        <v>1124</v>
      </c>
      <c r="K2720">
        <v>85.55</v>
      </c>
      <c r="L2720">
        <v>535.87</v>
      </c>
      <c r="M2720">
        <v>485.87</v>
      </c>
      <c r="N2720">
        <v>431857002</v>
      </c>
      <c r="O2720" t="s">
        <v>4125</v>
      </c>
    </row>
    <row r="2721" spans="1:15">
      <c r="A2721" t="s">
        <v>4179</v>
      </c>
      <c r="B2721" s="2">
        <v>44538.07608796296</v>
      </c>
      <c r="C2721" s="2">
        <v>44538.113738425927</v>
      </c>
      <c r="D2721" t="s">
        <v>585</v>
      </c>
      <c r="E2721" t="s">
        <v>3599</v>
      </c>
      <c r="F2721" t="s">
        <v>3600</v>
      </c>
      <c r="G2721" t="s">
        <v>1093</v>
      </c>
      <c r="H2721" t="s">
        <v>1043</v>
      </c>
      <c r="I2721">
        <v>185349003</v>
      </c>
      <c r="J2721" t="s">
        <v>1038</v>
      </c>
      <c r="K2721">
        <v>85.55</v>
      </c>
      <c r="L2721">
        <v>815.27</v>
      </c>
      <c r="M2721">
        <v>765.27</v>
      </c>
      <c r="O2721" t="s">
        <v>34</v>
      </c>
    </row>
    <row r="2722" spans="1:15">
      <c r="A2722" t="s">
        <v>4180</v>
      </c>
      <c r="B2722" s="2">
        <v>44545.07608796296</v>
      </c>
      <c r="C2722" s="2">
        <v>44545.221921296295</v>
      </c>
      <c r="D2722" t="s">
        <v>585</v>
      </c>
      <c r="E2722" t="s">
        <v>3599</v>
      </c>
      <c r="F2722" t="s">
        <v>3600</v>
      </c>
      <c r="G2722" t="s">
        <v>1093</v>
      </c>
      <c r="H2722" t="s">
        <v>1031</v>
      </c>
      <c r="I2722">
        <v>185347001</v>
      </c>
      <c r="J2722" t="s">
        <v>1124</v>
      </c>
      <c r="K2722">
        <v>85.55</v>
      </c>
      <c r="L2722">
        <v>860.74</v>
      </c>
      <c r="M2722">
        <v>810.74</v>
      </c>
      <c r="N2722">
        <v>431857002</v>
      </c>
      <c r="O2722" t="s">
        <v>4125</v>
      </c>
    </row>
    <row r="2723" spans="1:15">
      <c r="A2723" t="s">
        <v>4181</v>
      </c>
      <c r="B2723" s="2">
        <v>44545.221921296295</v>
      </c>
      <c r="C2723" s="2">
        <v>44545.23233796296</v>
      </c>
      <c r="D2723" t="s">
        <v>585</v>
      </c>
      <c r="E2723" t="s">
        <v>3599</v>
      </c>
      <c r="F2723" t="s">
        <v>3600</v>
      </c>
      <c r="G2723" t="s">
        <v>1093</v>
      </c>
      <c r="H2723" t="s">
        <v>1031</v>
      </c>
      <c r="I2723">
        <v>185347001</v>
      </c>
      <c r="J2723" t="s">
        <v>1124</v>
      </c>
      <c r="K2723">
        <v>85.55</v>
      </c>
      <c r="L2723">
        <v>234.71</v>
      </c>
      <c r="M2723">
        <v>184.71</v>
      </c>
      <c r="N2723">
        <v>431857002</v>
      </c>
      <c r="O2723" t="s">
        <v>4125</v>
      </c>
    </row>
    <row r="2724" spans="1:15">
      <c r="A2724" t="s">
        <v>4182</v>
      </c>
      <c r="B2724" s="2">
        <v>44548.221921296295</v>
      </c>
      <c r="C2724" s="2">
        <v>44548.316365740742</v>
      </c>
      <c r="D2724" t="s">
        <v>585</v>
      </c>
      <c r="E2724" t="s">
        <v>3599</v>
      </c>
      <c r="F2724" t="s">
        <v>3600</v>
      </c>
      <c r="G2724" t="s">
        <v>1093</v>
      </c>
      <c r="H2724" t="s">
        <v>1031</v>
      </c>
      <c r="I2724">
        <v>185347001</v>
      </c>
      <c r="J2724" t="s">
        <v>1124</v>
      </c>
      <c r="K2724">
        <v>85.55</v>
      </c>
      <c r="L2724">
        <v>884.09</v>
      </c>
      <c r="M2724">
        <v>834.09</v>
      </c>
      <c r="N2724">
        <v>431857002</v>
      </c>
      <c r="O2724" t="s">
        <v>4125</v>
      </c>
    </row>
    <row r="2725" spans="1:15">
      <c r="A2725" t="s">
        <v>4183</v>
      </c>
      <c r="B2725" s="2">
        <v>44551.316365740742</v>
      </c>
      <c r="C2725" s="2">
        <v>44551.444143518522</v>
      </c>
      <c r="D2725" t="s">
        <v>585</v>
      </c>
      <c r="E2725" t="s">
        <v>3599</v>
      </c>
      <c r="F2725" t="s">
        <v>3600</v>
      </c>
      <c r="G2725" t="s">
        <v>1093</v>
      </c>
      <c r="H2725" t="s">
        <v>1031</v>
      </c>
      <c r="I2725">
        <v>185347001</v>
      </c>
      <c r="J2725" t="s">
        <v>1124</v>
      </c>
      <c r="K2725">
        <v>85.55</v>
      </c>
      <c r="L2725">
        <v>556.47</v>
      </c>
      <c r="M2725">
        <v>506.47</v>
      </c>
      <c r="N2725">
        <v>431857002</v>
      </c>
      <c r="O2725" t="s">
        <v>4125</v>
      </c>
    </row>
    <row r="2726" spans="1:15">
      <c r="A2726" t="s">
        <v>4184</v>
      </c>
      <c r="B2726" s="2">
        <v>44559.07608796296</v>
      </c>
      <c r="C2726" s="2">
        <v>44559.251006944447</v>
      </c>
      <c r="D2726" t="s">
        <v>585</v>
      </c>
      <c r="E2726" t="s">
        <v>3599</v>
      </c>
      <c r="F2726" t="s">
        <v>3600</v>
      </c>
      <c r="G2726" t="s">
        <v>1093</v>
      </c>
      <c r="H2726" t="s">
        <v>1031</v>
      </c>
      <c r="I2726">
        <v>185349003</v>
      </c>
      <c r="J2726" t="s">
        <v>1038</v>
      </c>
      <c r="K2726">
        <v>85.55</v>
      </c>
      <c r="L2726">
        <v>3968.15</v>
      </c>
      <c r="M2726">
        <v>3918.15</v>
      </c>
      <c r="N2726">
        <v>103697008</v>
      </c>
      <c r="O2726" t="s">
        <v>1039</v>
      </c>
    </row>
    <row r="2727" spans="1:15">
      <c r="A2727" t="s">
        <v>4185</v>
      </c>
      <c r="B2727" s="2">
        <v>44566.07608796296</v>
      </c>
      <c r="C2727" s="2">
        <v>44566.219143518516</v>
      </c>
      <c r="D2727" t="s">
        <v>585</v>
      </c>
      <c r="E2727" t="s">
        <v>3599</v>
      </c>
      <c r="F2727" t="s">
        <v>3600</v>
      </c>
      <c r="G2727" t="s">
        <v>1093</v>
      </c>
      <c r="H2727" t="s">
        <v>1031</v>
      </c>
      <c r="I2727">
        <v>185347001</v>
      </c>
      <c r="J2727" t="s">
        <v>1124</v>
      </c>
      <c r="K2727">
        <v>85.55</v>
      </c>
      <c r="L2727">
        <v>1082.3499999999999</v>
      </c>
      <c r="M2727">
        <v>1032.3499999999999</v>
      </c>
      <c r="N2727">
        <v>431857002</v>
      </c>
      <c r="O2727" t="s">
        <v>4125</v>
      </c>
    </row>
    <row r="2728" spans="1:15">
      <c r="A2728" t="s">
        <v>4186</v>
      </c>
      <c r="B2728" s="2">
        <v>44569.219143518516</v>
      </c>
      <c r="C2728" s="2">
        <v>44569.336504629631</v>
      </c>
      <c r="D2728" t="s">
        <v>585</v>
      </c>
      <c r="E2728" t="s">
        <v>3599</v>
      </c>
      <c r="F2728" t="s">
        <v>3600</v>
      </c>
      <c r="G2728" t="s">
        <v>1093</v>
      </c>
      <c r="H2728" t="s">
        <v>1031</v>
      </c>
      <c r="I2728">
        <v>185347001</v>
      </c>
      <c r="J2728" t="s">
        <v>1124</v>
      </c>
      <c r="K2728">
        <v>85.55</v>
      </c>
      <c r="L2728">
        <v>559.88</v>
      </c>
      <c r="M2728">
        <v>509.88</v>
      </c>
      <c r="N2728">
        <v>431857002</v>
      </c>
      <c r="O2728" t="s">
        <v>4125</v>
      </c>
    </row>
    <row r="2729" spans="1:15">
      <c r="A2729" t="s">
        <v>4187</v>
      </c>
      <c r="B2729" s="2">
        <v>44572.336504629631</v>
      </c>
      <c r="C2729" s="2">
        <v>44572.480254629627</v>
      </c>
      <c r="D2729" t="s">
        <v>585</v>
      </c>
      <c r="E2729" t="s">
        <v>3599</v>
      </c>
      <c r="F2729" t="s">
        <v>3600</v>
      </c>
      <c r="G2729" t="s">
        <v>1093</v>
      </c>
      <c r="H2729" t="s">
        <v>1031</v>
      </c>
      <c r="I2729">
        <v>185347001</v>
      </c>
      <c r="J2729" t="s">
        <v>1124</v>
      </c>
      <c r="K2729">
        <v>85.55</v>
      </c>
      <c r="L2729">
        <v>1045.67</v>
      </c>
      <c r="M2729">
        <v>995.67</v>
      </c>
      <c r="N2729">
        <v>431857002</v>
      </c>
      <c r="O2729" t="s">
        <v>4125</v>
      </c>
    </row>
    <row r="2730" spans="1:15">
      <c r="A2730" t="s">
        <v>4188</v>
      </c>
      <c r="B2730" s="2">
        <v>44575.480254629627</v>
      </c>
      <c r="C2730" s="2">
        <v>44575.580254629633</v>
      </c>
      <c r="D2730" t="s">
        <v>585</v>
      </c>
      <c r="E2730" t="s">
        <v>3599</v>
      </c>
      <c r="F2730" t="s">
        <v>3600</v>
      </c>
      <c r="G2730" t="s">
        <v>1093</v>
      </c>
      <c r="H2730" t="s">
        <v>1031</v>
      </c>
      <c r="I2730">
        <v>185347001</v>
      </c>
      <c r="J2730" t="s">
        <v>1124</v>
      </c>
      <c r="K2730">
        <v>85.55</v>
      </c>
      <c r="L2730">
        <v>535.87</v>
      </c>
      <c r="M2730">
        <v>485.87</v>
      </c>
      <c r="N2730">
        <v>431857002</v>
      </c>
      <c r="O2730" t="s">
        <v>4125</v>
      </c>
    </row>
    <row r="2731" spans="1:15">
      <c r="A2731" t="s">
        <v>4189</v>
      </c>
      <c r="B2731" s="2">
        <v>44575.580254629633</v>
      </c>
      <c r="C2731" s="2">
        <v>44575.590671296297</v>
      </c>
      <c r="D2731" t="s">
        <v>585</v>
      </c>
      <c r="E2731" t="s">
        <v>3599</v>
      </c>
      <c r="F2731" t="s">
        <v>3600</v>
      </c>
      <c r="G2731" t="s">
        <v>1093</v>
      </c>
      <c r="H2731" t="s">
        <v>1031</v>
      </c>
      <c r="I2731">
        <v>185347001</v>
      </c>
      <c r="J2731" t="s">
        <v>1124</v>
      </c>
      <c r="K2731">
        <v>85.55</v>
      </c>
      <c r="L2731">
        <v>234.71</v>
      </c>
      <c r="M2731">
        <v>184.71</v>
      </c>
      <c r="N2731">
        <v>431857002</v>
      </c>
      <c r="O2731" t="s">
        <v>4125</v>
      </c>
    </row>
    <row r="2732" spans="1:15">
      <c r="A2732" t="s">
        <v>4190</v>
      </c>
      <c r="B2732" s="2">
        <v>44578.580254629633</v>
      </c>
      <c r="C2732" s="2">
        <v>44578.726087962961</v>
      </c>
      <c r="D2732" t="s">
        <v>585</v>
      </c>
      <c r="E2732" t="s">
        <v>3599</v>
      </c>
      <c r="F2732" t="s">
        <v>3600</v>
      </c>
      <c r="G2732" t="s">
        <v>1093</v>
      </c>
      <c r="H2732" t="s">
        <v>1031</v>
      </c>
      <c r="I2732">
        <v>185347001</v>
      </c>
      <c r="J2732" t="s">
        <v>1124</v>
      </c>
      <c r="K2732">
        <v>85.55</v>
      </c>
      <c r="L2732">
        <v>535.87</v>
      </c>
      <c r="M2732">
        <v>485.87</v>
      </c>
      <c r="N2732">
        <v>431857002</v>
      </c>
      <c r="O2732" t="s">
        <v>4125</v>
      </c>
    </row>
    <row r="2733" spans="1:15">
      <c r="A2733" t="s">
        <v>4191</v>
      </c>
      <c r="B2733" s="2">
        <v>44581.726087962961</v>
      </c>
      <c r="C2733" s="2">
        <v>44581.8281712963</v>
      </c>
      <c r="D2733" t="s">
        <v>585</v>
      </c>
      <c r="E2733" t="s">
        <v>3599</v>
      </c>
      <c r="F2733" t="s">
        <v>3600</v>
      </c>
      <c r="G2733" t="s">
        <v>1093</v>
      </c>
      <c r="H2733" t="s">
        <v>1031</v>
      </c>
      <c r="I2733">
        <v>185347001</v>
      </c>
      <c r="J2733" t="s">
        <v>1124</v>
      </c>
      <c r="K2733">
        <v>85.55</v>
      </c>
      <c r="L2733">
        <v>535.87</v>
      </c>
      <c r="M2733">
        <v>485.87</v>
      </c>
      <c r="N2733">
        <v>431857002</v>
      </c>
      <c r="O2733" t="s">
        <v>4125</v>
      </c>
    </row>
    <row r="2734" spans="1:15">
      <c r="A2734" t="s">
        <v>4192</v>
      </c>
      <c r="B2734" s="2">
        <v>44584.8281712963</v>
      </c>
      <c r="C2734" s="2">
        <v>44584.939282407409</v>
      </c>
      <c r="D2734" t="s">
        <v>585</v>
      </c>
      <c r="E2734" t="s">
        <v>3599</v>
      </c>
      <c r="F2734" t="s">
        <v>3600</v>
      </c>
      <c r="G2734" t="s">
        <v>1093</v>
      </c>
      <c r="H2734" t="s">
        <v>1031</v>
      </c>
      <c r="I2734">
        <v>185347001</v>
      </c>
      <c r="J2734" t="s">
        <v>1124</v>
      </c>
      <c r="K2734">
        <v>85.55</v>
      </c>
      <c r="L2734">
        <v>535.87</v>
      </c>
      <c r="M2734">
        <v>485.87</v>
      </c>
      <c r="N2734">
        <v>431857002</v>
      </c>
      <c r="O2734" t="s">
        <v>4125</v>
      </c>
    </row>
    <row r="2735" spans="1:15">
      <c r="A2735" t="s">
        <v>4193</v>
      </c>
      <c r="B2735" s="2">
        <v>44587.939282407409</v>
      </c>
      <c r="C2735" s="2">
        <v>44588.081643518519</v>
      </c>
      <c r="D2735" t="s">
        <v>585</v>
      </c>
      <c r="E2735" t="s">
        <v>3599</v>
      </c>
      <c r="F2735" t="s">
        <v>3600</v>
      </c>
      <c r="G2735" t="s">
        <v>1093</v>
      </c>
      <c r="H2735" t="s">
        <v>1031</v>
      </c>
      <c r="I2735">
        <v>185347001</v>
      </c>
      <c r="J2735" t="s">
        <v>1124</v>
      </c>
      <c r="K2735">
        <v>85.55</v>
      </c>
      <c r="L2735">
        <v>535.87</v>
      </c>
      <c r="M2735">
        <v>485.87</v>
      </c>
      <c r="N2735">
        <v>431857002</v>
      </c>
      <c r="O2735" t="s">
        <v>4125</v>
      </c>
    </row>
    <row r="2736" spans="1:15">
      <c r="A2736" t="s">
        <v>4194</v>
      </c>
      <c r="B2736" s="2">
        <v>44591.081643518519</v>
      </c>
      <c r="C2736" s="2">
        <v>44591.233032407406</v>
      </c>
      <c r="D2736" t="s">
        <v>585</v>
      </c>
      <c r="E2736" t="s">
        <v>3599</v>
      </c>
      <c r="F2736" t="s">
        <v>3600</v>
      </c>
      <c r="G2736" t="s">
        <v>1093</v>
      </c>
      <c r="H2736" t="s">
        <v>1031</v>
      </c>
      <c r="I2736">
        <v>185347001</v>
      </c>
      <c r="J2736" t="s">
        <v>1124</v>
      </c>
      <c r="K2736">
        <v>85.55</v>
      </c>
      <c r="L2736">
        <v>1402.31</v>
      </c>
      <c r="M2736">
        <v>1352.31</v>
      </c>
      <c r="N2736">
        <v>431857002</v>
      </c>
      <c r="O2736" t="s">
        <v>4125</v>
      </c>
    </row>
    <row r="2737" spans="1:15">
      <c r="A2737" t="s">
        <v>4195</v>
      </c>
      <c r="B2737" s="2">
        <v>44594.233032407406</v>
      </c>
      <c r="C2737" s="2">
        <v>44594.360810185186</v>
      </c>
      <c r="D2737" t="s">
        <v>585</v>
      </c>
      <c r="E2737" t="s">
        <v>3599</v>
      </c>
      <c r="F2737" t="s">
        <v>3600</v>
      </c>
      <c r="G2737" t="s">
        <v>1093</v>
      </c>
      <c r="H2737" t="s">
        <v>1031</v>
      </c>
      <c r="I2737">
        <v>185347001</v>
      </c>
      <c r="J2737" t="s">
        <v>1124</v>
      </c>
      <c r="K2737">
        <v>85.55</v>
      </c>
      <c r="L2737">
        <v>535.87</v>
      </c>
      <c r="M2737">
        <v>485.87</v>
      </c>
      <c r="N2737">
        <v>431857002</v>
      </c>
      <c r="O2737" t="s">
        <v>4125</v>
      </c>
    </row>
    <row r="2738" spans="1:15">
      <c r="A2738" t="s">
        <v>4196</v>
      </c>
      <c r="B2738" s="2">
        <v>44597.360810185186</v>
      </c>
      <c r="C2738" s="2">
        <v>44597.46775462963</v>
      </c>
      <c r="D2738" t="s">
        <v>585</v>
      </c>
      <c r="E2738" t="s">
        <v>3599</v>
      </c>
      <c r="F2738" t="s">
        <v>3600</v>
      </c>
      <c r="G2738" t="s">
        <v>1093</v>
      </c>
      <c r="H2738" t="s">
        <v>1031</v>
      </c>
      <c r="I2738">
        <v>185347001</v>
      </c>
      <c r="J2738" t="s">
        <v>1124</v>
      </c>
      <c r="K2738">
        <v>85.55</v>
      </c>
      <c r="L2738">
        <v>837.34</v>
      </c>
      <c r="M2738">
        <v>787.34</v>
      </c>
      <c r="N2738">
        <v>431857002</v>
      </c>
      <c r="O2738" t="s">
        <v>4125</v>
      </c>
    </row>
    <row r="2739" spans="1:15">
      <c r="A2739" t="s">
        <v>4197</v>
      </c>
      <c r="B2739" s="2">
        <v>44600.46775462963</v>
      </c>
      <c r="C2739" s="2">
        <v>44600.603865740741</v>
      </c>
      <c r="D2739" t="s">
        <v>585</v>
      </c>
      <c r="E2739" t="s">
        <v>3599</v>
      </c>
      <c r="F2739" t="s">
        <v>3600</v>
      </c>
      <c r="G2739" t="s">
        <v>1093</v>
      </c>
      <c r="H2739" t="s">
        <v>1031</v>
      </c>
      <c r="I2739">
        <v>185347001</v>
      </c>
      <c r="J2739" t="s">
        <v>1124</v>
      </c>
      <c r="K2739">
        <v>85.55</v>
      </c>
      <c r="L2739">
        <v>535.87</v>
      </c>
      <c r="M2739">
        <v>485.87</v>
      </c>
      <c r="N2739">
        <v>431857002</v>
      </c>
      <c r="O2739" t="s">
        <v>4125</v>
      </c>
    </row>
    <row r="2740" spans="1:15">
      <c r="A2740" t="s">
        <v>4198</v>
      </c>
      <c r="B2740" s="2">
        <v>44608.07608796296</v>
      </c>
      <c r="C2740" s="2">
        <v>44608.105937499997</v>
      </c>
      <c r="D2740" t="s">
        <v>585</v>
      </c>
      <c r="E2740" t="s">
        <v>3700</v>
      </c>
      <c r="F2740" t="s">
        <v>3701</v>
      </c>
      <c r="G2740" t="s">
        <v>1093</v>
      </c>
      <c r="H2740" t="s">
        <v>1159</v>
      </c>
      <c r="I2740">
        <v>702927004</v>
      </c>
      <c r="J2740" t="s">
        <v>1160</v>
      </c>
      <c r="K2740">
        <v>142.58000000000001</v>
      </c>
      <c r="L2740">
        <v>1240.23</v>
      </c>
      <c r="M2740">
        <v>1190.23</v>
      </c>
      <c r="O2740" t="s">
        <v>34</v>
      </c>
    </row>
    <row r="2741" spans="1:15">
      <c r="A2741" t="s">
        <v>4199</v>
      </c>
      <c r="B2741" s="2">
        <v>44615.07608796296</v>
      </c>
      <c r="C2741" s="2">
        <v>44615.226782407408</v>
      </c>
      <c r="D2741" t="s">
        <v>585</v>
      </c>
      <c r="E2741" t="s">
        <v>3599</v>
      </c>
      <c r="F2741" t="s">
        <v>3600</v>
      </c>
      <c r="G2741" t="s">
        <v>1093</v>
      </c>
      <c r="H2741" t="s">
        <v>1031</v>
      </c>
      <c r="I2741">
        <v>185347001</v>
      </c>
      <c r="J2741" t="s">
        <v>1124</v>
      </c>
      <c r="K2741">
        <v>85.55</v>
      </c>
      <c r="L2741">
        <v>535.87</v>
      </c>
      <c r="M2741">
        <v>485.87</v>
      </c>
      <c r="N2741">
        <v>431857002</v>
      </c>
      <c r="O2741" t="s">
        <v>4125</v>
      </c>
    </row>
    <row r="2742" spans="1:15">
      <c r="A2742" t="s">
        <v>4200</v>
      </c>
      <c r="B2742" s="2">
        <v>44615.226782407408</v>
      </c>
      <c r="C2742" s="2">
        <v>44615.237199074072</v>
      </c>
      <c r="D2742" t="s">
        <v>585</v>
      </c>
      <c r="E2742" t="s">
        <v>3599</v>
      </c>
      <c r="F2742" t="s">
        <v>3600</v>
      </c>
      <c r="G2742" t="s">
        <v>1093</v>
      </c>
      <c r="H2742" t="s">
        <v>1031</v>
      </c>
      <c r="I2742">
        <v>185347001</v>
      </c>
      <c r="J2742" t="s">
        <v>1124</v>
      </c>
      <c r="K2742">
        <v>85.55</v>
      </c>
      <c r="L2742">
        <v>234.71</v>
      </c>
      <c r="M2742">
        <v>184.71</v>
      </c>
      <c r="N2742">
        <v>431857002</v>
      </c>
      <c r="O2742" t="s">
        <v>4125</v>
      </c>
    </row>
    <row r="2743" spans="1:15">
      <c r="A2743" t="s">
        <v>4201</v>
      </c>
      <c r="B2743" s="2">
        <v>44618.226782407408</v>
      </c>
      <c r="C2743" s="2">
        <v>44618.38789351852</v>
      </c>
      <c r="D2743" t="s">
        <v>585</v>
      </c>
      <c r="E2743" t="s">
        <v>3599</v>
      </c>
      <c r="F2743" t="s">
        <v>3600</v>
      </c>
      <c r="G2743" t="s">
        <v>1093</v>
      </c>
      <c r="H2743" t="s">
        <v>1031</v>
      </c>
      <c r="I2743">
        <v>185347001</v>
      </c>
      <c r="J2743" t="s">
        <v>1124</v>
      </c>
      <c r="K2743">
        <v>85.55</v>
      </c>
      <c r="L2743">
        <v>1170.1500000000001</v>
      </c>
      <c r="M2743">
        <v>1120.1500000000001</v>
      </c>
      <c r="N2743">
        <v>431857002</v>
      </c>
      <c r="O2743" t="s">
        <v>4125</v>
      </c>
    </row>
    <row r="2744" spans="1:15">
      <c r="A2744" t="s">
        <v>4202</v>
      </c>
      <c r="B2744" s="2">
        <v>44621.38789351852</v>
      </c>
      <c r="C2744" s="2">
        <v>44621.474699074075</v>
      </c>
      <c r="D2744" t="s">
        <v>585</v>
      </c>
      <c r="E2744" t="s">
        <v>3599</v>
      </c>
      <c r="F2744" t="s">
        <v>3600</v>
      </c>
      <c r="G2744" t="s">
        <v>1093</v>
      </c>
      <c r="H2744" t="s">
        <v>1031</v>
      </c>
      <c r="I2744">
        <v>185347001</v>
      </c>
      <c r="J2744" t="s">
        <v>1124</v>
      </c>
      <c r="K2744">
        <v>85.55</v>
      </c>
      <c r="L2744">
        <v>535.87</v>
      </c>
      <c r="M2744">
        <v>485.87</v>
      </c>
      <c r="N2744">
        <v>431857002</v>
      </c>
      <c r="O2744" t="s">
        <v>4125</v>
      </c>
    </row>
    <row r="2745" spans="1:15">
      <c r="A2745" t="s">
        <v>4203</v>
      </c>
      <c r="B2745" s="2">
        <v>44629.07608796296</v>
      </c>
      <c r="C2745" s="2">
        <v>44629.21266203704</v>
      </c>
      <c r="D2745" t="s">
        <v>585</v>
      </c>
      <c r="E2745" t="s">
        <v>3599</v>
      </c>
      <c r="F2745" t="s">
        <v>3600</v>
      </c>
      <c r="G2745" t="s">
        <v>1093</v>
      </c>
      <c r="H2745" t="s">
        <v>1031</v>
      </c>
      <c r="I2745">
        <v>185349003</v>
      </c>
      <c r="J2745" t="s">
        <v>1038</v>
      </c>
      <c r="K2745">
        <v>85.55</v>
      </c>
      <c r="L2745">
        <v>3536.75</v>
      </c>
      <c r="M2745">
        <v>3486.75</v>
      </c>
      <c r="N2745">
        <v>103697008</v>
      </c>
      <c r="O2745" t="s">
        <v>1039</v>
      </c>
    </row>
    <row r="2746" spans="1:15">
      <c r="A2746" t="s">
        <v>4204</v>
      </c>
      <c r="B2746" s="2">
        <v>44636.117754629631</v>
      </c>
      <c r="C2746" s="2">
        <v>44636.256643518522</v>
      </c>
      <c r="D2746" t="s">
        <v>585</v>
      </c>
      <c r="E2746" t="s">
        <v>3599</v>
      </c>
      <c r="F2746" t="s">
        <v>3600</v>
      </c>
      <c r="G2746" t="s">
        <v>1093</v>
      </c>
      <c r="H2746" t="s">
        <v>1031</v>
      </c>
      <c r="I2746">
        <v>185347001</v>
      </c>
      <c r="J2746" t="s">
        <v>1124</v>
      </c>
      <c r="K2746">
        <v>85.55</v>
      </c>
      <c r="L2746">
        <v>1791.03</v>
      </c>
      <c r="M2746">
        <v>1741.03</v>
      </c>
      <c r="N2746">
        <v>431857002</v>
      </c>
      <c r="O2746" t="s">
        <v>4125</v>
      </c>
    </row>
    <row r="2747" spans="1:15">
      <c r="A2747" t="s">
        <v>4205</v>
      </c>
      <c r="B2747" s="2">
        <v>44639.256643518522</v>
      </c>
      <c r="C2747" s="2">
        <v>44639.358032407406</v>
      </c>
      <c r="D2747" t="s">
        <v>585</v>
      </c>
      <c r="E2747" t="s">
        <v>3599</v>
      </c>
      <c r="F2747" t="s">
        <v>3600</v>
      </c>
      <c r="G2747" t="s">
        <v>1093</v>
      </c>
      <c r="H2747" t="s">
        <v>1031</v>
      </c>
      <c r="I2747">
        <v>185347001</v>
      </c>
      <c r="J2747" t="s">
        <v>1124</v>
      </c>
      <c r="K2747">
        <v>85.55</v>
      </c>
      <c r="L2747">
        <v>535.87</v>
      </c>
      <c r="M2747">
        <v>485.87</v>
      </c>
      <c r="N2747">
        <v>431857002</v>
      </c>
      <c r="O2747" t="s">
        <v>4125</v>
      </c>
    </row>
    <row r="2748" spans="1:15">
      <c r="A2748" t="s">
        <v>4206</v>
      </c>
      <c r="B2748" s="2">
        <v>44642.358032407406</v>
      </c>
      <c r="C2748" s="2">
        <v>44642.447615740741</v>
      </c>
      <c r="D2748" t="s">
        <v>585</v>
      </c>
      <c r="E2748" t="s">
        <v>3599</v>
      </c>
      <c r="F2748" t="s">
        <v>3600</v>
      </c>
      <c r="G2748" t="s">
        <v>1093</v>
      </c>
      <c r="H2748" t="s">
        <v>1031</v>
      </c>
      <c r="I2748">
        <v>185347001</v>
      </c>
      <c r="J2748" t="s">
        <v>1124</v>
      </c>
      <c r="K2748">
        <v>85.55</v>
      </c>
      <c r="L2748">
        <v>535.87</v>
      </c>
      <c r="M2748">
        <v>485.87</v>
      </c>
      <c r="N2748">
        <v>431857002</v>
      </c>
      <c r="O2748" t="s">
        <v>4125</v>
      </c>
    </row>
    <row r="2749" spans="1:15">
      <c r="A2749" t="s">
        <v>4207</v>
      </c>
      <c r="B2749" s="2">
        <v>44645.447615740741</v>
      </c>
      <c r="C2749" s="2">
        <v>44645.564976851849</v>
      </c>
      <c r="D2749" t="s">
        <v>585</v>
      </c>
      <c r="E2749" t="s">
        <v>3599</v>
      </c>
      <c r="F2749" t="s">
        <v>3600</v>
      </c>
      <c r="G2749" t="s">
        <v>1093</v>
      </c>
      <c r="H2749" t="s">
        <v>1031</v>
      </c>
      <c r="I2749">
        <v>185347001</v>
      </c>
      <c r="J2749" t="s">
        <v>1124</v>
      </c>
      <c r="K2749">
        <v>85.55</v>
      </c>
      <c r="L2749">
        <v>1389.85</v>
      </c>
      <c r="M2749">
        <v>1339.85</v>
      </c>
      <c r="N2749">
        <v>431857002</v>
      </c>
      <c r="O2749" t="s">
        <v>4125</v>
      </c>
    </row>
    <row r="2750" spans="1:15">
      <c r="A2750" t="s">
        <v>4208</v>
      </c>
      <c r="B2750" s="2">
        <v>44645.564976851849</v>
      </c>
      <c r="C2750" s="2">
        <v>44645.57539351852</v>
      </c>
      <c r="D2750" t="s">
        <v>585</v>
      </c>
      <c r="E2750" t="s">
        <v>3599</v>
      </c>
      <c r="F2750" t="s">
        <v>3600</v>
      </c>
      <c r="G2750" t="s">
        <v>1093</v>
      </c>
      <c r="H2750" t="s">
        <v>1031</v>
      </c>
      <c r="I2750">
        <v>185347001</v>
      </c>
      <c r="J2750" t="s">
        <v>1124</v>
      </c>
      <c r="K2750">
        <v>85.55</v>
      </c>
      <c r="L2750">
        <v>234.71</v>
      </c>
      <c r="M2750">
        <v>184.71</v>
      </c>
      <c r="N2750">
        <v>431857002</v>
      </c>
      <c r="O2750" t="s">
        <v>4125</v>
      </c>
    </row>
    <row r="2751" spans="1:15">
      <c r="A2751" t="s">
        <v>4209</v>
      </c>
      <c r="B2751" s="2">
        <v>44648.564976851849</v>
      </c>
      <c r="C2751" s="2">
        <v>44648.692060185182</v>
      </c>
      <c r="D2751" t="s">
        <v>585</v>
      </c>
      <c r="E2751" t="s">
        <v>3599</v>
      </c>
      <c r="F2751" t="s">
        <v>3600</v>
      </c>
      <c r="G2751" t="s">
        <v>1093</v>
      </c>
      <c r="H2751" t="s">
        <v>1031</v>
      </c>
      <c r="I2751">
        <v>185347001</v>
      </c>
      <c r="J2751" t="s">
        <v>1124</v>
      </c>
      <c r="K2751">
        <v>85.55</v>
      </c>
      <c r="L2751">
        <v>1295.25</v>
      </c>
      <c r="M2751">
        <v>1245.25</v>
      </c>
      <c r="N2751">
        <v>431857002</v>
      </c>
      <c r="O2751" t="s">
        <v>4125</v>
      </c>
    </row>
    <row r="2752" spans="1:15">
      <c r="A2752" t="s">
        <v>4210</v>
      </c>
      <c r="B2752" s="2">
        <v>44651.692060185182</v>
      </c>
      <c r="C2752" s="2">
        <v>44651.8281712963</v>
      </c>
      <c r="D2752" t="s">
        <v>585</v>
      </c>
      <c r="E2752" t="s">
        <v>3599</v>
      </c>
      <c r="F2752" t="s">
        <v>3600</v>
      </c>
      <c r="G2752" t="s">
        <v>1093</v>
      </c>
      <c r="H2752" t="s">
        <v>1031</v>
      </c>
      <c r="I2752">
        <v>185347001</v>
      </c>
      <c r="J2752" t="s">
        <v>1124</v>
      </c>
      <c r="K2752">
        <v>85.55</v>
      </c>
      <c r="L2752">
        <v>535.87</v>
      </c>
      <c r="M2752">
        <v>485.87</v>
      </c>
      <c r="N2752">
        <v>431857002</v>
      </c>
      <c r="O2752" t="s">
        <v>4125</v>
      </c>
    </row>
    <row r="2753" spans="1:15">
      <c r="A2753" t="s">
        <v>4211</v>
      </c>
      <c r="B2753" s="2">
        <v>44654.8281712963</v>
      </c>
      <c r="C2753" s="2">
        <v>44654.948310185187</v>
      </c>
      <c r="D2753" t="s">
        <v>585</v>
      </c>
      <c r="E2753" t="s">
        <v>3599</v>
      </c>
      <c r="F2753" t="s">
        <v>3600</v>
      </c>
      <c r="G2753" t="s">
        <v>1093</v>
      </c>
      <c r="H2753" t="s">
        <v>1031</v>
      </c>
      <c r="I2753">
        <v>185347001</v>
      </c>
      <c r="J2753" t="s">
        <v>1124</v>
      </c>
      <c r="K2753">
        <v>85.55</v>
      </c>
      <c r="L2753">
        <v>1791.03</v>
      </c>
      <c r="M2753">
        <v>1741.03</v>
      </c>
      <c r="N2753">
        <v>431857002</v>
      </c>
      <c r="O2753" t="s">
        <v>4125</v>
      </c>
    </row>
    <row r="2754" spans="1:15">
      <c r="A2754" t="s">
        <v>4212</v>
      </c>
      <c r="B2754" s="2">
        <v>44657.948310185187</v>
      </c>
      <c r="C2754" s="2">
        <v>44658.112199074072</v>
      </c>
      <c r="D2754" t="s">
        <v>585</v>
      </c>
      <c r="E2754" t="s">
        <v>3599</v>
      </c>
      <c r="F2754" t="s">
        <v>3600</v>
      </c>
      <c r="G2754" t="s">
        <v>1093</v>
      </c>
      <c r="H2754" t="s">
        <v>1031</v>
      </c>
      <c r="I2754">
        <v>185347001</v>
      </c>
      <c r="J2754" t="s">
        <v>1124</v>
      </c>
      <c r="K2754">
        <v>85.55</v>
      </c>
      <c r="L2754">
        <v>535.87</v>
      </c>
      <c r="M2754">
        <v>485.87</v>
      </c>
      <c r="N2754">
        <v>431857002</v>
      </c>
      <c r="O2754" t="s">
        <v>4125</v>
      </c>
    </row>
    <row r="2755" spans="1:15">
      <c r="A2755" t="s">
        <v>4213</v>
      </c>
      <c r="B2755" s="2">
        <v>44661.112199074072</v>
      </c>
      <c r="C2755" s="2">
        <v>44661.221921296295</v>
      </c>
      <c r="D2755" t="s">
        <v>585</v>
      </c>
      <c r="E2755" t="s">
        <v>3599</v>
      </c>
      <c r="F2755" t="s">
        <v>3600</v>
      </c>
      <c r="G2755" t="s">
        <v>1093</v>
      </c>
      <c r="H2755" t="s">
        <v>1031</v>
      </c>
      <c r="I2755">
        <v>185347001</v>
      </c>
      <c r="J2755" t="s">
        <v>1124</v>
      </c>
      <c r="K2755">
        <v>85.55</v>
      </c>
      <c r="L2755">
        <v>1657.73</v>
      </c>
      <c r="M2755">
        <v>1607.73</v>
      </c>
      <c r="N2755">
        <v>431857002</v>
      </c>
      <c r="O2755" t="s">
        <v>4125</v>
      </c>
    </row>
    <row r="2756" spans="1:15">
      <c r="A2756" t="s">
        <v>4214</v>
      </c>
      <c r="B2756" s="2">
        <v>44664.221921296295</v>
      </c>
      <c r="C2756" s="2">
        <v>44664.3281712963</v>
      </c>
      <c r="D2756" t="s">
        <v>585</v>
      </c>
      <c r="E2756" t="s">
        <v>3599</v>
      </c>
      <c r="F2756" t="s">
        <v>3600</v>
      </c>
      <c r="G2756" t="s">
        <v>1093</v>
      </c>
      <c r="H2756" t="s">
        <v>1031</v>
      </c>
      <c r="I2756">
        <v>185347001</v>
      </c>
      <c r="J2756" t="s">
        <v>1124</v>
      </c>
      <c r="K2756">
        <v>85.55</v>
      </c>
      <c r="L2756">
        <v>782.94</v>
      </c>
      <c r="M2756">
        <v>732.94</v>
      </c>
      <c r="N2756">
        <v>431857002</v>
      </c>
      <c r="O2756" t="s">
        <v>4125</v>
      </c>
    </row>
    <row r="2757" spans="1:15">
      <c r="A2757" t="s">
        <v>4215</v>
      </c>
      <c r="B2757" s="2">
        <v>44667.3281712963</v>
      </c>
      <c r="C2757" s="2">
        <v>44667.460810185185</v>
      </c>
      <c r="D2757" t="s">
        <v>585</v>
      </c>
      <c r="E2757" t="s">
        <v>3599</v>
      </c>
      <c r="F2757" t="s">
        <v>3600</v>
      </c>
      <c r="G2757" t="s">
        <v>1093</v>
      </c>
      <c r="H2757" t="s">
        <v>1031</v>
      </c>
      <c r="I2757">
        <v>185347001</v>
      </c>
      <c r="J2757" t="s">
        <v>1124</v>
      </c>
      <c r="K2757">
        <v>85.55</v>
      </c>
      <c r="L2757">
        <v>535.87</v>
      </c>
      <c r="M2757">
        <v>485.87</v>
      </c>
      <c r="N2757">
        <v>431857002</v>
      </c>
      <c r="O2757" t="s">
        <v>4125</v>
      </c>
    </row>
    <row r="2758" spans="1:15">
      <c r="A2758" t="s">
        <v>4216</v>
      </c>
      <c r="B2758" s="2">
        <v>44670.460810185185</v>
      </c>
      <c r="C2758" s="2">
        <v>44670.620532407411</v>
      </c>
      <c r="D2758" t="s">
        <v>585</v>
      </c>
      <c r="E2758" t="s">
        <v>3599</v>
      </c>
      <c r="F2758" t="s">
        <v>3600</v>
      </c>
      <c r="G2758" t="s">
        <v>1093</v>
      </c>
      <c r="H2758" t="s">
        <v>1031</v>
      </c>
      <c r="I2758">
        <v>185347001</v>
      </c>
      <c r="J2758" t="s">
        <v>1124</v>
      </c>
      <c r="K2758">
        <v>85.55</v>
      </c>
      <c r="L2758">
        <v>535.87</v>
      </c>
      <c r="M2758">
        <v>485.87</v>
      </c>
      <c r="N2758">
        <v>431857002</v>
      </c>
      <c r="O2758" t="s">
        <v>4125</v>
      </c>
    </row>
    <row r="2759" spans="1:15">
      <c r="A2759" t="s">
        <v>4217</v>
      </c>
      <c r="B2759" s="2">
        <v>44673.620532407411</v>
      </c>
      <c r="C2759" s="2">
        <v>44673.716365740744</v>
      </c>
      <c r="D2759" t="s">
        <v>585</v>
      </c>
      <c r="E2759" t="s">
        <v>3599</v>
      </c>
      <c r="F2759" t="s">
        <v>3600</v>
      </c>
      <c r="G2759" t="s">
        <v>1093</v>
      </c>
      <c r="H2759" t="s">
        <v>1031</v>
      </c>
      <c r="I2759">
        <v>185347001</v>
      </c>
      <c r="J2759" t="s">
        <v>1124</v>
      </c>
      <c r="K2759">
        <v>85.55</v>
      </c>
      <c r="L2759">
        <v>938.46</v>
      </c>
      <c r="M2759">
        <v>888.46</v>
      </c>
      <c r="N2759">
        <v>431857002</v>
      </c>
      <c r="O2759" t="s">
        <v>4125</v>
      </c>
    </row>
    <row r="2760" spans="1:15">
      <c r="A2760" t="s">
        <v>4218</v>
      </c>
      <c r="B2760" s="2">
        <v>44676.716365740744</v>
      </c>
      <c r="C2760" s="2">
        <v>44676.875393518516</v>
      </c>
      <c r="D2760" t="s">
        <v>585</v>
      </c>
      <c r="E2760" t="s">
        <v>3599</v>
      </c>
      <c r="F2760" t="s">
        <v>3600</v>
      </c>
      <c r="G2760" t="s">
        <v>1093</v>
      </c>
      <c r="H2760" t="s">
        <v>1031</v>
      </c>
      <c r="I2760">
        <v>185347001</v>
      </c>
      <c r="J2760" t="s">
        <v>1124</v>
      </c>
      <c r="K2760">
        <v>85.55</v>
      </c>
      <c r="L2760">
        <v>535.87</v>
      </c>
      <c r="M2760">
        <v>485.87</v>
      </c>
      <c r="N2760">
        <v>431857002</v>
      </c>
      <c r="O2760" t="s">
        <v>4125</v>
      </c>
    </row>
    <row r="2761" spans="1:15">
      <c r="A2761" t="s">
        <v>4219</v>
      </c>
      <c r="B2761" s="2">
        <v>44676.875393518516</v>
      </c>
      <c r="C2761" s="2">
        <v>44676.885810185187</v>
      </c>
      <c r="D2761" t="s">
        <v>585</v>
      </c>
      <c r="E2761" t="s">
        <v>3599</v>
      </c>
      <c r="F2761" t="s">
        <v>3600</v>
      </c>
      <c r="G2761" t="s">
        <v>1093</v>
      </c>
      <c r="H2761" t="s">
        <v>1031</v>
      </c>
      <c r="I2761">
        <v>185347001</v>
      </c>
      <c r="J2761" t="s">
        <v>1124</v>
      </c>
      <c r="K2761">
        <v>85.55</v>
      </c>
      <c r="L2761">
        <v>234.71</v>
      </c>
      <c r="M2761">
        <v>184.71</v>
      </c>
      <c r="N2761">
        <v>431857002</v>
      </c>
      <c r="O2761" t="s">
        <v>4125</v>
      </c>
    </row>
    <row r="2762" spans="1:15">
      <c r="A2762" t="s">
        <v>4220</v>
      </c>
      <c r="B2762" s="2">
        <v>44679.875393518516</v>
      </c>
      <c r="C2762" s="2">
        <v>44680.031643518516</v>
      </c>
      <c r="D2762" t="s">
        <v>585</v>
      </c>
      <c r="E2762" t="s">
        <v>3599</v>
      </c>
      <c r="F2762" t="s">
        <v>3600</v>
      </c>
      <c r="G2762" t="s">
        <v>1093</v>
      </c>
      <c r="H2762" t="s">
        <v>1031</v>
      </c>
      <c r="I2762">
        <v>185347001</v>
      </c>
      <c r="J2762" t="s">
        <v>1124</v>
      </c>
      <c r="K2762">
        <v>85.55</v>
      </c>
      <c r="L2762">
        <v>744.88</v>
      </c>
      <c r="M2762">
        <v>694.88</v>
      </c>
      <c r="N2762">
        <v>431857002</v>
      </c>
      <c r="O2762" t="s">
        <v>4125</v>
      </c>
    </row>
    <row r="2763" spans="1:15">
      <c r="A2763" t="s">
        <v>4221</v>
      </c>
      <c r="B2763" s="2">
        <v>44683.031643518516</v>
      </c>
      <c r="C2763" s="2">
        <v>44683.194837962961</v>
      </c>
      <c r="D2763" t="s">
        <v>585</v>
      </c>
      <c r="E2763" t="s">
        <v>3599</v>
      </c>
      <c r="F2763" t="s">
        <v>3600</v>
      </c>
      <c r="G2763" t="s">
        <v>1093</v>
      </c>
      <c r="H2763" t="s">
        <v>1031</v>
      </c>
      <c r="I2763">
        <v>185347001</v>
      </c>
      <c r="J2763" t="s">
        <v>1124</v>
      </c>
      <c r="K2763">
        <v>85.55</v>
      </c>
      <c r="L2763">
        <v>1791.03</v>
      </c>
      <c r="M2763">
        <v>1741.03</v>
      </c>
      <c r="N2763">
        <v>431857002</v>
      </c>
      <c r="O2763" t="s">
        <v>4125</v>
      </c>
    </row>
    <row r="2764" spans="1:15">
      <c r="A2764" t="s">
        <v>4222</v>
      </c>
      <c r="B2764" s="2">
        <v>44686.194837962961</v>
      </c>
      <c r="C2764" s="2">
        <v>44686.289976851855</v>
      </c>
      <c r="D2764" t="s">
        <v>585</v>
      </c>
      <c r="E2764" t="s">
        <v>3599</v>
      </c>
      <c r="F2764" t="s">
        <v>3600</v>
      </c>
      <c r="G2764" t="s">
        <v>1093</v>
      </c>
      <c r="H2764" t="s">
        <v>1031</v>
      </c>
      <c r="I2764">
        <v>185347001</v>
      </c>
      <c r="J2764" t="s">
        <v>1124</v>
      </c>
      <c r="K2764">
        <v>85.55</v>
      </c>
      <c r="L2764">
        <v>535.87</v>
      </c>
      <c r="M2764">
        <v>485.87</v>
      </c>
      <c r="N2764">
        <v>431857002</v>
      </c>
      <c r="O2764" t="s">
        <v>4125</v>
      </c>
    </row>
    <row r="2765" spans="1:15">
      <c r="A2765" t="s">
        <v>4223</v>
      </c>
      <c r="B2765" s="2">
        <v>44689.289976851855</v>
      </c>
      <c r="C2765" s="2">
        <v>44689.412199074075</v>
      </c>
      <c r="D2765" t="s">
        <v>585</v>
      </c>
      <c r="E2765" t="s">
        <v>3599</v>
      </c>
      <c r="F2765" t="s">
        <v>3600</v>
      </c>
      <c r="G2765" t="s">
        <v>1093</v>
      </c>
      <c r="H2765" t="s">
        <v>1031</v>
      </c>
      <c r="I2765">
        <v>185347001</v>
      </c>
      <c r="J2765" t="s">
        <v>1124</v>
      </c>
      <c r="K2765">
        <v>85.55</v>
      </c>
      <c r="L2765">
        <v>535.87</v>
      </c>
      <c r="M2765">
        <v>485.87</v>
      </c>
      <c r="N2765">
        <v>431857002</v>
      </c>
      <c r="O2765" t="s">
        <v>4125</v>
      </c>
    </row>
    <row r="2766" spans="1:15">
      <c r="A2766" t="s">
        <v>4224</v>
      </c>
      <c r="B2766" s="2">
        <v>44699.117754629631</v>
      </c>
      <c r="C2766" s="2">
        <v>44699.155555555553</v>
      </c>
      <c r="D2766" t="s">
        <v>585</v>
      </c>
      <c r="E2766" t="s">
        <v>3599</v>
      </c>
      <c r="F2766" t="s">
        <v>3600</v>
      </c>
      <c r="G2766" t="s">
        <v>1093</v>
      </c>
      <c r="H2766" t="s">
        <v>1043</v>
      </c>
      <c r="I2766">
        <v>185349003</v>
      </c>
      <c r="J2766" t="s">
        <v>1038</v>
      </c>
      <c r="K2766">
        <v>85.55</v>
      </c>
      <c r="L2766">
        <v>951.27</v>
      </c>
      <c r="M2766">
        <v>901.27</v>
      </c>
      <c r="O2766" t="s">
        <v>34</v>
      </c>
    </row>
    <row r="2767" spans="1:15">
      <c r="A2767" t="s">
        <v>4225</v>
      </c>
      <c r="B2767" s="2">
        <v>44706.117754629631</v>
      </c>
      <c r="C2767" s="2">
        <v>44706.209421296298</v>
      </c>
      <c r="D2767" t="s">
        <v>585</v>
      </c>
      <c r="E2767" t="s">
        <v>3599</v>
      </c>
      <c r="F2767" t="s">
        <v>3600</v>
      </c>
      <c r="G2767" t="s">
        <v>1093</v>
      </c>
      <c r="H2767" t="s">
        <v>1031</v>
      </c>
      <c r="I2767">
        <v>185347001</v>
      </c>
      <c r="J2767" t="s">
        <v>1124</v>
      </c>
      <c r="K2767">
        <v>85.55</v>
      </c>
      <c r="L2767">
        <v>1791.03</v>
      </c>
      <c r="M2767">
        <v>1741.03</v>
      </c>
      <c r="N2767">
        <v>431857002</v>
      </c>
      <c r="O2767" t="s">
        <v>4125</v>
      </c>
    </row>
    <row r="2768" spans="1:15">
      <c r="A2768" t="s">
        <v>4226</v>
      </c>
      <c r="B2768" s="2">
        <v>44709.209421296298</v>
      </c>
      <c r="C2768" s="2">
        <v>44709.314976851849</v>
      </c>
      <c r="D2768" t="s">
        <v>585</v>
      </c>
      <c r="E2768" t="s">
        <v>3599</v>
      </c>
      <c r="F2768" t="s">
        <v>3600</v>
      </c>
      <c r="G2768" t="s">
        <v>1093</v>
      </c>
      <c r="H2768" t="s">
        <v>1031</v>
      </c>
      <c r="I2768">
        <v>185347001</v>
      </c>
      <c r="J2768" t="s">
        <v>1124</v>
      </c>
      <c r="K2768">
        <v>85.55</v>
      </c>
      <c r="L2768">
        <v>535.87</v>
      </c>
      <c r="M2768">
        <v>485.87</v>
      </c>
      <c r="N2768">
        <v>431857002</v>
      </c>
      <c r="O2768" t="s">
        <v>4125</v>
      </c>
    </row>
    <row r="2769" spans="1:15">
      <c r="A2769" t="s">
        <v>4227</v>
      </c>
      <c r="B2769" s="2">
        <v>44709.314976851849</v>
      </c>
      <c r="C2769" s="2">
        <v>44709.32539351852</v>
      </c>
      <c r="D2769" t="s">
        <v>585</v>
      </c>
      <c r="E2769" t="s">
        <v>3599</v>
      </c>
      <c r="F2769" t="s">
        <v>3600</v>
      </c>
      <c r="G2769" t="s">
        <v>1093</v>
      </c>
      <c r="H2769" t="s">
        <v>1031</v>
      </c>
      <c r="I2769">
        <v>185347001</v>
      </c>
      <c r="J2769" t="s">
        <v>1124</v>
      </c>
      <c r="K2769">
        <v>85.55</v>
      </c>
      <c r="L2769">
        <v>234.71</v>
      </c>
      <c r="M2769">
        <v>184.71</v>
      </c>
      <c r="N2769">
        <v>431857002</v>
      </c>
      <c r="O2769" t="s">
        <v>4125</v>
      </c>
    </row>
    <row r="2770" spans="1:15">
      <c r="A2770" t="s">
        <v>4228</v>
      </c>
      <c r="B2770" s="2">
        <v>44712.314976851849</v>
      </c>
      <c r="C2770" s="2">
        <v>44712.442060185182</v>
      </c>
      <c r="D2770" t="s">
        <v>585</v>
      </c>
      <c r="E2770" t="s">
        <v>3599</v>
      </c>
      <c r="F2770" t="s">
        <v>3600</v>
      </c>
      <c r="G2770" t="s">
        <v>1093</v>
      </c>
      <c r="H2770" t="s">
        <v>1031</v>
      </c>
      <c r="I2770">
        <v>185347001</v>
      </c>
      <c r="J2770" t="s">
        <v>1124</v>
      </c>
      <c r="K2770">
        <v>85.55</v>
      </c>
      <c r="L2770">
        <v>869.61</v>
      </c>
      <c r="M2770">
        <v>819.61</v>
      </c>
      <c r="N2770">
        <v>431857002</v>
      </c>
      <c r="O2770" t="s">
        <v>4125</v>
      </c>
    </row>
    <row r="2771" spans="1:15">
      <c r="A2771" t="s">
        <v>4229</v>
      </c>
      <c r="B2771" s="2">
        <v>44720.117754629631</v>
      </c>
      <c r="C2771" s="2">
        <v>44720.234895833331</v>
      </c>
      <c r="D2771" t="s">
        <v>585</v>
      </c>
      <c r="E2771" t="s">
        <v>3599</v>
      </c>
      <c r="F2771" t="s">
        <v>3600</v>
      </c>
      <c r="G2771" t="s">
        <v>1093</v>
      </c>
      <c r="H2771" t="s">
        <v>1031</v>
      </c>
      <c r="I2771">
        <v>185349003</v>
      </c>
      <c r="J2771" t="s">
        <v>1038</v>
      </c>
      <c r="K2771">
        <v>85.55</v>
      </c>
      <c r="L2771">
        <v>3105.35</v>
      </c>
      <c r="M2771">
        <v>3055.35</v>
      </c>
      <c r="N2771">
        <v>66383009</v>
      </c>
      <c r="O2771" t="s">
        <v>1209</v>
      </c>
    </row>
    <row r="2772" spans="1:15">
      <c r="A2772" t="s">
        <v>4230</v>
      </c>
      <c r="B2772" s="2">
        <v>44727.117754629631</v>
      </c>
      <c r="C2772" s="2">
        <v>44727.227476851855</v>
      </c>
      <c r="D2772" t="s">
        <v>585</v>
      </c>
      <c r="E2772" t="s">
        <v>3599</v>
      </c>
      <c r="F2772" t="s">
        <v>3600</v>
      </c>
      <c r="G2772" t="s">
        <v>1093</v>
      </c>
      <c r="H2772" t="s">
        <v>1031</v>
      </c>
      <c r="I2772">
        <v>185347001</v>
      </c>
      <c r="J2772" t="s">
        <v>1124</v>
      </c>
      <c r="K2772">
        <v>85.55</v>
      </c>
      <c r="L2772">
        <v>535.87</v>
      </c>
      <c r="M2772">
        <v>485.87</v>
      </c>
      <c r="N2772">
        <v>431857002</v>
      </c>
      <c r="O2772" t="s">
        <v>4125</v>
      </c>
    </row>
    <row r="2773" spans="1:15">
      <c r="A2773" t="s">
        <v>4231</v>
      </c>
      <c r="B2773" s="2">
        <v>44730.227476851855</v>
      </c>
      <c r="C2773" s="2">
        <v>44730.374699074076</v>
      </c>
      <c r="D2773" t="s">
        <v>585</v>
      </c>
      <c r="E2773" t="s">
        <v>3599</v>
      </c>
      <c r="F2773" t="s">
        <v>3600</v>
      </c>
      <c r="G2773" t="s">
        <v>1093</v>
      </c>
      <c r="H2773" t="s">
        <v>1031</v>
      </c>
      <c r="I2773">
        <v>185347001</v>
      </c>
      <c r="J2773" t="s">
        <v>1124</v>
      </c>
      <c r="K2773">
        <v>85.55</v>
      </c>
      <c r="L2773">
        <v>899.39</v>
      </c>
      <c r="M2773">
        <v>849.39</v>
      </c>
      <c r="N2773">
        <v>431857002</v>
      </c>
      <c r="O2773" t="s">
        <v>4125</v>
      </c>
    </row>
    <row r="2774" spans="1:15">
      <c r="A2774" t="s">
        <v>4232</v>
      </c>
      <c r="B2774" s="2">
        <v>44733.374699074076</v>
      </c>
      <c r="C2774" s="2">
        <v>44733.483726851853</v>
      </c>
      <c r="D2774" t="s">
        <v>585</v>
      </c>
      <c r="E2774" t="s">
        <v>3599</v>
      </c>
      <c r="F2774" t="s">
        <v>3600</v>
      </c>
      <c r="G2774" t="s">
        <v>1093</v>
      </c>
      <c r="H2774" t="s">
        <v>1031</v>
      </c>
      <c r="I2774">
        <v>185347001</v>
      </c>
      <c r="J2774" t="s">
        <v>1124</v>
      </c>
      <c r="K2774">
        <v>85.55</v>
      </c>
      <c r="L2774">
        <v>535.87</v>
      </c>
      <c r="M2774">
        <v>485.87</v>
      </c>
      <c r="N2774">
        <v>431857002</v>
      </c>
      <c r="O2774" t="s">
        <v>4125</v>
      </c>
    </row>
    <row r="2775" spans="1:15">
      <c r="A2775" t="s">
        <v>4233</v>
      </c>
      <c r="B2775" s="2">
        <v>44741.117754629631</v>
      </c>
      <c r="C2775" s="2">
        <v>44741.149872685186</v>
      </c>
      <c r="D2775" t="s">
        <v>585</v>
      </c>
      <c r="E2775" t="s">
        <v>3599</v>
      </c>
      <c r="F2775" t="s">
        <v>3600</v>
      </c>
      <c r="G2775" t="s">
        <v>1093</v>
      </c>
      <c r="H2775" t="s">
        <v>1043</v>
      </c>
      <c r="I2775">
        <v>185349003</v>
      </c>
      <c r="J2775" t="s">
        <v>1038</v>
      </c>
      <c r="K2775">
        <v>85.55</v>
      </c>
      <c r="L2775">
        <v>1678.07</v>
      </c>
      <c r="M2775">
        <v>1628.07</v>
      </c>
      <c r="O2775" t="s">
        <v>34</v>
      </c>
    </row>
    <row r="2776" spans="1:15">
      <c r="A2776" t="s">
        <v>4234</v>
      </c>
      <c r="B2776" s="2">
        <v>44748.117754629631</v>
      </c>
      <c r="C2776" s="2">
        <v>44748.128171296295</v>
      </c>
      <c r="D2776" t="s">
        <v>585</v>
      </c>
      <c r="E2776" t="s">
        <v>4057</v>
      </c>
      <c r="F2776" t="s">
        <v>4058</v>
      </c>
      <c r="G2776" t="s">
        <v>1093</v>
      </c>
      <c r="H2776" t="s">
        <v>1020</v>
      </c>
      <c r="I2776">
        <v>162673000</v>
      </c>
      <c r="J2776" t="s">
        <v>1021</v>
      </c>
      <c r="K2776">
        <v>136.80000000000001</v>
      </c>
      <c r="L2776">
        <v>285.95999999999998</v>
      </c>
      <c r="M2776">
        <v>285.95999999999998</v>
      </c>
      <c r="O2776" t="s">
        <v>34</v>
      </c>
    </row>
    <row r="2777" spans="1:15">
      <c r="A2777" t="s">
        <v>4235</v>
      </c>
      <c r="B2777" s="2">
        <v>44755.117754629631</v>
      </c>
      <c r="C2777" s="2">
        <v>44755.264282407406</v>
      </c>
      <c r="D2777" t="s">
        <v>585</v>
      </c>
      <c r="E2777" t="s">
        <v>3599</v>
      </c>
      <c r="F2777" t="s">
        <v>3600</v>
      </c>
      <c r="G2777" t="s">
        <v>1093</v>
      </c>
      <c r="H2777" t="s">
        <v>1031</v>
      </c>
      <c r="I2777">
        <v>185347001</v>
      </c>
      <c r="J2777" t="s">
        <v>1124</v>
      </c>
      <c r="K2777">
        <v>85.55</v>
      </c>
      <c r="L2777">
        <v>1495.39</v>
      </c>
      <c r="M2777">
        <v>1445.39</v>
      </c>
      <c r="N2777">
        <v>431857002</v>
      </c>
      <c r="O2777" t="s">
        <v>4125</v>
      </c>
    </row>
    <row r="2778" spans="1:15">
      <c r="A2778" t="s">
        <v>4236</v>
      </c>
      <c r="B2778" s="2">
        <v>44755.264282407406</v>
      </c>
      <c r="C2778" s="2">
        <v>44755.274699074071</v>
      </c>
      <c r="D2778" t="s">
        <v>585</v>
      </c>
      <c r="E2778" t="s">
        <v>3599</v>
      </c>
      <c r="F2778" t="s">
        <v>3600</v>
      </c>
      <c r="G2778" t="s">
        <v>1093</v>
      </c>
      <c r="H2778" t="s">
        <v>1031</v>
      </c>
      <c r="I2778">
        <v>185347001</v>
      </c>
      <c r="J2778" t="s">
        <v>1124</v>
      </c>
      <c r="K2778">
        <v>85.55</v>
      </c>
      <c r="L2778">
        <v>234.71</v>
      </c>
      <c r="M2778">
        <v>184.71</v>
      </c>
      <c r="N2778">
        <v>431857002</v>
      </c>
      <c r="O2778" t="s">
        <v>4125</v>
      </c>
    </row>
    <row r="2779" spans="1:15">
      <c r="A2779" t="s">
        <v>4237</v>
      </c>
      <c r="B2779" s="2">
        <v>44758.264282407406</v>
      </c>
      <c r="C2779" s="2">
        <v>44758.367060185185</v>
      </c>
      <c r="D2779" t="s">
        <v>585</v>
      </c>
      <c r="E2779" t="s">
        <v>3599</v>
      </c>
      <c r="F2779" t="s">
        <v>3600</v>
      </c>
      <c r="G2779" t="s">
        <v>1093</v>
      </c>
      <c r="H2779" t="s">
        <v>1031</v>
      </c>
      <c r="I2779">
        <v>185347001</v>
      </c>
      <c r="J2779" t="s">
        <v>1124</v>
      </c>
      <c r="K2779">
        <v>85.55</v>
      </c>
      <c r="L2779">
        <v>604.72</v>
      </c>
      <c r="M2779">
        <v>554.72</v>
      </c>
      <c r="N2779">
        <v>431857002</v>
      </c>
      <c r="O2779" t="s">
        <v>4125</v>
      </c>
    </row>
    <row r="2780" spans="1:15">
      <c r="A2780" t="s">
        <v>4238</v>
      </c>
      <c r="B2780" s="2">
        <v>44761.367060185185</v>
      </c>
      <c r="C2780" s="2">
        <v>44761.497615740744</v>
      </c>
      <c r="D2780" t="s">
        <v>585</v>
      </c>
      <c r="E2780" t="s">
        <v>3599</v>
      </c>
      <c r="F2780" t="s">
        <v>3600</v>
      </c>
      <c r="G2780" t="s">
        <v>1093</v>
      </c>
      <c r="H2780" t="s">
        <v>1031</v>
      </c>
      <c r="I2780">
        <v>185347001</v>
      </c>
      <c r="J2780" t="s">
        <v>1124</v>
      </c>
      <c r="K2780">
        <v>85.55</v>
      </c>
      <c r="L2780">
        <v>535.87</v>
      </c>
      <c r="M2780">
        <v>485.87</v>
      </c>
      <c r="N2780">
        <v>431857002</v>
      </c>
      <c r="O2780" t="s">
        <v>4125</v>
      </c>
    </row>
    <row r="2781" spans="1:15">
      <c r="A2781" t="s">
        <v>4239</v>
      </c>
      <c r="B2781" s="2">
        <v>44764.497615740744</v>
      </c>
      <c r="C2781" s="2">
        <v>44764.617754629631</v>
      </c>
      <c r="D2781" t="s">
        <v>585</v>
      </c>
      <c r="E2781" t="s">
        <v>3599</v>
      </c>
      <c r="F2781" t="s">
        <v>3600</v>
      </c>
      <c r="G2781" t="s">
        <v>1093</v>
      </c>
      <c r="H2781" t="s">
        <v>1031</v>
      </c>
      <c r="I2781">
        <v>185347001</v>
      </c>
      <c r="J2781" t="s">
        <v>1124</v>
      </c>
      <c r="K2781">
        <v>85.55</v>
      </c>
      <c r="L2781">
        <v>535.87</v>
      </c>
      <c r="M2781">
        <v>485.87</v>
      </c>
      <c r="N2781">
        <v>431857002</v>
      </c>
      <c r="O2781" t="s">
        <v>4125</v>
      </c>
    </row>
    <row r="2782" spans="1:15">
      <c r="A2782" t="s">
        <v>4240</v>
      </c>
      <c r="B2782" s="2">
        <v>44767.617754629631</v>
      </c>
      <c r="C2782" s="2">
        <v>44767.726087962961</v>
      </c>
      <c r="D2782" t="s">
        <v>585</v>
      </c>
      <c r="E2782" t="s">
        <v>3599</v>
      </c>
      <c r="F2782" t="s">
        <v>3600</v>
      </c>
      <c r="G2782" t="s">
        <v>1093</v>
      </c>
      <c r="H2782" t="s">
        <v>1031</v>
      </c>
      <c r="I2782">
        <v>185347001</v>
      </c>
      <c r="J2782" t="s">
        <v>1124</v>
      </c>
      <c r="K2782">
        <v>85.55</v>
      </c>
      <c r="L2782">
        <v>535.87</v>
      </c>
      <c r="M2782">
        <v>485.87</v>
      </c>
      <c r="N2782">
        <v>431857002</v>
      </c>
      <c r="O2782" t="s">
        <v>4125</v>
      </c>
    </row>
    <row r="2783" spans="1:15">
      <c r="A2783" t="s">
        <v>4241</v>
      </c>
      <c r="B2783" s="2">
        <v>44770.726087962961</v>
      </c>
      <c r="C2783" s="2">
        <v>44770.885810185187</v>
      </c>
      <c r="D2783" t="s">
        <v>585</v>
      </c>
      <c r="E2783" t="s">
        <v>3599</v>
      </c>
      <c r="F2783" t="s">
        <v>3600</v>
      </c>
      <c r="G2783" t="s">
        <v>1093</v>
      </c>
      <c r="H2783" t="s">
        <v>1031</v>
      </c>
      <c r="I2783">
        <v>185347001</v>
      </c>
      <c r="J2783" t="s">
        <v>1124</v>
      </c>
      <c r="K2783">
        <v>85.55</v>
      </c>
      <c r="L2783">
        <v>1199.83</v>
      </c>
      <c r="M2783">
        <v>1149.83</v>
      </c>
      <c r="N2783">
        <v>431857002</v>
      </c>
      <c r="O2783" t="s">
        <v>4125</v>
      </c>
    </row>
    <row r="2784" spans="1:15">
      <c r="A2784" t="s">
        <v>4242</v>
      </c>
      <c r="B2784" s="2">
        <v>44773.885810185187</v>
      </c>
      <c r="C2784" s="2">
        <v>44774.042060185187</v>
      </c>
      <c r="D2784" t="s">
        <v>585</v>
      </c>
      <c r="E2784" t="s">
        <v>3599</v>
      </c>
      <c r="F2784" t="s">
        <v>3600</v>
      </c>
      <c r="G2784" t="s">
        <v>1093</v>
      </c>
      <c r="H2784" t="s">
        <v>1031</v>
      </c>
      <c r="I2784">
        <v>185347001</v>
      </c>
      <c r="J2784" t="s">
        <v>1124</v>
      </c>
      <c r="K2784">
        <v>85.55</v>
      </c>
      <c r="L2784">
        <v>535.87</v>
      </c>
      <c r="M2784">
        <v>485.87</v>
      </c>
      <c r="N2784">
        <v>431857002</v>
      </c>
      <c r="O2784" t="s">
        <v>4125</v>
      </c>
    </row>
    <row r="2785" spans="1:15">
      <c r="A2785" t="s">
        <v>4243</v>
      </c>
      <c r="B2785" s="2">
        <v>44777.042060185187</v>
      </c>
      <c r="C2785" s="2">
        <v>44777.147615740738</v>
      </c>
      <c r="D2785" t="s">
        <v>585</v>
      </c>
      <c r="E2785" t="s">
        <v>3599</v>
      </c>
      <c r="F2785" t="s">
        <v>3600</v>
      </c>
      <c r="G2785" t="s">
        <v>1093</v>
      </c>
      <c r="H2785" t="s">
        <v>1031</v>
      </c>
      <c r="I2785">
        <v>185347001</v>
      </c>
      <c r="J2785" t="s">
        <v>1124</v>
      </c>
      <c r="K2785">
        <v>85.55</v>
      </c>
      <c r="L2785">
        <v>1791.03</v>
      </c>
      <c r="M2785">
        <v>1741.03</v>
      </c>
      <c r="N2785">
        <v>431857002</v>
      </c>
      <c r="O2785" t="s">
        <v>4125</v>
      </c>
    </row>
    <row r="2786" spans="1:15">
      <c r="A2786" t="s">
        <v>4244</v>
      </c>
      <c r="B2786" s="2">
        <v>44780.147615740738</v>
      </c>
      <c r="C2786" s="2">
        <v>44780.296226851853</v>
      </c>
      <c r="D2786" t="s">
        <v>585</v>
      </c>
      <c r="E2786" t="s">
        <v>3599</v>
      </c>
      <c r="F2786" t="s">
        <v>3600</v>
      </c>
      <c r="G2786" t="s">
        <v>1093</v>
      </c>
      <c r="H2786" t="s">
        <v>1031</v>
      </c>
      <c r="I2786">
        <v>185347001</v>
      </c>
      <c r="J2786" t="s">
        <v>1124</v>
      </c>
      <c r="K2786">
        <v>85.55</v>
      </c>
      <c r="L2786">
        <v>535.87</v>
      </c>
      <c r="M2786">
        <v>485.87</v>
      </c>
      <c r="N2786">
        <v>431857002</v>
      </c>
      <c r="O2786" t="s">
        <v>4125</v>
      </c>
    </row>
    <row r="2787" spans="1:15">
      <c r="A2787" t="s">
        <v>4245</v>
      </c>
      <c r="B2787" s="2">
        <v>44783.296226851853</v>
      </c>
      <c r="C2787" s="2">
        <v>44783.41983796296</v>
      </c>
      <c r="D2787" t="s">
        <v>585</v>
      </c>
      <c r="E2787" t="s">
        <v>3599</v>
      </c>
      <c r="F2787" t="s">
        <v>3600</v>
      </c>
      <c r="G2787" t="s">
        <v>1093</v>
      </c>
      <c r="H2787" t="s">
        <v>1031</v>
      </c>
      <c r="I2787">
        <v>185347001</v>
      </c>
      <c r="J2787" t="s">
        <v>1124</v>
      </c>
      <c r="K2787">
        <v>85.55</v>
      </c>
      <c r="L2787">
        <v>1345.36</v>
      </c>
      <c r="M2787">
        <v>1295.3599999999999</v>
      </c>
      <c r="N2787">
        <v>431857002</v>
      </c>
      <c r="O2787" t="s">
        <v>4125</v>
      </c>
    </row>
    <row r="2788" spans="1:15">
      <c r="A2788" t="s">
        <v>4246</v>
      </c>
      <c r="B2788" s="2">
        <v>44786.41983796296</v>
      </c>
      <c r="C2788" s="2">
        <v>44786.524699074071</v>
      </c>
      <c r="D2788" t="s">
        <v>585</v>
      </c>
      <c r="E2788" t="s">
        <v>3599</v>
      </c>
      <c r="F2788" t="s">
        <v>3600</v>
      </c>
      <c r="G2788" t="s">
        <v>1093</v>
      </c>
      <c r="H2788" t="s">
        <v>1031</v>
      </c>
      <c r="I2788">
        <v>185347001</v>
      </c>
      <c r="J2788" t="s">
        <v>1124</v>
      </c>
      <c r="K2788">
        <v>85.55</v>
      </c>
      <c r="L2788">
        <v>535.87</v>
      </c>
      <c r="M2788">
        <v>485.87</v>
      </c>
      <c r="N2788">
        <v>431857002</v>
      </c>
      <c r="O2788" t="s">
        <v>4125</v>
      </c>
    </row>
    <row r="2789" spans="1:15">
      <c r="A2789" t="s">
        <v>4247</v>
      </c>
      <c r="B2789" s="2">
        <v>44786.524699074071</v>
      </c>
      <c r="C2789" s="2">
        <v>44786.535115740742</v>
      </c>
      <c r="D2789" t="s">
        <v>585</v>
      </c>
      <c r="E2789" t="s">
        <v>3599</v>
      </c>
      <c r="F2789" t="s">
        <v>3600</v>
      </c>
      <c r="G2789" t="s">
        <v>1093</v>
      </c>
      <c r="H2789" t="s">
        <v>1031</v>
      </c>
      <c r="I2789">
        <v>185347001</v>
      </c>
      <c r="J2789" t="s">
        <v>1124</v>
      </c>
      <c r="K2789">
        <v>85.55</v>
      </c>
      <c r="L2789">
        <v>234.71</v>
      </c>
      <c r="M2789">
        <v>184.71</v>
      </c>
      <c r="N2789">
        <v>431857002</v>
      </c>
      <c r="O2789" t="s">
        <v>4125</v>
      </c>
    </row>
    <row r="2790" spans="1:15">
      <c r="A2790" t="s">
        <v>4248</v>
      </c>
      <c r="B2790" s="2">
        <v>44789.524699074071</v>
      </c>
      <c r="C2790" s="2">
        <v>44789.631643518522</v>
      </c>
      <c r="D2790" t="s">
        <v>585</v>
      </c>
      <c r="E2790" t="s">
        <v>3599</v>
      </c>
      <c r="F2790" t="s">
        <v>3600</v>
      </c>
      <c r="G2790" t="s">
        <v>1093</v>
      </c>
      <c r="H2790" t="s">
        <v>1031</v>
      </c>
      <c r="I2790">
        <v>185347001</v>
      </c>
      <c r="J2790" t="s">
        <v>1124</v>
      </c>
      <c r="K2790">
        <v>85.55</v>
      </c>
      <c r="L2790">
        <v>911.12</v>
      </c>
      <c r="M2790">
        <v>861.12</v>
      </c>
      <c r="N2790">
        <v>431857002</v>
      </c>
      <c r="O2790" t="s">
        <v>4125</v>
      </c>
    </row>
    <row r="2791" spans="1:15">
      <c r="A2791" t="s">
        <v>4249</v>
      </c>
      <c r="B2791" s="2">
        <v>44792.631643518522</v>
      </c>
      <c r="C2791" s="2">
        <v>44792.755949074075</v>
      </c>
      <c r="D2791" t="s">
        <v>585</v>
      </c>
      <c r="E2791" t="s">
        <v>3599</v>
      </c>
      <c r="F2791" t="s">
        <v>3600</v>
      </c>
      <c r="G2791" t="s">
        <v>1093</v>
      </c>
      <c r="H2791" t="s">
        <v>1031</v>
      </c>
      <c r="I2791">
        <v>185347001</v>
      </c>
      <c r="J2791" t="s">
        <v>1124</v>
      </c>
      <c r="K2791">
        <v>85.55</v>
      </c>
      <c r="L2791">
        <v>535.87</v>
      </c>
      <c r="M2791">
        <v>485.87</v>
      </c>
      <c r="N2791">
        <v>431857002</v>
      </c>
      <c r="O2791" t="s">
        <v>4125</v>
      </c>
    </row>
    <row r="2792" spans="1:15">
      <c r="A2792" t="s">
        <v>4250</v>
      </c>
      <c r="B2792" s="2">
        <v>44795.755949074075</v>
      </c>
      <c r="C2792" s="2">
        <v>44795.880949074075</v>
      </c>
      <c r="D2792" t="s">
        <v>585</v>
      </c>
      <c r="E2792" t="s">
        <v>3599</v>
      </c>
      <c r="F2792" t="s">
        <v>3600</v>
      </c>
      <c r="G2792" t="s">
        <v>1093</v>
      </c>
      <c r="H2792" t="s">
        <v>1031</v>
      </c>
      <c r="I2792">
        <v>185347001</v>
      </c>
      <c r="J2792" t="s">
        <v>1124</v>
      </c>
      <c r="K2792">
        <v>85.55</v>
      </c>
      <c r="L2792">
        <v>1449.62</v>
      </c>
      <c r="M2792">
        <v>1399.62</v>
      </c>
      <c r="N2792">
        <v>431857002</v>
      </c>
      <c r="O2792" t="s">
        <v>4125</v>
      </c>
    </row>
    <row r="2793" spans="1:15">
      <c r="A2793" t="s">
        <v>4251</v>
      </c>
      <c r="B2793" s="2">
        <v>44798.880949074075</v>
      </c>
      <c r="C2793" s="2">
        <v>44798.975393518522</v>
      </c>
      <c r="D2793" t="s">
        <v>585</v>
      </c>
      <c r="E2793" t="s">
        <v>3599</v>
      </c>
      <c r="F2793" t="s">
        <v>3600</v>
      </c>
      <c r="G2793" t="s">
        <v>1093</v>
      </c>
      <c r="H2793" t="s">
        <v>1031</v>
      </c>
      <c r="I2793">
        <v>185347001</v>
      </c>
      <c r="J2793" t="s">
        <v>1124</v>
      </c>
      <c r="K2793">
        <v>85.55</v>
      </c>
      <c r="L2793">
        <v>535.87</v>
      </c>
      <c r="M2793">
        <v>485.87</v>
      </c>
      <c r="N2793">
        <v>431857002</v>
      </c>
      <c r="O2793" t="s">
        <v>4125</v>
      </c>
    </row>
    <row r="2794" spans="1:15">
      <c r="A2794" t="s">
        <v>4252</v>
      </c>
      <c r="B2794" s="2">
        <v>44801.975393518522</v>
      </c>
      <c r="C2794" s="2">
        <v>44802.062199074076</v>
      </c>
      <c r="D2794" t="s">
        <v>585</v>
      </c>
      <c r="E2794" t="s">
        <v>3599</v>
      </c>
      <c r="F2794" t="s">
        <v>3600</v>
      </c>
      <c r="G2794" t="s">
        <v>1093</v>
      </c>
      <c r="H2794" t="s">
        <v>1031</v>
      </c>
      <c r="I2794">
        <v>185347001</v>
      </c>
      <c r="J2794" t="s">
        <v>1124</v>
      </c>
      <c r="K2794">
        <v>85.55</v>
      </c>
      <c r="L2794">
        <v>776.1</v>
      </c>
      <c r="M2794">
        <v>726.1</v>
      </c>
      <c r="N2794">
        <v>431857002</v>
      </c>
      <c r="O2794" t="s">
        <v>4125</v>
      </c>
    </row>
    <row r="2795" spans="1:15">
      <c r="A2795" t="s">
        <v>4253</v>
      </c>
      <c r="B2795" s="2">
        <v>44805.062199074076</v>
      </c>
      <c r="C2795" s="2">
        <v>44805.219837962963</v>
      </c>
      <c r="D2795" t="s">
        <v>585</v>
      </c>
      <c r="E2795" t="s">
        <v>3599</v>
      </c>
      <c r="F2795" t="s">
        <v>3600</v>
      </c>
      <c r="G2795" t="s">
        <v>1093</v>
      </c>
      <c r="H2795" t="s">
        <v>1031</v>
      </c>
      <c r="I2795">
        <v>185347001</v>
      </c>
      <c r="J2795" t="s">
        <v>1124</v>
      </c>
      <c r="K2795">
        <v>85.55</v>
      </c>
      <c r="L2795">
        <v>738.09</v>
      </c>
      <c r="M2795">
        <v>688.09</v>
      </c>
      <c r="N2795">
        <v>431857002</v>
      </c>
      <c r="O2795" t="s">
        <v>4125</v>
      </c>
    </row>
    <row r="2796" spans="1:15">
      <c r="A2796" t="s">
        <v>4254</v>
      </c>
      <c r="B2796" s="2">
        <v>44808.219837962963</v>
      </c>
      <c r="C2796" s="2">
        <v>44808.318449074075</v>
      </c>
      <c r="D2796" t="s">
        <v>585</v>
      </c>
      <c r="E2796" t="s">
        <v>3599</v>
      </c>
      <c r="F2796" t="s">
        <v>3600</v>
      </c>
      <c r="G2796" t="s">
        <v>1093</v>
      </c>
      <c r="H2796" t="s">
        <v>1031</v>
      </c>
      <c r="I2796">
        <v>185347001</v>
      </c>
      <c r="J2796" t="s">
        <v>1124</v>
      </c>
      <c r="K2796">
        <v>85.55</v>
      </c>
      <c r="L2796">
        <v>535.87</v>
      </c>
      <c r="M2796">
        <v>485.87</v>
      </c>
      <c r="N2796">
        <v>431857002</v>
      </c>
      <c r="O2796" t="s">
        <v>4125</v>
      </c>
    </row>
    <row r="2797" spans="1:15">
      <c r="A2797" t="s">
        <v>4255</v>
      </c>
      <c r="B2797" s="2">
        <v>44811.318449074075</v>
      </c>
      <c r="C2797" s="2">
        <v>44811.459421296298</v>
      </c>
      <c r="D2797" t="s">
        <v>585</v>
      </c>
      <c r="E2797" t="s">
        <v>3599</v>
      </c>
      <c r="F2797" t="s">
        <v>3600</v>
      </c>
      <c r="G2797" t="s">
        <v>1093</v>
      </c>
      <c r="H2797" t="s">
        <v>1031</v>
      </c>
      <c r="I2797">
        <v>185347001</v>
      </c>
      <c r="J2797" t="s">
        <v>1124</v>
      </c>
      <c r="K2797">
        <v>85.55</v>
      </c>
      <c r="L2797">
        <v>535.87</v>
      </c>
      <c r="M2797">
        <v>485.87</v>
      </c>
      <c r="N2797">
        <v>431857002</v>
      </c>
      <c r="O2797" t="s">
        <v>4125</v>
      </c>
    </row>
    <row r="2798" spans="1:15">
      <c r="A2798" t="s">
        <v>4256</v>
      </c>
      <c r="B2798" s="2">
        <v>44814.459421296298</v>
      </c>
      <c r="C2798" s="2">
        <v>44814.554560185185</v>
      </c>
      <c r="D2798" t="s">
        <v>585</v>
      </c>
      <c r="E2798" t="s">
        <v>3599</v>
      </c>
      <c r="F2798" t="s">
        <v>3600</v>
      </c>
      <c r="G2798" t="s">
        <v>1093</v>
      </c>
      <c r="H2798" t="s">
        <v>1031</v>
      </c>
      <c r="I2798">
        <v>185347001</v>
      </c>
      <c r="J2798" t="s">
        <v>1124</v>
      </c>
      <c r="K2798">
        <v>85.55</v>
      </c>
      <c r="L2798">
        <v>535.87</v>
      </c>
      <c r="M2798">
        <v>485.87</v>
      </c>
      <c r="N2798">
        <v>431857002</v>
      </c>
      <c r="O2798" t="s">
        <v>4125</v>
      </c>
    </row>
    <row r="2799" spans="1:15">
      <c r="A2799" t="s">
        <v>4257</v>
      </c>
      <c r="B2799" s="2">
        <v>44817.554560185185</v>
      </c>
      <c r="C2799" s="2">
        <v>44817.714282407411</v>
      </c>
      <c r="D2799" t="s">
        <v>585</v>
      </c>
      <c r="E2799" t="s">
        <v>3599</v>
      </c>
      <c r="F2799" t="s">
        <v>3600</v>
      </c>
      <c r="G2799" t="s">
        <v>1093</v>
      </c>
      <c r="H2799" t="s">
        <v>1031</v>
      </c>
      <c r="I2799">
        <v>185347001</v>
      </c>
      <c r="J2799" t="s">
        <v>1124</v>
      </c>
      <c r="K2799">
        <v>85.55</v>
      </c>
      <c r="L2799">
        <v>535.87</v>
      </c>
      <c r="M2799">
        <v>485.87</v>
      </c>
      <c r="N2799">
        <v>431857002</v>
      </c>
      <c r="O2799" t="s">
        <v>4125</v>
      </c>
    </row>
    <row r="2800" spans="1:15">
      <c r="A2800" t="s">
        <v>4258</v>
      </c>
      <c r="B2800" s="2">
        <v>44817.714282407411</v>
      </c>
      <c r="C2800" s="2">
        <v>44817.724699074075</v>
      </c>
      <c r="D2800" t="s">
        <v>585</v>
      </c>
      <c r="E2800" t="s">
        <v>3599</v>
      </c>
      <c r="F2800" t="s">
        <v>3600</v>
      </c>
      <c r="G2800" t="s">
        <v>1093</v>
      </c>
      <c r="H2800" t="s">
        <v>1031</v>
      </c>
      <c r="I2800">
        <v>185347001</v>
      </c>
      <c r="J2800" t="s">
        <v>1124</v>
      </c>
      <c r="K2800">
        <v>85.55</v>
      </c>
      <c r="L2800">
        <v>234.71</v>
      </c>
      <c r="M2800">
        <v>184.71</v>
      </c>
      <c r="N2800">
        <v>431857002</v>
      </c>
      <c r="O2800" t="s">
        <v>4125</v>
      </c>
    </row>
    <row r="2801" spans="1:15">
      <c r="A2801" t="s">
        <v>4259</v>
      </c>
      <c r="B2801" s="2">
        <v>44820.714282407411</v>
      </c>
      <c r="C2801" s="2">
        <v>44820.805254629631</v>
      </c>
      <c r="D2801" t="s">
        <v>585</v>
      </c>
      <c r="E2801" t="s">
        <v>3599</v>
      </c>
      <c r="F2801" t="s">
        <v>3600</v>
      </c>
      <c r="G2801" t="s">
        <v>1093</v>
      </c>
      <c r="H2801" t="s">
        <v>1031</v>
      </c>
      <c r="I2801">
        <v>185347001</v>
      </c>
      <c r="J2801" t="s">
        <v>1124</v>
      </c>
      <c r="K2801">
        <v>85.55</v>
      </c>
      <c r="L2801">
        <v>1791.03</v>
      </c>
      <c r="M2801">
        <v>1741.03</v>
      </c>
      <c r="N2801">
        <v>431857002</v>
      </c>
      <c r="O2801" t="s">
        <v>4125</v>
      </c>
    </row>
    <row r="2802" spans="1:15">
      <c r="A2802" t="s">
        <v>4260</v>
      </c>
      <c r="B2802" s="2">
        <v>44823.805254629631</v>
      </c>
      <c r="C2802" s="2">
        <v>44823.941365740742</v>
      </c>
      <c r="D2802" t="s">
        <v>585</v>
      </c>
      <c r="E2802" t="s">
        <v>3599</v>
      </c>
      <c r="F2802" t="s">
        <v>3600</v>
      </c>
      <c r="G2802" t="s">
        <v>1093</v>
      </c>
      <c r="H2802" t="s">
        <v>1031</v>
      </c>
      <c r="I2802">
        <v>185347001</v>
      </c>
      <c r="J2802" t="s">
        <v>1124</v>
      </c>
      <c r="K2802">
        <v>85.55</v>
      </c>
      <c r="L2802">
        <v>538.77</v>
      </c>
      <c r="M2802">
        <v>488.77</v>
      </c>
      <c r="N2802">
        <v>431857002</v>
      </c>
      <c r="O2802" t="s">
        <v>4125</v>
      </c>
    </row>
    <row r="2803" spans="1:15">
      <c r="A2803" t="s">
        <v>4261</v>
      </c>
      <c r="B2803" s="2">
        <v>44826.941365740742</v>
      </c>
      <c r="C2803" s="2">
        <v>44827.089282407411</v>
      </c>
      <c r="D2803" t="s">
        <v>585</v>
      </c>
      <c r="E2803" t="s">
        <v>3599</v>
      </c>
      <c r="F2803" t="s">
        <v>3600</v>
      </c>
      <c r="G2803" t="s">
        <v>1093</v>
      </c>
      <c r="H2803" t="s">
        <v>1031</v>
      </c>
      <c r="I2803">
        <v>185347001</v>
      </c>
      <c r="J2803" t="s">
        <v>1124</v>
      </c>
      <c r="K2803">
        <v>85.55</v>
      </c>
      <c r="L2803">
        <v>535.87</v>
      </c>
      <c r="M2803">
        <v>485.87</v>
      </c>
      <c r="N2803">
        <v>431857002</v>
      </c>
      <c r="O2803" t="s">
        <v>4125</v>
      </c>
    </row>
    <row r="2804" spans="1:15">
      <c r="A2804" t="s">
        <v>4262</v>
      </c>
      <c r="B2804" s="2">
        <v>44830.089282407411</v>
      </c>
      <c r="C2804" s="2">
        <v>44830.208726851852</v>
      </c>
      <c r="D2804" t="s">
        <v>585</v>
      </c>
      <c r="E2804" t="s">
        <v>3599</v>
      </c>
      <c r="F2804" t="s">
        <v>3600</v>
      </c>
      <c r="G2804" t="s">
        <v>1093</v>
      </c>
      <c r="H2804" t="s">
        <v>1031</v>
      </c>
      <c r="I2804">
        <v>185347001</v>
      </c>
      <c r="J2804" t="s">
        <v>1124</v>
      </c>
      <c r="K2804">
        <v>85.55</v>
      </c>
      <c r="L2804">
        <v>1791.03</v>
      </c>
      <c r="M2804">
        <v>1741.03</v>
      </c>
      <c r="N2804">
        <v>431857002</v>
      </c>
      <c r="O2804" t="s">
        <v>4125</v>
      </c>
    </row>
    <row r="2805" spans="1:15">
      <c r="A2805" t="s">
        <v>4263</v>
      </c>
      <c r="B2805" s="2">
        <v>44833.208726851852</v>
      </c>
      <c r="C2805" s="2">
        <v>44833.29483796296</v>
      </c>
      <c r="D2805" t="s">
        <v>585</v>
      </c>
      <c r="E2805" t="s">
        <v>3599</v>
      </c>
      <c r="F2805" t="s">
        <v>3600</v>
      </c>
      <c r="G2805" t="s">
        <v>1093</v>
      </c>
      <c r="H2805" t="s">
        <v>1031</v>
      </c>
      <c r="I2805">
        <v>185347001</v>
      </c>
      <c r="J2805" t="s">
        <v>1124</v>
      </c>
      <c r="K2805">
        <v>85.55</v>
      </c>
      <c r="L2805">
        <v>535.87</v>
      </c>
      <c r="M2805">
        <v>485.87</v>
      </c>
      <c r="N2805">
        <v>431857002</v>
      </c>
      <c r="O2805" t="s">
        <v>4125</v>
      </c>
    </row>
    <row r="2806" spans="1:15">
      <c r="A2806" t="s">
        <v>4264</v>
      </c>
      <c r="B2806" s="2">
        <v>44836.29483796296</v>
      </c>
      <c r="C2806" s="2">
        <v>44836.435115740744</v>
      </c>
      <c r="D2806" t="s">
        <v>585</v>
      </c>
      <c r="E2806" t="s">
        <v>3599</v>
      </c>
      <c r="F2806" t="s">
        <v>3600</v>
      </c>
      <c r="G2806" t="s">
        <v>1093</v>
      </c>
      <c r="H2806" t="s">
        <v>1031</v>
      </c>
      <c r="I2806">
        <v>185347001</v>
      </c>
      <c r="J2806" t="s">
        <v>1124</v>
      </c>
      <c r="K2806">
        <v>85.55</v>
      </c>
      <c r="L2806">
        <v>1462.95</v>
      </c>
      <c r="M2806">
        <v>1412.95</v>
      </c>
      <c r="N2806">
        <v>431857002</v>
      </c>
      <c r="O2806" t="s">
        <v>4125</v>
      </c>
    </row>
    <row r="2807" spans="1:15">
      <c r="A2807" t="s">
        <v>4265</v>
      </c>
      <c r="B2807" s="2">
        <v>44839.435115740744</v>
      </c>
      <c r="C2807" s="2">
        <v>44839.526087962964</v>
      </c>
      <c r="D2807" t="s">
        <v>585</v>
      </c>
      <c r="E2807" t="s">
        <v>3599</v>
      </c>
      <c r="F2807" t="s">
        <v>3600</v>
      </c>
      <c r="G2807" t="s">
        <v>1093</v>
      </c>
      <c r="H2807" t="s">
        <v>1031</v>
      </c>
      <c r="I2807">
        <v>185347001</v>
      </c>
      <c r="J2807" t="s">
        <v>1124</v>
      </c>
      <c r="K2807">
        <v>85.55</v>
      </c>
      <c r="L2807">
        <v>1791.03</v>
      </c>
      <c r="M2807">
        <v>1741.03</v>
      </c>
      <c r="N2807">
        <v>431857002</v>
      </c>
      <c r="O2807" t="s">
        <v>4125</v>
      </c>
    </row>
    <row r="2808" spans="1:15">
      <c r="A2808" t="s">
        <v>4266</v>
      </c>
      <c r="B2808" s="2">
        <v>44842.526087962964</v>
      </c>
      <c r="C2808" s="2">
        <v>44842.636504629627</v>
      </c>
      <c r="D2808" t="s">
        <v>585</v>
      </c>
      <c r="E2808" t="s">
        <v>3599</v>
      </c>
      <c r="F2808" t="s">
        <v>3600</v>
      </c>
      <c r="G2808" t="s">
        <v>1093</v>
      </c>
      <c r="H2808" t="s">
        <v>1031</v>
      </c>
      <c r="I2808">
        <v>185347001</v>
      </c>
      <c r="J2808" t="s">
        <v>1124</v>
      </c>
      <c r="K2808">
        <v>85.55</v>
      </c>
      <c r="L2808">
        <v>1791.03</v>
      </c>
      <c r="M2808">
        <v>1741.03</v>
      </c>
      <c r="N2808">
        <v>431857002</v>
      </c>
      <c r="O2808" t="s">
        <v>4125</v>
      </c>
    </row>
    <row r="2809" spans="1:15">
      <c r="A2809" t="s">
        <v>4267</v>
      </c>
      <c r="B2809" s="2">
        <v>44845.636504629627</v>
      </c>
      <c r="C2809" s="2">
        <v>44845.780949074076</v>
      </c>
      <c r="D2809" t="s">
        <v>585</v>
      </c>
      <c r="E2809" t="s">
        <v>3599</v>
      </c>
      <c r="F2809" t="s">
        <v>3600</v>
      </c>
      <c r="G2809" t="s">
        <v>1093</v>
      </c>
      <c r="H2809" t="s">
        <v>1031</v>
      </c>
      <c r="I2809">
        <v>185347001</v>
      </c>
      <c r="J2809" t="s">
        <v>1124</v>
      </c>
      <c r="K2809">
        <v>85.55</v>
      </c>
      <c r="L2809">
        <v>535.87</v>
      </c>
      <c r="M2809">
        <v>485.87</v>
      </c>
      <c r="N2809">
        <v>431857002</v>
      </c>
      <c r="O2809" t="s">
        <v>4125</v>
      </c>
    </row>
    <row r="2810" spans="1:15">
      <c r="A2810" t="s">
        <v>4268</v>
      </c>
      <c r="B2810" s="2">
        <v>44848.780949074076</v>
      </c>
      <c r="C2810" s="2">
        <v>44848.867060185185</v>
      </c>
      <c r="D2810" t="s">
        <v>585</v>
      </c>
      <c r="E2810" t="s">
        <v>3599</v>
      </c>
      <c r="F2810" t="s">
        <v>3600</v>
      </c>
      <c r="G2810" t="s">
        <v>1093</v>
      </c>
      <c r="H2810" t="s">
        <v>1031</v>
      </c>
      <c r="I2810">
        <v>185347001</v>
      </c>
      <c r="J2810" t="s">
        <v>1124</v>
      </c>
      <c r="K2810">
        <v>85.55</v>
      </c>
      <c r="L2810">
        <v>940.24</v>
      </c>
      <c r="M2810">
        <v>890.24</v>
      </c>
      <c r="N2810">
        <v>431857002</v>
      </c>
      <c r="O2810" t="s">
        <v>4125</v>
      </c>
    </row>
    <row r="2811" spans="1:15">
      <c r="A2811" t="s">
        <v>4269</v>
      </c>
      <c r="B2811" s="2">
        <v>44848.867060185185</v>
      </c>
      <c r="C2811" s="2">
        <v>44848.877476851849</v>
      </c>
      <c r="D2811" t="s">
        <v>585</v>
      </c>
      <c r="E2811" t="s">
        <v>3599</v>
      </c>
      <c r="F2811" t="s">
        <v>3600</v>
      </c>
      <c r="G2811" t="s">
        <v>1093</v>
      </c>
      <c r="H2811" t="s">
        <v>1031</v>
      </c>
      <c r="I2811">
        <v>185347001</v>
      </c>
      <c r="J2811" t="s">
        <v>1124</v>
      </c>
      <c r="K2811">
        <v>85.55</v>
      </c>
      <c r="L2811">
        <v>234.71</v>
      </c>
      <c r="M2811">
        <v>184.71</v>
      </c>
      <c r="N2811">
        <v>431857002</v>
      </c>
      <c r="O2811" t="s">
        <v>4125</v>
      </c>
    </row>
    <row r="2812" spans="1:15">
      <c r="A2812" t="s">
        <v>4270</v>
      </c>
      <c r="B2812" s="2">
        <v>44851.867060185185</v>
      </c>
      <c r="C2812" s="2">
        <v>44851.994143518517</v>
      </c>
      <c r="D2812" t="s">
        <v>585</v>
      </c>
      <c r="E2812" t="s">
        <v>3599</v>
      </c>
      <c r="F2812" t="s">
        <v>3600</v>
      </c>
      <c r="G2812" t="s">
        <v>1093</v>
      </c>
      <c r="H2812" t="s">
        <v>1031</v>
      </c>
      <c r="I2812">
        <v>185347001</v>
      </c>
      <c r="J2812" t="s">
        <v>1124</v>
      </c>
      <c r="K2812">
        <v>85.55</v>
      </c>
      <c r="L2812">
        <v>535.87</v>
      </c>
      <c r="M2812">
        <v>485.87</v>
      </c>
      <c r="N2812">
        <v>431857002</v>
      </c>
      <c r="O2812" t="s">
        <v>4125</v>
      </c>
    </row>
    <row r="2813" spans="1:15">
      <c r="A2813" t="s">
        <v>4271</v>
      </c>
      <c r="B2813" s="2">
        <v>44854.994143518517</v>
      </c>
      <c r="C2813" s="2">
        <v>44855.105949074074</v>
      </c>
      <c r="D2813" t="s">
        <v>585</v>
      </c>
      <c r="E2813" t="s">
        <v>3599</v>
      </c>
      <c r="F2813" t="s">
        <v>3600</v>
      </c>
      <c r="G2813" t="s">
        <v>1093</v>
      </c>
      <c r="H2813" t="s">
        <v>1031</v>
      </c>
      <c r="I2813">
        <v>185347001</v>
      </c>
      <c r="J2813" t="s">
        <v>1124</v>
      </c>
      <c r="K2813">
        <v>85.55</v>
      </c>
      <c r="L2813">
        <v>793.3</v>
      </c>
      <c r="M2813">
        <v>743.3</v>
      </c>
      <c r="N2813">
        <v>431857002</v>
      </c>
      <c r="O2813" t="s">
        <v>4125</v>
      </c>
    </row>
    <row r="2814" spans="1:15">
      <c r="A2814" t="s">
        <v>4272</v>
      </c>
      <c r="B2814" s="2">
        <v>44858.105949074074</v>
      </c>
      <c r="C2814" s="2">
        <v>44858.266365740739</v>
      </c>
      <c r="D2814" t="s">
        <v>585</v>
      </c>
      <c r="E2814" t="s">
        <v>3599</v>
      </c>
      <c r="F2814" t="s">
        <v>3600</v>
      </c>
      <c r="G2814" t="s">
        <v>1093</v>
      </c>
      <c r="H2814" t="s">
        <v>1031</v>
      </c>
      <c r="I2814">
        <v>185347001</v>
      </c>
      <c r="J2814" t="s">
        <v>1124</v>
      </c>
      <c r="K2814">
        <v>85.55</v>
      </c>
      <c r="L2814">
        <v>1054.3900000000001</v>
      </c>
      <c r="M2814">
        <v>1004.39</v>
      </c>
      <c r="N2814">
        <v>431857002</v>
      </c>
      <c r="O2814" t="s">
        <v>4125</v>
      </c>
    </row>
    <row r="2815" spans="1:15">
      <c r="A2815" t="s">
        <v>4273</v>
      </c>
      <c r="B2815" s="2">
        <v>44867.117754629631</v>
      </c>
      <c r="C2815" s="2">
        <v>44867.157152777778</v>
      </c>
      <c r="D2815" t="s">
        <v>585</v>
      </c>
      <c r="E2815" t="s">
        <v>3599</v>
      </c>
      <c r="F2815" t="s">
        <v>3600</v>
      </c>
      <c r="G2815" t="s">
        <v>1019</v>
      </c>
      <c r="H2815" t="s">
        <v>1043</v>
      </c>
      <c r="I2815">
        <v>185349003</v>
      </c>
      <c r="J2815" t="s">
        <v>1038</v>
      </c>
      <c r="K2815">
        <v>85.55</v>
      </c>
      <c r="L2815">
        <v>1394.09</v>
      </c>
      <c r="M2815">
        <v>0</v>
      </c>
      <c r="O2815" t="s">
        <v>34</v>
      </c>
    </row>
    <row r="2816" spans="1:15">
      <c r="A2816" t="s">
        <v>4274</v>
      </c>
      <c r="B2816" s="2">
        <v>44874.07608796296</v>
      </c>
      <c r="C2816" s="2">
        <v>44874.086504629631</v>
      </c>
      <c r="D2816" t="s">
        <v>585</v>
      </c>
      <c r="E2816" t="s">
        <v>3599</v>
      </c>
      <c r="F2816" t="s">
        <v>3600</v>
      </c>
      <c r="G2816" t="s">
        <v>1019</v>
      </c>
      <c r="H2816" t="s">
        <v>1043</v>
      </c>
      <c r="I2816">
        <v>185349003</v>
      </c>
      <c r="J2816" t="s">
        <v>1038</v>
      </c>
      <c r="K2816">
        <v>85.55</v>
      </c>
      <c r="L2816">
        <v>637.5</v>
      </c>
      <c r="M2816">
        <v>0</v>
      </c>
      <c r="O2816" t="s">
        <v>34</v>
      </c>
    </row>
    <row r="2817" spans="1:15">
      <c r="A2817" t="s">
        <v>4275</v>
      </c>
      <c r="B2817" s="2">
        <v>44881.07608796296</v>
      </c>
      <c r="C2817" s="2">
        <v>44881.203865740739</v>
      </c>
      <c r="D2817" t="s">
        <v>585</v>
      </c>
      <c r="E2817" t="s">
        <v>3599</v>
      </c>
      <c r="F2817" t="s">
        <v>3600</v>
      </c>
      <c r="G2817" t="s">
        <v>1019</v>
      </c>
      <c r="H2817" t="s">
        <v>1031</v>
      </c>
      <c r="I2817">
        <v>185347001</v>
      </c>
      <c r="J2817" t="s">
        <v>1124</v>
      </c>
      <c r="K2817">
        <v>85.55</v>
      </c>
      <c r="L2817">
        <v>1525.21</v>
      </c>
      <c r="M2817">
        <v>0</v>
      </c>
      <c r="N2817">
        <v>431857002</v>
      </c>
      <c r="O2817" t="s">
        <v>4125</v>
      </c>
    </row>
    <row r="2818" spans="1:15">
      <c r="A2818" t="s">
        <v>4276</v>
      </c>
      <c r="B2818" s="2">
        <v>44881.203865740739</v>
      </c>
      <c r="C2818" s="2">
        <v>44881.214282407411</v>
      </c>
      <c r="D2818" t="s">
        <v>585</v>
      </c>
      <c r="E2818" t="s">
        <v>3599</v>
      </c>
      <c r="F2818" t="s">
        <v>3600</v>
      </c>
      <c r="G2818" t="s">
        <v>1019</v>
      </c>
      <c r="H2818" t="s">
        <v>1031</v>
      </c>
      <c r="I2818">
        <v>185347001</v>
      </c>
      <c r="J2818" t="s">
        <v>1124</v>
      </c>
      <c r="K2818">
        <v>85.55</v>
      </c>
      <c r="L2818">
        <v>234.71</v>
      </c>
      <c r="M2818">
        <v>0</v>
      </c>
      <c r="N2818">
        <v>431857002</v>
      </c>
      <c r="O2818" t="s">
        <v>4125</v>
      </c>
    </row>
    <row r="2819" spans="1:15">
      <c r="A2819" t="s">
        <v>4277</v>
      </c>
      <c r="B2819" s="2">
        <v>44884.203865740739</v>
      </c>
      <c r="C2819" s="2">
        <v>44884.346921296295</v>
      </c>
      <c r="D2819" t="s">
        <v>585</v>
      </c>
      <c r="E2819" t="s">
        <v>3599</v>
      </c>
      <c r="F2819" t="s">
        <v>3600</v>
      </c>
      <c r="G2819" t="s">
        <v>1019</v>
      </c>
      <c r="H2819" t="s">
        <v>1031</v>
      </c>
      <c r="I2819">
        <v>185347001</v>
      </c>
      <c r="J2819" t="s">
        <v>1124</v>
      </c>
      <c r="K2819">
        <v>85.55</v>
      </c>
      <c r="L2819">
        <v>535.87</v>
      </c>
      <c r="M2819">
        <v>0</v>
      </c>
      <c r="N2819">
        <v>431857002</v>
      </c>
      <c r="O2819" t="s">
        <v>4125</v>
      </c>
    </row>
    <row r="2820" spans="1:15">
      <c r="A2820" t="s">
        <v>4278</v>
      </c>
      <c r="B2820" s="2">
        <v>44887.346921296295</v>
      </c>
      <c r="C2820" s="2">
        <v>44887.476782407408</v>
      </c>
      <c r="D2820" t="s">
        <v>585</v>
      </c>
      <c r="E2820" t="s">
        <v>3599</v>
      </c>
      <c r="F2820" t="s">
        <v>3600</v>
      </c>
      <c r="G2820" t="s">
        <v>1019</v>
      </c>
      <c r="H2820" t="s">
        <v>1031</v>
      </c>
      <c r="I2820">
        <v>185347001</v>
      </c>
      <c r="J2820" t="s">
        <v>1124</v>
      </c>
      <c r="K2820">
        <v>85.55</v>
      </c>
      <c r="L2820">
        <v>925.24</v>
      </c>
      <c r="M2820">
        <v>0</v>
      </c>
      <c r="N2820">
        <v>431857002</v>
      </c>
      <c r="O2820" t="s">
        <v>4125</v>
      </c>
    </row>
    <row r="2821" spans="1:15">
      <c r="A2821" t="s">
        <v>4279</v>
      </c>
      <c r="B2821" s="2">
        <v>44890.476782407408</v>
      </c>
      <c r="C2821" s="2">
        <v>44890.619837962964</v>
      </c>
      <c r="D2821" t="s">
        <v>585</v>
      </c>
      <c r="E2821" t="s">
        <v>3599</v>
      </c>
      <c r="F2821" t="s">
        <v>3600</v>
      </c>
      <c r="G2821" t="s">
        <v>1019</v>
      </c>
      <c r="H2821" t="s">
        <v>1031</v>
      </c>
      <c r="I2821">
        <v>185347001</v>
      </c>
      <c r="J2821" t="s">
        <v>1124</v>
      </c>
      <c r="K2821">
        <v>85.55</v>
      </c>
      <c r="L2821">
        <v>535.87</v>
      </c>
      <c r="M2821">
        <v>0</v>
      </c>
      <c r="N2821">
        <v>431857002</v>
      </c>
      <c r="O2821" t="s">
        <v>4125</v>
      </c>
    </row>
    <row r="2822" spans="1:15">
      <c r="A2822" t="s">
        <v>4280</v>
      </c>
      <c r="B2822" s="2">
        <v>44893.619837962964</v>
      </c>
      <c r="C2822" s="2">
        <v>44893.7031712963</v>
      </c>
      <c r="D2822" t="s">
        <v>585</v>
      </c>
      <c r="E2822" t="s">
        <v>3599</v>
      </c>
      <c r="F2822" t="s">
        <v>3600</v>
      </c>
      <c r="G2822" t="s">
        <v>1019</v>
      </c>
      <c r="H2822" t="s">
        <v>1031</v>
      </c>
      <c r="I2822">
        <v>185347001</v>
      </c>
      <c r="J2822" t="s">
        <v>1124</v>
      </c>
      <c r="K2822">
        <v>85.55</v>
      </c>
      <c r="L2822">
        <v>535.87</v>
      </c>
      <c r="M2822">
        <v>0</v>
      </c>
      <c r="N2822">
        <v>431857002</v>
      </c>
      <c r="O2822" t="s">
        <v>4125</v>
      </c>
    </row>
    <row r="2823" spans="1:15">
      <c r="A2823" t="s">
        <v>4281</v>
      </c>
      <c r="B2823" s="2">
        <v>44896.7031712963</v>
      </c>
      <c r="C2823" s="2">
        <v>44896.813587962963</v>
      </c>
      <c r="D2823" t="s">
        <v>585</v>
      </c>
      <c r="E2823" t="s">
        <v>3599</v>
      </c>
      <c r="F2823" t="s">
        <v>3600</v>
      </c>
      <c r="G2823" t="s">
        <v>1019</v>
      </c>
      <c r="H2823" t="s">
        <v>1031</v>
      </c>
      <c r="I2823">
        <v>185347001</v>
      </c>
      <c r="J2823" t="s">
        <v>1124</v>
      </c>
      <c r="K2823">
        <v>85.55</v>
      </c>
      <c r="L2823">
        <v>997.41</v>
      </c>
      <c r="M2823">
        <v>0</v>
      </c>
      <c r="N2823">
        <v>431857002</v>
      </c>
      <c r="O2823" t="s">
        <v>4125</v>
      </c>
    </row>
    <row r="2824" spans="1:15">
      <c r="A2824" t="s">
        <v>4282</v>
      </c>
      <c r="B2824" s="2">
        <v>44899.813587962963</v>
      </c>
      <c r="C2824" s="2">
        <v>44899.9219212963</v>
      </c>
      <c r="D2824" t="s">
        <v>585</v>
      </c>
      <c r="E2824" t="s">
        <v>3599</v>
      </c>
      <c r="F2824" t="s">
        <v>3600</v>
      </c>
      <c r="G2824" t="s">
        <v>1019</v>
      </c>
      <c r="H2824" t="s">
        <v>1031</v>
      </c>
      <c r="I2824">
        <v>185347001</v>
      </c>
      <c r="J2824" t="s">
        <v>1124</v>
      </c>
      <c r="K2824">
        <v>85.55</v>
      </c>
      <c r="L2824">
        <v>1791.03</v>
      </c>
      <c r="M2824">
        <v>0</v>
      </c>
      <c r="N2824">
        <v>431857002</v>
      </c>
      <c r="O2824" t="s">
        <v>4125</v>
      </c>
    </row>
    <row r="2825" spans="1:15">
      <c r="A2825" t="s">
        <v>4283</v>
      </c>
      <c r="B2825" s="2">
        <v>44909.07608796296</v>
      </c>
      <c r="C2825" s="2">
        <v>44909.115567129629</v>
      </c>
      <c r="D2825" t="s">
        <v>585</v>
      </c>
      <c r="E2825" t="s">
        <v>3599</v>
      </c>
      <c r="F2825" t="s">
        <v>3600</v>
      </c>
      <c r="G2825" t="s">
        <v>1019</v>
      </c>
      <c r="H2825" t="s">
        <v>1043</v>
      </c>
      <c r="I2825">
        <v>185349003</v>
      </c>
      <c r="J2825" t="s">
        <v>1038</v>
      </c>
      <c r="K2825">
        <v>85.55</v>
      </c>
      <c r="L2825">
        <v>1409.25</v>
      </c>
      <c r="M2825">
        <v>0</v>
      </c>
      <c r="O2825" t="s">
        <v>34</v>
      </c>
    </row>
    <row r="2826" spans="1:15">
      <c r="A2826" t="s">
        <v>4284</v>
      </c>
      <c r="B2826" s="2">
        <v>44916.07608796296</v>
      </c>
      <c r="C2826" s="2">
        <v>44916.20039351852</v>
      </c>
      <c r="D2826" t="s">
        <v>585</v>
      </c>
      <c r="E2826" t="s">
        <v>3599</v>
      </c>
      <c r="F2826" t="s">
        <v>3600</v>
      </c>
      <c r="G2826" t="s">
        <v>1019</v>
      </c>
      <c r="H2826" t="s">
        <v>1031</v>
      </c>
      <c r="I2826">
        <v>185347001</v>
      </c>
      <c r="J2826" t="s">
        <v>1124</v>
      </c>
      <c r="K2826">
        <v>85.55</v>
      </c>
      <c r="L2826">
        <v>537.23</v>
      </c>
      <c r="M2826">
        <v>0</v>
      </c>
      <c r="N2826">
        <v>431857002</v>
      </c>
      <c r="O2826" t="s">
        <v>4125</v>
      </c>
    </row>
    <row r="2827" spans="1:15">
      <c r="A2827" t="s">
        <v>4285</v>
      </c>
      <c r="B2827" s="2">
        <v>44916.20039351852</v>
      </c>
      <c r="C2827" s="2">
        <v>44916.210810185185</v>
      </c>
      <c r="D2827" t="s">
        <v>585</v>
      </c>
      <c r="E2827" t="s">
        <v>3599</v>
      </c>
      <c r="F2827" t="s">
        <v>3600</v>
      </c>
      <c r="G2827" t="s">
        <v>1019</v>
      </c>
      <c r="H2827" t="s">
        <v>1031</v>
      </c>
      <c r="I2827">
        <v>185347001</v>
      </c>
      <c r="J2827" t="s">
        <v>1124</v>
      </c>
      <c r="K2827">
        <v>85.55</v>
      </c>
      <c r="L2827">
        <v>234.71</v>
      </c>
      <c r="M2827">
        <v>0</v>
      </c>
      <c r="N2827">
        <v>431857002</v>
      </c>
      <c r="O2827" t="s">
        <v>4125</v>
      </c>
    </row>
    <row r="2828" spans="1:15">
      <c r="A2828" t="s">
        <v>4286</v>
      </c>
      <c r="B2828" s="2">
        <v>44919.20039351852</v>
      </c>
      <c r="C2828" s="2">
        <v>44919.2969212963</v>
      </c>
      <c r="D2828" t="s">
        <v>585</v>
      </c>
      <c r="E2828" t="s">
        <v>3599</v>
      </c>
      <c r="F2828" t="s">
        <v>3600</v>
      </c>
      <c r="G2828" t="s">
        <v>1019</v>
      </c>
      <c r="H2828" t="s">
        <v>1031</v>
      </c>
      <c r="I2828">
        <v>185347001</v>
      </c>
      <c r="J2828" t="s">
        <v>1124</v>
      </c>
      <c r="K2828">
        <v>85.55</v>
      </c>
      <c r="L2828">
        <v>649.44000000000005</v>
      </c>
      <c r="M2828">
        <v>0</v>
      </c>
      <c r="N2828">
        <v>431857002</v>
      </c>
      <c r="O2828" t="s">
        <v>4125</v>
      </c>
    </row>
    <row r="2829" spans="1:15">
      <c r="A2829" t="s">
        <v>4287</v>
      </c>
      <c r="B2829" s="2">
        <v>44922.2969212963</v>
      </c>
      <c r="C2829" s="2">
        <v>44922.380949074075</v>
      </c>
      <c r="D2829" t="s">
        <v>585</v>
      </c>
      <c r="E2829" t="s">
        <v>3599</v>
      </c>
      <c r="F2829" t="s">
        <v>3600</v>
      </c>
      <c r="G2829" t="s">
        <v>1019</v>
      </c>
      <c r="H2829" t="s">
        <v>1031</v>
      </c>
      <c r="I2829">
        <v>185347001</v>
      </c>
      <c r="J2829" t="s">
        <v>1124</v>
      </c>
      <c r="K2829">
        <v>85.55</v>
      </c>
      <c r="L2829">
        <v>1791.03</v>
      </c>
      <c r="M2829">
        <v>0</v>
      </c>
      <c r="N2829">
        <v>431857002</v>
      </c>
      <c r="O2829" t="s">
        <v>4125</v>
      </c>
    </row>
    <row r="2830" spans="1:15">
      <c r="A2830" t="s">
        <v>4288</v>
      </c>
      <c r="B2830" s="2">
        <v>44930.07608796296</v>
      </c>
      <c r="C2830" s="2">
        <v>44930.216273148151</v>
      </c>
      <c r="D2830" t="s">
        <v>585</v>
      </c>
      <c r="E2830" t="s">
        <v>3599</v>
      </c>
      <c r="F2830" t="s">
        <v>3600</v>
      </c>
      <c r="G2830" t="s">
        <v>1019</v>
      </c>
      <c r="H2830" t="s">
        <v>1031</v>
      </c>
      <c r="I2830">
        <v>185349003</v>
      </c>
      <c r="J2830" t="s">
        <v>1038</v>
      </c>
      <c r="K2830">
        <v>85.55</v>
      </c>
      <c r="L2830">
        <v>3536.75</v>
      </c>
      <c r="M2830">
        <v>0</v>
      </c>
      <c r="N2830">
        <v>66383009</v>
      </c>
      <c r="O2830" t="s">
        <v>1209</v>
      </c>
    </row>
    <row r="2831" spans="1:15">
      <c r="A2831" t="s">
        <v>4289</v>
      </c>
      <c r="B2831" s="2">
        <v>44937.07608796296</v>
      </c>
      <c r="C2831" s="2">
        <v>44937.194837962961</v>
      </c>
      <c r="D2831" t="s">
        <v>585</v>
      </c>
      <c r="E2831" t="s">
        <v>3599</v>
      </c>
      <c r="F2831" t="s">
        <v>3600</v>
      </c>
      <c r="G2831" t="s">
        <v>1019</v>
      </c>
      <c r="H2831" t="s">
        <v>1031</v>
      </c>
      <c r="I2831">
        <v>185347001</v>
      </c>
      <c r="J2831" t="s">
        <v>1124</v>
      </c>
      <c r="K2831">
        <v>85.55</v>
      </c>
      <c r="L2831">
        <v>1305.96</v>
      </c>
      <c r="M2831">
        <v>0</v>
      </c>
      <c r="N2831">
        <v>431857002</v>
      </c>
      <c r="O2831" t="s">
        <v>4125</v>
      </c>
    </row>
    <row r="2832" spans="1:15">
      <c r="A2832" t="s">
        <v>4290</v>
      </c>
      <c r="B2832" s="2">
        <v>44940.194837962961</v>
      </c>
      <c r="C2832" s="2">
        <v>44940.280949074076</v>
      </c>
      <c r="D2832" t="s">
        <v>585</v>
      </c>
      <c r="E2832" t="s">
        <v>3599</v>
      </c>
      <c r="F2832" t="s">
        <v>3600</v>
      </c>
      <c r="G2832" t="s">
        <v>1019</v>
      </c>
      <c r="H2832" t="s">
        <v>1031</v>
      </c>
      <c r="I2832">
        <v>185347001</v>
      </c>
      <c r="J2832" t="s">
        <v>1124</v>
      </c>
      <c r="K2832">
        <v>85.55</v>
      </c>
      <c r="L2832">
        <v>535.87</v>
      </c>
      <c r="M2832">
        <v>0</v>
      </c>
      <c r="N2832">
        <v>431857002</v>
      </c>
      <c r="O2832" t="s">
        <v>4125</v>
      </c>
    </row>
    <row r="2833" spans="1:15">
      <c r="A2833" t="s">
        <v>4291</v>
      </c>
      <c r="B2833" s="2">
        <v>44943.280949074076</v>
      </c>
      <c r="C2833" s="2">
        <v>44943.415671296294</v>
      </c>
      <c r="D2833" t="s">
        <v>585</v>
      </c>
      <c r="E2833" t="s">
        <v>3599</v>
      </c>
      <c r="F2833" t="s">
        <v>3600</v>
      </c>
      <c r="G2833" t="s">
        <v>1019</v>
      </c>
      <c r="H2833" t="s">
        <v>1031</v>
      </c>
      <c r="I2833">
        <v>185347001</v>
      </c>
      <c r="J2833" t="s">
        <v>1124</v>
      </c>
      <c r="K2833">
        <v>85.55</v>
      </c>
      <c r="L2833">
        <v>535.87</v>
      </c>
      <c r="M2833">
        <v>0</v>
      </c>
      <c r="N2833">
        <v>431857002</v>
      </c>
      <c r="O2833" t="s">
        <v>4125</v>
      </c>
    </row>
    <row r="2834" spans="1:15">
      <c r="A2834" t="s">
        <v>4292</v>
      </c>
      <c r="B2834" s="2">
        <v>44951.07608796296</v>
      </c>
      <c r="C2834" s="2">
        <v>44951.107256944444</v>
      </c>
      <c r="D2834" t="s">
        <v>585</v>
      </c>
      <c r="E2834" t="s">
        <v>3700</v>
      </c>
      <c r="F2834" t="s">
        <v>3701</v>
      </c>
      <c r="G2834" t="s">
        <v>1019</v>
      </c>
      <c r="H2834" t="s">
        <v>1159</v>
      </c>
      <c r="I2834">
        <v>702927004</v>
      </c>
      <c r="J2834" t="s">
        <v>1160</v>
      </c>
      <c r="K2834">
        <v>142.58000000000001</v>
      </c>
      <c r="L2834">
        <v>872.3</v>
      </c>
      <c r="M2834">
        <v>0</v>
      </c>
      <c r="O2834" t="s">
        <v>34</v>
      </c>
    </row>
    <row r="2835" spans="1:15">
      <c r="A2835" t="s">
        <v>4293</v>
      </c>
      <c r="B2835" s="2">
        <v>44958.07608796296</v>
      </c>
      <c r="C2835" s="2">
        <v>44958.212199074071</v>
      </c>
      <c r="D2835" t="s">
        <v>585</v>
      </c>
      <c r="E2835" t="s">
        <v>3599</v>
      </c>
      <c r="F2835" t="s">
        <v>3600</v>
      </c>
      <c r="G2835" t="s">
        <v>1019</v>
      </c>
      <c r="H2835" t="s">
        <v>1031</v>
      </c>
      <c r="I2835">
        <v>185347001</v>
      </c>
      <c r="J2835" t="s">
        <v>1124</v>
      </c>
      <c r="K2835">
        <v>85.55</v>
      </c>
      <c r="L2835">
        <v>565.1</v>
      </c>
      <c r="M2835">
        <v>0</v>
      </c>
      <c r="N2835">
        <v>431857002</v>
      </c>
      <c r="O2835" t="s">
        <v>4125</v>
      </c>
    </row>
    <row r="2836" spans="1:15">
      <c r="A2836" t="s">
        <v>4294</v>
      </c>
      <c r="B2836" s="2">
        <v>44958.212199074071</v>
      </c>
      <c r="C2836" s="2">
        <v>44958.222615740742</v>
      </c>
      <c r="D2836" t="s">
        <v>585</v>
      </c>
      <c r="E2836" t="s">
        <v>3599</v>
      </c>
      <c r="F2836" t="s">
        <v>3600</v>
      </c>
      <c r="G2836" t="s">
        <v>1019</v>
      </c>
      <c r="H2836" t="s">
        <v>1031</v>
      </c>
      <c r="I2836">
        <v>185347001</v>
      </c>
      <c r="J2836" t="s">
        <v>1124</v>
      </c>
      <c r="K2836">
        <v>85.55</v>
      </c>
      <c r="L2836">
        <v>234.71</v>
      </c>
      <c r="M2836">
        <v>0</v>
      </c>
      <c r="N2836">
        <v>431857002</v>
      </c>
      <c r="O2836" t="s">
        <v>4125</v>
      </c>
    </row>
    <row r="2837" spans="1:15">
      <c r="A2837" t="s">
        <v>4295</v>
      </c>
      <c r="B2837" s="2">
        <v>44961.212199074071</v>
      </c>
      <c r="C2837" s="2">
        <v>44961.361504629633</v>
      </c>
      <c r="D2837" t="s">
        <v>585</v>
      </c>
      <c r="E2837" t="s">
        <v>3599</v>
      </c>
      <c r="F2837" t="s">
        <v>3600</v>
      </c>
      <c r="G2837" t="s">
        <v>1019</v>
      </c>
      <c r="H2837" t="s">
        <v>1031</v>
      </c>
      <c r="I2837">
        <v>185347001</v>
      </c>
      <c r="J2837" t="s">
        <v>1124</v>
      </c>
      <c r="K2837">
        <v>85.55</v>
      </c>
      <c r="L2837">
        <v>1791.03</v>
      </c>
      <c r="M2837">
        <v>0</v>
      </c>
      <c r="N2837">
        <v>431857002</v>
      </c>
      <c r="O2837" t="s">
        <v>4125</v>
      </c>
    </row>
    <row r="2838" spans="1:15">
      <c r="A2838" t="s">
        <v>4296</v>
      </c>
      <c r="B2838" s="2">
        <v>44964.361504629633</v>
      </c>
      <c r="C2838" s="2">
        <v>44964.487893518519</v>
      </c>
      <c r="D2838" t="s">
        <v>585</v>
      </c>
      <c r="E2838" t="s">
        <v>3599</v>
      </c>
      <c r="F2838" t="s">
        <v>3600</v>
      </c>
      <c r="G2838" t="s">
        <v>1019</v>
      </c>
      <c r="H2838" t="s">
        <v>1031</v>
      </c>
      <c r="I2838">
        <v>185347001</v>
      </c>
      <c r="J2838" t="s">
        <v>1124</v>
      </c>
      <c r="K2838">
        <v>85.55</v>
      </c>
      <c r="L2838">
        <v>642.54</v>
      </c>
      <c r="M2838">
        <v>0</v>
      </c>
      <c r="N2838">
        <v>431857002</v>
      </c>
      <c r="O2838" t="s">
        <v>4125</v>
      </c>
    </row>
    <row r="2839" spans="1:15">
      <c r="A2839" t="s">
        <v>4297</v>
      </c>
      <c r="B2839" s="2">
        <v>44972.07608796296</v>
      </c>
      <c r="C2839" s="2">
        <v>44972.108587962961</v>
      </c>
      <c r="D2839" t="s">
        <v>585</v>
      </c>
      <c r="E2839" t="s">
        <v>3599</v>
      </c>
      <c r="F2839" t="s">
        <v>3600</v>
      </c>
      <c r="G2839" t="s">
        <v>1019</v>
      </c>
      <c r="H2839" t="s">
        <v>1043</v>
      </c>
      <c r="I2839">
        <v>185349003</v>
      </c>
      <c r="J2839" t="s">
        <v>1038</v>
      </c>
      <c r="K2839">
        <v>85.55</v>
      </c>
      <c r="L2839">
        <v>815.27</v>
      </c>
      <c r="M2839">
        <v>0</v>
      </c>
      <c r="O2839" t="s">
        <v>34</v>
      </c>
    </row>
    <row r="2840" spans="1:15">
      <c r="A2840" t="s">
        <v>4298</v>
      </c>
      <c r="B2840" s="2">
        <v>44979.07608796296</v>
      </c>
      <c r="C2840" s="2">
        <v>44979.167754629627</v>
      </c>
      <c r="D2840" t="s">
        <v>585</v>
      </c>
      <c r="E2840" t="s">
        <v>3599</v>
      </c>
      <c r="F2840" t="s">
        <v>3600</v>
      </c>
      <c r="G2840" t="s">
        <v>1019</v>
      </c>
      <c r="H2840" t="s">
        <v>1031</v>
      </c>
      <c r="I2840">
        <v>185347001</v>
      </c>
      <c r="J2840" t="s">
        <v>1124</v>
      </c>
      <c r="K2840">
        <v>85.55</v>
      </c>
      <c r="L2840">
        <v>760.87</v>
      </c>
      <c r="M2840">
        <v>0</v>
      </c>
      <c r="N2840">
        <v>431857002</v>
      </c>
      <c r="O2840" t="s">
        <v>4125</v>
      </c>
    </row>
    <row r="2841" spans="1:15">
      <c r="A2841" t="s">
        <v>4299</v>
      </c>
      <c r="B2841" s="2">
        <v>44982.167754629627</v>
      </c>
      <c r="C2841" s="2">
        <v>44982.275393518517</v>
      </c>
      <c r="D2841" t="s">
        <v>585</v>
      </c>
      <c r="E2841" t="s">
        <v>3599</v>
      </c>
      <c r="F2841" t="s">
        <v>3600</v>
      </c>
      <c r="G2841" t="s">
        <v>1019</v>
      </c>
      <c r="H2841" t="s">
        <v>1031</v>
      </c>
      <c r="I2841">
        <v>185347001</v>
      </c>
      <c r="J2841" t="s">
        <v>1124</v>
      </c>
      <c r="K2841">
        <v>85.55</v>
      </c>
      <c r="L2841">
        <v>1791.03</v>
      </c>
      <c r="M2841">
        <v>0</v>
      </c>
      <c r="N2841">
        <v>431857002</v>
      </c>
      <c r="O2841" t="s">
        <v>4125</v>
      </c>
    </row>
    <row r="2842" spans="1:15">
      <c r="A2842" t="s">
        <v>4300</v>
      </c>
      <c r="B2842" s="2">
        <v>44985.275393518517</v>
      </c>
      <c r="C2842" s="2">
        <v>44985.432337962964</v>
      </c>
      <c r="D2842" t="s">
        <v>585</v>
      </c>
      <c r="E2842" t="s">
        <v>3599</v>
      </c>
      <c r="F2842" t="s">
        <v>3600</v>
      </c>
      <c r="G2842" t="s">
        <v>1019</v>
      </c>
      <c r="H2842" t="s">
        <v>1031</v>
      </c>
      <c r="I2842">
        <v>185347001</v>
      </c>
      <c r="J2842" t="s">
        <v>1124</v>
      </c>
      <c r="K2842">
        <v>85.55</v>
      </c>
      <c r="L2842">
        <v>1791.03</v>
      </c>
      <c r="M2842">
        <v>0</v>
      </c>
      <c r="N2842">
        <v>431857002</v>
      </c>
      <c r="O2842" t="s">
        <v>4125</v>
      </c>
    </row>
    <row r="2843" spans="1:15">
      <c r="A2843" t="s">
        <v>4301</v>
      </c>
      <c r="B2843" s="2">
        <v>44993.07608796296</v>
      </c>
      <c r="C2843" s="2">
        <v>44993.340509259258</v>
      </c>
      <c r="D2843" t="s">
        <v>585</v>
      </c>
      <c r="E2843" t="s">
        <v>3599</v>
      </c>
      <c r="F2843" t="s">
        <v>3600</v>
      </c>
      <c r="G2843" t="s">
        <v>1019</v>
      </c>
      <c r="H2843" t="s">
        <v>1031</v>
      </c>
      <c r="I2843">
        <v>185349003</v>
      </c>
      <c r="J2843" t="s">
        <v>1038</v>
      </c>
      <c r="K2843">
        <v>85.55</v>
      </c>
      <c r="L2843">
        <v>5262.35</v>
      </c>
      <c r="M2843">
        <v>0</v>
      </c>
      <c r="N2843">
        <v>66383009</v>
      </c>
      <c r="O2843" t="s">
        <v>1209</v>
      </c>
    </row>
    <row r="2844" spans="1:15">
      <c r="A2844" t="s">
        <v>4302</v>
      </c>
      <c r="B2844" s="2">
        <v>45000.117754629631</v>
      </c>
      <c r="C2844" s="2">
        <v>45000.247615740744</v>
      </c>
      <c r="D2844" t="s">
        <v>585</v>
      </c>
      <c r="E2844" t="s">
        <v>3599</v>
      </c>
      <c r="F2844" t="s">
        <v>3600</v>
      </c>
      <c r="G2844" t="s">
        <v>1019</v>
      </c>
      <c r="H2844" t="s">
        <v>1031</v>
      </c>
      <c r="I2844">
        <v>185347001</v>
      </c>
      <c r="J2844" t="s">
        <v>1124</v>
      </c>
      <c r="K2844">
        <v>85.55</v>
      </c>
      <c r="L2844">
        <v>702.62</v>
      </c>
      <c r="M2844">
        <v>0</v>
      </c>
      <c r="N2844">
        <v>431857002</v>
      </c>
      <c r="O2844" t="s">
        <v>4125</v>
      </c>
    </row>
    <row r="2845" spans="1:15">
      <c r="A2845" t="s">
        <v>4303</v>
      </c>
      <c r="B2845" s="2">
        <v>45000.247615740744</v>
      </c>
      <c r="C2845" s="2">
        <v>45000.258032407408</v>
      </c>
      <c r="D2845" t="s">
        <v>585</v>
      </c>
      <c r="E2845" t="s">
        <v>3599</v>
      </c>
      <c r="F2845" t="s">
        <v>3600</v>
      </c>
      <c r="G2845" t="s">
        <v>1019</v>
      </c>
      <c r="H2845" t="s">
        <v>1031</v>
      </c>
      <c r="I2845">
        <v>185347001</v>
      </c>
      <c r="J2845" t="s">
        <v>1124</v>
      </c>
      <c r="K2845">
        <v>85.55</v>
      </c>
      <c r="L2845">
        <v>234.71</v>
      </c>
      <c r="M2845">
        <v>0</v>
      </c>
      <c r="N2845">
        <v>431857002</v>
      </c>
      <c r="O2845" t="s">
        <v>4125</v>
      </c>
    </row>
    <row r="2846" spans="1:15">
      <c r="A2846" t="s">
        <v>4304</v>
      </c>
      <c r="B2846" s="2">
        <v>45003.247615740744</v>
      </c>
      <c r="C2846" s="2">
        <v>45003.385115740741</v>
      </c>
      <c r="D2846" t="s">
        <v>585</v>
      </c>
      <c r="E2846" t="s">
        <v>3599</v>
      </c>
      <c r="F2846" t="s">
        <v>3600</v>
      </c>
      <c r="G2846" t="s">
        <v>1019</v>
      </c>
      <c r="H2846" t="s">
        <v>1031</v>
      </c>
      <c r="I2846">
        <v>185347001</v>
      </c>
      <c r="J2846" t="s">
        <v>1124</v>
      </c>
      <c r="K2846">
        <v>85.55</v>
      </c>
      <c r="L2846">
        <v>936.45</v>
      </c>
      <c r="M2846">
        <v>0</v>
      </c>
      <c r="N2846">
        <v>431857002</v>
      </c>
      <c r="O2846" t="s">
        <v>4125</v>
      </c>
    </row>
    <row r="2847" spans="1:15">
      <c r="A2847" t="s">
        <v>4305</v>
      </c>
      <c r="B2847" s="2">
        <v>45006.385115740741</v>
      </c>
      <c r="C2847" s="2">
        <v>45006.494837962964</v>
      </c>
      <c r="D2847" t="s">
        <v>585</v>
      </c>
      <c r="E2847" t="s">
        <v>3599</v>
      </c>
      <c r="F2847" t="s">
        <v>3600</v>
      </c>
      <c r="G2847" t="s">
        <v>1019</v>
      </c>
      <c r="H2847" t="s">
        <v>1031</v>
      </c>
      <c r="I2847">
        <v>185347001</v>
      </c>
      <c r="J2847" t="s">
        <v>1124</v>
      </c>
      <c r="K2847">
        <v>85.55</v>
      </c>
      <c r="L2847">
        <v>535.87</v>
      </c>
      <c r="M2847">
        <v>0</v>
      </c>
      <c r="N2847">
        <v>431857002</v>
      </c>
      <c r="O2847" t="s">
        <v>4125</v>
      </c>
    </row>
    <row r="2848" spans="1:15">
      <c r="A2848" t="s">
        <v>4306</v>
      </c>
      <c r="B2848" s="2">
        <v>45014.117754629631</v>
      </c>
      <c r="C2848" s="2">
        <v>45014.158009259256</v>
      </c>
      <c r="D2848" t="s">
        <v>585</v>
      </c>
      <c r="E2848" t="s">
        <v>3599</v>
      </c>
      <c r="F2848" t="s">
        <v>3600</v>
      </c>
      <c r="G2848" t="s">
        <v>1019</v>
      </c>
      <c r="H2848" t="s">
        <v>1043</v>
      </c>
      <c r="I2848">
        <v>185349003</v>
      </c>
      <c r="J2848" t="s">
        <v>1038</v>
      </c>
      <c r="K2848">
        <v>85.55</v>
      </c>
      <c r="L2848">
        <v>1030.97</v>
      </c>
      <c r="M2848">
        <v>0</v>
      </c>
      <c r="O2848" t="s">
        <v>34</v>
      </c>
    </row>
    <row r="2849" spans="1:15">
      <c r="A2849" t="s">
        <v>4307</v>
      </c>
      <c r="B2849" s="2">
        <v>45021.117754629631</v>
      </c>
      <c r="C2849" s="2">
        <v>45021.26289351852</v>
      </c>
      <c r="D2849" t="s">
        <v>585</v>
      </c>
      <c r="E2849" t="s">
        <v>3599</v>
      </c>
      <c r="F2849" t="s">
        <v>3600</v>
      </c>
      <c r="G2849" t="s">
        <v>1019</v>
      </c>
      <c r="H2849" t="s">
        <v>1031</v>
      </c>
      <c r="I2849">
        <v>185347001</v>
      </c>
      <c r="J2849" t="s">
        <v>1124</v>
      </c>
      <c r="K2849">
        <v>85.55</v>
      </c>
      <c r="L2849">
        <v>1791.03</v>
      </c>
      <c r="M2849">
        <v>0</v>
      </c>
      <c r="N2849">
        <v>431857002</v>
      </c>
      <c r="O2849" t="s">
        <v>4125</v>
      </c>
    </row>
    <row r="2850" spans="1:15">
      <c r="A2850" t="s">
        <v>4308</v>
      </c>
      <c r="B2850" s="2">
        <v>45024.26289351852</v>
      </c>
      <c r="C2850" s="2">
        <v>45024.355949074074</v>
      </c>
      <c r="D2850" t="s">
        <v>585</v>
      </c>
      <c r="E2850" t="s">
        <v>3599</v>
      </c>
      <c r="F2850" t="s">
        <v>3600</v>
      </c>
      <c r="G2850" t="s">
        <v>1019</v>
      </c>
      <c r="H2850" t="s">
        <v>1031</v>
      </c>
      <c r="I2850">
        <v>185347001</v>
      </c>
      <c r="J2850" t="s">
        <v>1124</v>
      </c>
      <c r="K2850">
        <v>85.55</v>
      </c>
      <c r="L2850">
        <v>1791.03</v>
      </c>
      <c r="M2850">
        <v>0</v>
      </c>
      <c r="N2850">
        <v>431857002</v>
      </c>
      <c r="O2850" t="s">
        <v>4125</v>
      </c>
    </row>
    <row r="2851" spans="1:15">
      <c r="A2851" t="s">
        <v>4309</v>
      </c>
      <c r="B2851" s="2">
        <v>45027.355949074074</v>
      </c>
      <c r="C2851" s="2">
        <v>45027.51289351852</v>
      </c>
      <c r="D2851" t="s">
        <v>585</v>
      </c>
      <c r="E2851" t="s">
        <v>3599</v>
      </c>
      <c r="F2851" t="s">
        <v>3600</v>
      </c>
      <c r="G2851" t="s">
        <v>1019</v>
      </c>
      <c r="H2851" t="s">
        <v>1031</v>
      </c>
      <c r="I2851">
        <v>185347001</v>
      </c>
      <c r="J2851" t="s">
        <v>1124</v>
      </c>
      <c r="K2851">
        <v>85.55</v>
      </c>
      <c r="L2851">
        <v>535.87</v>
      </c>
      <c r="M2851">
        <v>0</v>
      </c>
      <c r="N2851">
        <v>431857002</v>
      </c>
      <c r="O2851" t="s">
        <v>4125</v>
      </c>
    </row>
    <row r="2852" spans="1:15">
      <c r="A2852" t="s">
        <v>4310</v>
      </c>
      <c r="B2852" s="2">
        <v>45035.117754629631</v>
      </c>
      <c r="C2852" s="2">
        <v>45035.146631944444</v>
      </c>
      <c r="D2852" t="s">
        <v>585</v>
      </c>
      <c r="E2852" t="s">
        <v>3599</v>
      </c>
      <c r="F2852" t="s">
        <v>3600</v>
      </c>
      <c r="G2852" t="s">
        <v>1019</v>
      </c>
      <c r="H2852" t="s">
        <v>1043</v>
      </c>
      <c r="I2852">
        <v>185349003</v>
      </c>
      <c r="J2852" t="s">
        <v>1038</v>
      </c>
      <c r="K2852">
        <v>85.55</v>
      </c>
      <c r="L2852">
        <v>1030.97</v>
      </c>
      <c r="M2852">
        <v>0</v>
      </c>
      <c r="O2852" t="s">
        <v>34</v>
      </c>
    </row>
    <row r="2853" spans="1:15">
      <c r="A2853" t="s">
        <v>4311</v>
      </c>
      <c r="B2853" s="2">
        <v>45042.117754629631</v>
      </c>
      <c r="C2853" s="2">
        <v>45042.241365740738</v>
      </c>
      <c r="D2853" t="s">
        <v>585</v>
      </c>
      <c r="E2853" t="s">
        <v>3599</v>
      </c>
      <c r="F2853" t="s">
        <v>3600</v>
      </c>
      <c r="G2853" t="s">
        <v>1019</v>
      </c>
      <c r="H2853" t="s">
        <v>1031</v>
      </c>
      <c r="I2853">
        <v>185347001</v>
      </c>
      <c r="J2853" t="s">
        <v>1124</v>
      </c>
      <c r="K2853">
        <v>85.55</v>
      </c>
      <c r="L2853">
        <v>535.87</v>
      </c>
      <c r="M2853">
        <v>0</v>
      </c>
      <c r="N2853">
        <v>431857002</v>
      </c>
      <c r="O2853" t="s">
        <v>4125</v>
      </c>
    </row>
    <row r="2854" spans="1:15">
      <c r="A2854" t="s">
        <v>4312</v>
      </c>
      <c r="B2854" s="2">
        <v>45042.241365740738</v>
      </c>
      <c r="C2854" s="2">
        <v>45042.251782407409</v>
      </c>
      <c r="D2854" t="s">
        <v>585</v>
      </c>
      <c r="E2854" t="s">
        <v>3599</v>
      </c>
      <c r="F2854" t="s">
        <v>3600</v>
      </c>
      <c r="G2854" t="s">
        <v>1019</v>
      </c>
      <c r="H2854" t="s">
        <v>1031</v>
      </c>
      <c r="I2854">
        <v>185347001</v>
      </c>
      <c r="J2854" t="s">
        <v>1124</v>
      </c>
      <c r="K2854">
        <v>85.55</v>
      </c>
      <c r="L2854">
        <v>234.71</v>
      </c>
      <c r="M2854">
        <v>0</v>
      </c>
      <c r="N2854">
        <v>431857002</v>
      </c>
      <c r="O2854" t="s">
        <v>4125</v>
      </c>
    </row>
    <row r="2855" spans="1:15">
      <c r="A2855" t="s">
        <v>4313</v>
      </c>
      <c r="B2855" s="2">
        <v>45045.241365740738</v>
      </c>
      <c r="C2855" s="2">
        <v>45045.403865740744</v>
      </c>
      <c r="D2855" t="s">
        <v>585</v>
      </c>
      <c r="E2855" t="s">
        <v>3599</v>
      </c>
      <c r="F2855" t="s">
        <v>3600</v>
      </c>
      <c r="G2855" t="s">
        <v>1019</v>
      </c>
      <c r="H2855" t="s">
        <v>1031</v>
      </c>
      <c r="I2855">
        <v>185347001</v>
      </c>
      <c r="J2855" t="s">
        <v>1124</v>
      </c>
      <c r="K2855">
        <v>85.55</v>
      </c>
      <c r="L2855">
        <v>1709.94</v>
      </c>
      <c r="M2855">
        <v>0</v>
      </c>
      <c r="N2855">
        <v>431857002</v>
      </c>
      <c r="O2855" t="s">
        <v>4125</v>
      </c>
    </row>
    <row r="2856" spans="1:15">
      <c r="A2856" t="s">
        <v>4314</v>
      </c>
      <c r="B2856" s="2">
        <v>45048.403865740744</v>
      </c>
      <c r="C2856" s="2">
        <v>45048.532337962963</v>
      </c>
      <c r="D2856" t="s">
        <v>585</v>
      </c>
      <c r="E2856" t="s">
        <v>3599</v>
      </c>
      <c r="F2856" t="s">
        <v>3600</v>
      </c>
      <c r="G2856" t="s">
        <v>1019</v>
      </c>
      <c r="H2856" t="s">
        <v>1031</v>
      </c>
      <c r="I2856">
        <v>185347001</v>
      </c>
      <c r="J2856" t="s">
        <v>1124</v>
      </c>
      <c r="K2856">
        <v>85.55</v>
      </c>
      <c r="L2856">
        <v>1791.03</v>
      </c>
      <c r="M2856">
        <v>0</v>
      </c>
      <c r="N2856">
        <v>431857002</v>
      </c>
      <c r="O2856" t="s">
        <v>4125</v>
      </c>
    </row>
    <row r="2857" spans="1:15">
      <c r="A2857" t="s">
        <v>4315</v>
      </c>
      <c r="B2857" s="2">
        <v>45051.532337962963</v>
      </c>
      <c r="C2857" s="2">
        <v>45051.675393518519</v>
      </c>
      <c r="D2857" t="s">
        <v>585</v>
      </c>
      <c r="E2857" t="s">
        <v>3599</v>
      </c>
      <c r="F2857" t="s">
        <v>3600</v>
      </c>
      <c r="G2857" t="s">
        <v>1019</v>
      </c>
      <c r="H2857" t="s">
        <v>1031</v>
      </c>
      <c r="I2857">
        <v>185347001</v>
      </c>
      <c r="J2857" t="s">
        <v>1124</v>
      </c>
      <c r="K2857">
        <v>85.55</v>
      </c>
      <c r="L2857">
        <v>535.87</v>
      </c>
      <c r="M2857">
        <v>0</v>
      </c>
      <c r="N2857">
        <v>431857002</v>
      </c>
      <c r="O2857" t="s">
        <v>4125</v>
      </c>
    </row>
    <row r="2858" spans="1:15">
      <c r="A2858" t="s">
        <v>4316</v>
      </c>
      <c r="B2858" s="2">
        <v>45054.675393518519</v>
      </c>
      <c r="C2858" s="2">
        <v>45054.7969212963</v>
      </c>
      <c r="D2858" t="s">
        <v>585</v>
      </c>
      <c r="E2858" t="s">
        <v>3599</v>
      </c>
      <c r="F2858" t="s">
        <v>3600</v>
      </c>
      <c r="G2858" t="s">
        <v>1019</v>
      </c>
      <c r="H2858" t="s">
        <v>1031</v>
      </c>
      <c r="I2858">
        <v>185347001</v>
      </c>
      <c r="J2858" t="s">
        <v>1124</v>
      </c>
      <c r="K2858">
        <v>85.55</v>
      </c>
      <c r="L2858">
        <v>1791.03</v>
      </c>
      <c r="M2858">
        <v>0</v>
      </c>
      <c r="N2858">
        <v>431857002</v>
      </c>
      <c r="O2858" t="s">
        <v>4125</v>
      </c>
    </row>
    <row r="2859" spans="1:15">
      <c r="A2859" t="s">
        <v>4317</v>
      </c>
      <c r="B2859" s="2">
        <v>45057.7969212963</v>
      </c>
      <c r="C2859" s="2">
        <v>45057.91914351852</v>
      </c>
      <c r="D2859" t="s">
        <v>585</v>
      </c>
      <c r="E2859" t="s">
        <v>3599</v>
      </c>
      <c r="F2859" t="s">
        <v>3600</v>
      </c>
      <c r="G2859" t="s">
        <v>1019</v>
      </c>
      <c r="H2859" t="s">
        <v>1031</v>
      </c>
      <c r="I2859">
        <v>185347001</v>
      </c>
      <c r="J2859" t="s">
        <v>1124</v>
      </c>
      <c r="K2859">
        <v>85.55</v>
      </c>
      <c r="L2859">
        <v>535.87</v>
      </c>
      <c r="M2859">
        <v>0</v>
      </c>
      <c r="N2859">
        <v>431857002</v>
      </c>
      <c r="O2859" t="s">
        <v>4125</v>
      </c>
    </row>
    <row r="2860" spans="1:15">
      <c r="A2860" t="s">
        <v>4318</v>
      </c>
      <c r="B2860" s="2">
        <v>45060.91914351852</v>
      </c>
      <c r="C2860" s="2">
        <v>45061.064282407409</v>
      </c>
      <c r="D2860" t="s">
        <v>585</v>
      </c>
      <c r="E2860" t="s">
        <v>3599</v>
      </c>
      <c r="F2860" t="s">
        <v>3600</v>
      </c>
      <c r="G2860" t="s">
        <v>1019</v>
      </c>
      <c r="H2860" t="s">
        <v>1031</v>
      </c>
      <c r="I2860">
        <v>185347001</v>
      </c>
      <c r="J2860" t="s">
        <v>1124</v>
      </c>
      <c r="K2860">
        <v>85.55</v>
      </c>
      <c r="L2860">
        <v>1185.1300000000001</v>
      </c>
      <c r="M2860">
        <v>0</v>
      </c>
      <c r="N2860">
        <v>431857002</v>
      </c>
      <c r="O2860" t="s">
        <v>4125</v>
      </c>
    </row>
    <row r="2861" spans="1:15">
      <c r="A2861" t="s">
        <v>4319</v>
      </c>
      <c r="B2861" s="2">
        <v>45064.064282407409</v>
      </c>
      <c r="C2861" s="2">
        <v>45064.201782407406</v>
      </c>
      <c r="D2861" t="s">
        <v>585</v>
      </c>
      <c r="E2861" t="s">
        <v>3599</v>
      </c>
      <c r="F2861" t="s">
        <v>3600</v>
      </c>
      <c r="G2861" t="s">
        <v>1019</v>
      </c>
      <c r="H2861" t="s">
        <v>1031</v>
      </c>
      <c r="I2861">
        <v>185347001</v>
      </c>
      <c r="J2861" t="s">
        <v>1124</v>
      </c>
      <c r="K2861">
        <v>85.55</v>
      </c>
      <c r="L2861">
        <v>535.87</v>
      </c>
      <c r="M2861">
        <v>0</v>
      </c>
      <c r="N2861">
        <v>431857002</v>
      </c>
      <c r="O2861" t="s">
        <v>4125</v>
      </c>
    </row>
    <row r="2862" spans="1:15">
      <c r="A2862" t="s">
        <v>4320</v>
      </c>
      <c r="B2862" s="2">
        <v>45067.201782407406</v>
      </c>
      <c r="C2862" s="2">
        <v>45067.343449074076</v>
      </c>
      <c r="D2862" t="s">
        <v>585</v>
      </c>
      <c r="E2862" t="s">
        <v>3599</v>
      </c>
      <c r="F2862" t="s">
        <v>3600</v>
      </c>
      <c r="G2862" t="s">
        <v>1019</v>
      </c>
      <c r="H2862" t="s">
        <v>1031</v>
      </c>
      <c r="I2862">
        <v>185347001</v>
      </c>
      <c r="J2862" t="s">
        <v>1124</v>
      </c>
      <c r="K2862">
        <v>85.55</v>
      </c>
      <c r="L2862">
        <v>1691.93</v>
      </c>
      <c r="M2862">
        <v>0</v>
      </c>
      <c r="N2862">
        <v>431857002</v>
      </c>
      <c r="O2862" t="s">
        <v>4125</v>
      </c>
    </row>
    <row r="2863" spans="1:15">
      <c r="A2863" t="s">
        <v>4321</v>
      </c>
      <c r="B2863" s="2">
        <v>45070.343449074076</v>
      </c>
      <c r="C2863" s="2">
        <v>45070.437199074076</v>
      </c>
      <c r="D2863" t="s">
        <v>585</v>
      </c>
      <c r="E2863" t="s">
        <v>3599</v>
      </c>
      <c r="F2863" t="s">
        <v>3600</v>
      </c>
      <c r="G2863" t="s">
        <v>1019</v>
      </c>
      <c r="H2863" t="s">
        <v>1031</v>
      </c>
      <c r="I2863">
        <v>185347001</v>
      </c>
      <c r="J2863" t="s">
        <v>1124</v>
      </c>
      <c r="K2863">
        <v>85.55</v>
      </c>
      <c r="L2863">
        <v>1791.03</v>
      </c>
      <c r="M2863">
        <v>0</v>
      </c>
      <c r="N2863">
        <v>431857002</v>
      </c>
      <c r="O2863" t="s">
        <v>4125</v>
      </c>
    </row>
    <row r="2864" spans="1:15">
      <c r="A2864" t="s">
        <v>4322</v>
      </c>
      <c r="B2864" s="2">
        <v>45073.437199074076</v>
      </c>
      <c r="C2864" s="2">
        <v>45073.58997685185</v>
      </c>
      <c r="D2864" t="s">
        <v>585</v>
      </c>
      <c r="E2864" t="s">
        <v>3599</v>
      </c>
      <c r="F2864" t="s">
        <v>3600</v>
      </c>
      <c r="G2864" t="s">
        <v>1019</v>
      </c>
      <c r="H2864" t="s">
        <v>1031</v>
      </c>
      <c r="I2864">
        <v>185347001</v>
      </c>
      <c r="J2864" t="s">
        <v>1124</v>
      </c>
      <c r="K2864">
        <v>85.55</v>
      </c>
      <c r="L2864">
        <v>550.33000000000004</v>
      </c>
      <c r="M2864">
        <v>0</v>
      </c>
      <c r="N2864">
        <v>431857002</v>
      </c>
      <c r="O2864" t="s">
        <v>4125</v>
      </c>
    </row>
    <row r="2865" spans="1:15">
      <c r="A2865" t="s">
        <v>4323</v>
      </c>
      <c r="B2865" s="2">
        <v>45073.58997685185</v>
      </c>
      <c r="C2865" s="2">
        <v>45073.600393518522</v>
      </c>
      <c r="D2865" t="s">
        <v>585</v>
      </c>
      <c r="E2865" t="s">
        <v>3599</v>
      </c>
      <c r="F2865" t="s">
        <v>3600</v>
      </c>
      <c r="G2865" t="s">
        <v>1019</v>
      </c>
      <c r="H2865" t="s">
        <v>1031</v>
      </c>
      <c r="I2865">
        <v>185347001</v>
      </c>
      <c r="J2865" t="s">
        <v>1124</v>
      </c>
      <c r="K2865">
        <v>85.55</v>
      </c>
      <c r="L2865">
        <v>234.71</v>
      </c>
      <c r="M2865">
        <v>0</v>
      </c>
      <c r="N2865">
        <v>431857002</v>
      </c>
      <c r="O2865" t="s">
        <v>4125</v>
      </c>
    </row>
    <row r="2866" spans="1:15">
      <c r="A2866" t="s">
        <v>4324</v>
      </c>
      <c r="B2866" s="2">
        <v>45076.58997685185</v>
      </c>
      <c r="C2866" s="2">
        <v>45076.722615740742</v>
      </c>
      <c r="D2866" t="s">
        <v>585</v>
      </c>
      <c r="E2866" t="s">
        <v>3599</v>
      </c>
      <c r="F2866" t="s">
        <v>3600</v>
      </c>
      <c r="G2866" t="s">
        <v>1019</v>
      </c>
      <c r="H2866" t="s">
        <v>1031</v>
      </c>
      <c r="I2866">
        <v>185347001</v>
      </c>
      <c r="J2866" t="s">
        <v>1124</v>
      </c>
      <c r="K2866">
        <v>85.55</v>
      </c>
      <c r="L2866">
        <v>1191.57</v>
      </c>
      <c r="M2866">
        <v>0</v>
      </c>
      <c r="N2866">
        <v>431857002</v>
      </c>
      <c r="O2866" t="s">
        <v>4125</v>
      </c>
    </row>
    <row r="2867" spans="1:15">
      <c r="A2867" t="s">
        <v>4325</v>
      </c>
      <c r="B2867" s="2">
        <v>45079.722615740742</v>
      </c>
      <c r="C2867" s="2">
        <v>45079.871921296297</v>
      </c>
      <c r="D2867" t="s">
        <v>585</v>
      </c>
      <c r="E2867" t="s">
        <v>3599</v>
      </c>
      <c r="F2867" t="s">
        <v>3600</v>
      </c>
      <c r="G2867" t="s">
        <v>1019</v>
      </c>
      <c r="H2867" t="s">
        <v>1031</v>
      </c>
      <c r="I2867">
        <v>185347001</v>
      </c>
      <c r="J2867" t="s">
        <v>1124</v>
      </c>
      <c r="K2867">
        <v>85.55</v>
      </c>
      <c r="L2867">
        <v>647.78</v>
      </c>
      <c r="M2867">
        <v>0</v>
      </c>
      <c r="N2867">
        <v>431857002</v>
      </c>
      <c r="O2867" t="s">
        <v>4125</v>
      </c>
    </row>
    <row r="2868" spans="1:15">
      <c r="A2868" t="s">
        <v>4326</v>
      </c>
      <c r="B2868" s="2">
        <v>45082.871921296297</v>
      </c>
      <c r="C2868" s="2">
        <v>45082.992754629631</v>
      </c>
      <c r="D2868" t="s">
        <v>585</v>
      </c>
      <c r="E2868" t="s">
        <v>3599</v>
      </c>
      <c r="F2868" t="s">
        <v>3600</v>
      </c>
      <c r="G2868" t="s">
        <v>1019</v>
      </c>
      <c r="H2868" t="s">
        <v>1031</v>
      </c>
      <c r="I2868">
        <v>185347001</v>
      </c>
      <c r="J2868" t="s">
        <v>1124</v>
      </c>
      <c r="K2868">
        <v>85.55</v>
      </c>
      <c r="L2868">
        <v>816.81</v>
      </c>
      <c r="M2868">
        <v>0</v>
      </c>
      <c r="N2868">
        <v>431857002</v>
      </c>
      <c r="O2868" t="s">
        <v>4125</v>
      </c>
    </row>
    <row r="2869" spans="1:15">
      <c r="A2869" t="s">
        <v>4327</v>
      </c>
      <c r="B2869" s="2">
        <v>45085.992754629631</v>
      </c>
      <c r="C2869" s="2">
        <v>45086.082337962966</v>
      </c>
      <c r="D2869" t="s">
        <v>585</v>
      </c>
      <c r="E2869" t="s">
        <v>3599</v>
      </c>
      <c r="F2869" t="s">
        <v>3600</v>
      </c>
      <c r="G2869" t="s">
        <v>1019</v>
      </c>
      <c r="H2869" t="s">
        <v>1031</v>
      </c>
      <c r="I2869">
        <v>185347001</v>
      </c>
      <c r="J2869" t="s">
        <v>1124</v>
      </c>
      <c r="K2869">
        <v>85.55</v>
      </c>
      <c r="L2869">
        <v>1791.03</v>
      </c>
      <c r="M2869">
        <v>0</v>
      </c>
      <c r="N2869">
        <v>431857002</v>
      </c>
      <c r="O2869" t="s">
        <v>4125</v>
      </c>
    </row>
    <row r="2870" spans="1:15">
      <c r="A2870" t="s">
        <v>4328</v>
      </c>
      <c r="B2870" s="2">
        <v>45089.082337962966</v>
      </c>
      <c r="C2870" s="2">
        <v>45089.237893518519</v>
      </c>
      <c r="D2870" t="s">
        <v>585</v>
      </c>
      <c r="E2870" t="s">
        <v>3599</v>
      </c>
      <c r="F2870" t="s">
        <v>3600</v>
      </c>
      <c r="G2870" t="s">
        <v>1019</v>
      </c>
      <c r="H2870" t="s">
        <v>1031</v>
      </c>
      <c r="I2870">
        <v>185347001</v>
      </c>
      <c r="J2870" t="s">
        <v>1124</v>
      </c>
      <c r="K2870">
        <v>85.55</v>
      </c>
      <c r="L2870">
        <v>535.87</v>
      </c>
      <c r="M2870">
        <v>0</v>
      </c>
      <c r="N2870">
        <v>431857002</v>
      </c>
      <c r="O2870" t="s">
        <v>4125</v>
      </c>
    </row>
    <row r="2871" spans="1:15">
      <c r="A2871" t="s">
        <v>4329</v>
      </c>
      <c r="B2871" s="2">
        <v>45092.237893518519</v>
      </c>
      <c r="C2871" s="2">
        <v>45092.38858796296</v>
      </c>
      <c r="D2871" t="s">
        <v>585</v>
      </c>
      <c r="E2871" t="s">
        <v>3599</v>
      </c>
      <c r="F2871" t="s">
        <v>3600</v>
      </c>
      <c r="G2871" t="s">
        <v>1019</v>
      </c>
      <c r="H2871" t="s">
        <v>1031</v>
      </c>
      <c r="I2871">
        <v>185347001</v>
      </c>
      <c r="J2871" t="s">
        <v>1124</v>
      </c>
      <c r="K2871">
        <v>85.55</v>
      </c>
      <c r="L2871">
        <v>766.75</v>
      </c>
      <c r="M2871">
        <v>0</v>
      </c>
      <c r="N2871">
        <v>431857002</v>
      </c>
      <c r="O2871" t="s">
        <v>4125</v>
      </c>
    </row>
    <row r="2872" spans="1:15">
      <c r="A2872" t="s">
        <v>4330</v>
      </c>
      <c r="B2872" s="2">
        <v>45095.38858796296</v>
      </c>
      <c r="C2872" s="2">
        <v>45095.483032407406</v>
      </c>
      <c r="D2872" t="s">
        <v>585</v>
      </c>
      <c r="E2872" t="s">
        <v>3599</v>
      </c>
      <c r="F2872" t="s">
        <v>3600</v>
      </c>
      <c r="G2872" t="s">
        <v>1019</v>
      </c>
      <c r="H2872" t="s">
        <v>1031</v>
      </c>
      <c r="I2872">
        <v>185347001</v>
      </c>
      <c r="J2872" t="s">
        <v>1124</v>
      </c>
      <c r="K2872">
        <v>85.55</v>
      </c>
      <c r="L2872">
        <v>1022.92</v>
      </c>
      <c r="M2872">
        <v>0</v>
      </c>
      <c r="N2872">
        <v>431857002</v>
      </c>
      <c r="O2872" t="s">
        <v>4125</v>
      </c>
    </row>
    <row r="2873" spans="1:15">
      <c r="A2873" t="s">
        <v>4331</v>
      </c>
      <c r="B2873" s="2">
        <v>45098.483032407406</v>
      </c>
      <c r="C2873" s="2">
        <v>45098.620532407411</v>
      </c>
      <c r="D2873" t="s">
        <v>585</v>
      </c>
      <c r="E2873" t="s">
        <v>3599</v>
      </c>
      <c r="F2873" t="s">
        <v>3600</v>
      </c>
      <c r="G2873" t="s">
        <v>1019</v>
      </c>
      <c r="H2873" t="s">
        <v>1031</v>
      </c>
      <c r="I2873">
        <v>185347001</v>
      </c>
      <c r="J2873" t="s">
        <v>1124</v>
      </c>
      <c r="K2873">
        <v>85.55</v>
      </c>
      <c r="L2873">
        <v>944.04</v>
      </c>
      <c r="M2873">
        <v>0</v>
      </c>
      <c r="N2873">
        <v>431857002</v>
      </c>
      <c r="O2873" t="s">
        <v>4125</v>
      </c>
    </row>
    <row r="2874" spans="1:15">
      <c r="A2874" t="s">
        <v>4332</v>
      </c>
      <c r="B2874" s="2">
        <v>45101.620532407411</v>
      </c>
      <c r="C2874" s="2">
        <v>45101.78025462963</v>
      </c>
      <c r="D2874" t="s">
        <v>585</v>
      </c>
      <c r="E2874" t="s">
        <v>3599</v>
      </c>
      <c r="F2874" t="s">
        <v>3600</v>
      </c>
      <c r="G2874" t="s">
        <v>1019</v>
      </c>
      <c r="H2874" t="s">
        <v>1031</v>
      </c>
      <c r="I2874">
        <v>185347001</v>
      </c>
      <c r="J2874" t="s">
        <v>1124</v>
      </c>
      <c r="K2874">
        <v>85.55</v>
      </c>
      <c r="L2874">
        <v>535.87</v>
      </c>
      <c r="M2874">
        <v>0</v>
      </c>
      <c r="N2874">
        <v>431857002</v>
      </c>
      <c r="O2874" t="s">
        <v>4125</v>
      </c>
    </row>
    <row r="2875" spans="1:15">
      <c r="A2875" t="s">
        <v>4333</v>
      </c>
      <c r="B2875" s="2">
        <v>45104.78025462963</v>
      </c>
      <c r="C2875" s="2">
        <v>45104.906643518516</v>
      </c>
      <c r="D2875" t="s">
        <v>585</v>
      </c>
      <c r="E2875" t="s">
        <v>3599</v>
      </c>
      <c r="F2875" t="s">
        <v>3600</v>
      </c>
      <c r="G2875" t="s">
        <v>1019</v>
      </c>
      <c r="H2875" t="s">
        <v>1031</v>
      </c>
      <c r="I2875">
        <v>185347001</v>
      </c>
      <c r="J2875" t="s">
        <v>1124</v>
      </c>
      <c r="K2875">
        <v>85.55</v>
      </c>
      <c r="L2875">
        <v>1791.03</v>
      </c>
      <c r="M2875">
        <v>0</v>
      </c>
      <c r="N2875">
        <v>431857002</v>
      </c>
      <c r="O2875" t="s">
        <v>4125</v>
      </c>
    </row>
    <row r="2876" spans="1:15">
      <c r="A2876" t="s">
        <v>4334</v>
      </c>
      <c r="B2876" s="2">
        <v>45104.906643518516</v>
      </c>
      <c r="C2876" s="2">
        <v>45104.917060185187</v>
      </c>
      <c r="D2876" t="s">
        <v>585</v>
      </c>
      <c r="E2876" t="s">
        <v>3599</v>
      </c>
      <c r="F2876" t="s">
        <v>3600</v>
      </c>
      <c r="G2876" t="s">
        <v>1019</v>
      </c>
      <c r="H2876" t="s">
        <v>1031</v>
      </c>
      <c r="I2876">
        <v>185347001</v>
      </c>
      <c r="J2876" t="s">
        <v>1124</v>
      </c>
      <c r="K2876">
        <v>85.55</v>
      </c>
      <c r="L2876">
        <v>234.71</v>
      </c>
      <c r="M2876">
        <v>0</v>
      </c>
      <c r="N2876">
        <v>431857002</v>
      </c>
      <c r="O2876" t="s">
        <v>4125</v>
      </c>
    </row>
    <row r="2877" spans="1:15">
      <c r="A2877" t="s">
        <v>4335</v>
      </c>
      <c r="B2877" s="2">
        <v>45107.906643518516</v>
      </c>
      <c r="C2877" s="2">
        <v>45108.063587962963</v>
      </c>
      <c r="D2877" t="s">
        <v>585</v>
      </c>
      <c r="E2877" t="s">
        <v>3599</v>
      </c>
      <c r="F2877" t="s">
        <v>3600</v>
      </c>
      <c r="G2877" t="s">
        <v>1019</v>
      </c>
      <c r="H2877" t="s">
        <v>1031</v>
      </c>
      <c r="I2877">
        <v>185347001</v>
      </c>
      <c r="J2877" t="s">
        <v>1124</v>
      </c>
      <c r="K2877">
        <v>85.55</v>
      </c>
      <c r="L2877">
        <v>535.87</v>
      </c>
      <c r="M2877">
        <v>0</v>
      </c>
      <c r="N2877">
        <v>431857002</v>
      </c>
      <c r="O2877" t="s">
        <v>4125</v>
      </c>
    </row>
    <row r="2878" spans="1:15">
      <c r="A2878" t="s">
        <v>4336</v>
      </c>
      <c r="B2878" s="2">
        <v>45111.063587962963</v>
      </c>
      <c r="C2878" s="2">
        <v>45111.158032407409</v>
      </c>
      <c r="D2878" t="s">
        <v>585</v>
      </c>
      <c r="E2878" t="s">
        <v>3599</v>
      </c>
      <c r="F2878" t="s">
        <v>3600</v>
      </c>
      <c r="G2878" t="s">
        <v>1019</v>
      </c>
      <c r="H2878" t="s">
        <v>1031</v>
      </c>
      <c r="I2878">
        <v>185347001</v>
      </c>
      <c r="J2878" t="s">
        <v>1124</v>
      </c>
      <c r="K2878">
        <v>85.55</v>
      </c>
      <c r="L2878">
        <v>683.87</v>
      </c>
      <c r="M2878">
        <v>0</v>
      </c>
      <c r="N2878">
        <v>431857002</v>
      </c>
      <c r="O2878" t="s">
        <v>4125</v>
      </c>
    </row>
    <row r="2879" spans="1:15">
      <c r="A2879" t="s">
        <v>4337</v>
      </c>
      <c r="B2879" s="2">
        <v>45119.117754629631</v>
      </c>
      <c r="C2879" s="2">
        <v>45119.151562500003</v>
      </c>
      <c r="D2879" t="s">
        <v>585</v>
      </c>
      <c r="E2879" t="s">
        <v>4057</v>
      </c>
      <c r="F2879" t="s">
        <v>4058</v>
      </c>
      <c r="G2879" t="s">
        <v>1019</v>
      </c>
      <c r="H2879" t="s">
        <v>1020</v>
      </c>
      <c r="I2879">
        <v>162673000</v>
      </c>
      <c r="J2879" t="s">
        <v>1021</v>
      </c>
      <c r="K2879">
        <v>136.80000000000001</v>
      </c>
      <c r="L2879">
        <v>1002.52</v>
      </c>
      <c r="M2879">
        <v>0</v>
      </c>
      <c r="O2879" t="s">
        <v>34</v>
      </c>
    </row>
    <row r="2880" spans="1:15">
      <c r="A2880" t="s">
        <v>4338</v>
      </c>
      <c r="B2880" s="2">
        <v>45126.117754629631</v>
      </c>
      <c r="C2880" s="2">
        <v>45126.207337962966</v>
      </c>
      <c r="D2880" t="s">
        <v>585</v>
      </c>
      <c r="E2880" t="s">
        <v>3599</v>
      </c>
      <c r="F2880" t="s">
        <v>3600</v>
      </c>
      <c r="G2880" t="s">
        <v>1019</v>
      </c>
      <c r="H2880" t="s">
        <v>1031</v>
      </c>
      <c r="I2880">
        <v>185347001</v>
      </c>
      <c r="J2880" t="s">
        <v>1124</v>
      </c>
      <c r="K2880">
        <v>85.55</v>
      </c>
      <c r="L2880">
        <v>1791.03</v>
      </c>
      <c r="M2880">
        <v>0</v>
      </c>
      <c r="N2880">
        <v>431857002</v>
      </c>
      <c r="O2880" t="s">
        <v>4125</v>
      </c>
    </row>
    <row r="2881" spans="1:15">
      <c r="A2881" t="s">
        <v>4339</v>
      </c>
      <c r="B2881" s="2">
        <v>45129.207337962966</v>
      </c>
      <c r="C2881" s="2">
        <v>45129.367754629631</v>
      </c>
      <c r="D2881" t="s">
        <v>585</v>
      </c>
      <c r="E2881" t="s">
        <v>3599</v>
      </c>
      <c r="F2881" t="s">
        <v>3600</v>
      </c>
      <c r="G2881" t="s">
        <v>1019</v>
      </c>
      <c r="H2881" t="s">
        <v>1031</v>
      </c>
      <c r="I2881">
        <v>185347001</v>
      </c>
      <c r="J2881" t="s">
        <v>1124</v>
      </c>
      <c r="K2881">
        <v>85.55</v>
      </c>
      <c r="L2881">
        <v>535.87</v>
      </c>
      <c r="M2881">
        <v>0</v>
      </c>
      <c r="N2881">
        <v>431857002</v>
      </c>
      <c r="O2881" t="s">
        <v>4125</v>
      </c>
    </row>
    <row r="2882" spans="1:15">
      <c r="A2882" t="s">
        <v>4340</v>
      </c>
      <c r="B2882" s="2">
        <v>45132.367754629631</v>
      </c>
      <c r="C2882" s="2">
        <v>45132.480949074074</v>
      </c>
      <c r="D2882" t="s">
        <v>585</v>
      </c>
      <c r="E2882" t="s">
        <v>3599</v>
      </c>
      <c r="F2882" t="s">
        <v>3600</v>
      </c>
      <c r="G2882" t="s">
        <v>1019</v>
      </c>
      <c r="H2882" t="s">
        <v>1031</v>
      </c>
      <c r="I2882">
        <v>185347001</v>
      </c>
      <c r="J2882" t="s">
        <v>1124</v>
      </c>
      <c r="K2882">
        <v>85.55</v>
      </c>
      <c r="L2882">
        <v>535.87</v>
      </c>
      <c r="M2882">
        <v>0</v>
      </c>
      <c r="N2882">
        <v>431857002</v>
      </c>
      <c r="O2882" t="s">
        <v>4125</v>
      </c>
    </row>
    <row r="2883" spans="1:15">
      <c r="A2883" t="s">
        <v>4341</v>
      </c>
      <c r="B2883" s="2">
        <v>45140.117754629631</v>
      </c>
      <c r="C2883" s="2">
        <v>45140.262384259258</v>
      </c>
      <c r="D2883" t="s">
        <v>585</v>
      </c>
      <c r="E2883" t="s">
        <v>3599</v>
      </c>
      <c r="F2883" t="s">
        <v>3600</v>
      </c>
      <c r="G2883" t="s">
        <v>1019</v>
      </c>
      <c r="H2883" t="s">
        <v>1031</v>
      </c>
      <c r="I2883">
        <v>185349003</v>
      </c>
      <c r="J2883" t="s">
        <v>1038</v>
      </c>
      <c r="K2883">
        <v>85.55</v>
      </c>
      <c r="L2883">
        <v>3105.35</v>
      </c>
      <c r="M2883">
        <v>0</v>
      </c>
      <c r="N2883">
        <v>66383009</v>
      </c>
      <c r="O2883" t="s">
        <v>1209</v>
      </c>
    </row>
    <row r="2884" spans="1:15">
      <c r="A2884" t="s">
        <v>4342</v>
      </c>
      <c r="B2884" s="2">
        <v>45147.117754629631</v>
      </c>
      <c r="C2884" s="2">
        <v>45147.273310185185</v>
      </c>
      <c r="D2884" t="s">
        <v>585</v>
      </c>
      <c r="E2884" t="s">
        <v>3599</v>
      </c>
      <c r="F2884" t="s">
        <v>3600</v>
      </c>
      <c r="G2884" t="s">
        <v>1019</v>
      </c>
      <c r="H2884" t="s">
        <v>1031</v>
      </c>
      <c r="I2884">
        <v>185347001</v>
      </c>
      <c r="J2884" t="s">
        <v>1124</v>
      </c>
      <c r="K2884">
        <v>85.55</v>
      </c>
      <c r="L2884">
        <v>1434.24</v>
      </c>
      <c r="M2884">
        <v>0</v>
      </c>
      <c r="N2884">
        <v>431857002</v>
      </c>
      <c r="O2884" t="s">
        <v>4125</v>
      </c>
    </row>
    <row r="2885" spans="1:15">
      <c r="A2885" t="s">
        <v>4343</v>
      </c>
      <c r="B2885" s="2">
        <v>45147.273310185185</v>
      </c>
      <c r="C2885" s="2">
        <v>45147.283726851849</v>
      </c>
      <c r="D2885" t="s">
        <v>585</v>
      </c>
      <c r="E2885" t="s">
        <v>3599</v>
      </c>
      <c r="F2885" t="s">
        <v>3600</v>
      </c>
      <c r="G2885" t="s">
        <v>1019</v>
      </c>
      <c r="H2885" t="s">
        <v>1031</v>
      </c>
      <c r="I2885">
        <v>185347001</v>
      </c>
      <c r="J2885" t="s">
        <v>1124</v>
      </c>
      <c r="K2885">
        <v>85.55</v>
      </c>
      <c r="L2885">
        <v>234.71</v>
      </c>
      <c r="M2885">
        <v>0</v>
      </c>
      <c r="N2885">
        <v>431857002</v>
      </c>
      <c r="O2885" t="s">
        <v>4125</v>
      </c>
    </row>
    <row r="2886" spans="1:15">
      <c r="A2886" t="s">
        <v>4344</v>
      </c>
      <c r="B2886" s="2">
        <v>45150.273310185185</v>
      </c>
      <c r="C2886" s="2">
        <v>45150.378171296295</v>
      </c>
      <c r="D2886" t="s">
        <v>585</v>
      </c>
      <c r="E2886" t="s">
        <v>3599</v>
      </c>
      <c r="F2886" t="s">
        <v>3600</v>
      </c>
      <c r="G2886" t="s">
        <v>1019</v>
      </c>
      <c r="H2886" t="s">
        <v>1031</v>
      </c>
      <c r="I2886">
        <v>185347001</v>
      </c>
      <c r="J2886" t="s">
        <v>1124</v>
      </c>
      <c r="K2886">
        <v>85.55</v>
      </c>
      <c r="L2886">
        <v>535.87</v>
      </c>
      <c r="M2886">
        <v>0</v>
      </c>
      <c r="N2886">
        <v>431857002</v>
      </c>
      <c r="O2886" t="s">
        <v>4125</v>
      </c>
    </row>
    <row r="2887" spans="1:15">
      <c r="A2887" t="s">
        <v>4345</v>
      </c>
      <c r="B2887" s="2">
        <v>45153.378171296295</v>
      </c>
      <c r="C2887" s="2">
        <v>45153.536504629628</v>
      </c>
      <c r="D2887" t="s">
        <v>585</v>
      </c>
      <c r="E2887" t="s">
        <v>3599</v>
      </c>
      <c r="F2887" t="s">
        <v>3600</v>
      </c>
      <c r="G2887" t="s">
        <v>1019</v>
      </c>
      <c r="H2887" t="s">
        <v>1031</v>
      </c>
      <c r="I2887">
        <v>185347001</v>
      </c>
      <c r="J2887" t="s">
        <v>1124</v>
      </c>
      <c r="K2887">
        <v>85.55</v>
      </c>
      <c r="L2887">
        <v>1521.45</v>
      </c>
      <c r="M2887">
        <v>0</v>
      </c>
      <c r="N2887">
        <v>431857002</v>
      </c>
      <c r="O2887" t="s">
        <v>4125</v>
      </c>
    </row>
    <row r="2888" spans="1:15">
      <c r="A2888" t="s">
        <v>4346</v>
      </c>
      <c r="B2888" s="2">
        <v>45156.536504629628</v>
      </c>
      <c r="C2888" s="2">
        <v>45156.653865740744</v>
      </c>
      <c r="D2888" t="s">
        <v>585</v>
      </c>
      <c r="E2888" t="s">
        <v>3599</v>
      </c>
      <c r="F2888" t="s">
        <v>3600</v>
      </c>
      <c r="G2888" t="s">
        <v>1019</v>
      </c>
      <c r="H2888" t="s">
        <v>1031</v>
      </c>
      <c r="I2888">
        <v>185347001</v>
      </c>
      <c r="J2888" t="s">
        <v>1124</v>
      </c>
      <c r="K2888">
        <v>85.55</v>
      </c>
      <c r="L2888">
        <v>1791.03</v>
      </c>
      <c r="M2888">
        <v>0</v>
      </c>
      <c r="N2888">
        <v>431857002</v>
      </c>
      <c r="O2888" t="s">
        <v>4125</v>
      </c>
    </row>
    <row r="2889" spans="1:15">
      <c r="A2889" t="s">
        <v>4347</v>
      </c>
      <c r="B2889" s="2">
        <v>45159.653865740744</v>
      </c>
      <c r="C2889" s="2">
        <v>45159.744837962964</v>
      </c>
      <c r="D2889" t="s">
        <v>585</v>
      </c>
      <c r="E2889" t="s">
        <v>3599</v>
      </c>
      <c r="F2889" t="s">
        <v>3600</v>
      </c>
      <c r="G2889" t="s">
        <v>1019</v>
      </c>
      <c r="H2889" t="s">
        <v>1031</v>
      </c>
      <c r="I2889">
        <v>185347001</v>
      </c>
      <c r="J2889" t="s">
        <v>1124</v>
      </c>
      <c r="K2889">
        <v>85.55</v>
      </c>
      <c r="L2889">
        <v>535.87</v>
      </c>
      <c r="M2889">
        <v>0</v>
      </c>
      <c r="N2889">
        <v>431857002</v>
      </c>
      <c r="O2889" t="s">
        <v>4125</v>
      </c>
    </row>
    <row r="2890" spans="1:15">
      <c r="A2890" t="s">
        <v>4348</v>
      </c>
      <c r="B2890" s="2">
        <v>45162.744837962964</v>
      </c>
      <c r="C2890" s="2">
        <v>45162.889976851853</v>
      </c>
      <c r="D2890" t="s">
        <v>585</v>
      </c>
      <c r="E2890" t="s">
        <v>3599</v>
      </c>
      <c r="F2890" t="s">
        <v>3600</v>
      </c>
      <c r="G2890" t="s">
        <v>1019</v>
      </c>
      <c r="H2890" t="s">
        <v>1031</v>
      </c>
      <c r="I2890">
        <v>185347001</v>
      </c>
      <c r="J2890" t="s">
        <v>1124</v>
      </c>
      <c r="K2890">
        <v>85.55</v>
      </c>
      <c r="L2890">
        <v>1791.03</v>
      </c>
      <c r="M2890">
        <v>0</v>
      </c>
      <c r="N2890">
        <v>431857002</v>
      </c>
      <c r="O2890" t="s">
        <v>4125</v>
      </c>
    </row>
    <row r="2891" spans="1:15">
      <c r="A2891" t="s">
        <v>4349</v>
      </c>
      <c r="B2891" s="2">
        <v>45165.889976851853</v>
      </c>
      <c r="C2891" s="2">
        <v>45165.98233796296</v>
      </c>
      <c r="D2891" t="s">
        <v>585</v>
      </c>
      <c r="E2891" t="s">
        <v>3599</v>
      </c>
      <c r="F2891" t="s">
        <v>3600</v>
      </c>
      <c r="G2891" t="s">
        <v>1019</v>
      </c>
      <c r="H2891" t="s">
        <v>1031</v>
      </c>
      <c r="I2891">
        <v>185347001</v>
      </c>
      <c r="J2891" t="s">
        <v>1124</v>
      </c>
      <c r="K2891">
        <v>85.55</v>
      </c>
      <c r="L2891">
        <v>535.87</v>
      </c>
      <c r="M2891">
        <v>0</v>
      </c>
      <c r="N2891">
        <v>431857002</v>
      </c>
      <c r="O2891" t="s">
        <v>4125</v>
      </c>
    </row>
    <row r="2892" spans="1:15">
      <c r="A2892" t="s">
        <v>4350</v>
      </c>
      <c r="B2892" s="2">
        <v>45175.117754629631</v>
      </c>
      <c r="C2892" s="2">
        <v>45175.140810185185</v>
      </c>
      <c r="D2892" t="s">
        <v>585</v>
      </c>
      <c r="E2892" t="s">
        <v>3599</v>
      </c>
      <c r="F2892" t="s">
        <v>3600</v>
      </c>
      <c r="G2892" t="s">
        <v>1019</v>
      </c>
      <c r="H2892" t="s">
        <v>1043</v>
      </c>
      <c r="I2892">
        <v>185349003</v>
      </c>
      <c r="J2892" t="s">
        <v>1038</v>
      </c>
      <c r="K2892">
        <v>85.55</v>
      </c>
      <c r="L2892">
        <v>815.27</v>
      </c>
      <c r="M2892">
        <v>0</v>
      </c>
      <c r="O2892" t="s">
        <v>34</v>
      </c>
    </row>
    <row r="2893" spans="1:15">
      <c r="A2893" t="s">
        <v>4351</v>
      </c>
      <c r="B2893" s="2">
        <v>45182.117754629631</v>
      </c>
      <c r="C2893" s="2">
        <v>45182.237199074072</v>
      </c>
      <c r="D2893" t="s">
        <v>585</v>
      </c>
      <c r="E2893" t="s">
        <v>3599</v>
      </c>
      <c r="F2893" t="s">
        <v>3600</v>
      </c>
      <c r="G2893" t="s">
        <v>1019</v>
      </c>
      <c r="H2893" t="s">
        <v>1031</v>
      </c>
      <c r="I2893">
        <v>185347001</v>
      </c>
      <c r="J2893" t="s">
        <v>1124</v>
      </c>
      <c r="K2893">
        <v>85.55</v>
      </c>
      <c r="L2893">
        <v>769.03</v>
      </c>
      <c r="M2893">
        <v>0</v>
      </c>
      <c r="N2893">
        <v>431857002</v>
      </c>
      <c r="O2893" t="s">
        <v>4125</v>
      </c>
    </row>
    <row r="2894" spans="1:15">
      <c r="A2894" t="s">
        <v>4352</v>
      </c>
      <c r="B2894" s="2">
        <v>45182.237199074072</v>
      </c>
      <c r="C2894" s="2">
        <v>45182.247615740744</v>
      </c>
      <c r="D2894" t="s">
        <v>585</v>
      </c>
      <c r="E2894" t="s">
        <v>3599</v>
      </c>
      <c r="F2894" t="s">
        <v>3600</v>
      </c>
      <c r="G2894" t="s">
        <v>1019</v>
      </c>
      <c r="H2894" t="s">
        <v>1031</v>
      </c>
      <c r="I2894">
        <v>185347001</v>
      </c>
      <c r="J2894" t="s">
        <v>1124</v>
      </c>
      <c r="K2894">
        <v>85.55</v>
      </c>
      <c r="L2894">
        <v>234.71</v>
      </c>
      <c r="M2894">
        <v>0</v>
      </c>
      <c r="N2894">
        <v>431857002</v>
      </c>
      <c r="O2894" t="s">
        <v>4125</v>
      </c>
    </row>
    <row r="2895" spans="1:15">
      <c r="A2895" t="s">
        <v>4353</v>
      </c>
      <c r="B2895" s="2">
        <v>45185.237199074072</v>
      </c>
      <c r="C2895" s="2">
        <v>45185.351782407408</v>
      </c>
      <c r="D2895" t="s">
        <v>585</v>
      </c>
      <c r="E2895" t="s">
        <v>3599</v>
      </c>
      <c r="F2895" t="s">
        <v>3600</v>
      </c>
      <c r="G2895" t="s">
        <v>1019</v>
      </c>
      <c r="H2895" t="s">
        <v>1031</v>
      </c>
      <c r="I2895">
        <v>185347001</v>
      </c>
      <c r="J2895" t="s">
        <v>1124</v>
      </c>
      <c r="K2895">
        <v>85.55</v>
      </c>
      <c r="L2895">
        <v>1791.03</v>
      </c>
      <c r="M2895">
        <v>0</v>
      </c>
      <c r="N2895">
        <v>431857002</v>
      </c>
      <c r="O2895" t="s">
        <v>4125</v>
      </c>
    </row>
    <row r="2896" spans="1:15">
      <c r="A2896" t="s">
        <v>4354</v>
      </c>
      <c r="B2896" s="2">
        <v>45188.351782407408</v>
      </c>
      <c r="C2896" s="2">
        <v>45188.49900462963</v>
      </c>
      <c r="D2896" t="s">
        <v>585</v>
      </c>
      <c r="E2896" t="s">
        <v>3599</v>
      </c>
      <c r="F2896" t="s">
        <v>3600</v>
      </c>
      <c r="G2896" t="s">
        <v>1019</v>
      </c>
      <c r="H2896" t="s">
        <v>1031</v>
      </c>
      <c r="I2896">
        <v>185347001</v>
      </c>
      <c r="J2896" t="s">
        <v>1124</v>
      </c>
      <c r="K2896">
        <v>85.55</v>
      </c>
      <c r="L2896">
        <v>1079.9100000000001</v>
      </c>
      <c r="M2896">
        <v>0</v>
      </c>
      <c r="N2896">
        <v>431857002</v>
      </c>
      <c r="O2896" t="s">
        <v>4125</v>
      </c>
    </row>
    <row r="2897" spans="1:15">
      <c r="A2897" t="s">
        <v>4355</v>
      </c>
      <c r="B2897" s="2">
        <v>45196.117754629631</v>
      </c>
      <c r="C2897" s="2">
        <v>45196.254791666666</v>
      </c>
      <c r="D2897" t="s">
        <v>585</v>
      </c>
      <c r="E2897" t="s">
        <v>3599</v>
      </c>
      <c r="F2897" t="s">
        <v>3600</v>
      </c>
      <c r="G2897" t="s">
        <v>1019</v>
      </c>
      <c r="H2897" t="s">
        <v>1031</v>
      </c>
      <c r="I2897">
        <v>185349003</v>
      </c>
      <c r="J2897" t="s">
        <v>1038</v>
      </c>
      <c r="K2897">
        <v>85.55</v>
      </c>
      <c r="L2897">
        <v>3105.35</v>
      </c>
      <c r="M2897">
        <v>0</v>
      </c>
      <c r="N2897">
        <v>103697008</v>
      </c>
      <c r="O2897" t="s">
        <v>1039</v>
      </c>
    </row>
    <row r="2898" spans="1:15">
      <c r="A2898" t="s">
        <v>4356</v>
      </c>
      <c r="B2898" s="2">
        <v>45203.117754629631</v>
      </c>
      <c r="C2898" s="2">
        <v>45203.242754629631</v>
      </c>
      <c r="D2898" t="s">
        <v>585</v>
      </c>
      <c r="E2898" t="s">
        <v>3599</v>
      </c>
      <c r="F2898" t="s">
        <v>3600</v>
      </c>
      <c r="G2898" t="s">
        <v>1019</v>
      </c>
      <c r="H2898" t="s">
        <v>1031</v>
      </c>
      <c r="I2898">
        <v>185347001</v>
      </c>
      <c r="J2898" t="s">
        <v>1124</v>
      </c>
      <c r="K2898">
        <v>85.55</v>
      </c>
      <c r="L2898">
        <v>1791.03</v>
      </c>
      <c r="M2898">
        <v>0</v>
      </c>
      <c r="N2898">
        <v>431857002</v>
      </c>
      <c r="O2898" t="s">
        <v>4125</v>
      </c>
    </row>
    <row r="2899" spans="1:15">
      <c r="A2899" t="s">
        <v>4357</v>
      </c>
      <c r="B2899" s="2">
        <v>45206.242754629631</v>
      </c>
      <c r="C2899" s="2">
        <v>45206.358032407406</v>
      </c>
      <c r="D2899" t="s">
        <v>585</v>
      </c>
      <c r="E2899" t="s">
        <v>3599</v>
      </c>
      <c r="F2899" t="s">
        <v>3600</v>
      </c>
      <c r="G2899" t="s">
        <v>1019</v>
      </c>
      <c r="H2899" t="s">
        <v>1031</v>
      </c>
      <c r="I2899">
        <v>185347001</v>
      </c>
      <c r="J2899" t="s">
        <v>1124</v>
      </c>
      <c r="K2899">
        <v>85.55</v>
      </c>
      <c r="L2899">
        <v>632.5</v>
      </c>
      <c r="M2899">
        <v>0</v>
      </c>
      <c r="N2899">
        <v>431857002</v>
      </c>
      <c r="O2899" t="s">
        <v>4125</v>
      </c>
    </row>
    <row r="2900" spans="1:15">
      <c r="A2900" t="s">
        <v>4358</v>
      </c>
      <c r="B2900" s="2">
        <v>45209.358032407406</v>
      </c>
      <c r="C2900" s="2">
        <v>45209.511504629627</v>
      </c>
      <c r="D2900" t="s">
        <v>585</v>
      </c>
      <c r="E2900" t="s">
        <v>3599</v>
      </c>
      <c r="F2900" t="s">
        <v>3600</v>
      </c>
      <c r="G2900" t="s">
        <v>1019</v>
      </c>
      <c r="H2900" t="s">
        <v>1031</v>
      </c>
      <c r="I2900">
        <v>185347001</v>
      </c>
      <c r="J2900" t="s">
        <v>1124</v>
      </c>
      <c r="K2900">
        <v>85.55</v>
      </c>
      <c r="L2900">
        <v>535.87</v>
      </c>
      <c r="M2900">
        <v>0</v>
      </c>
      <c r="N2900">
        <v>431857002</v>
      </c>
      <c r="O2900" t="s">
        <v>4125</v>
      </c>
    </row>
    <row r="2901" spans="1:15">
      <c r="A2901" t="s">
        <v>4359</v>
      </c>
      <c r="B2901" s="2">
        <v>45212.511504629627</v>
      </c>
      <c r="C2901" s="2">
        <v>45212.615671296298</v>
      </c>
      <c r="D2901" t="s">
        <v>585</v>
      </c>
      <c r="E2901" t="s">
        <v>3599</v>
      </c>
      <c r="F2901" t="s">
        <v>3600</v>
      </c>
      <c r="G2901" t="s">
        <v>1019</v>
      </c>
      <c r="H2901" t="s">
        <v>1031</v>
      </c>
      <c r="I2901">
        <v>185347001</v>
      </c>
      <c r="J2901" t="s">
        <v>1124</v>
      </c>
      <c r="K2901">
        <v>85.55</v>
      </c>
      <c r="L2901">
        <v>611.33000000000004</v>
      </c>
      <c r="M2901">
        <v>0</v>
      </c>
      <c r="N2901">
        <v>431857002</v>
      </c>
      <c r="O2901" t="s">
        <v>4125</v>
      </c>
    </row>
    <row r="2902" spans="1:15">
      <c r="A2902" t="s">
        <v>4360</v>
      </c>
      <c r="B2902" s="2">
        <v>45212.615671296298</v>
      </c>
      <c r="C2902" s="2">
        <v>45212.626087962963</v>
      </c>
      <c r="D2902" t="s">
        <v>585</v>
      </c>
      <c r="E2902" t="s">
        <v>3599</v>
      </c>
      <c r="F2902" t="s">
        <v>3600</v>
      </c>
      <c r="G2902" t="s">
        <v>1019</v>
      </c>
      <c r="H2902" t="s">
        <v>1031</v>
      </c>
      <c r="I2902">
        <v>185347001</v>
      </c>
      <c r="J2902" t="s">
        <v>1124</v>
      </c>
      <c r="K2902">
        <v>85.55</v>
      </c>
      <c r="L2902">
        <v>234.71</v>
      </c>
      <c r="M2902">
        <v>0</v>
      </c>
      <c r="N2902">
        <v>431857002</v>
      </c>
      <c r="O2902" t="s">
        <v>4125</v>
      </c>
    </row>
    <row r="2903" spans="1:15">
      <c r="A2903" t="s">
        <v>4361</v>
      </c>
      <c r="B2903" s="2">
        <v>45215.615671296298</v>
      </c>
      <c r="C2903" s="2">
        <v>45215.766365740739</v>
      </c>
      <c r="D2903" t="s">
        <v>585</v>
      </c>
      <c r="E2903" t="s">
        <v>3599</v>
      </c>
      <c r="F2903" t="s">
        <v>3600</v>
      </c>
      <c r="G2903" t="s">
        <v>1019</v>
      </c>
      <c r="H2903" t="s">
        <v>1031</v>
      </c>
      <c r="I2903">
        <v>185347001</v>
      </c>
      <c r="J2903" t="s">
        <v>1124</v>
      </c>
      <c r="K2903">
        <v>85.55</v>
      </c>
      <c r="L2903">
        <v>535.87</v>
      </c>
      <c r="M2903">
        <v>0</v>
      </c>
      <c r="N2903">
        <v>431857002</v>
      </c>
      <c r="O2903" t="s">
        <v>4125</v>
      </c>
    </row>
    <row r="2904" spans="1:15">
      <c r="A2904" t="s">
        <v>4362</v>
      </c>
      <c r="B2904" s="2">
        <v>45218.766365740739</v>
      </c>
      <c r="C2904" s="2">
        <v>45218.912199074075</v>
      </c>
      <c r="D2904" t="s">
        <v>585</v>
      </c>
      <c r="E2904" t="s">
        <v>3599</v>
      </c>
      <c r="F2904" t="s">
        <v>3600</v>
      </c>
      <c r="G2904" t="s">
        <v>1019</v>
      </c>
      <c r="H2904" t="s">
        <v>1031</v>
      </c>
      <c r="I2904">
        <v>185347001</v>
      </c>
      <c r="J2904" t="s">
        <v>1124</v>
      </c>
      <c r="K2904">
        <v>85.55</v>
      </c>
      <c r="L2904">
        <v>563.64</v>
      </c>
      <c r="M2904">
        <v>0</v>
      </c>
      <c r="N2904">
        <v>431857002</v>
      </c>
      <c r="O2904" t="s">
        <v>4125</v>
      </c>
    </row>
    <row r="2905" spans="1:15">
      <c r="A2905" t="s">
        <v>4363</v>
      </c>
      <c r="B2905" s="2">
        <v>45221.912199074075</v>
      </c>
      <c r="C2905" s="2">
        <v>45222.031643518516</v>
      </c>
      <c r="D2905" t="s">
        <v>585</v>
      </c>
      <c r="E2905" t="s">
        <v>3599</v>
      </c>
      <c r="F2905" t="s">
        <v>3600</v>
      </c>
      <c r="G2905" t="s">
        <v>1019</v>
      </c>
      <c r="H2905" t="s">
        <v>1031</v>
      </c>
      <c r="I2905">
        <v>185347001</v>
      </c>
      <c r="J2905" t="s">
        <v>1124</v>
      </c>
      <c r="K2905">
        <v>85.55</v>
      </c>
      <c r="L2905">
        <v>1659.8</v>
      </c>
      <c r="M2905">
        <v>0</v>
      </c>
      <c r="N2905">
        <v>431857002</v>
      </c>
      <c r="O2905" t="s">
        <v>4125</v>
      </c>
    </row>
    <row r="2906" spans="1:15">
      <c r="A2906" t="s">
        <v>4364</v>
      </c>
      <c r="B2906" s="2">
        <v>45225.031643518516</v>
      </c>
      <c r="C2906" s="2">
        <v>45225.145532407405</v>
      </c>
      <c r="D2906" t="s">
        <v>585</v>
      </c>
      <c r="E2906" t="s">
        <v>3599</v>
      </c>
      <c r="F2906" t="s">
        <v>3600</v>
      </c>
      <c r="G2906" t="s">
        <v>1093</v>
      </c>
      <c r="H2906" t="s">
        <v>1031</v>
      </c>
      <c r="I2906">
        <v>185347001</v>
      </c>
      <c r="J2906" t="s">
        <v>1124</v>
      </c>
      <c r="K2906">
        <v>85.55</v>
      </c>
      <c r="L2906">
        <v>788.67</v>
      </c>
      <c r="M2906">
        <v>638.66999999999996</v>
      </c>
      <c r="N2906">
        <v>431857002</v>
      </c>
      <c r="O2906" t="s">
        <v>4125</v>
      </c>
    </row>
    <row r="2907" spans="1:15">
      <c r="A2907" t="s">
        <v>4365</v>
      </c>
      <c r="B2907" s="2">
        <v>45228.145532407405</v>
      </c>
      <c r="C2907" s="2">
        <v>45228.244837962964</v>
      </c>
      <c r="D2907" t="s">
        <v>585</v>
      </c>
      <c r="E2907" t="s">
        <v>3599</v>
      </c>
      <c r="F2907" t="s">
        <v>3600</v>
      </c>
      <c r="G2907" t="s">
        <v>1093</v>
      </c>
      <c r="H2907" t="s">
        <v>1031</v>
      </c>
      <c r="I2907">
        <v>185347001</v>
      </c>
      <c r="J2907" t="s">
        <v>1124</v>
      </c>
      <c r="K2907">
        <v>85.55</v>
      </c>
      <c r="L2907">
        <v>1791.03</v>
      </c>
      <c r="M2907">
        <v>1741.03</v>
      </c>
      <c r="N2907">
        <v>431857002</v>
      </c>
      <c r="O2907" t="s">
        <v>4125</v>
      </c>
    </row>
    <row r="2908" spans="1:15">
      <c r="A2908" t="s">
        <v>4366</v>
      </c>
      <c r="B2908" s="2">
        <v>45238.07608796296</v>
      </c>
      <c r="C2908" s="2">
        <v>45238.116909722223</v>
      </c>
      <c r="D2908" t="s">
        <v>585</v>
      </c>
      <c r="E2908" t="s">
        <v>3599</v>
      </c>
      <c r="F2908" t="s">
        <v>3600</v>
      </c>
      <c r="G2908" t="s">
        <v>1093</v>
      </c>
      <c r="H2908" t="s">
        <v>1043</v>
      </c>
      <c r="I2908">
        <v>185349003</v>
      </c>
      <c r="J2908" t="s">
        <v>1038</v>
      </c>
      <c r="K2908">
        <v>85.55</v>
      </c>
      <c r="L2908">
        <v>815.27</v>
      </c>
      <c r="M2908">
        <v>765.27</v>
      </c>
      <c r="O2908" t="s">
        <v>34</v>
      </c>
    </row>
    <row r="2909" spans="1:15">
      <c r="A2909" t="s">
        <v>4367</v>
      </c>
      <c r="B2909" s="2">
        <v>45245.07608796296</v>
      </c>
      <c r="C2909" s="2">
        <v>45245.221921296295</v>
      </c>
      <c r="D2909" t="s">
        <v>585</v>
      </c>
      <c r="E2909" t="s">
        <v>3599</v>
      </c>
      <c r="F2909" t="s">
        <v>3600</v>
      </c>
      <c r="G2909" t="s">
        <v>1093</v>
      </c>
      <c r="H2909" t="s">
        <v>1031</v>
      </c>
      <c r="I2909">
        <v>185347001</v>
      </c>
      <c r="J2909" t="s">
        <v>1124</v>
      </c>
      <c r="K2909">
        <v>85.55</v>
      </c>
      <c r="L2909">
        <v>1791.03</v>
      </c>
      <c r="M2909">
        <v>1741.03</v>
      </c>
      <c r="N2909">
        <v>431857002</v>
      </c>
      <c r="O2909" t="s">
        <v>4125</v>
      </c>
    </row>
    <row r="2910" spans="1:15">
      <c r="A2910" t="s">
        <v>4368</v>
      </c>
      <c r="B2910" s="2">
        <v>45245.221921296295</v>
      </c>
      <c r="C2910" s="2">
        <v>45245.23233796296</v>
      </c>
      <c r="D2910" t="s">
        <v>585</v>
      </c>
      <c r="E2910" t="s">
        <v>3599</v>
      </c>
      <c r="F2910" t="s">
        <v>3600</v>
      </c>
      <c r="G2910" t="s">
        <v>1093</v>
      </c>
      <c r="H2910" t="s">
        <v>1031</v>
      </c>
      <c r="I2910">
        <v>185347001</v>
      </c>
      <c r="J2910" t="s">
        <v>1124</v>
      </c>
      <c r="K2910">
        <v>85.55</v>
      </c>
      <c r="L2910">
        <v>234.71</v>
      </c>
      <c r="M2910">
        <v>184.71</v>
      </c>
      <c r="N2910">
        <v>431857002</v>
      </c>
      <c r="O2910" t="s">
        <v>4125</v>
      </c>
    </row>
    <row r="2911" spans="1:15">
      <c r="A2911" t="s">
        <v>4369</v>
      </c>
      <c r="B2911" s="2">
        <v>45248.221921296295</v>
      </c>
      <c r="C2911" s="2">
        <v>45248.368449074071</v>
      </c>
      <c r="D2911" t="s">
        <v>585</v>
      </c>
      <c r="E2911" t="s">
        <v>3599</v>
      </c>
      <c r="F2911" t="s">
        <v>3600</v>
      </c>
      <c r="G2911" t="s">
        <v>1093</v>
      </c>
      <c r="H2911" t="s">
        <v>1031</v>
      </c>
      <c r="I2911">
        <v>185347001</v>
      </c>
      <c r="J2911" t="s">
        <v>1124</v>
      </c>
      <c r="K2911">
        <v>85.55</v>
      </c>
      <c r="L2911">
        <v>755.45</v>
      </c>
      <c r="M2911">
        <v>705.45</v>
      </c>
      <c r="N2911">
        <v>431857002</v>
      </c>
      <c r="O2911" t="s">
        <v>4125</v>
      </c>
    </row>
    <row r="2912" spans="1:15">
      <c r="A2912" t="s">
        <v>4370</v>
      </c>
      <c r="B2912" s="2">
        <v>45251.368449074071</v>
      </c>
      <c r="C2912" s="2">
        <v>45251.494837962964</v>
      </c>
      <c r="D2912" t="s">
        <v>585</v>
      </c>
      <c r="E2912" t="s">
        <v>3599</v>
      </c>
      <c r="F2912" t="s">
        <v>3600</v>
      </c>
      <c r="G2912" t="s">
        <v>1093</v>
      </c>
      <c r="H2912" t="s">
        <v>1031</v>
      </c>
      <c r="I2912">
        <v>185347001</v>
      </c>
      <c r="J2912" t="s">
        <v>1124</v>
      </c>
      <c r="K2912">
        <v>85.55</v>
      </c>
      <c r="L2912">
        <v>1791.03</v>
      </c>
      <c r="M2912">
        <v>1741.03</v>
      </c>
      <c r="N2912">
        <v>431857002</v>
      </c>
      <c r="O2912" t="s">
        <v>4125</v>
      </c>
    </row>
    <row r="2913" spans="1:15">
      <c r="A2913" t="s">
        <v>4371</v>
      </c>
      <c r="B2913" s="2">
        <v>45259.07608796296</v>
      </c>
      <c r="C2913" s="2">
        <v>45259.208298611113</v>
      </c>
      <c r="D2913" t="s">
        <v>585</v>
      </c>
      <c r="E2913" t="s">
        <v>3599</v>
      </c>
      <c r="F2913" t="s">
        <v>3600</v>
      </c>
      <c r="G2913" t="s">
        <v>1093</v>
      </c>
      <c r="H2913" t="s">
        <v>1031</v>
      </c>
      <c r="I2913">
        <v>185349003</v>
      </c>
      <c r="J2913" t="s">
        <v>1038</v>
      </c>
      <c r="K2913">
        <v>85.55</v>
      </c>
      <c r="L2913">
        <v>2673.95</v>
      </c>
      <c r="M2913">
        <v>2623.95</v>
      </c>
      <c r="N2913">
        <v>103697008</v>
      </c>
      <c r="O2913" t="s">
        <v>1039</v>
      </c>
    </row>
    <row r="2914" spans="1:15">
      <c r="A2914" t="s">
        <v>4372</v>
      </c>
      <c r="B2914" s="2">
        <v>45266.07608796296</v>
      </c>
      <c r="C2914" s="2">
        <v>45266.189282407409</v>
      </c>
      <c r="D2914" t="s">
        <v>585</v>
      </c>
      <c r="E2914" t="s">
        <v>3599</v>
      </c>
      <c r="F2914" t="s">
        <v>3600</v>
      </c>
      <c r="G2914" t="s">
        <v>1093</v>
      </c>
      <c r="H2914" t="s">
        <v>1031</v>
      </c>
      <c r="I2914">
        <v>185347001</v>
      </c>
      <c r="J2914" t="s">
        <v>1124</v>
      </c>
      <c r="K2914">
        <v>85.55</v>
      </c>
      <c r="L2914">
        <v>535.87</v>
      </c>
      <c r="M2914">
        <v>485.87</v>
      </c>
      <c r="N2914">
        <v>431857002</v>
      </c>
      <c r="O2914" t="s">
        <v>4125</v>
      </c>
    </row>
    <row r="2915" spans="1:15">
      <c r="A2915" t="s">
        <v>4373</v>
      </c>
      <c r="B2915" s="2">
        <v>45269.189282407409</v>
      </c>
      <c r="C2915" s="2">
        <v>45269.273310185185</v>
      </c>
      <c r="D2915" t="s">
        <v>585</v>
      </c>
      <c r="E2915" t="s">
        <v>3599</v>
      </c>
      <c r="F2915" t="s">
        <v>3600</v>
      </c>
      <c r="G2915" t="s">
        <v>1093</v>
      </c>
      <c r="H2915" t="s">
        <v>1031</v>
      </c>
      <c r="I2915">
        <v>185347001</v>
      </c>
      <c r="J2915" t="s">
        <v>1124</v>
      </c>
      <c r="K2915">
        <v>85.55</v>
      </c>
      <c r="L2915">
        <v>1027.57</v>
      </c>
      <c r="M2915">
        <v>977.57</v>
      </c>
      <c r="N2915">
        <v>431857002</v>
      </c>
      <c r="O2915" t="s">
        <v>4125</v>
      </c>
    </row>
    <row r="2916" spans="1:15">
      <c r="A2916" t="s">
        <v>4374</v>
      </c>
      <c r="B2916" s="2">
        <v>45272.273310185185</v>
      </c>
      <c r="C2916" s="2">
        <v>45272.364282407405</v>
      </c>
      <c r="D2916" t="s">
        <v>585</v>
      </c>
      <c r="E2916" t="s">
        <v>3599</v>
      </c>
      <c r="F2916" t="s">
        <v>3600</v>
      </c>
      <c r="G2916" t="s">
        <v>1093</v>
      </c>
      <c r="H2916" t="s">
        <v>1031</v>
      </c>
      <c r="I2916">
        <v>185347001</v>
      </c>
      <c r="J2916" t="s">
        <v>1124</v>
      </c>
      <c r="K2916">
        <v>85.55</v>
      </c>
      <c r="L2916">
        <v>657.59</v>
      </c>
      <c r="M2916">
        <v>607.59</v>
      </c>
      <c r="N2916">
        <v>431857002</v>
      </c>
      <c r="O2916" t="s">
        <v>4125</v>
      </c>
    </row>
    <row r="2917" spans="1:15">
      <c r="A2917" t="s">
        <v>4375</v>
      </c>
      <c r="B2917" s="2">
        <v>45275.364282407405</v>
      </c>
      <c r="C2917" s="2">
        <v>45275.449004629627</v>
      </c>
      <c r="D2917" t="s">
        <v>585</v>
      </c>
      <c r="E2917" t="s">
        <v>3599</v>
      </c>
      <c r="F2917" t="s">
        <v>3600</v>
      </c>
      <c r="G2917" t="s">
        <v>1093</v>
      </c>
      <c r="H2917" t="s">
        <v>1031</v>
      </c>
      <c r="I2917">
        <v>185347001</v>
      </c>
      <c r="J2917" t="s">
        <v>1124</v>
      </c>
      <c r="K2917">
        <v>85.55</v>
      </c>
      <c r="L2917">
        <v>535.87</v>
      </c>
      <c r="M2917">
        <v>485.87</v>
      </c>
      <c r="N2917">
        <v>431857002</v>
      </c>
      <c r="O2917" t="s">
        <v>4125</v>
      </c>
    </row>
    <row r="2918" spans="1:15">
      <c r="A2918" t="s">
        <v>4376</v>
      </c>
      <c r="B2918" s="2">
        <v>45275.449004629627</v>
      </c>
      <c r="C2918" s="2">
        <v>45275.459421296298</v>
      </c>
      <c r="D2918" t="s">
        <v>585</v>
      </c>
      <c r="E2918" t="s">
        <v>3599</v>
      </c>
      <c r="F2918" t="s">
        <v>3600</v>
      </c>
      <c r="G2918" t="s">
        <v>1093</v>
      </c>
      <c r="H2918" t="s">
        <v>1031</v>
      </c>
      <c r="I2918">
        <v>185347001</v>
      </c>
      <c r="J2918" t="s">
        <v>1124</v>
      </c>
      <c r="K2918">
        <v>85.55</v>
      </c>
      <c r="L2918">
        <v>234.71</v>
      </c>
      <c r="M2918">
        <v>184.71</v>
      </c>
      <c r="N2918">
        <v>431857002</v>
      </c>
      <c r="O2918" t="s">
        <v>4125</v>
      </c>
    </row>
    <row r="2919" spans="1:15">
      <c r="A2919" t="s">
        <v>4377</v>
      </c>
      <c r="B2919" s="2">
        <v>45278.449004629627</v>
      </c>
      <c r="C2919" s="2">
        <v>45278.540671296294</v>
      </c>
      <c r="D2919" t="s">
        <v>585</v>
      </c>
      <c r="E2919" t="s">
        <v>3599</v>
      </c>
      <c r="F2919" t="s">
        <v>3600</v>
      </c>
      <c r="G2919" t="s">
        <v>1093</v>
      </c>
      <c r="H2919" t="s">
        <v>1031</v>
      </c>
      <c r="I2919">
        <v>185347001</v>
      </c>
      <c r="J2919" t="s">
        <v>1124</v>
      </c>
      <c r="K2919">
        <v>85.55</v>
      </c>
      <c r="L2919">
        <v>535.87</v>
      </c>
      <c r="M2919">
        <v>485.87</v>
      </c>
      <c r="N2919">
        <v>431857002</v>
      </c>
      <c r="O2919" t="s">
        <v>4125</v>
      </c>
    </row>
    <row r="2920" spans="1:15">
      <c r="A2920" t="s">
        <v>4378</v>
      </c>
      <c r="B2920" s="2">
        <v>45281.540671296294</v>
      </c>
      <c r="C2920" s="2">
        <v>45281.662199074075</v>
      </c>
      <c r="D2920" t="s">
        <v>585</v>
      </c>
      <c r="E2920" t="s">
        <v>3599</v>
      </c>
      <c r="F2920" t="s">
        <v>3600</v>
      </c>
      <c r="G2920" t="s">
        <v>1093</v>
      </c>
      <c r="H2920" t="s">
        <v>1031</v>
      </c>
      <c r="I2920">
        <v>185347001</v>
      </c>
      <c r="J2920" t="s">
        <v>1124</v>
      </c>
      <c r="K2920">
        <v>85.55</v>
      </c>
      <c r="L2920">
        <v>535.87</v>
      </c>
      <c r="M2920">
        <v>485.87</v>
      </c>
      <c r="N2920">
        <v>431857002</v>
      </c>
      <c r="O2920" t="s">
        <v>4125</v>
      </c>
    </row>
    <row r="2921" spans="1:15">
      <c r="A2921" t="s">
        <v>4379</v>
      </c>
      <c r="B2921" s="2">
        <v>45284.662199074075</v>
      </c>
      <c r="C2921" s="2">
        <v>45284.758726851855</v>
      </c>
      <c r="D2921" t="s">
        <v>585</v>
      </c>
      <c r="E2921" t="s">
        <v>3599</v>
      </c>
      <c r="F2921" t="s">
        <v>3600</v>
      </c>
      <c r="G2921" t="s">
        <v>1093</v>
      </c>
      <c r="H2921" t="s">
        <v>1031</v>
      </c>
      <c r="I2921">
        <v>185347001</v>
      </c>
      <c r="J2921" t="s">
        <v>1124</v>
      </c>
      <c r="K2921">
        <v>85.55</v>
      </c>
      <c r="L2921">
        <v>1197.82</v>
      </c>
      <c r="M2921">
        <v>1147.82</v>
      </c>
      <c r="N2921">
        <v>431857002</v>
      </c>
      <c r="O2921" t="s">
        <v>4125</v>
      </c>
    </row>
    <row r="2922" spans="1:15">
      <c r="A2922" t="s">
        <v>4380</v>
      </c>
      <c r="B2922" s="2">
        <v>45287.758726851855</v>
      </c>
      <c r="C2922" s="2">
        <v>45287.880949074075</v>
      </c>
      <c r="D2922" t="s">
        <v>585</v>
      </c>
      <c r="E2922" t="s">
        <v>3599</v>
      </c>
      <c r="F2922" t="s">
        <v>3600</v>
      </c>
      <c r="G2922" t="s">
        <v>1093</v>
      </c>
      <c r="H2922" t="s">
        <v>1031</v>
      </c>
      <c r="I2922">
        <v>185347001</v>
      </c>
      <c r="J2922" t="s">
        <v>1124</v>
      </c>
      <c r="K2922">
        <v>85.55</v>
      </c>
      <c r="L2922">
        <v>535.87</v>
      </c>
      <c r="M2922">
        <v>485.87</v>
      </c>
      <c r="N2922">
        <v>431857002</v>
      </c>
      <c r="O2922" t="s">
        <v>4125</v>
      </c>
    </row>
    <row r="2923" spans="1:15">
      <c r="A2923" t="s">
        <v>4381</v>
      </c>
      <c r="B2923" s="2">
        <v>45290.880949074075</v>
      </c>
      <c r="C2923" s="2">
        <v>45290.979560185187</v>
      </c>
      <c r="D2923" t="s">
        <v>585</v>
      </c>
      <c r="E2923" t="s">
        <v>3599</v>
      </c>
      <c r="F2923" t="s">
        <v>3600</v>
      </c>
      <c r="G2923" t="s">
        <v>1093</v>
      </c>
      <c r="H2923" t="s">
        <v>1031</v>
      </c>
      <c r="I2923">
        <v>185347001</v>
      </c>
      <c r="J2923" t="s">
        <v>1124</v>
      </c>
      <c r="K2923">
        <v>85.55</v>
      </c>
      <c r="L2923">
        <v>682.17</v>
      </c>
      <c r="M2923">
        <v>632.16999999999996</v>
      </c>
      <c r="N2923">
        <v>431857002</v>
      </c>
      <c r="O2923" t="s">
        <v>4125</v>
      </c>
    </row>
    <row r="2924" spans="1:15">
      <c r="A2924" t="s">
        <v>4382</v>
      </c>
      <c r="B2924" s="2">
        <v>45293.979560185187</v>
      </c>
      <c r="C2924" s="2">
        <v>45294.128865740742</v>
      </c>
      <c r="D2924" t="s">
        <v>585</v>
      </c>
      <c r="E2924" t="s">
        <v>3599</v>
      </c>
      <c r="F2924" t="s">
        <v>3600</v>
      </c>
      <c r="G2924" t="s">
        <v>1093</v>
      </c>
      <c r="H2924" t="s">
        <v>1031</v>
      </c>
      <c r="I2924">
        <v>185347001</v>
      </c>
      <c r="J2924" t="s">
        <v>1124</v>
      </c>
      <c r="K2924">
        <v>85.55</v>
      </c>
      <c r="L2924">
        <v>950.71</v>
      </c>
      <c r="M2924">
        <v>900.71</v>
      </c>
      <c r="N2924">
        <v>431857002</v>
      </c>
      <c r="O2924" t="s">
        <v>4125</v>
      </c>
    </row>
    <row r="2925" spans="1:15">
      <c r="A2925" t="s">
        <v>4383</v>
      </c>
      <c r="B2925" s="2">
        <v>45297.128865740742</v>
      </c>
      <c r="C2925" s="2">
        <v>45297.255254629628</v>
      </c>
      <c r="D2925" t="s">
        <v>585</v>
      </c>
      <c r="E2925" t="s">
        <v>3599</v>
      </c>
      <c r="F2925" t="s">
        <v>3600</v>
      </c>
      <c r="G2925" t="s">
        <v>1093</v>
      </c>
      <c r="H2925" t="s">
        <v>1031</v>
      </c>
      <c r="I2925">
        <v>185347001</v>
      </c>
      <c r="J2925" t="s">
        <v>1124</v>
      </c>
      <c r="K2925">
        <v>85.55</v>
      </c>
      <c r="L2925">
        <v>535.87</v>
      </c>
      <c r="M2925">
        <v>485.87</v>
      </c>
      <c r="N2925">
        <v>431857002</v>
      </c>
      <c r="O2925" t="s">
        <v>4125</v>
      </c>
    </row>
    <row r="2926" spans="1:15">
      <c r="A2926" t="s">
        <v>4384</v>
      </c>
      <c r="B2926" s="2">
        <v>45300.255254629628</v>
      </c>
      <c r="C2926" s="2">
        <v>45300.413587962961</v>
      </c>
      <c r="D2926" t="s">
        <v>585</v>
      </c>
      <c r="E2926" t="s">
        <v>3599</v>
      </c>
      <c r="F2926" t="s">
        <v>3600</v>
      </c>
      <c r="G2926" t="s">
        <v>1093</v>
      </c>
      <c r="H2926" t="s">
        <v>1031</v>
      </c>
      <c r="I2926">
        <v>185347001</v>
      </c>
      <c r="J2926" t="s">
        <v>1124</v>
      </c>
      <c r="K2926">
        <v>85.55</v>
      </c>
      <c r="L2926">
        <v>1434.27</v>
      </c>
      <c r="M2926">
        <v>1384.27</v>
      </c>
      <c r="N2926">
        <v>431857002</v>
      </c>
      <c r="O2926" t="s">
        <v>4125</v>
      </c>
    </row>
    <row r="2927" spans="1:15">
      <c r="A2927" t="s">
        <v>4385</v>
      </c>
      <c r="B2927" s="2">
        <v>45303.413587962961</v>
      </c>
      <c r="C2927" s="2">
        <v>45303.504560185182</v>
      </c>
      <c r="D2927" t="s">
        <v>585</v>
      </c>
      <c r="E2927" t="s">
        <v>3599</v>
      </c>
      <c r="F2927" t="s">
        <v>3600</v>
      </c>
      <c r="G2927" t="s">
        <v>1093</v>
      </c>
      <c r="H2927" t="s">
        <v>1031</v>
      </c>
      <c r="I2927">
        <v>185347001</v>
      </c>
      <c r="J2927" t="s">
        <v>1124</v>
      </c>
      <c r="K2927">
        <v>85.55</v>
      </c>
      <c r="L2927">
        <v>535.87</v>
      </c>
      <c r="M2927">
        <v>485.87</v>
      </c>
      <c r="N2927">
        <v>431857002</v>
      </c>
      <c r="O2927" t="s">
        <v>4125</v>
      </c>
    </row>
    <row r="2928" spans="1:15">
      <c r="A2928" t="s">
        <v>4386</v>
      </c>
      <c r="B2928" s="2">
        <v>45306.504560185182</v>
      </c>
      <c r="C2928" s="2">
        <v>45306.630949074075</v>
      </c>
      <c r="D2928" t="s">
        <v>585</v>
      </c>
      <c r="E2928" t="s">
        <v>3599</v>
      </c>
      <c r="F2928" t="s">
        <v>3600</v>
      </c>
      <c r="G2928" t="s">
        <v>1093</v>
      </c>
      <c r="H2928" t="s">
        <v>1031</v>
      </c>
      <c r="I2928">
        <v>185347001</v>
      </c>
      <c r="J2928" t="s">
        <v>1124</v>
      </c>
      <c r="K2928">
        <v>85.55</v>
      </c>
      <c r="L2928">
        <v>535.87</v>
      </c>
      <c r="M2928">
        <v>485.87</v>
      </c>
      <c r="N2928">
        <v>431857002</v>
      </c>
      <c r="O2928" t="s">
        <v>4125</v>
      </c>
    </row>
    <row r="2929" spans="1:15">
      <c r="A2929" t="s">
        <v>4387</v>
      </c>
      <c r="B2929" s="2">
        <v>45306.630949074075</v>
      </c>
      <c r="C2929" s="2">
        <v>45306.641365740739</v>
      </c>
      <c r="D2929" t="s">
        <v>585</v>
      </c>
      <c r="E2929" t="s">
        <v>3599</v>
      </c>
      <c r="F2929" t="s">
        <v>3600</v>
      </c>
      <c r="G2929" t="s">
        <v>1093</v>
      </c>
      <c r="H2929" t="s">
        <v>1031</v>
      </c>
      <c r="I2929">
        <v>185347001</v>
      </c>
      <c r="J2929" t="s">
        <v>1124</v>
      </c>
      <c r="K2929">
        <v>85.55</v>
      </c>
      <c r="L2929">
        <v>234.71</v>
      </c>
      <c r="M2929">
        <v>184.71</v>
      </c>
      <c r="N2929">
        <v>431857002</v>
      </c>
      <c r="O2929" t="s">
        <v>4125</v>
      </c>
    </row>
    <row r="2930" spans="1:15">
      <c r="A2930" t="s">
        <v>4388</v>
      </c>
      <c r="B2930" s="2">
        <v>45309.630949074075</v>
      </c>
      <c r="C2930" s="2">
        <v>45309.783032407409</v>
      </c>
      <c r="D2930" t="s">
        <v>585</v>
      </c>
      <c r="E2930" t="s">
        <v>3599</v>
      </c>
      <c r="F2930" t="s">
        <v>3600</v>
      </c>
      <c r="G2930" t="s">
        <v>1093</v>
      </c>
      <c r="H2930" t="s">
        <v>1031</v>
      </c>
      <c r="I2930">
        <v>185347001</v>
      </c>
      <c r="J2930" t="s">
        <v>1124</v>
      </c>
      <c r="K2930">
        <v>85.55</v>
      </c>
      <c r="L2930">
        <v>910.9</v>
      </c>
      <c r="M2930">
        <v>860.9</v>
      </c>
      <c r="N2930">
        <v>431857002</v>
      </c>
      <c r="O2930" t="s">
        <v>4125</v>
      </c>
    </row>
    <row r="2931" spans="1:15">
      <c r="A2931" t="s">
        <v>4389</v>
      </c>
      <c r="B2931" s="2">
        <v>45312.783032407409</v>
      </c>
      <c r="C2931" s="2">
        <v>45312.866365740738</v>
      </c>
      <c r="D2931" t="s">
        <v>585</v>
      </c>
      <c r="E2931" t="s">
        <v>3599</v>
      </c>
      <c r="F2931" t="s">
        <v>3600</v>
      </c>
      <c r="G2931" t="s">
        <v>1093</v>
      </c>
      <c r="H2931" t="s">
        <v>1031</v>
      </c>
      <c r="I2931">
        <v>185347001</v>
      </c>
      <c r="J2931" t="s">
        <v>1124</v>
      </c>
      <c r="K2931">
        <v>85.55</v>
      </c>
      <c r="L2931">
        <v>535.87</v>
      </c>
      <c r="M2931">
        <v>485.87</v>
      </c>
      <c r="N2931">
        <v>431857002</v>
      </c>
      <c r="O2931" t="s">
        <v>4125</v>
      </c>
    </row>
    <row r="2932" spans="1:15">
      <c r="A2932" t="s">
        <v>4390</v>
      </c>
      <c r="B2932" s="2">
        <v>45322.07608796296</v>
      </c>
      <c r="C2932" s="2">
        <v>45322.099189814813</v>
      </c>
      <c r="D2932" t="s">
        <v>585</v>
      </c>
      <c r="E2932" t="s">
        <v>3599</v>
      </c>
      <c r="F2932" t="s">
        <v>3600</v>
      </c>
      <c r="G2932" t="s">
        <v>1093</v>
      </c>
      <c r="H2932" t="s">
        <v>1043</v>
      </c>
      <c r="I2932">
        <v>185349003</v>
      </c>
      <c r="J2932" t="s">
        <v>1038</v>
      </c>
      <c r="K2932">
        <v>85.55</v>
      </c>
      <c r="L2932">
        <v>1030.97</v>
      </c>
      <c r="M2932">
        <v>980.97</v>
      </c>
      <c r="O2932" t="s">
        <v>34</v>
      </c>
    </row>
    <row r="2933" spans="1:15">
      <c r="A2933" t="s">
        <v>4391</v>
      </c>
      <c r="B2933" s="2">
        <v>45329.07608796296</v>
      </c>
      <c r="C2933" s="2">
        <v>45329.208032407405</v>
      </c>
      <c r="D2933" t="s">
        <v>585</v>
      </c>
      <c r="E2933" t="s">
        <v>3599</v>
      </c>
      <c r="F2933" t="s">
        <v>3600</v>
      </c>
      <c r="G2933" t="s">
        <v>1093</v>
      </c>
      <c r="H2933" t="s">
        <v>1031</v>
      </c>
      <c r="I2933">
        <v>185347001</v>
      </c>
      <c r="J2933" t="s">
        <v>1124</v>
      </c>
      <c r="K2933">
        <v>85.55</v>
      </c>
      <c r="L2933">
        <v>1004.48</v>
      </c>
      <c r="M2933">
        <v>954.48</v>
      </c>
      <c r="N2933">
        <v>431857002</v>
      </c>
      <c r="O2933" t="s">
        <v>4125</v>
      </c>
    </row>
    <row r="2934" spans="1:15">
      <c r="A2934" t="s">
        <v>4392</v>
      </c>
      <c r="B2934" s="2">
        <v>45332.208032407405</v>
      </c>
      <c r="C2934" s="2">
        <v>45332.304560185185</v>
      </c>
      <c r="D2934" t="s">
        <v>585</v>
      </c>
      <c r="E2934" t="s">
        <v>3599</v>
      </c>
      <c r="F2934" t="s">
        <v>3600</v>
      </c>
      <c r="G2934" t="s">
        <v>1093</v>
      </c>
      <c r="H2934" t="s">
        <v>1031</v>
      </c>
      <c r="I2934">
        <v>185347001</v>
      </c>
      <c r="J2934" t="s">
        <v>1124</v>
      </c>
      <c r="K2934">
        <v>85.55</v>
      </c>
      <c r="L2934">
        <v>1111.18</v>
      </c>
      <c r="M2934">
        <v>1061.18</v>
      </c>
      <c r="N2934">
        <v>431857002</v>
      </c>
      <c r="O2934" t="s">
        <v>4125</v>
      </c>
    </row>
    <row r="2935" spans="1:15">
      <c r="A2935" t="s">
        <v>4393</v>
      </c>
      <c r="B2935" s="2">
        <v>45335.304560185185</v>
      </c>
      <c r="C2935" s="2">
        <v>45335.393449074072</v>
      </c>
      <c r="D2935" t="s">
        <v>585</v>
      </c>
      <c r="E2935" t="s">
        <v>3599</v>
      </c>
      <c r="F2935" t="s">
        <v>3600</v>
      </c>
      <c r="G2935" t="s">
        <v>1093</v>
      </c>
      <c r="H2935" t="s">
        <v>1031</v>
      </c>
      <c r="I2935">
        <v>185347001</v>
      </c>
      <c r="J2935" t="s">
        <v>1124</v>
      </c>
      <c r="K2935">
        <v>85.55</v>
      </c>
      <c r="L2935">
        <v>535.87</v>
      </c>
      <c r="M2935">
        <v>485.87</v>
      </c>
      <c r="N2935">
        <v>431857002</v>
      </c>
      <c r="O2935" t="s">
        <v>4125</v>
      </c>
    </row>
    <row r="2936" spans="1:15">
      <c r="A2936" t="s">
        <v>4394</v>
      </c>
      <c r="B2936" s="2">
        <v>45338.393449074072</v>
      </c>
      <c r="C2936" s="2">
        <v>45338.478171296294</v>
      </c>
      <c r="D2936" t="s">
        <v>585</v>
      </c>
      <c r="E2936" t="s">
        <v>3599</v>
      </c>
      <c r="F2936" t="s">
        <v>3600</v>
      </c>
      <c r="G2936" t="s">
        <v>1093</v>
      </c>
      <c r="H2936" t="s">
        <v>1031</v>
      </c>
      <c r="I2936">
        <v>185347001</v>
      </c>
      <c r="J2936" t="s">
        <v>1124</v>
      </c>
      <c r="K2936">
        <v>85.55</v>
      </c>
      <c r="L2936">
        <v>1055.04</v>
      </c>
      <c r="M2936">
        <v>1005.04</v>
      </c>
      <c r="N2936">
        <v>431857002</v>
      </c>
      <c r="O2936" t="s">
        <v>4125</v>
      </c>
    </row>
    <row r="2937" spans="1:15">
      <c r="A2937" t="s">
        <v>4395</v>
      </c>
      <c r="B2937" s="2">
        <v>45338.478171296294</v>
      </c>
      <c r="C2937" s="2">
        <v>45338.488587962966</v>
      </c>
      <c r="D2937" t="s">
        <v>585</v>
      </c>
      <c r="E2937" t="s">
        <v>3599</v>
      </c>
      <c r="F2937" t="s">
        <v>3600</v>
      </c>
      <c r="G2937" t="s">
        <v>1093</v>
      </c>
      <c r="H2937" t="s">
        <v>1031</v>
      </c>
      <c r="I2937">
        <v>185347001</v>
      </c>
      <c r="J2937" t="s">
        <v>1124</v>
      </c>
      <c r="K2937">
        <v>85.55</v>
      </c>
      <c r="L2937">
        <v>234.71</v>
      </c>
      <c r="M2937">
        <v>184.71</v>
      </c>
      <c r="N2937">
        <v>431857002</v>
      </c>
      <c r="O2937" t="s">
        <v>4125</v>
      </c>
    </row>
    <row r="2938" spans="1:15">
      <c r="A2938" t="s">
        <v>4396</v>
      </c>
      <c r="B2938" s="2">
        <v>45341.478171296294</v>
      </c>
      <c r="C2938" s="2">
        <v>45341.624699074076</v>
      </c>
      <c r="D2938" t="s">
        <v>585</v>
      </c>
      <c r="E2938" t="s">
        <v>3599</v>
      </c>
      <c r="F2938" t="s">
        <v>3600</v>
      </c>
      <c r="G2938" t="s">
        <v>1093</v>
      </c>
      <c r="H2938" t="s">
        <v>1031</v>
      </c>
      <c r="I2938">
        <v>185347001</v>
      </c>
      <c r="J2938" t="s">
        <v>1124</v>
      </c>
      <c r="K2938">
        <v>85.55</v>
      </c>
      <c r="L2938">
        <v>535.87</v>
      </c>
      <c r="M2938">
        <v>485.87</v>
      </c>
      <c r="N2938">
        <v>431857002</v>
      </c>
      <c r="O2938" t="s">
        <v>4125</v>
      </c>
    </row>
    <row r="2939" spans="1:15">
      <c r="A2939" t="s">
        <v>4397</v>
      </c>
      <c r="B2939" s="2">
        <v>45344.624699074076</v>
      </c>
      <c r="C2939" s="2">
        <v>45344.776782407411</v>
      </c>
      <c r="D2939" t="s">
        <v>585</v>
      </c>
      <c r="E2939" t="s">
        <v>3599</v>
      </c>
      <c r="F2939" t="s">
        <v>3600</v>
      </c>
      <c r="G2939" t="s">
        <v>1093</v>
      </c>
      <c r="H2939" t="s">
        <v>1031</v>
      </c>
      <c r="I2939">
        <v>185347001</v>
      </c>
      <c r="J2939" t="s">
        <v>1124</v>
      </c>
      <c r="K2939">
        <v>85.55</v>
      </c>
      <c r="L2939">
        <v>821.88</v>
      </c>
      <c r="M2939">
        <v>771.88</v>
      </c>
      <c r="N2939">
        <v>431857002</v>
      </c>
      <c r="O2939" t="s">
        <v>4125</v>
      </c>
    </row>
    <row r="2940" spans="1:15">
      <c r="A2940" t="s">
        <v>4398</v>
      </c>
      <c r="B2940" s="2">
        <v>45347.776782407411</v>
      </c>
      <c r="C2940" s="2">
        <v>45347.916365740741</v>
      </c>
      <c r="D2940" t="s">
        <v>585</v>
      </c>
      <c r="E2940" t="s">
        <v>3599</v>
      </c>
      <c r="F2940" t="s">
        <v>3600</v>
      </c>
      <c r="G2940" t="s">
        <v>1093</v>
      </c>
      <c r="H2940" t="s">
        <v>1031</v>
      </c>
      <c r="I2940">
        <v>185347001</v>
      </c>
      <c r="J2940" t="s">
        <v>1124</v>
      </c>
      <c r="K2940">
        <v>85.55</v>
      </c>
      <c r="L2940">
        <v>896.87</v>
      </c>
      <c r="M2940">
        <v>846.87</v>
      </c>
      <c r="N2940">
        <v>431857002</v>
      </c>
      <c r="O2940" t="s">
        <v>4125</v>
      </c>
    </row>
    <row r="2941" spans="1:15">
      <c r="A2941" t="s">
        <v>4399</v>
      </c>
      <c r="B2941" s="2">
        <v>45350.916365740741</v>
      </c>
      <c r="C2941" s="2">
        <v>45351.006643518522</v>
      </c>
      <c r="D2941" t="s">
        <v>585</v>
      </c>
      <c r="E2941" t="s">
        <v>3599</v>
      </c>
      <c r="F2941" t="s">
        <v>3600</v>
      </c>
      <c r="G2941" t="s">
        <v>1093</v>
      </c>
      <c r="H2941" t="s">
        <v>1031</v>
      </c>
      <c r="I2941">
        <v>185347001</v>
      </c>
      <c r="J2941" t="s">
        <v>1124</v>
      </c>
      <c r="K2941">
        <v>85.55</v>
      </c>
      <c r="L2941">
        <v>1019.45</v>
      </c>
      <c r="M2941">
        <v>969.45</v>
      </c>
      <c r="N2941">
        <v>431857002</v>
      </c>
      <c r="O2941" t="s">
        <v>4125</v>
      </c>
    </row>
    <row r="2942" spans="1:15">
      <c r="A2942" t="s">
        <v>4400</v>
      </c>
      <c r="B2942" s="2">
        <v>45354.006643518522</v>
      </c>
      <c r="C2942" s="2">
        <v>45354.103865740741</v>
      </c>
      <c r="D2942" t="s">
        <v>585</v>
      </c>
      <c r="E2942" t="s">
        <v>3599</v>
      </c>
      <c r="F2942" t="s">
        <v>3600</v>
      </c>
      <c r="G2942" t="s">
        <v>1093</v>
      </c>
      <c r="H2942" t="s">
        <v>1031</v>
      </c>
      <c r="I2942">
        <v>185347001</v>
      </c>
      <c r="J2942" t="s">
        <v>1124</v>
      </c>
      <c r="K2942">
        <v>85.55</v>
      </c>
      <c r="L2942">
        <v>1258.95</v>
      </c>
      <c r="M2942">
        <v>1208.95</v>
      </c>
      <c r="N2942">
        <v>431857002</v>
      </c>
      <c r="O2942" t="s">
        <v>4125</v>
      </c>
    </row>
    <row r="2943" spans="1:15">
      <c r="A2943" t="s">
        <v>4401</v>
      </c>
      <c r="B2943" s="2">
        <v>45357.103865740741</v>
      </c>
      <c r="C2943" s="2">
        <v>45357.258726851855</v>
      </c>
      <c r="D2943" t="s">
        <v>585</v>
      </c>
      <c r="E2943" t="s">
        <v>3599</v>
      </c>
      <c r="F2943" t="s">
        <v>3600</v>
      </c>
      <c r="G2943" t="s">
        <v>1093</v>
      </c>
      <c r="H2943" t="s">
        <v>1031</v>
      </c>
      <c r="I2943">
        <v>185347001</v>
      </c>
      <c r="J2943" t="s">
        <v>1124</v>
      </c>
      <c r="K2943">
        <v>85.55</v>
      </c>
      <c r="L2943">
        <v>535.87</v>
      </c>
      <c r="M2943">
        <v>485.87</v>
      </c>
      <c r="N2943">
        <v>431857002</v>
      </c>
      <c r="O2943" t="s">
        <v>4125</v>
      </c>
    </row>
    <row r="2944" spans="1:15">
      <c r="A2944" t="s">
        <v>4402</v>
      </c>
      <c r="B2944" s="2">
        <v>45360.258726851855</v>
      </c>
      <c r="C2944" s="2">
        <v>45360.380949074075</v>
      </c>
      <c r="D2944" t="s">
        <v>585</v>
      </c>
      <c r="E2944" t="s">
        <v>3599</v>
      </c>
      <c r="F2944" t="s">
        <v>3600</v>
      </c>
      <c r="G2944" t="s">
        <v>1093</v>
      </c>
      <c r="H2944" t="s">
        <v>1031</v>
      </c>
      <c r="I2944">
        <v>185347001</v>
      </c>
      <c r="J2944" t="s">
        <v>1124</v>
      </c>
      <c r="K2944">
        <v>85.55</v>
      </c>
      <c r="L2944">
        <v>781.86</v>
      </c>
      <c r="M2944">
        <v>731.86</v>
      </c>
      <c r="N2944">
        <v>431857002</v>
      </c>
      <c r="O2944" t="s">
        <v>4125</v>
      </c>
    </row>
    <row r="2945" spans="1:15">
      <c r="A2945" t="s">
        <v>4403</v>
      </c>
      <c r="B2945" s="2">
        <v>45363.422615740739</v>
      </c>
      <c r="C2945" s="2">
        <v>45363.51289351852</v>
      </c>
      <c r="D2945" t="s">
        <v>585</v>
      </c>
      <c r="E2945" t="s">
        <v>3599</v>
      </c>
      <c r="F2945" t="s">
        <v>3600</v>
      </c>
      <c r="G2945" t="s">
        <v>1093</v>
      </c>
      <c r="H2945" t="s">
        <v>1031</v>
      </c>
      <c r="I2945">
        <v>185347001</v>
      </c>
      <c r="J2945" t="s">
        <v>1124</v>
      </c>
      <c r="K2945">
        <v>85.55</v>
      </c>
      <c r="L2945">
        <v>1295.25</v>
      </c>
      <c r="M2945">
        <v>1245.25</v>
      </c>
      <c r="N2945">
        <v>431857002</v>
      </c>
      <c r="O2945" t="s">
        <v>4125</v>
      </c>
    </row>
    <row r="2946" spans="1:15">
      <c r="A2946" t="s">
        <v>4404</v>
      </c>
      <c r="B2946" s="2">
        <v>45366.51289351852</v>
      </c>
      <c r="C2946" s="2">
        <v>45366.668449074074</v>
      </c>
      <c r="D2946" t="s">
        <v>585</v>
      </c>
      <c r="E2946" t="s">
        <v>3599</v>
      </c>
      <c r="F2946" t="s">
        <v>3600</v>
      </c>
      <c r="G2946" t="s">
        <v>1093</v>
      </c>
      <c r="H2946" t="s">
        <v>1031</v>
      </c>
      <c r="I2946">
        <v>185347001</v>
      </c>
      <c r="J2946" t="s">
        <v>1124</v>
      </c>
      <c r="K2946">
        <v>85.55</v>
      </c>
      <c r="L2946">
        <v>535.87</v>
      </c>
      <c r="M2946">
        <v>485.87</v>
      </c>
      <c r="N2946">
        <v>431857002</v>
      </c>
      <c r="O2946" t="s">
        <v>4125</v>
      </c>
    </row>
    <row r="2947" spans="1:15">
      <c r="A2947" t="s">
        <v>4405</v>
      </c>
      <c r="B2947" s="2">
        <v>45369.668449074074</v>
      </c>
      <c r="C2947" s="2">
        <v>45369.770532407405</v>
      </c>
      <c r="D2947" t="s">
        <v>585</v>
      </c>
      <c r="E2947" t="s">
        <v>3599</v>
      </c>
      <c r="F2947" t="s">
        <v>3600</v>
      </c>
      <c r="G2947" t="s">
        <v>1093</v>
      </c>
      <c r="H2947" t="s">
        <v>1031</v>
      </c>
      <c r="I2947">
        <v>185347001</v>
      </c>
      <c r="J2947" t="s">
        <v>1124</v>
      </c>
      <c r="K2947">
        <v>85.55</v>
      </c>
      <c r="L2947">
        <v>1791.03</v>
      </c>
      <c r="M2947">
        <v>1741.03</v>
      </c>
      <c r="N2947">
        <v>431857002</v>
      </c>
      <c r="O2947" t="s">
        <v>4125</v>
      </c>
    </row>
    <row r="2948" spans="1:15">
      <c r="A2948" t="s">
        <v>4406</v>
      </c>
      <c r="B2948" s="2">
        <v>45369.770532407405</v>
      </c>
      <c r="C2948" s="2">
        <v>45369.780949074076</v>
      </c>
      <c r="D2948" t="s">
        <v>585</v>
      </c>
      <c r="E2948" t="s">
        <v>3599</v>
      </c>
      <c r="F2948" t="s">
        <v>3600</v>
      </c>
      <c r="G2948" t="s">
        <v>1093</v>
      </c>
      <c r="H2948" t="s">
        <v>1031</v>
      </c>
      <c r="I2948">
        <v>185347001</v>
      </c>
      <c r="J2948" t="s">
        <v>1124</v>
      </c>
      <c r="K2948">
        <v>85.55</v>
      </c>
      <c r="L2948">
        <v>234.71</v>
      </c>
      <c r="M2948">
        <v>184.71</v>
      </c>
      <c r="N2948">
        <v>431857002</v>
      </c>
      <c r="O2948" t="s">
        <v>4125</v>
      </c>
    </row>
    <row r="2949" spans="1:15">
      <c r="A2949" t="s">
        <v>4407</v>
      </c>
      <c r="B2949" s="2">
        <v>45372.770532407405</v>
      </c>
      <c r="C2949" s="2">
        <v>45372.920532407406</v>
      </c>
      <c r="D2949" t="s">
        <v>585</v>
      </c>
      <c r="E2949" t="s">
        <v>3599</v>
      </c>
      <c r="F2949" t="s">
        <v>3600</v>
      </c>
      <c r="G2949" t="s">
        <v>1093</v>
      </c>
      <c r="H2949" t="s">
        <v>1031</v>
      </c>
      <c r="I2949">
        <v>185347001</v>
      </c>
      <c r="J2949" t="s">
        <v>1124</v>
      </c>
      <c r="K2949">
        <v>85.55</v>
      </c>
      <c r="L2949">
        <v>768.38</v>
      </c>
      <c r="M2949">
        <v>718.38</v>
      </c>
      <c r="N2949">
        <v>431857002</v>
      </c>
      <c r="O2949" t="s">
        <v>4125</v>
      </c>
    </row>
    <row r="2950" spans="1:15">
      <c r="A2950" t="s">
        <v>4408</v>
      </c>
      <c r="B2950" s="2">
        <v>45375.920532407406</v>
      </c>
      <c r="C2950" s="2">
        <v>45376.064976851849</v>
      </c>
      <c r="D2950" t="s">
        <v>585</v>
      </c>
      <c r="E2950" t="s">
        <v>3599</v>
      </c>
      <c r="F2950" t="s">
        <v>3600</v>
      </c>
      <c r="G2950" t="s">
        <v>1093</v>
      </c>
      <c r="H2950" t="s">
        <v>1031</v>
      </c>
      <c r="I2950">
        <v>185347001</v>
      </c>
      <c r="J2950" t="s">
        <v>1124</v>
      </c>
      <c r="K2950">
        <v>85.55</v>
      </c>
      <c r="L2950">
        <v>535.87</v>
      </c>
      <c r="M2950">
        <v>485.87</v>
      </c>
      <c r="N2950">
        <v>431857002</v>
      </c>
      <c r="O2950" t="s">
        <v>4125</v>
      </c>
    </row>
    <row r="2951" spans="1:15">
      <c r="A2951" t="s">
        <v>4409</v>
      </c>
      <c r="B2951" s="2">
        <v>45385.117754629631</v>
      </c>
      <c r="C2951" s="2">
        <v>45385.154664351852</v>
      </c>
      <c r="D2951" t="s">
        <v>585</v>
      </c>
      <c r="E2951" t="s">
        <v>3599</v>
      </c>
      <c r="F2951" t="s">
        <v>3600</v>
      </c>
      <c r="G2951" t="s">
        <v>1093</v>
      </c>
      <c r="H2951" t="s">
        <v>1043</v>
      </c>
      <c r="I2951">
        <v>185349003</v>
      </c>
      <c r="J2951" t="s">
        <v>1038</v>
      </c>
      <c r="K2951">
        <v>85.55</v>
      </c>
      <c r="L2951">
        <v>815.27</v>
      </c>
      <c r="M2951">
        <v>765.27</v>
      </c>
      <c r="O2951" t="s">
        <v>34</v>
      </c>
    </row>
    <row r="2952" spans="1:15">
      <c r="A2952" t="s">
        <v>4410</v>
      </c>
      <c r="B2952" s="2">
        <v>45392.117754629631</v>
      </c>
      <c r="C2952" s="2">
        <v>45392.20108796296</v>
      </c>
      <c r="D2952" t="s">
        <v>585</v>
      </c>
      <c r="E2952" t="s">
        <v>3599</v>
      </c>
      <c r="F2952" t="s">
        <v>3600</v>
      </c>
      <c r="G2952" t="s">
        <v>1093</v>
      </c>
      <c r="H2952" t="s">
        <v>1031</v>
      </c>
      <c r="I2952">
        <v>185347001</v>
      </c>
      <c r="J2952" t="s">
        <v>1124</v>
      </c>
      <c r="K2952">
        <v>85.55</v>
      </c>
      <c r="L2952">
        <v>1791.03</v>
      </c>
      <c r="M2952">
        <v>1741.03</v>
      </c>
      <c r="N2952">
        <v>431857002</v>
      </c>
      <c r="O2952" t="s">
        <v>4125</v>
      </c>
    </row>
    <row r="2953" spans="1:15">
      <c r="A2953" t="s">
        <v>4411</v>
      </c>
      <c r="B2953" s="2">
        <v>45395.20108796296</v>
      </c>
      <c r="C2953" s="2">
        <v>45395.302476851852</v>
      </c>
      <c r="D2953" t="s">
        <v>585</v>
      </c>
      <c r="E2953" t="s">
        <v>3599</v>
      </c>
      <c r="F2953" t="s">
        <v>3600</v>
      </c>
      <c r="G2953" t="s">
        <v>1093</v>
      </c>
      <c r="H2953" t="s">
        <v>1031</v>
      </c>
      <c r="I2953">
        <v>185347001</v>
      </c>
      <c r="J2953" t="s">
        <v>1124</v>
      </c>
      <c r="K2953">
        <v>85.55</v>
      </c>
      <c r="L2953">
        <v>535.87</v>
      </c>
      <c r="M2953">
        <v>485.87</v>
      </c>
      <c r="N2953">
        <v>431857002</v>
      </c>
      <c r="O2953" t="s">
        <v>4125</v>
      </c>
    </row>
    <row r="2954" spans="1:15">
      <c r="A2954" t="s">
        <v>4412</v>
      </c>
      <c r="B2954" s="2">
        <v>45398.302476851852</v>
      </c>
      <c r="C2954" s="2">
        <v>45398.408726851849</v>
      </c>
      <c r="D2954" t="s">
        <v>585</v>
      </c>
      <c r="E2954" t="s">
        <v>3599</v>
      </c>
      <c r="F2954" t="s">
        <v>3600</v>
      </c>
      <c r="G2954" t="s">
        <v>1093</v>
      </c>
      <c r="H2954" t="s">
        <v>1031</v>
      </c>
      <c r="I2954">
        <v>185347001</v>
      </c>
      <c r="J2954" t="s">
        <v>1124</v>
      </c>
      <c r="K2954">
        <v>85.55</v>
      </c>
      <c r="L2954">
        <v>535.87</v>
      </c>
      <c r="M2954">
        <v>485.87</v>
      </c>
      <c r="N2954">
        <v>431857002</v>
      </c>
      <c r="O2954" t="s">
        <v>4125</v>
      </c>
    </row>
    <row r="2955" spans="1:15">
      <c r="A2955" t="s">
        <v>4413</v>
      </c>
      <c r="B2955" s="2">
        <v>45406.117754629631</v>
      </c>
      <c r="C2955" s="2">
        <v>45406.269768518519</v>
      </c>
      <c r="D2955" t="s">
        <v>585</v>
      </c>
      <c r="E2955" t="s">
        <v>3599</v>
      </c>
      <c r="F2955" t="s">
        <v>3600</v>
      </c>
      <c r="G2955" t="s">
        <v>1093</v>
      </c>
      <c r="H2955" t="s">
        <v>1031</v>
      </c>
      <c r="I2955">
        <v>185349003</v>
      </c>
      <c r="J2955" t="s">
        <v>1038</v>
      </c>
      <c r="K2955">
        <v>85.55</v>
      </c>
      <c r="L2955">
        <v>3105.35</v>
      </c>
      <c r="M2955">
        <v>3055.35</v>
      </c>
      <c r="N2955">
        <v>66383009</v>
      </c>
      <c r="O2955" t="s">
        <v>1209</v>
      </c>
    </row>
    <row r="2956" spans="1:15">
      <c r="A2956" t="s">
        <v>4414</v>
      </c>
      <c r="B2956" s="2">
        <v>45413.117754629631</v>
      </c>
      <c r="C2956" s="2">
        <v>45413.268449074072</v>
      </c>
      <c r="D2956" t="s">
        <v>585</v>
      </c>
      <c r="E2956" t="s">
        <v>3599</v>
      </c>
      <c r="F2956" t="s">
        <v>3600</v>
      </c>
      <c r="G2956" t="s">
        <v>1093</v>
      </c>
      <c r="H2956" t="s">
        <v>1031</v>
      </c>
      <c r="I2956">
        <v>185347001</v>
      </c>
      <c r="J2956" t="s">
        <v>1124</v>
      </c>
      <c r="K2956">
        <v>85.55</v>
      </c>
      <c r="L2956">
        <v>535.87</v>
      </c>
      <c r="M2956">
        <v>485.87</v>
      </c>
      <c r="N2956">
        <v>431857002</v>
      </c>
      <c r="O2956" t="s">
        <v>4125</v>
      </c>
    </row>
    <row r="2957" spans="1:15">
      <c r="A2957" t="s">
        <v>4415</v>
      </c>
      <c r="B2957" s="2">
        <v>45413.268449074072</v>
      </c>
      <c r="C2957" s="2">
        <v>45413.278865740744</v>
      </c>
      <c r="D2957" t="s">
        <v>585</v>
      </c>
      <c r="E2957" t="s">
        <v>3599</v>
      </c>
      <c r="F2957" t="s">
        <v>3600</v>
      </c>
      <c r="G2957" t="s">
        <v>1093</v>
      </c>
      <c r="H2957" t="s">
        <v>1031</v>
      </c>
      <c r="I2957">
        <v>185347001</v>
      </c>
      <c r="J2957" t="s">
        <v>1124</v>
      </c>
      <c r="K2957">
        <v>85.55</v>
      </c>
      <c r="L2957">
        <v>234.71</v>
      </c>
      <c r="M2957">
        <v>184.71</v>
      </c>
      <c r="N2957">
        <v>431857002</v>
      </c>
      <c r="O2957" t="s">
        <v>4125</v>
      </c>
    </row>
    <row r="2958" spans="1:15">
      <c r="A2958" t="s">
        <v>4416</v>
      </c>
      <c r="B2958" s="2">
        <v>45416.268449074072</v>
      </c>
      <c r="C2958" s="2">
        <v>45416.363587962966</v>
      </c>
      <c r="D2958" t="s">
        <v>585</v>
      </c>
      <c r="E2958" t="s">
        <v>3599</v>
      </c>
      <c r="F2958" t="s">
        <v>3600</v>
      </c>
      <c r="G2958" t="s">
        <v>1093</v>
      </c>
      <c r="H2958" t="s">
        <v>1031</v>
      </c>
      <c r="I2958">
        <v>185347001</v>
      </c>
      <c r="J2958" t="s">
        <v>1124</v>
      </c>
      <c r="K2958">
        <v>85.55</v>
      </c>
      <c r="L2958">
        <v>1357.6</v>
      </c>
      <c r="M2958">
        <v>1307.5999999999999</v>
      </c>
      <c r="N2958">
        <v>431857002</v>
      </c>
      <c r="O2958" t="s">
        <v>4125</v>
      </c>
    </row>
    <row r="2959" spans="1:15">
      <c r="A2959" t="s">
        <v>4417</v>
      </c>
      <c r="B2959" s="2">
        <v>45419.363587962966</v>
      </c>
      <c r="C2959" s="2">
        <v>45419.451782407406</v>
      </c>
      <c r="D2959" t="s">
        <v>585</v>
      </c>
      <c r="E2959" t="s">
        <v>3599</v>
      </c>
      <c r="F2959" t="s">
        <v>3600</v>
      </c>
      <c r="G2959" t="s">
        <v>1093</v>
      </c>
      <c r="H2959" t="s">
        <v>1031</v>
      </c>
      <c r="I2959">
        <v>185347001</v>
      </c>
      <c r="J2959" t="s">
        <v>1124</v>
      </c>
      <c r="K2959">
        <v>85.55</v>
      </c>
      <c r="L2959">
        <v>535.87</v>
      </c>
      <c r="M2959">
        <v>485.87</v>
      </c>
      <c r="N2959">
        <v>431857002</v>
      </c>
      <c r="O2959" t="s">
        <v>4125</v>
      </c>
    </row>
    <row r="2960" spans="1:15">
      <c r="A2960" t="s">
        <v>4418</v>
      </c>
      <c r="B2960" s="2">
        <v>45427.117754629631</v>
      </c>
      <c r="C2960" s="2">
        <v>45427.154664351852</v>
      </c>
      <c r="D2960" t="s">
        <v>585</v>
      </c>
      <c r="E2960" t="s">
        <v>3599</v>
      </c>
      <c r="F2960" t="s">
        <v>3600</v>
      </c>
      <c r="G2960" t="s">
        <v>1093</v>
      </c>
      <c r="H2960" t="s">
        <v>1043</v>
      </c>
      <c r="I2960">
        <v>185349003</v>
      </c>
      <c r="J2960" t="s">
        <v>1038</v>
      </c>
      <c r="K2960">
        <v>85.55</v>
      </c>
      <c r="L2960">
        <v>1286.18</v>
      </c>
      <c r="M2960">
        <v>1236.18</v>
      </c>
      <c r="O2960" t="s">
        <v>34</v>
      </c>
    </row>
    <row r="2961" spans="1:15">
      <c r="A2961" t="s">
        <v>4419</v>
      </c>
      <c r="B2961" s="2">
        <v>45434.117754629631</v>
      </c>
      <c r="C2961" s="2">
        <v>45434.253171296295</v>
      </c>
      <c r="D2961" t="s">
        <v>585</v>
      </c>
      <c r="E2961" t="s">
        <v>3599</v>
      </c>
      <c r="F2961" t="s">
        <v>3600</v>
      </c>
      <c r="G2961" t="s">
        <v>1093</v>
      </c>
      <c r="H2961" t="s">
        <v>1031</v>
      </c>
      <c r="I2961">
        <v>185347001</v>
      </c>
      <c r="J2961" t="s">
        <v>1124</v>
      </c>
      <c r="K2961">
        <v>85.55</v>
      </c>
      <c r="L2961">
        <v>769.35</v>
      </c>
      <c r="M2961">
        <v>719.35</v>
      </c>
      <c r="N2961">
        <v>431857002</v>
      </c>
      <c r="O2961" t="s">
        <v>4125</v>
      </c>
    </row>
    <row r="2962" spans="1:15">
      <c r="A2962" t="s">
        <v>4420</v>
      </c>
      <c r="B2962" s="2">
        <v>45437.253171296295</v>
      </c>
      <c r="C2962" s="2">
        <v>45437.38858796296</v>
      </c>
      <c r="D2962" t="s">
        <v>585</v>
      </c>
      <c r="E2962" t="s">
        <v>3599</v>
      </c>
      <c r="F2962" t="s">
        <v>3600</v>
      </c>
      <c r="G2962" t="s">
        <v>1093</v>
      </c>
      <c r="H2962" t="s">
        <v>1031</v>
      </c>
      <c r="I2962">
        <v>185347001</v>
      </c>
      <c r="J2962" t="s">
        <v>1124</v>
      </c>
      <c r="K2962">
        <v>85.55</v>
      </c>
      <c r="L2962">
        <v>535.87</v>
      </c>
      <c r="M2962">
        <v>485.87</v>
      </c>
      <c r="N2962">
        <v>431857002</v>
      </c>
      <c r="O2962" t="s">
        <v>4125</v>
      </c>
    </row>
    <row r="2963" spans="1:15">
      <c r="A2963" t="s">
        <v>4421</v>
      </c>
      <c r="B2963" s="2">
        <v>45440.38858796296</v>
      </c>
      <c r="C2963" s="2">
        <v>45440.48164351852</v>
      </c>
      <c r="D2963" t="s">
        <v>585</v>
      </c>
      <c r="E2963" t="s">
        <v>3599</v>
      </c>
      <c r="F2963" t="s">
        <v>3600</v>
      </c>
      <c r="G2963" t="s">
        <v>1093</v>
      </c>
      <c r="H2963" t="s">
        <v>1031</v>
      </c>
      <c r="I2963">
        <v>185347001</v>
      </c>
      <c r="J2963" t="s">
        <v>1124</v>
      </c>
      <c r="K2963">
        <v>85.55</v>
      </c>
      <c r="L2963">
        <v>535.87</v>
      </c>
      <c r="M2963">
        <v>485.87</v>
      </c>
      <c r="N2963">
        <v>431857002</v>
      </c>
      <c r="O2963" t="s">
        <v>4125</v>
      </c>
    </row>
    <row r="2964" spans="1:15">
      <c r="A2964" t="s">
        <v>4422</v>
      </c>
      <c r="B2964" s="2">
        <v>45448.117754629631</v>
      </c>
      <c r="C2964" s="2">
        <v>45448.147673611114</v>
      </c>
      <c r="D2964" t="s">
        <v>585</v>
      </c>
      <c r="E2964" t="s">
        <v>3599</v>
      </c>
      <c r="F2964" t="s">
        <v>3600</v>
      </c>
      <c r="G2964" t="s">
        <v>1093</v>
      </c>
      <c r="H2964" t="s">
        <v>1043</v>
      </c>
      <c r="I2964">
        <v>185349003</v>
      </c>
      <c r="J2964" t="s">
        <v>1038</v>
      </c>
      <c r="K2964">
        <v>85.55</v>
      </c>
      <c r="L2964">
        <v>815.27</v>
      </c>
      <c r="M2964">
        <v>765.27</v>
      </c>
      <c r="O2964" t="s">
        <v>34</v>
      </c>
    </row>
    <row r="2965" spans="1:15">
      <c r="A2965" t="s">
        <v>4423</v>
      </c>
      <c r="B2965" s="2">
        <v>45455.117754629631</v>
      </c>
      <c r="C2965" s="2">
        <v>45455.235115740739</v>
      </c>
      <c r="D2965" t="s">
        <v>585</v>
      </c>
      <c r="E2965" t="s">
        <v>3599</v>
      </c>
      <c r="F2965" t="s">
        <v>3600</v>
      </c>
      <c r="G2965" t="s">
        <v>1093</v>
      </c>
      <c r="H2965" t="s">
        <v>1031</v>
      </c>
      <c r="I2965">
        <v>185347001</v>
      </c>
      <c r="J2965" t="s">
        <v>1124</v>
      </c>
      <c r="K2965">
        <v>85.55</v>
      </c>
      <c r="L2965">
        <v>1106.0899999999999</v>
      </c>
      <c r="M2965">
        <v>1056.0899999999999</v>
      </c>
      <c r="N2965">
        <v>431857002</v>
      </c>
      <c r="O2965" t="s">
        <v>4125</v>
      </c>
    </row>
    <row r="2966" spans="1:15">
      <c r="A2966" t="s">
        <v>4424</v>
      </c>
      <c r="B2966" s="2">
        <v>45455.235115740739</v>
      </c>
      <c r="C2966" s="2">
        <v>45455.245532407411</v>
      </c>
      <c r="D2966" t="s">
        <v>585</v>
      </c>
      <c r="E2966" t="s">
        <v>3599</v>
      </c>
      <c r="F2966" t="s">
        <v>3600</v>
      </c>
      <c r="G2966" t="s">
        <v>1093</v>
      </c>
      <c r="H2966" t="s">
        <v>1031</v>
      </c>
      <c r="I2966">
        <v>185347001</v>
      </c>
      <c r="J2966" t="s">
        <v>1124</v>
      </c>
      <c r="K2966">
        <v>85.55</v>
      </c>
      <c r="L2966">
        <v>234.71</v>
      </c>
      <c r="M2966">
        <v>184.71</v>
      </c>
      <c r="N2966">
        <v>431857002</v>
      </c>
      <c r="O2966" t="s">
        <v>4125</v>
      </c>
    </row>
    <row r="2967" spans="1:15">
      <c r="A2967" t="s">
        <v>4425</v>
      </c>
      <c r="B2967" s="2">
        <v>45458.235115740739</v>
      </c>
      <c r="C2967" s="2">
        <v>45458.37122685185</v>
      </c>
      <c r="D2967" t="s">
        <v>585</v>
      </c>
      <c r="E2967" t="s">
        <v>3599</v>
      </c>
      <c r="F2967" t="s">
        <v>3600</v>
      </c>
      <c r="G2967" t="s">
        <v>1093</v>
      </c>
      <c r="H2967" t="s">
        <v>1031</v>
      </c>
      <c r="I2967">
        <v>185347001</v>
      </c>
      <c r="J2967" t="s">
        <v>1124</v>
      </c>
      <c r="K2967">
        <v>85.55</v>
      </c>
      <c r="L2967">
        <v>535.87</v>
      </c>
      <c r="M2967">
        <v>485.87</v>
      </c>
      <c r="N2967">
        <v>431857002</v>
      </c>
      <c r="O2967" t="s">
        <v>4125</v>
      </c>
    </row>
    <row r="2968" spans="1:15">
      <c r="A2968" t="s">
        <v>4426</v>
      </c>
      <c r="B2968" s="2">
        <v>45461.37122685185</v>
      </c>
      <c r="C2968" s="2">
        <v>45461.460810185185</v>
      </c>
      <c r="D2968" t="s">
        <v>585</v>
      </c>
      <c r="E2968" t="s">
        <v>3599</v>
      </c>
      <c r="F2968" t="s">
        <v>3600</v>
      </c>
      <c r="G2968" t="s">
        <v>1093</v>
      </c>
      <c r="H2968" t="s">
        <v>1031</v>
      </c>
      <c r="I2968">
        <v>185347001</v>
      </c>
      <c r="J2968" t="s">
        <v>1124</v>
      </c>
      <c r="K2968">
        <v>85.55</v>
      </c>
      <c r="L2968">
        <v>630.99</v>
      </c>
      <c r="M2968">
        <v>580.99</v>
      </c>
      <c r="N2968">
        <v>431857002</v>
      </c>
      <c r="O2968" t="s">
        <v>4125</v>
      </c>
    </row>
    <row r="2969" spans="1:15">
      <c r="A2969" t="s">
        <v>4427</v>
      </c>
      <c r="B2969" s="2">
        <v>45464.460810185185</v>
      </c>
      <c r="C2969" s="2">
        <v>45464.612199074072</v>
      </c>
      <c r="D2969" t="s">
        <v>585</v>
      </c>
      <c r="E2969" t="s">
        <v>3599</v>
      </c>
      <c r="F2969" t="s">
        <v>3600</v>
      </c>
      <c r="G2969" t="s">
        <v>1093</v>
      </c>
      <c r="H2969" t="s">
        <v>1031</v>
      </c>
      <c r="I2969">
        <v>185347001</v>
      </c>
      <c r="J2969" t="s">
        <v>1124</v>
      </c>
      <c r="K2969">
        <v>85.55</v>
      </c>
      <c r="L2969">
        <v>732.42</v>
      </c>
      <c r="M2969">
        <v>682.42</v>
      </c>
      <c r="N2969">
        <v>431857002</v>
      </c>
      <c r="O2969" t="s">
        <v>4125</v>
      </c>
    </row>
    <row r="2970" spans="1:15">
      <c r="A2970" t="s">
        <v>4428</v>
      </c>
      <c r="B2970" s="2">
        <v>45467.612199074072</v>
      </c>
      <c r="C2970" s="2">
        <v>45467.767060185186</v>
      </c>
      <c r="D2970" t="s">
        <v>585</v>
      </c>
      <c r="E2970" t="s">
        <v>3599</v>
      </c>
      <c r="F2970" t="s">
        <v>3600</v>
      </c>
      <c r="G2970" t="s">
        <v>1093</v>
      </c>
      <c r="H2970" t="s">
        <v>1031</v>
      </c>
      <c r="I2970">
        <v>185347001</v>
      </c>
      <c r="J2970" t="s">
        <v>1124</v>
      </c>
      <c r="K2970">
        <v>85.55</v>
      </c>
      <c r="L2970">
        <v>535.87</v>
      </c>
      <c r="M2970">
        <v>485.87</v>
      </c>
      <c r="N2970">
        <v>431857002</v>
      </c>
      <c r="O2970" t="s">
        <v>4125</v>
      </c>
    </row>
    <row r="2971" spans="1:15">
      <c r="A2971" t="s">
        <v>4429</v>
      </c>
      <c r="B2971" s="2">
        <v>45470.767060185186</v>
      </c>
      <c r="C2971" s="2">
        <v>45470.906643518516</v>
      </c>
      <c r="D2971" t="s">
        <v>585</v>
      </c>
      <c r="E2971" t="s">
        <v>3599</v>
      </c>
      <c r="F2971" t="s">
        <v>3600</v>
      </c>
      <c r="G2971" t="s">
        <v>1093</v>
      </c>
      <c r="H2971" t="s">
        <v>1031</v>
      </c>
      <c r="I2971">
        <v>185347001</v>
      </c>
      <c r="J2971" t="s">
        <v>1124</v>
      </c>
      <c r="K2971">
        <v>85.55</v>
      </c>
      <c r="L2971">
        <v>1196.67</v>
      </c>
      <c r="M2971">
        <v>1146.67</v>
      </c>
      <c r="N2971">
        <v>431857002</v>
      </c>
      <c r="O2971" t="s">
        <v>4125</v>
      </c>
    </row>
    <row r="2972" spans="1:15">
      <c r="A2972" t="s">
        <v>4430</v>
      </c>
      <c r="B2972" s="2">
        <v>45473.906643518516</v>
      </c>
      <c r="C2972" s="2">
        <v>45474.004560185182</v>
      </c>
      <c r="D2972" t="s">
        <v>585</v>
      </c>
      <c r="E2972" t="s">
        <v>3599</v>
      </c>
      <c r="F2972" t="s">
        <v>3600</v>
      </c>
      <c r="G2972" t="s">
        <v>1093</v>
      </c>
      <c r="H2972" t="s">
        <v>1031</v>
      </c>
      <c r="I2972">
        <v>185347001</v>
      </c>
      <c r="J2972" t="s">
        <v>1124</v>
      </c>
      <c r="K2972">
        <v>85.55</v>
      </c>
      <c r="L2972">
        <v>1791.03</v>
      </c>
      <c r="M2972">
        <v>1741.03</v>
      </c>
      <c r="N2972">
        <v>431857002</v>
      </c>
      <c r="O2972" t="s">
        <v>4125</v>
      </c>
    </row>
    <row r="2973" spans="1:15">
      <c r="A2973" t="s">
        <v>4431</v>
      </c>
      <c r="B2973" s="2">
        <v>45477.004560185182</v>
      </c>
      <c r="C2973" s="2">
        <v>45477.099004629628</v>
      </c>
      <c r="D2973" t="s">
        <v>585</v>
      </c>
      <c r="E2973" t="s">
        <v>3599</v>
      </c>
      <c r="F2973" t="s">
        <v>3600</v>
      </c>
      <c r="G2973" t="s">
        <v>1093</v>
      </c>
      <c r="H2973" t="s">
        <v>1031</v>
      </c>
      <c r="I2973">
        <v>185347001</v>
      </c>
      <c r="J2973" t="s">
        <v>1124</v>
      </c>
      <c r="K2973">
        <v>85.55</v>
      </c>
      <c r="L2973">
        <v>1014.98</v>
      </c>
      <c r="M2973">
        <v>964.98</v>
      </c>
      <c r="N2973">
        <v>431857002</v>
      </c>
      <c r="O2973" t="s">
        <v>4125</v>
      </c>
    </row>
    <row r="2974" spans="1:15">
      <c r="A2974" t="s">
        <v>4432</v>
      </c>
      <c r="B2974" s="2">
        <v>45480.099004629628</v>
      </c>
      <c r="C2974" s="2">
        <v>45480.192060185182</v>
      </c>
      <c r="D2974" t="s">
        <v>585</v>
      </c>
      <c r="E2974" t="s">
        <v>3599</v>
      </c>
      <c r="F2974" t="s">
        <v>3600</v>
      </c>
      <c r="G2974" t="s">
        <v>1093</v>
      </c>
      <c r="H2974" t="s">
        <v>1031</v>
      </c>
      <c r="I2974">
        <v>185347001</v>
      </c>
      <c r="J2974" t="s">
        <v>1124</v>
      </c>
      <c r="K2974">
        <v>85.55</v>
      </c>
      <c r="L2974">
        <v>1791.03</v>
      </c>
      <c r="M2974">
        <v>1741.03</v>
      </c>
      <c r="N2974">
        <v>431857002</v>
      </c>
      <c r="O2974" t="s">
        <v>4125</v>
      </c>
    </row>
    <row r="2975" spans="1:15">
      <c r="A2975" t="s">
        <v>4433</v>
      </c>
      <c r="B2975" s="2">
        <v>45490.117754629631</v>
      </c>
      <c r="C2975" s="2">
        <v>45490.142442129632</v>
      </c>
      <c r="D2975" t="s">
        <v>585</v>
      </c>
      <c r="E2975" t="s">
        <v>4057</v>
      </c>
      <c r="F2975" t="s">
        <v>4058</v>
      </c>
      <c r="G2975" t="s">
        <v>1093</v>
      </c>
      <c r="H2975" t="s">
        <v>1020</v>
      </c>
      <c r="I2975">
        <v>162673000</v>
      </c>
      <c r="J2975" t="s">
        <v>1021</v>
      </c>
      <c r="K2975">
        <v>136.80000000000001</v>
      </c>
      <c r="L2975">
        <v>866.52</v>
      </c>
      <c r="M2975">
        <v>866.52</v>
      </c>
      <c r="O2975" t="s">
        <v>34</v>
      </c>
    </row>
    <row r="2976" spans="1:15">
      <c r="A2976" t="s">
        <v>4434</v>
      </c>
      <c r="B2976" s="2">
        <v>45497.117754629631</v>
      </c>
      <c r="C2976" s="2">
        <v>45497.203865740739</v>
      </c>
      <c r="D2976" t="s">
        <v>585</v>
      </c>
      <c r="E2976" t="s">
        <v>3599</v>
      </c>
      <c r="F2976" t="s">
        <v>3600</v>
      </c>
      <c r="G2976" t="s">
        <v>1093</v>
      </c>
      <c r="H2976" t="s">
        <v>1031</v>
      </c>
      <c r="I2976">
        <v>185347001</v>
      </c>
      <c r="J2976" t="s">
        <v>1124</v>
      </c>
      <c r="K2976">
        <v>85.55</v>
      </c>
      <c r="L2976">
        <v>535.87</v>
      </c>
      <c r="M2976">
        <v>485.87</v>
      </c>
      <c r="N2976">
        <v>431857002</v>
      </c>
      <c r="O2976" t="s">
        <v>4125</v>
      </c>
    </row>
    <row r="2977" spans="1:15">
      <c r="A2977" t="s">
        <v>4435</v>
      </c>
      <c r="B2977" s="2">
        <v>45497.203865740739</v>
      </c>
      <c r="C2977" s="2">
        <v>45497.214282407411</v>
      </c>
      <c r="D2977" t="s">
        <v>585</v>
      </c>
      <c r="E2977" t="s">
        <v>3599</v>
      </c>
      <c r="F2977" t="s">
        <v>3600</v>
      </c>
      <c r="G2977" t="s">
        <v>1093</v>
      </c>
      <c r="H2977" t="s">
        <v>1031</v>
      </c>
      <c r="I2977">
        <v>185347001</v>
      </c>
      <c r="J2977" t="s">
        <v>1124</v>
      </c>
      <c r="K2977">
        <v>85.55</v>
      </c>
      <c r="L2977">
        <v>234.71</v>
      </c>
      <c r="M2977">
        <v>184.71</v>
      </c>
      <c r="N2977">
        <v>431857002</v>
      </c>
      <c r="O2977" t="s">
        <v>4125</v>
      </c>
    </row>
    <row r="2978" spans="1:15">
      <c r="A2978" t="s">
        <v>4436</v>
      </c>
      <c r="B2978" s="2">
        <v>45500.203865740739</v>
      </c>
      <c r="C2978" s="2">
        <v>45500.330949074072</v>
      </c>
      <c r="D2978" t="s">
        <v>585</v>
      </c>
      <c r="E2978" t="s">
        <v>3599</v>
      </c>
      <c r="F2978" t="s">
        <v>3600</v>
      </c>
      <c r="G2978" t="s">
        <v>1093</v>
      </c>
      <c r="H2978" t="s">
        <v>1031</v>
      </c>
      <c r="I2978">
        <v>185347001</v>
      </c>
      <c r="J2978" t="s">
        <v>1124</v>
      </c>
      <c r="K2978">
        <v>85.55</v>
      </c>
      <c r="L2978">
        <v>535.87</v>
      </c>
      <c r="M2978">
        <v>485.87</v>
      </c>
      <c r="N2978">
        <v>431857002</v>
      </c>
      <c r="O2978" t="s">
        <v>4125</v>
      </c>
    </row>
    <row r="2979" spans="1:15">
      <c r="A2979" t="s">
        <v>4437</v>
      </c>
      <c r="B2979" s="2">
        <v>45503.330949074072</v>
      </c>
      <c r="C2979" s="2">
        <v>45503.473310185182</v>
      </c>
      <c r="D2979" t="s">
        <v>585</v>
      </c>
      <c r="E2979" t="s">
        <v>3599</v>
      </c>
      <c r="F2979" t="s">
        <v>3600</v>
      </c>
      <c r="G2979" t="s">
        <v>1093</v>
      </c>
      <c r="H2979" t="s">
        <v>1031</v>
      </c>
      <c r="I2979">
        <v>185347001</v>
      </c>
      <c r="J2979" t="s">
        <v>1124</v>
      </c>
      <c r="K2979">
        <v>85.55</v>
      </c>
      <c r="L2979">
        <v>1401.01</v>
      </c>
      <c r="M2979">
        <v>1351.01</v>
      </c>
      <c r="N2979">
        <v>431857002</v>
      </c>
      <c r="O2979" t="s">
        <v>4125</v>
      </c>
    </row>
    <row r="2980" spans="1:15">
      <c r="A2980" t="s">
        <v>4438</v>
      </c>
      <c r="B2980" s="2">
        <v>45506.473310185182</v>
      </c>
      <c r="C2980" s="2">
        <v>45506.585115740738</v>
      </c>
      <c r="D2980" t="s">
        <v>585</v>
      </c>
      <c r="E2980" t="s">
        <v>3599</v>
      </c>
      <c r="F2980" t="s">
        <v>3600</v>
      </c>
      <c r="G2980" t="s">
        <v>1093</v>
      </c>
      <c r="H2980" t="s">
        <v>1031</v>
      </c>
      <c r="I2980">
        <v>185347001</v>
      </c>
      <c r="J2980" t="s">
        <v>1124</v>
      </c>
      <c r="K2980">
        <v>85.55</v>
      </c>
      <c r="L2980">
        <v>535.87</v>
      </c>
      <c r="M2980">
        <v>485.87</v>
      </c>
      <c r="N2980">
        <v>431857002</v>
      </c>
      <c r="O2980" t="s">
        <v>4125</v>
      </c>
    </row>
    <row r="2981" spans="1:15">
      <c r="A2981" t="s">
        <v>4439</v>
      </c>
      <c r="B2981" s="2">
        <v>45509.585115740738</v>
      </c>
      <c r="C2981" s="2">
        <v>45509.690671296295</v>
      </c>
      <c r="D2981" t="s">
        <v>585</v>
      </c>
      <c r="E2981" t="s">
        <v>3599</v>
      </c>
      <c r="F2981" t="s">
        <v>3600</v>
      </c>
      <c r="G2981" t="s">
        <v>1093</v>
      </c>
      <c r="H2981" t="s">
        <v>1031</v>
      </c>
      <c r="I2981">
        <v>185347001</v>
      </c>
      <c r="J2981" t="s">
        <v>1124</v>
      </c>
      <c r="K2981">
        <v>85.55</v>
      </c>
      <c r="L2981">
        <v>535.87</v>
      </c>
      <c r="M2981">
        <v>485.87</v>
      </c>
      <c r="N2981">
        <v>431857002</v>
      </c>
      <c r="O2981" t="s">
        <v>4125</v>
      </c>
    </row>
    <row r="2982" spans="1:15">
      <c r="A2982" t="s">
        <v>4440</v>
      </c>
      <c r="B2982" s="2">
        <v>45512.690671296295</v>
      </c>
      <c r="C2982" s="2">
        <v>45512.851782407408</v>
      </c>
      <c r="D2982" t="s">
        <v>585</v>
      </c>
      <c r="E2982" t="s">
        <v>3599</v>
      </c>
      <c r="F2982" t="s">
        <v>3600</v>
      </c>
      <c r="G2982" t="s">
        <v>1093</v>
      </c>
      <c r="H2982" t="s">
        <v>1031</v>
      </c>
      <c r="I2982">
        <v>185347001</v>
      </c>
      <c r="J2982" t="s">
        <v>1124</v>
      </c>
      <c r="K2982">
        <v>85.55</v>
      </c>
      <c r="L2982">
        <v>1791.03</v>
      </c>
      <c r="M2982">
        <v>1741.03</v>
      </c>
      <c r="N2982">
        <v>431857002</v>
      </c>
      <c r="O2982" t="s">
        <v>4125</v>
      </c>
    </row>
    <row r="2983" spans="1:15">
      <c r="A2983" t="s">
        <v>4441</v>
      </c>
      <c r="B2983" s="2">
        <v>45515.851782407408</v>
      </c>
      <c r="C2983" s="2">
        <v>45515.980254629627</v>
      </c>
      <c r="D2983" t="s">
        <v>585</v>
      </c>
      <c r="E2983" t="s">
        <v>3599</v>
      </c>
      <c r="F2983" t="s">
        <v>3600</v>
      </c>
      <c r="G2983" t="s">
        <v>1093</v>
      </c>
      <c r="H2983" t="s">
        <v>1031</v>
      </c>
      <c r="I2983">
        <v>185347001</v>
      </c>
      <c r="J2983" t="s">
        <v>1124</v>
      </c>
      <c r="K2983">
        <v>85.55</v>
      </c>
      <c r="L2983">
        <v>1791.03</v>
      </c>
      <c r="M2983">
        <v>1741.03</v>
      </c>
      <c r="N2983">
        <v>431857002</v>
      </c>
      <c r="O2983" t="s">
        <v>4125</v>
      </c>
    </row>
    <row r="2984" spans="1:15">
      <c r="A2984" t="s">
        <v>4442</v>
      </c>
      <c r="B2984" s="2">
        <v>45518.980254629627</v>
      </c>
      <c r="C2984" s="2">
        <v>45519.12400462963</v>
      </c>
      <c r="D2984" t="s">
        <v>585</v>
      </c>
      <c r="E2984" t="s">
        <v>3599</v>
      </c>
      <c r="F2984" t="s">
        <v>3600</v>
      </c>
      <c r="G2984" t="s">
        <v>1093</v>
      </c>
      <c r="H2984" t="s">
        <v>1031</v>
      </c>
      <c r="I2984">
        <v>185347001</v>
      </c>
      <c r="J2984" t="s">
        <v>1124</v>
      </c>
      <c r="K2984">
        <v>85.55</v>
      </c>
      <c r="L2984">
        <v>535.87</v>
      </c>
      <c r="M2984">
        <v>485.87</v>
      </c>
      <c r="N2984">
        <v>431857002</v>
      </c>
      <c r="O2984" t="s">
        <v>4125</v>
      </c>
    </row>
    <row r="2985" spans="1:15">
      <c r="A2985" t="s">
        <v>4443</v>
      </c>
      <c r="B2985" s="2">
        <v>45522.12400462963</v>
      </c>
      <c r="C2985" s="2">
        <v>45522.243449074071</v>
      </c>
      <c r="D2985" t="s">
        <v>585</v>
      </c>
      <c r="E2985" t="s">
        <v>3599</v>
      </c>
      <c r="F2985" t="s">
        <v>3600</v>
      </c>
      <c r="G2985" t="s">
        <v>1093</v>
      </c>
      <c r="H2985" t="s">
        <v>1031</v>
      </c>
      <c r="I2985">
        <v>185347001</v>
      </c>
      <c r="J2985" t="s">
        <v>1124</v>
      </c>
      <c r="K2985">
        <v>85.55</v>
      </c>
      <c r="L2985">
        <v>1013.33</v>
      </c>
      <c r="M2985">
        <v>963.33</v>
      </c>
      <c r="N2985">
        <v>431857002</v>
      </c>
      <c r="O2985" t="s">
        <v>4125</v>
      </c>
    </row>
    <row r="2986" spans="1:15">
      <c r="A2986" t="s">
        <v>4444</v>
      </c>
      <c r="B2986" s="2">
        <v>45532.117754629631</v>
      </c>
      <c r="C2986" s="2">
        <v>45532.158518518518</v>
      </c>
      <c r="D2986" t="s">
        <v>585</v>
      </c>
      <c r="E2986" t="s">
        <v>3599</v>
      </c>
      <c r="F2986" t="s">
        <v>3600</v>
      </c>
      <c r="G2986" t="s">
        <v>1093</v>
      </c>
      <c r="H2986" t="s">
        <v>1043</v>
      </c>
      <c r="I2986">
        <v>185349003</v>
      </c>
      <c r="J2986" t="s">
        <v>1038</v>
      </c>
      <c r="K2986">
        <v>85.55</v>
      </c>
      <c r="L2986">
        <v>815.27</v>
      </c>
      <c r="M2986">
        <v>765.27</v>
      </c>
      <c r="O2986" t="s">
        <v>34</v>
      </c>
    </row>
    <row r="2987" spans="1:15">
      <c r="A2987" t="s">
        <v>4445</v>
      </c>
      <c r="B2987" s="2">
        <v>45539.117754629631</v>
      </c>
      <c r="C2987" s="2">
        <v>45539.24622685185</v>
      </c>
      <c r="D2987" t="s">
        <v>585</v>
      </c>
      <c r="E2987" t="s">
        <v>3599</v>
      </c>
      <c r="F2987" t="s">
        <v>3600</v>
      </c>
      <c r="G2987" t="s">
        <v>1093</v>
      </c>
      <c r="H2987" t="s">
        <v>1031</v>
      </c>
      <c r="I2987">
        <v>185347001</v>
      </c>
      <c r="J2987" t="s">
        <v>1124</v>
      </c>
      <c r="K2987">
        <v>85.55</v>
      </c>
      <c r="L2987">
        <v>700.41</v>
      </c>
      <c r="M2987">
        <v>650.41</v>
      </c>
      <c r="N2987">
        <v>431857002</v>
      </c>
      <c r="O2987" t="s">
        <v>4125</v>
      </c>
    </row>
    <row r="2988" spans="1:15">
      <c r="A2988" t="s">
        <v>4446</v>
      </c>
      <c r="B2988" s="2">
        <v>45539.24622685185</v>
      </c>
      <c r="C2988" s="2">
        <v>45539.256643518522</v>
      </c>
      <c r="D2988" t="s">
        <v>585</v>
      </c>
      <c r="E2988" t="s">
        <v>3599</v>
      </c>
      <c r="F2988" t="s">
        <v>3600</v>
      </c>
      <c r="G2988" t="s">
        <v>1093</v>
      </c>
      <c r="H2988" t="s">
        <v>1031</v>
      </c>
      <c r="I2988">
        <v>185347001</v>
      </c>
      <c r="J2988" t="s">
        <v>1124</v>
      </c>
      <c r="K2988">
        <v>85.55</v>
      </c>
      <c r="L2988">
        <v>234.71</v>
      </c>
      <c r="M2988">
        <v>184.71</v>
      </c>
      <c r="N2988">
        <v>431857002</v>
      </c>
      <c r="O2988" t="s">
        <v>4125</v>
      </c>
    </row>
    <row r="2989" spans="1:15">
      <c r="A2989" t="s">
        <v>4447</v>
      </c>
      <c r="B2989" s="2">
        <v>45542.24622685185</v>
      </c>
      <c r="C2989" s="2">
        <v>45542.344837962963</v>
      </c>
      <c r="D2989" t="s">
        <v>585</v>
      </c>
      <c r="E2989" t="s">
        <v>3599</v>
      </c>
      <c r="F2989" t="s">
        <v>3600</v>
      </c>
      <c r="G2989" t="s">
        <v>1093</v>
      </c>
      <c r="H2989" t="s">
        <v>1031</v>
      </c>
      <c r="I2989">
        <v>185347001</v>
      </c>
      <c r="J2989" t="s">
        <v>1124</v>
      </c>
      <c r="K2989">
        <v>85.55</v>
      </c>
      <c r="L2989">
        <v>887.75</v>
      </c>
      <c r="M2989">
        <v>837.75</v>
      </c>
      <c r="N2989">
        <v>431857002</v>
      </c>
      <c r="O2989" t="s">
        <v>4125</v>
      </c>
    </row>
    <row r="2990" spans="1:15">
      <c r="A2990" t="s">
        <v>4448</v>
      </c>
      <c r="B2990" s="2">
        <v>45545.344837962963</v>
      </c>
      <c r="C2990" s="2">
        <v>45545.444837962961</v>
      </c>
      <c r="D2990" t="s">
        <v>585</v>
      </c>
      <c r="E2990" t="s">
        <v>3599</v>
      </c>
      <c r="F2990" t="s">
        <v>3600</v>
      </c>
      <c r="G2990" t="s">
        <v>1093</v>
      </c>
      <c r="H2990" t="s">
        <v>1031</v>
      </c>
      <c r="I2990">
        <v>185347001</v>
      </c>
      <c r="J2990" t="s">
        <v>1124</v>
      </c>
      <c r="K2990">
        <v>85.55</v>
      </c>
      <c r="L2990">
        <v>759.28</v>
      </c>
      <c r="M2990">
        <v>709.28</v>
      </c>
      <c r="N2990">
        <v>431857002</v>
      </c>
      <c r="O2990" t="s">
        <v>4125</v>
      </c>
    </row>
    <row r="2991" spans="1:15">
      <c r="A2991" t="s">
        <v>4449</v>
      </c>
      <c r="B2991" s="2">
        <v>45553.117754629631</v>
      </c>
      <c r="C2991" s="2">
        <v>45553.2577662037</v>
      </c>
      <c r="D2991" t="s">
        <v>585</v>
      </c>
      <c r="E2991" t="s">
        <v>3599</v>
      </c>
      <c r="F2991" t="s">
        <v>3600</v>
      </c>
      <c r="G2991" t="s">
        <v>1093</v>
      </c>
      <c r="H2991" t="s">
        <v>1031</v>
      </c>
      <c r="I2991">
        <v>185349003</v>
      </c>
      <c r="J2991" t="s">
        <v>1038</v>
      </c>
      <c r="K2991">
        <v>85.55</v>
      </c>
      <c r="L2991">
        <v>3536.75</v>
      </c>
      <c r="M2991">
        <v>3486.75</v>
      </c>
      <c r="N2991">
        <v>66383009</v>
      </c>
      <c r="O2991" t="s">
        <v>1209</v>
      </c>
    </row>
    <row r="2992" spans="1:15">
      <c r="A2992" t="s">
        <v>4450</v>
      </c>
      <c r="B2992" s="2">
        <v>45560.117754629631</v>
      </c>
      <c r="C2992" s="2">
        <v>45560.242754629631</v>
      </c>
      <c r="D2992" t="s">
        <v>585</v>
      </c>
      <c r="E2992" t="s">
        <v>3599</v>
      </c>
      <c r="F2992" t="s">
        <v>3600</v>
      </c>
      <c r="G2992" t="s">
        <v>1093</v>
      </c>
      <c r="H2992" t="s">
        <v>1031</v>
      </c>
      <c r="I2992">
        <v>185347001</v>
      </c>
      <c r="J2992" t="s">
        <v>1124</v>
      </c>
      <c r="K2992">
        <v>85.55</v>
      </c>
      <c r="L2992">
        <v>535.87</v>
      </c>
      <c r="M2992">
        <v>485.87</v>
      </c>
      <c r="N2992">
        <v>431857002</v>
      </c>
      <c r="O2992" t="s">
        <v>4125</v>
      </c>
    </row>
    <row r="2993" spans="1:15">
      <c r="A2993" t="s">
        <v>4451</v>
      </c>
      <c r="B2993" s="2">
        <v>45563.242754629631</v>
      </c>
      <c r="C2993" s="2">
        <v>45563.396226851852</v>
      </c>
      <c r="D2993" t="s">
        <v>585</v>
      </c>
      <c r="E2993" t="s">
        <v>3599</v>
      </c>
      <c r="F2993" t="s">
        <v>3600</v>
      </c>
      <c r="G2993" t="s">
        <v>1093</v>
      </c>
      <c r="H2993" t="s">
        <v>1031</v>
      </c>
      <c r="I2993">
        <v>185347001</v>
      </c>
      <c r="J2993" t="s">
        <v>1124</v>
      </c>
      <c r="K2993">
        <v>85.55</v>
      </c>
      <c r="L2993">
        <v>1620.35</v>
      </c>
      <c r="M2993">
        <v>1570.35</v>
      </c>
      <c r="N2993">
        <v>431857002</v>
      </c>
      <c r="O2993" t="s">
        <v>4125</v>
      </c>
    </row>
    <row r="2994" spans="1:15">
      <c r="A2994" t="s">
        <v>4452</v>
      </c>
      <c r="B2994" s="2">
        <v>45566.396226851852</v>
      </c>
      <c r="C2994" s="2">
        <v>45566.56150462963</v>
      </c>
      <c r="D2994" t="s">
        <v>585</v>
      </c>
      <c r="E2994" t="s">
        <v>3599</v>
      </c>
      <c r="F2994" t="s">
        <v>3600</v>
      </c>
      <c r="G2994" t="s">
        <v>1093</v>
      </c>
      <c r="H2994" t="s">
        <v>1031</v>
      </c>
      <c r="I2994">
        <v>185347001</v>
      </c>
      <c r="J2994" t="s">
        <v>1124</v>
      </c>
      <c r="K2994">
        <v>85.55</v>
      </c>
      <c r="L2994">
        <v>1791.03</v>
      </c>
      <c r="M2994">
        <v>1741.03</v>
      </c>
      <c r="N2994">
        <v>431857002</v>
      </c>
      <c r="O2994" t="s">
        <v>4125</v>
      </c>
    </row>
    <row r="2995" spans="1:15">
      <c r="A2995" t="s">
        <v>4453</v>
      </c>
      <c r="B2995" s="2">
        <v>45569.56150462963</v>
      </c>
      <c r="C2995" s="2">
        <v>45569.697615740741</v>
      </c>
      <c r="D2995" t="s">
        <v>585</v>
      </c>
      <c r="E2995" t="s">
        <v>3599</v>
      </c>
      <c r="F2995" t="s">
        <v>3600</v>
      </c>
      <c r="G2995" t="s">
        <v>1093</v>
      </c>
      <c r="H2995" t="s">
        <v>1031</v>
      </c>
      <c r="I2995">
        <v>185347001</v>
      </c>
      <c r="J2995" t="s">
        <v>1124</v>
      </c>
      <c r="K2995">
        <v>85.55</v>
      </c>
      <c r="L2995">
        <v>1489.51</v>
      </c>
      <c r="M2995">
        <v>1439.51</v>
      </c>
      <c r="N2995">
        <v>431857002</v>
      </c>
      <c r="O2995" t="s">
        <v>4125</v>
      </c>
    </row>
    <row r="2996" spans="1:15">
      <c r="A2996" t="s">
        <v>4454</v>
      </c>
      <c r="B2996" s="2">
        <v>45569.697615740741</v>
      </c>
      <c r="C2996" s="2">
        <v>45569.708032407405</v>
      </c>
      <c r="D2996" t="s">
        <v>585</v>
      </c>
      <c r="E2996" t="s">
        <v>3599</v>
      </c>
      <c r="F2996" t="s">
        <v>3600</v>
      </c>
      <c r="G2996" t="s">
        <v>1093</v>
      </c>
      <c r="H2996" t="s">
        <v>1031</v>
      </c>
      <c r="I2996">
        <v>185347001</v>
      </c>
      <c r="J2996" t="s">
        <v>1124</v>
      </c>
      <c r="K2996">
        <v>85.55</v>
      </c>
      <c r="L2996">
        <v>234.71</v>
      </c>
      <c r="M2996">
        <v>184.71</v>
      </c>
      <c r="N2996">
        <v>431857002</v>
      </c>
      <c r="O2996" t="s">
        <v>4125</v>
      </c>
    </row>
    <row r="2997" spans="1:15">
      <c r="A2997" t="s">
        <v>4455</v>
      </c>
      <c r="B2997" s="2">
        <v>45572.697615740741</v>
      </c>
      <c r="C2997" s="2">
        <v>45572.821226851855</v>
      </c>
      <c r="D2997" t="s">
        <v>585</v>
      </c>
      <c r="E2997" t="s">
        <v>3599</v>
      </c>
      <c r="F2997" t="s">
        <v>3600</v>
      </c>
      <c r="G2997" t="s">
        <v>1093</v>
      </c>
      <c r="H2997" t="s">
        <v>1031</v>
      </c>
      <c r="I2997">
        <v>185347001</v>
      </c>
      <c r="J2997" t="s">
        <v>1124</v>
      </c>
      <c r="K2997">
        <v>85.55</v>
      </c>
      <c r="L2997">
        <v>535.87</v>
      </c>
      <c r="M2997">
        <v>485.87</v>
      </c>
      <c r="N2997">
        <v>431857002</v>
      </c>
      <c r="O2997" t="s">
        <v>4125</v>
      </c>
    </row>
    <row r="2998" spans="1:15">
      <c r="A2998" t="s">
        <v>4456</v>
      </c>
      <c r="B2998" s="2">
        <v>45575.821226851855</v>
      </c>
      <c r="C2998" s="2">
        <v>45575.931643518517</v>
      </c>
      <c r="D2998" t="s">
        <v>585</v>
      </c>
      <c r="E2998" t="s">
        <v>3599</v>
      </c>
      <c r="F2998" t="s">
        <v>3600</v>
      </c>
      <c r="G2998" t="s">
        <v>1093</v>
      </c>
      <c r="H2998" t="s">
        <v>1031</v>
      </c>
      <c r="I2998">
        <v>185347001</v>
      </c>
      <c r="J2998" t="s">
        <v>1124</v>
      </c>
      <c r="K2998">
        <v>85.55</v>
      </c>
      <c r="L2998">
        <v>752.76</v>
      </c>
      <c r="M2998">
        <v>702.76</v>
      </c>
      <c r="N2998">
        <v>431857002</v>
      </c>
      <c r="O2998" t="s">
        <v>4125</v>
      </c>
    </row>
    <row r="2999" spans="1:15">
      <c r="A2999" t="s">
        <v>4457</v>
      </c>
      <c r="B2999" s="2">
        <v>45578.931643518517</v>
      </c>
      <c r="C2999" s="2">
        <v>45579.030949074076</v>
      </c>
      <c r="D2999" t="s">
        <v>585</v>
      </c>
      <c r="E2999" t="s">
        <v>3599</v>
      </c>
      <c r="F2999" t="s">
        <v>3600</v>
      </c>
      <c r="G2999" t="s">
        <v>1093</v>
      </c>
      <c r="H2999" t="s">
        <v>1031</v>
      </c>
      <c r="I2999">
        <v>185347001</v>
      </c>
      <c r="J2999" t="s">
        <v>1124</v>
      </c>
      <c r="K2999">
        <v>85.55</v>
      </c>
      <c r="L2999">
        <v>535.87</v>
      </c>
      <c r="M2999">
        <v>485.87</v>
      </c>
      <c r="N2999">
        <v>431857002</v>
      </c>
      <c r="O2999" t="s">
        <v>4125</v>
      </c>
    </row>
    <row r="3000" spans="1:15">
      <c r="A3000" t="s">
        <v>4458</v>
      </c>
      <c r="B3000" s="2">
        <v>45588.117754629631</v>
      </c>
      <c r="C3000" s="2">
        <v>45588.138668981483</v>
      </c>
      <c r="D3000" t="s">
        <v>585</v>
      </c>
      <c r="E3000" t="s">
        <v>3599</v>
      </c>
      <c r="F3000" t="s">
        <v>3600</v>
      </c>
      <c r="G3000" t="s">
        <v>1019</v>
      </c>
      <c r="H3000" t="s">
        <v>1043</v>
      </c>
      <c r="I3000">
        <v>185349003</v>
      </c>
      <c r="J3000" t="s">
        <v>1038</v>
      </c>
      <c r="K3000">
        <v>85.55</v>
      </c>
      <c r="L3000">
        <v>1030.97</v>
      </c>
      <c r="M3000">
        <v>0</v>
      </c>
      <c r="O3000" t="s">
        <v>34</v>
      </c>
    </row>
    <row r="3001" spans="1:15">
      <c r="A3001" t="s">
        <v>4459</v>
      </c>
      <c r="B3001" s="2">
        <v>45595.117754629631</v>
      </c>
      <c r="C3001" s="2">
        <v>45595.235810185186</v>
      </c>
      <c r="D3001" t="s">
        <v>585</v>
      </c>
      <c r="E3001" t="s">
        <v>3599</v>
      </c>
      <c r="F3001" t="s">
        <v>3600</v>
      </c>
      <c r="G3001" t="s">
        <v>1019</v>
      </c>
      <c r="H3001" t="s">
        <v>1031</v>
      </c>
      <c r="I3001">
        <v>185347001</v>
      </c>
      <c r="J3001" t="s">
        <v>1124</v>
      </c>
      <c r="K3001">
        <v>85.55</v>
      </c>
      <c r="L3001">
        <v>535.87</v>
      </c>
      <c r="M3001">
        <v>0</v>
      </c>
      <c r="N3001">
        <v>431857002</v>
      </c>
      <c r="O3001" t="s">
        <v>4125</v>
      </c>
    </row>
    <row r="3002" spans="1:15">
      <c r="A3002" t="s">
        <v>4460</v>
      </c>
      <c r="B3002" s="2">
        <v>45598.235810185186</v>
      </c>
      <c r="C3002" s="2">
        <v>45598.364282407405</v>
      </c>
      <c r="D3002" t="s">
        <v>585</v>
      </c>
      <c r="E3002" t="s">
        <v>3599</v>
      </c>
      <c r="F3002" t="s">
        <v>3600</v>
      </c>
      <c r="G3002" t="s">
        <v>1019</v>
      </c>
      <c r="H3002" t="s">
        <v>1031</v>
      </c>
      <c r="I3002">
        <v>185347001</v>
      </c>
      <c r="J3002" t="s">
        <v>1124</v>
      </c>
      <c r="K3002">
        <v>85.55</v>
      </c>
      <c r="L3002">
        <v>1791.03</v>
      </c>
      <c r="M3002">
        <v>0</v>
      </c>
      <c r="N3002">
        <v>431857002</v>
      </c>
      <c r="O3002" t="s">
        <v>4125</v>
      </c>
    </row>
    <row r="3003" spans="1:15">
      <c r="A3003" t="s">
        <v>4461</v>
      </c>
      <c r="B3003" s="2">
        <v>45601.322615740741</v>
      </c>
      <c r="C3003" s="2">
        <v>45601.430949074071</v>
      </c>
      <c r="D3003" t="s">
        <v>585</v>
      </c>
      <c r="E3003" t="s">
        <v>3599</v>
      </c>
      <c r="F3003" t="s">
        <v>3600</v>
      </c>
      <c r="G3003" t="s">
        <v>1019</v>
      </c>
      <c r="H3003" t="s">
        <v>1031</v>
      </c>
      <c r="I3003">
        <v>185347001</v>
      </c>
      <c r="J3003" t="s">
        <v>1124</v>
      </c>
      <c r="K3003">
        <v>85.55</v>
      </c>
      <c r="L3003">
        <v>535.87</v>
      </c>
      <c r="M3003">
        <v>0</v>
      </c>
      <c r="N3003">
        <v>431857002</v>
      </c>
      <c r="O3003" t="s">
        <v>4125</v>
      </c>
    </row>
    <row r="3004" spans="1:15">
      <c r="A3004" t="s">
        <v>4462</v>
      </c>
      <c r="B3004" s="2">
        <v>45601.430949074071</v>
      </c>
      <c r="C3004" s="2">
        <v>45601.441365740742</v>
      </c>
      <c r="D3004" t="s">
        <v>585</v>
      </c>
      <c r="E3004" t="s">
        <v>3599</v>
      </c>
      <c r="F3004" t="s">
        <v>3600</v>
      </c>
      <c r="G3004" t="s">
        <v>1019</v>
      </c>
      <c r="H3004" t="s">
        <v>1031</v>
      </c>
      <c r="I3004">
        <v>185347001</v>
      </c>
      <c r="J3004" t="s">
        <v>1124</v>
      </c>
      <c r="K3004">
        <v>85.55</v>
      </c>
      <c r="L3004">
        <v>234.71</v>
      </c>
      <c r="M3004">
        <v>0</v>
      </c>
      <c r="N3004">
        <v>431857002</v>
      </c>
      <c r="O3004" t="s">
        <v>4125</v>
      </c>
    </row>
    <row r="3005" spans="1:15">
      <c r="A3005" t="s">
        <v>4463</v>
      </c>
      <c r="B3005" s="2">
        <v>45609.07608796296</v>
      </c>
      <c r="C3005" s="2">
        <v>45609.189722222225</v>
      </c>
      <c r="D3005" t="s">
        <v>585</v>
      </c>
      <c r="E3005" t="s">
        <v>3599</v>
      </c>
      <c r="F3005" t="s">
        <v>3600</v>
      </c>
      <c r="G3005" t="s">
        <v>1019</v>
      </c>
      <c r="H3005" t="s">
        <v>1031</v>
      </c>
      <c r="I3005">
        <v>185349003</v>
      </c>
      <c r="J3005" t="s">
        <v>1038</v>
      </c>
      <c r="K3005">
        <v>85.55</v>
      </c>
      <c r="L3005">
        <v>2673.95</v>
      </c>
      <c r="M3005">
        <v>0</v>
      </c>
      <c r="N3005">
        <v>103697008</v>
      </c>
      <c r="O3005" t="s">
        <v>1039</v>
      </c>
    </row>
    <row r="3006" spans="1:15">
      <c r="A3006" t="s">
        <v>4464</v>
      </c>
      <c r="B3006" s="2">
        <v>45616.07608796296</v>
      </c>
      <c r="C3006" s="2">
        <v>45616.192754629628</v>
      </c>
      <c r="D3006" t="s">
        <v>585</v>
      </c>
      <c r="E3006" t="s">
        <v>3599</v>
      </c>
      <c r="F3006" t="s">
        <v>3600</v>
      </c>
      <c r="G3006" t="s">
        <v>1019</v>
      </c>
      <c r="H3006" t="s">
        <v>1031</v>
      </c>
      <c r="I3006">
        <v>185347001</v>
      </c>
      <c r="J3006" t="s">
        <v>1124</v>
      </c>
      <c r="K3006">
        <v>85.55</v>
      </c>
      <c r="L3006">
        <v>1475.6</v>
      </c>
      <c r="M3006">
        <v>0</v>
      </c>
      <c r="N3006">
        <v>431857002</v>
      </c>
      <c r="O3006" t="s">
        <v>4125</v>
      </c>
    </row>
    <row r="3007" spans="1:15">
      <c r="A3007" t="s">
        <v>4465</v>
      </c>
      <c r="B3007" s="2">
        <v>45619.192754629628</v>
      </c>
      <c r="C3007" s="2">
        <v>45619.353171296294</v>
      </c>
      <c r="D3007" t="s">
        <v>585</v>
      </c>
      <c r="E3007" t="s">
        <v>3599</v>
      </c>
      <c r="F3007" t="s">
        <v>3600</v>
      </c>
      <c r="G3007" t="s">
        <v>1019</v>
      </c>
      <c r="H3007" t="s">
        <v>1031</v>
      </c>
      <c r="I3007">
        <v>185347001</v>
      </c>
      <c r="J3007" t="s">
        <v>1124</v>
      </c>
      <c r="K3007">
        <v>85.55</v>
      </c>
      <c r="L3007">
        <v>535.87</v>
      </c>
      <c r="M3007">
        <v>0</v>
      </c>
      <c r="N3007">
        <v>431857002</v>
      </c>
      <c r="O3007" t="s">
        <v>4125</v>
      </c>
    </row>
    <row r="3008" spans="1:15">
      <c r="A3008" t="s">
        <v>4466</v>
      </c>
      <c r="B3008" s="2">
        <v>45622.353171296294</v>
      </c>
      <c r="C3008" s="2">
        <v>45622.507337962961</v>
      </c>
      <c r="D3008" t="s">
        <v>585</v>
      </c>
      <c r="E3008" t="s">
        <v>3599</v>
      </c>
      <c r="F3008" t="s">
        <v>3600</v>
      </c>
      <c r="G3008" t="s">
        <v>1019</v>
      </c>
      <c r="H3008" t="s">
        <v>1031</v>
      </c>
      <c r="I3008">
        <v>185347001</v>
      </c>
      <c r="J3008" t="s">
        <v>1124</v>
      </c>
      <c r="K3008">
        <v>85.55</v>
      </c>
      <c r="L3008">
        <v>563.77</v>
      </c>
      <c r="M3008">
        <v>0</v>
      </c>
      <c r="N3008">
        <v>431857002</v>
      </c>
      <c r="O3008" t="s">
        <v>4125</v>
      </c>
    </row>
    <row r="3009" spans="1:15">
      <c r="A3009" t="s">
        <v>4467</v>
      </c>
      <c r="B3009" s="2">
        <v>45625.507337962961</v>
      </c>
      <c r="C3009" s="2">
        <v>45625.6406712963</v>
      </c>
      <c r="D3009" t="s">
        <v>585</v>
      </c>
      <c r="E3009" t="s">
        <v>3599</v>
      </c>
      <c r="F3009" t="s">
        <v>3600</v>
      </c>
      <c r="G3009" t="s">
        <v>1019</v>
      </c>
      <c r="H3009" t="s">
        <v>1031</v>
      </c>
      <c r="I3009">
        <v>185347001</v>
      </c>
      <c r="J3009" t="s">
        <v>1124</v>
      </c>
      <c r="K3009">
        <v>85.55</v>
      </c>
      <c r="L3009">
        <v>1257.69</v>
      </c>
      <c r="M3009">
        <v>0</v>
      </c>
      <c r="N3009">
        <v>431857002</v>
      </c>
      <c r="O3009" t="s">
        <v>4125</v>
      </c>
    </row>
    <row r="3010" spans="1:15">
      <c r="A3010" t="s">
        <v>4468</v>
      </c>
      <c r="B3010" s="2">
        <v>45628.6406712963</v>
      </c>
      <c r="C3010" s="2">
        <v>45628.776087962964</v>
      </c>
      <c r="D3010" t="s">
        <v>585</v>
      </c>
      <c r="E3010" t="s">
        <v>3599</v>
      </c>
      <c r="F3010" t="s">
        <v>3600</v>
      </c>
      <c r="G3010" t="s">
        <v>1019</v>
      </c>
      <c r="H3010" t="s">
        <v>1031</v>
      </c>
      <c r="I3010">
        <v>185347001</v>
      </c>
      <c r="J3010" t="s">
        <v>1124</v>
      </c>
      <c r="K3010">
        <v>85.55</v>
      </c>
      <c r="L3010">
        <v>535.87</v>
      </c>
      <c r="M3010">
        <v>0</v>
      </c>
      <c r="N3010">
        <v>431857002</v>
      </c>
      <c r="O3010" t="s">
        <v>4125</v>
      </c>
    </row>
    <row r="3011" spans="1:15">
      <c r="A3011" t="s">
        <v>4469</v>
      </c>
      <c r="B3011" s="2">
        <v>45631.776087962964</v>
      </c>
      <c r="C3011" s="2">
        <v>45631.884421296294</v>
      </c>
      <c r="D3011" t="s">
        <v>585</v>
      </c>
      <c r="E3011" t="s">
        <v>3599</v>
      </c>
      <c r="F3011" t="s">
        <v>3600</v>
      </c>
      <c r="G3011" t="s">
        <v>1019</v>
      </c>
      <c r="H3011" t="s">
        <v>1031</v>
      </c>
      <c r="I3011">
        <v>185347001</v>
      </c>
      <c r="J3011" t="s">
        <v>1124</v>
      </c>
      <c r="K3011">
        <v>85.55</v>
      </c>
      <c r="L3011">
        <v>535.87</v>
      </c>
      <c r="M3011">
        <v>0</v>
      </c>
      <c r="N3011">
        <v>431857002</v>
      </c>
      <c r="O3011" t="s">
        <v>4125</v>
      </c>
    </row>
    <row r="3012" spans="1:15">
      <c r="A3012" t="s">
        <v>4470</v>
      </c>
      <c r="B3012" s="2">
        <v>45631.884421296294</v>
      </c>
      <c r="C3012" s="2">
        <v>45631.894837962966</v>
      </c>
      <c r="D3012" t="s">
        <v>585</v>
      </c>
      <c r="E3012" t="s">
        <v>3599</v>
      </c>
      <c r="F3012" t="s">
        <v>3600</v>
      </c>
      <c r="G3012" t="s">
        <v>1019</v>
      </c>
      <c r="H3012" t="s">
        <v>1031</v>
      </c>
      <c r="I3012">
        <v>185347001</v>
      </c>
      <c r="J3012" t="s">
        <v>1124</v>
      </c>
      <c r="K3012">
        <v>85.55</v>
      </c>
      <c r="L3012">
        <v>234.71</v>
      </c>
      <c r="M3012">
        <v>0</v>
      </c>
      <c r="N3012">
        <v>431857002</v>
      </c>
      <c r="O3012" t="s">
        <v>4125</v>
      </c>
    </row>
    <row r="3013" spans="1:15">
      <c r="A3013" t="s">
        <v>4471</v>
      </c>
      <c r="B3013" s="2">
        <v>45634.884421296294</v>
      </c>
      <c r="C3013" s="2">
        <v>45635.028865740744</v>
      </c>
      <c r="D3013" t="s">
        <v>585</v>
      </c>
      <c r="E3013" t="s">
        <v>3599</v>
      </c>
      <c r="F3013" t="s">
        <v>3600</v>
      </c>
      <c r="G3013" t="s">
        <v>1019</v>
      </c>
      <c r="H3013" t="s">
        <v>1031</v>
      </c>
      <c r="I3013">
        <v>185347001</v>
      </c>
      <c r="J3013" t="s">
        <v>1124</v>
      </c>
      <c r="K3013">
        <v>85.55</v>
      </c>
      <c r="L3013">
        <v>779.83</v>
      </c>
      <c r="M3013">
        <v>0</v>
      </c>
      <c r="N3013">
        <v>431857002</v>
      </c>
      <c r="O3013" t="s">
        <v>4125</v>
      </c>
    </row>
    <row r="3014" spans="1:15">
      <c r="A3014" t="s">
        <v>4472</v>
      </c>
      <c r="B3014" s="2">
        <v>45638.028865740744</v>
      </c>
      <c r="C3014" s="2">
        <v>45638.174699074072</v>
      </c>
      <c r="D3014" t="s">
        <v>585</v>
      </c>
      <c r="E3014" t="s">
        <v>3599</v>
      </c>
      <c r="F3014" t="s">
        <v>3600</v>
      </c>
      <c r="G3014" t="s">
        <v>1019</v>
      </c>
      <c r="H3014" t="s">
        <v>1031</v>
      </c>
      <c r="I3014">
        <v>185347001</v>
      </c>
      <c r="J3014" t="s">
        <v>1124</v>
      </c>
      <c r="K3014">
        <v>85.55</v>
      </c>
      <c r="L3014">
        <v>1527.47</v>
      </c>
      <c r="M3014">
        <v>0</v>
      </c>
      <c r="N3014">
        <v>431857002</v>
      </c>
      <c r="O3014" t="s">
        <v>4125</v>
      </c>
    </row>
    <row r="3015" spans="1:15">
      <c r="A3015" t="s">
        <v>4473</v>
      </c>
      <c r="B3015" s="2">
        <v>45641.174699074072</v>
      </c>
      <c r="C3015" s="2">
        <v>45641.2969212963</v>
      </c>
      <c r="D3015" t="s">
        <v>585</v>
      </c>
      <c r="E3015" t="s">
        <v>3599</v>
      </c>
      <c r="F3015" t="s">
        <v>3600</v>
      </c>
      <c r="G3015" t="s">
        <v>1019</v>
      </c>
      <c r="H3015" t="s">
        <v>1031</v>
      </c>
      <c r="I3015">
        <v>185347001</v>
      </c>
      <c r="J3015" t="s">
        <v>1124</v>
      </c>
      <c r="K3015">
        <v>85.55</v>
      </c>
      <c r="L3015">
        <v>985.72</v>
      </c>
      <c r="M3015">
        <v>0</v>
      </c>
      <c r="N3015">
        <v>431857002</v>
      </c>
      <c r="O3015" t="s">
        <v>4125</v>
      </c>
    </row>
    <row r="3016" spans="1:15">
      <c r="A3016" t="s">
        <v>4474</v>
      </c>
      <c r="B3016" s="2">
        <v>45644.2969212963</v>
      </c>
      <c r="C3016" s="2">
        <v>45644.411504629628</v>
      </c>
      <c r="D3016" t="s">
        <v>585</v>
      </c>
      <c r="E3016" t="s">
        <v>3599</v>
      </c>
      <c r="F3016" t="s">
        <v>3600</v>
      </c>
      <c r="G3016" t="s">
        <v>1019</v>
      </c>
      <c r="H3016" t="s">
        <v>1031</v>
      </c>
      <c r="I3016">
        <v>185347001</v>
      </c>
      <c r="J3016" t="s">
        <v>1124</v>
      </c>
      <c r="K3016">
        <v>85.55</v>
      </c>
      <c r="L3016">
        <v>1780.62</v>
      </c>
      <c r="M3016">
        <v>0</v>
      </c>
      <c r="N3016">
        <v>431857002</v>
      </c>
      <c r="O3016" t="s">
        <v>4125</v>
      </c>
    </row>
    <row r="3017" spans="1:15">
      <c r="A3017" t="s">
        <v>4475</v>
      </c>
      <c r="B3017" s="2">
        <v>45647.411504629628</v>
      </c>
      <c r="C3017" s="2">
        <v>45647.559421296297</v>
      </c>
      <c r="D3017" t="s">
        <v>585</v>
      </c>
      <c r="E3017" t="s">
        <v>3599</v>
      </c>
      <c r="F3017" t="s">
        <v>3600</v>
      </c>
      <c r="G3017" t="s">
        <v>1019</v>
      </c>
      <c r="H3017" t="s">
        <v>1031</v>
      </c>
      <c r="I3017">
        <v>185347001</v>
      </c>
      <c r="J3017" t="s">
        <v>1124</v>
      </c>
      <c r="K3017">
        <v>85.55</v>
      </c>
      <c r="L3017">
        <v>535.87</v>
      </c>
      <c r="M3017">
        <v>0</v>
      </c>
      <c r="N3017">
        <v>431857002</v>
      </c>
      <c r="O3017" t="s">
        <v>4125</v>
      </c>
    </row>
    <row r="3018" spans="1:15">
      <c r="A3018" t="s">
        <v>4476</v>
      </c>
      <c r="B3018" s="2">
        <v>45650.559421296297</v>
      </c>
      <c r="C3018" s="2">
        <v>45650.653865740744</v>
      </c>
      <c r="D3018" t="s">
        <v>585</v>
      </c>
      <c r="E3018" t="s">
        <v>3599</v>
      </c>
      <c r="F3018" t="s">
        <v>3600</v>
      </c>
      <c r="G3018" t="s">
        <v>1019</v>
      </c>
      <c r="H3018" t="s">
        <v>1031</v>
      </c>
      <c r="I3018">
        <v>185347001</v>
      </c>
      <c r="J3018" t="s">
        <v>1124</v>
      </c>
      <c r="K3018">
        <v>85.55</v>
      </c>
      <c r="L3018">
        <v>927.91</v>
      </c>
      <c r="M3018">
        <v>0</v>
      </c>
      <c r="N3018">
        <v>431857002</v>
      </c>
      <c r="O3018" t="s">
        <v>4125</v>
      </c>
    </row>
    <row r="3019" spans="1:15">
      <c r="A3019" t="s">
        <v>4477</v>
      </c>
      <c r="B3019" s="2">
        <v>45653.653865740744</v>
      </c>
      <c r="C3019" s="2">
        <v>45653.813587962963</v>
      </c>
      <c r="D3019" t="s">
        <v>585</v>
      </c>
      <c r="E3019" t="s">
        <v>3599</v>
      </c>
      <c r="F3019" t="s">
        <v>3600</v>
      </c>
      <c r="G3019" t="s">
        <v>1019</v>
      </c>
      <c r="H3019" t="s">
        <v>1031</v>
      </c>
      <c r="I3019">
        <v>185347001</v>
      </c>
      <c r="J3019" t="s">
        <v>1124</v>
      </c>
      <c r="K3019">
        <v>85.55</v>
      </c>
      <c r="L3019">
        <v>535.87</v>
      </c>
      <c r="M3019">
        <v>0</v>
      </c>
      <c r="N3019">
        <v>431857002</v>
      </c>
      <c r="O3019" t="s">
        <v>4125</v>
      </c>
    </row>
    <row r="3020" spans="1:15">
      <c r="A3020" t="s">
        <v>4478</v>
      </c>
      <c r="B3020" s="2">
        <v>45656.813587962963</v>
      </c>
      <c r="C3020" s="2">
        <v>45656.937893518516</v>
      </c>
      <c r="D3020" t="s">
        <v>585</v>
      </c>
      <c r="E3020" t="s">
        <v>3599</v>
      </c>
      <c r="F3020" t="s">
        <v>3600</v>
      </c>
      <c r="G3020" t="s">
        <v>1019</v>
      </c>
      <c r="H3020" t="s">
        <v>1031</v>
      </c>
      <c r="I3020">
        <v>185347001</v>
      </c>
      <c r="J3020" t="s">
        <v>1124</v>
      </c>
      <c r="K3020">
        <v>85.55</v>
      </c>
      <c r="L3020">
        <v>633.48</v>
      </c>
      <c r="M3020">
        <v>0</v>
      </c>
      <c r="N3020">
        <v>431857002</v>
      </c>
      <c r="O3020" t="s">
        <v>4125</v>
      </c>
    </row>
    <row r="3021" spans="1:15">
      <c r="A3021" t="s">
        <v>4479</v>
      </c>
      <c r="B3021" s="2">
        <v>45659.937893518516</v>
      </c>
      <c r="C3021" s="2">
        <v>45660.056643518517</v>
      </c>
      <c r="D3021" t="s">
        <v>585</v>
      </c>
      <c r="E3021" t="s">
        <v>3599</v>
      </c>
      <c r="F3021" t="s">
        <v>3600</v>
      </c>
      <c r="G3021" t="s">
        <v>1019</v>
      </c>
      <c r="H3021" t="s">
        <v>1031</v>
      </c>
      <c r="I3021">
        <v>185347001</v>
      </c>
      <c r="J3021" t="s">
        <v>1124</v>
      </c>
      <c r="K3021">
        <v>85.55</v>
      </c>
      <c r="L3021">
        <v>535.87</v>
      </c>
      <c r="M3021">
        <v>0</v>
      </c>
      <c r="N3021">
        <v>431857002</v>
      </c>
      <c r="O3021" t="s">
        <v>4125</v>
      </c>
    </row>
    <row r="3022" spans="1:15">
      <c r="A3022" t="s">
        <v>4480</v>
      </c>
      <c r="B3022" s="2">
        <v>45663.056643518517</v>
      </c>
      <c r="C3022" s="2">
        <v>45663.195532407408</v>
      </c>
      <c r="D3022" t="s">
        <v>585</v>
      </c>
      <c r="E3022" t="s">
        <v>3599</v>
      </c>
      <c r="F3022" t="s">
        <v>3600</v>
      </c>
      <c r="G3022" t="s">
        <v>1019</v>
      </c>
      <c r="H3022" t="s">
        <v>1031</v>
      </c>
      <c r="I3022">
        <v>185347001</v>
      </c>
      <c r="J3022" t="s">
        <v>1124</v>
      </c>
      <c r="K3022">
        <v>85.55</v>
      </c>
      <c r="L3022">
        <v>535.87</v>
      </c>
      <c r="M3022">
        <v>0</v>
      </c>
      <c r="N3022">
        <v>431857002</v>
      </c>
      <c r="O3022" t="s">
        <v>4125</v>
      </c>
    </row>
    <row r="3023" spans="1:15">
      <c r="A3023" t="s">
        <v>4481</v>
      </c>
      <c r="B3023" s="2">
        <v>45663.195532407408</v>
      </c>
      <c r="C3023" s="2">
        <v>45663.205949074072</v>
      </c>
      <c r="D3023" t="s">
        <v>585</v>
      </c>
      <c r="E3023" t="s">
        <v>3599</v>
      </c>
      <c r="F3023" t="s">
        <v>3600</v>
      </c>
      <c r="G3023" t="s">
        <v>1019</v>
      </c>
      <c r="H3023" t="s">
        <v>1031</v>
      </c>
      <c r="I3023">
        <v>185347001</v>
      </c>
      <c r="J3023" t="s">
        <v>1124</v>
      </c>
      <c r="K3023">
        <v>85.55</v>
      </c>
      <c r="L3023">
        <v>234.71</v>
      </c>
      <c r="M3023">
        <v>0</v>
      </c>
      <c r="N3023">
        <v>431857002</v>
      </c>
      <c r="O3023" t="s">
        <v>4125</v>
      </c>
    </row>
    <row r="3024" spans="1:15">
      <c r="A3024" t="s">
        <v>4482</v>
      </c>
      <c r="B3024" s="2">
        <v>45666.195532407408</v>
      </c>
      <c r="C3024" s="2">
        <v>45666.30872685185</v>
      </c>
      <c r="D3024" t="s">
        <v>585</v>
      </c>
      <c r="E3024" t="s">
        <v>3599</v>
      </c>
      <c r="F3024" t="s">
        <v>3600</v>
      </c>
      <c r="G3024" t="s">
        <v>1019</v>
      </c>
      <c r="H3024" t="s">
        <v>1031</v>
      </c>
      <c r="I3024">
        <v>185347001</v>
      </c>
      <c r="J3024" t="s">
        <v>1124</v>
      </c>
      <c r="K3024">
        <v>85.55</v>
      </c>
      <c r="L3024">
        <v>933.75</v>
      </c>
      <c r="M3024">
        <v>0</v>
      </c>
      <c r="N3024">
        <v>431857002</v>
      </c>
      <c r="O3024" t="s">
        <v>4125</v>
      </c>
    </row>
    <row r="3025" spans="1:15">
      <c r="A3025" t="s">
        <v>4483</v>
      </c>
      <c r="B3025" s="2">
        <v>45669.30872685185</v>
      </c>
      <c r="C3025" s="2">
        <v>45669.455254629633</v>
      </c>
      <c r="D3025" t="s">
        <v>585</v>
      </c>
      <c r="E3025" t="s">
        <v>3599</v>
      </c>
      <c r="F3025" t="s">
        <v>3600</v>
      </c>
      <c r="G3025" t="s">
        <v>1019</v>
      </c>
      <c r="H3025" t="s">
        <v>1031</v>
      </c>
      <c r="I3025">
        <v>185347001</v>
      </c>
      <c r="J3025" t="s">
        <v>1124</v>
      </c>
      <c r="K3025">
        <v>85.55</v>
      </c>
      <c r="L3025">
        <v>535.87</v>
      </c>
      <c r="M3025">
        <v>0</v>
      </c>
      <c r="N3025">
        <v>431857002</v>
      </c>
      <c r="O3025" t="s">
        <v>4125</v>
      </c>
    </row>
    <row r="3026" spans="1:15">
      <c r="A3026" t="s">
        <v>4484</v>
      </c>
      <c r="B3026" s="2">
        <v>45679.07608796296</v>
      </c>
      <c r="C3026" s="2">
        <v>45679.116875</v>
      </c>
      <c r="D3026" t="s">
        <v>585</v>
      </c>
      <c r="E3026" t="s">
        <v>3599</v>
      </c>
      <c r="F3026" t="s">
        <v>3600</v>
      </c>
      <c r="G3026" t="s">
        <v>1019</v>
      </c>
      <c r="H3026" t="s">
        <v>1043</v>
      </c>
      <c r="I3026">
        <v>185349003</v>
      </c>
      <c r="J3026" t="s">
        <v>1038</v>
      </c>
      <c r="K3026">
        <v>85.55</v>
      </c>
      <c r="L3026">
        <v>1062.83</v>
      </c>
      <c r="M3026">
        <v>0</v>
      </c>
      <c r="O3026" t="s">
        <v>34</v>
      </c>
    </row>
    <row r="3027" spans="1:15">
      <c r="A3027" t="s">
        <v>4485</v>
      </c>
      <c r="B3027" s="2">
        <v>45686.07608796296</v>
      </c>
      <c r="C3027" s="2">
        <v>45686.235810185186</v>
      </c>
      <c r="D3027" t="s">
        <v>585</v>
      </c>
      <c r="E3027" t="s">
        <v>3599</v>
      </c>
      <c r="F3027" t="s">
        <v>3600</v>
      </c>
      <c r="G3027" t="s">
        <v>1019</v>
      </c>
      <c r="H3027" t="s">
        <v>1031</v>
      </c>
      <c r="I3027">
        <v>185347001</v>
      </c>
      <c r="J3027" t="s">
        <v>1124</v>
      </c>
      <c r="K3027">
        <v>85.55</v>
      </c>
      <c r="L3027">
        <v>964.29</v>
      </c>
      <c r="M3027">
        <v>0</v>
      </c>
      <c r="N3027">
        <v>431857002</v>
      </c>
      <c r="O3027" t="s">
        <v>4125</v>
      </c>
    </row>
    <row r="3028" spans="1:15">
      <c r="A3028" t="s">
        <v>4486</v>
      </c>
      <c r="B3028" s="2">
        <v>45689.235810185186</v>
      </c>
      <c r="C3028" s="2">
        <v>45689.369837962964</v>
      </c>
      <c r="D3028" t="s">
        <v>585</v>
      </c>
      <c r="E3028" t="s">
        <v>3599</v>
      </c>
      <c r="F3028" t="s">
        <v>3600</v>
      </c>
      <c r="G3028" t="s">
        <v>1019</v>
      </c>
      <c r="H3028" t="s">
        <v>1031</v>
      </c>
      <c r="I3028">
        <v>185347001</v>
      </c>
      <c r="J3028" t="s">
        <v>1124</v>
      </c>
      <c r="K3028">
        <v>85.55</v>
      </c>
      <c r="L3028">
        <v>831.87</v>
      </c>
      <c r="M3028">
        <v>0</v>
      </c>
      <c r="N3028">
        <v>431857002</v>
      </c>
      <c r="O3028" t="s">
        <v>4125</v>
      </c>
    </row>
    <row r="3029" spans="1:15">
      <c r="A3029" t="s">
        <v>4487</v>
      </c>
      <c r="B3029" s="2">
        <v>45692.369837962964</v>
      </c>
      <c r="C3029" s="2">
        <v>45692.49900462963</v>
      </c>
      <c r="D3029" t="s">
        <v>585</v>
      </c>
      <c r="E3029" t="s">
        <v>3599</v>
      </c>
      <c r="F3029" t="s">
        <v>3600</v>
      </c>
      <c r="G3029" t="s">
        <v>1019</v>
      </c>
      <c r="H3029" t="s">
        <v>1031</v>
      </c>
      <c r="I3029">
        <v>185347001</v>
      </c>
      <c r="J3029" t="s">
        <v>1124</v>
      </c>
      <c r="K3029">
        <v>85.55</v>
      </c>
      <c r="L3029">
        <v>535.87</v>
      </c>
      <c r="M3029">
        <v>0</v>
      </c>
      <c r="N3029">
        <v>431857002</v>
      </c>
      <c r="O3029" t="s">
        <v>4125</v>
      </c>
    </row>
    <row r="3030" spans="1:15">
      <c r="A3030" t="s">
        <v>4488</v>
      </c>
      <c r="B3030" s="2">
        <v>45700.07608796296</v>
      </c>
      <c r="C3030" s="2">
        <v>45700.196250000001</v>
      </c>
      <c r="D3030" t="s">
        <v>585</v>
      </c>
      <c r="E3030" t="s">
        <v>3599</v>
      </c>
      <c r="F3030" t="s">
        <v>3600</v>
      </c>
      <c r="G3030" t="s">
        <v>1019</v>
      </c>
      <c r="H3030" t="s">
        <v>1031</v>
      </c>
      <c r="I3030">
        <v>185349003</v>
      </c>
      <c r="J3030" t="s">
        <v>1038</v>
      </c>
      <c r="K3030">
        <v>85.55</v>
      </c>
      <c r="L3030">
        <v>3105.35</v>
      </c>
      <c r="M3030">
        <v>0</v>
      </c>
      <c r="N3030">
        <v>66383009</v>
      </c>
      <c r="O3030" t="s">
        <v>1209</v>
      </c>
    </row>
    <row r="3031" spans="1:15">
      <c r="A3031" t="s">
        <v>4489</v>
      </c>
      <c r="B3031" s="2">
        <v>45707.07608796296</v>
      </c>
      <c r="C3031" s="2">
        <v>45707.176087962966</v>
      </c>
      <c r="D3031" t="s">
        <v>585</v>
      </c>
      <c r="E3031" t="s">
        <v>3599</v>
      </c>
      <c r="F3031" t="s">
        <v>3600</v>
      </c>
      <c r="G3031" t="s">
        <v>1019</v>
      </c>
      <c r="H3031" t="s">
        <v>1031</v>
      </c>
      <c r="I3031">
        <v>185347001</v>
      </c>
      <c r="J3031" t="s">
        <v>1124</v>
      </c>
      <c r="K3031">
        <v>85.55</v>
      </c>
      <c r="L3031">
        <v>535.87</v>
      </c>
      <c r="M3031">
        <v>0</v>
      </c>
      <c r="N3031">
        <v>431857002</v>
      </c>
      <c r="O3031" t="s">
        <v>4125</v>
      </c>
    </row>
    <row r="3032" spans="1:15">
      <c r="A3032" t="s">
        <v>4490</v>
      </c>
      <c r="B3032" s="2">
        <v>45707.176087962966</v>
      </c>
      <c r="C3032" s="2">
        <v>45707.18650462963</v>
      </c>
      <c r="D3032" t="s">
        <v>585</v>
      </c>
      <c r="E3032" t="s">
        <v>3599</v>
      </c>
      <c r="F3032" t="s">
        <v>3600</v>
      </c>
      <c r="G3032" t="s">
        <v>1019</v>
      </c>
      <c r="H3032" t="s">
        <v>1031</v>
      </c>
      <c r="I3032">
        <v>185347001</v>
      </c>
      <c r="J3032" t="s">
        <v>1124</v>
      </c>
      <c r="K3032">
        <v>85.55</v>
      </c>
      <c r="L3032">
        <v>234.71</v>
      </c>
      <c r="M3032">
        <v>0</v>
      </c>
      <c r="N3032">
        <v>431857002</v>
      </c>
      <c r="O3032" t="s">
        <v>4125</v>
      </c>
    </row>
    <row r="3033" spans="1:15">
      <c r="A3033" t="s">
        <v>4491</v>
      </c>
      <c r="B3033" s="2">
        <v>45710.176087962966</v>
      </c>
      <c r="C3033" s="2">
        <v>45710.331643518519</v>
      </c>
      <c r="D3033" t="s">
        <v>585</v>
      </c>
      <c r="E3033" t="s">
        <v>3599</v>
      </c>
      <c r="F3033" t="s">
        <v>3600</v>
      </c>
      <c r="G3033" t="s">
        <v>1019</v>
      </c>
      <c r="H3033" t="s">
        <v>1031</v>
      </c>
      <c r="I3033">
        <v>185347001</v>
      </c>
      <c r="J3033" t="s">
        <v>1124</v>
      </c>
      <c r="K3033">
        <v>85.55</v>
      </c>
      <c r="L3033">
        <v>1791.03</v>
      </c>
      <c r="M3033">
        <v>0</v>
      </c>
      <c r="N3033">
        <v>431857002</v>
      </c>
      <c r="O3033" t="s">
        <v>4125</v>
      </c>
    </row>
    <row r="3034" spans="1:15">
      <c r="A3034" t="s">
        <v>4492</v>
      </c>
      <c r="B3034" s="2">
        <v>45713.331643518519</v>
      </c>
      <c r="C3034" s="2">
        <v>45713.492060185185</v>
      </c>
      <c r="D3034" t="s">
        <v>585</v>
      </c>
      <c r="E3034" t="s">
        <v>3599</v>
      </c>
      <c r="F3034" t="s">
        <v>3600</v>
      </c>
      <c r="G3034" t="s">
        <v>1019</v>
      </c>
      <c r="H3034" t="s">
        <v>1031</v>
      </c>
      <c r="I3034">
        <v>185347001</v>
      </c>
      <c r="J3034" t="s">
        <v>1124</v>
      </c>
      <c r="K3034">
        <v>85.55</v>
      </c>
      <c r="L3034">
        <v>1591.96</v>
      </c>
      <c r="M3034">
        <v>0</v>
      </c>
      <c r="N3034">
        <v>431857002</v>
      </c>
      <c r="O3034" t="s">
        <v>4125</v>
      </c>
    </row>
    <row r="3035" spans="1:15">
      <c r="A3035" t="s">
        <v>4493</v>
      </c>
      <c r="B3035" s="2">
        <v>45721.07608796296</v>
      </c>
      <c r="C3035" s="2">
        <v>45721.116087962961</v>
      </c>
      <c r="D3035" t="s">
        <v>585</v>
      </c>
      <c r="E3035" t="s">
        <v>3599</v>
      </c>
      <c r="F3035" t="s">
        <v>3600</v>
      </c>
      <c r="G3035" t="s">
        <v>1019</v>
      </c>
      <c r="H3035" t="s">
        <v>1043</v>
      </c>
      <c r="I3035">
        <v>185349003</v>
      </c>
      <c r="J3035" t="s">
        <v>1038</v>
      </c>
      <c r="K3035">
        <v>85.55</v>
      </c>
      <c r="L3035">
        <v>1030.97</v>
      </c>
      <c r="M3035">
        <v>0</v>
      </c>
      <c r="O3035" t="s">
        <v>34</v>
      </c>
    </row>
    <row r="3036" spans="1:15">
      <c r="A3036" t="s">
        <v>4494</v>
      </c>
      <c r="B3036" s="2">
        <v>45728.117754629631</v>
      </c>
      <c r="C3036" s="2">
        <v>45728.235115740739</v>
      </c>
      <c r="D3036" t="s">
        <v>585</v>
      </c>
      <c r="E3036" t="s">
        <v>3599</v>
      </c>
      <c r="F3036" t="s">
        <v>3600</v>
      </c>
      <c r="G3036" t="s">
        <v>1019</v>
      </c>
      <c r="H3036" t="s">
        <v>1031</v>
      </c>
      <c r="I3036">
        <v>185347001</v>
      </c>
      <c r="J3036" t="s">
        <v>1124</v>
      </c>
      <c r="K3036">
        <v>85.55</v>
      </c>
      <c r="L3036">
        <v>547.79999999999995</v>
      </c>
      <c r="M3036">
        <v>0</v>
      </c>
      <c r="N3036">
        <v>431857002</v>
      </c>
      <c r="O3036" t="s">
        <v>4125</v>
      </c>
    </row>
    <row r="3037" spans="1:15">
      <c r="A3037" t="s">
        <v>4495</v>
      </c>
      <c r="B3037" s="2">
        <v>45731.235115740739</v>
      </c>
      <c r="C3037" s="2">
        <v>45731.374699074076</v>
      </c>
      <c r="D3037" t="s">
        <v>585</v>
      </c>
      <c r="E3037" t="s">
        <v>3599</v>
      </c>
      <c r="F3037" t="s">
        <v>3600</v>
      </c>
      <c r="G3037" t="s">
        <v>1019</v>
      </c>
      <c r="H3037" t="s">
        <v>1031</v>
      </c>
      <c r="I3037">
        <v>185347001</v>
      </c>
      <c r="J3037" t="s">
        <v>1124</v>
      </c>
      <c r="K3037">
        <v>85.55</v>
      </c>
      <c r="L3037">
        <v>535.87</v>
      </c>
      <c r="M3037">
        <v>0</v>
      </c>
      <c r="N3037">
        <v>431857002</v>
      </c>
      <c r="O3037" t="s">
        <v>4125</v>
      </c>
    </row>
    <row r="3038" spans="1:15">
      <c r="A3038" t="s">
        <v>4496</v>
      </c>
      <c r="B3038" s="2">
        <v>45734.374699074076</v>
      </c>
      <c r="C3038" s="2">
        <v>45734.538587962961</v>
      </c>
      <c r="D3038" t="s">
        <v>585</v>
      </c>
      <c r="E3038" t="s">
        <v>3599</v>
      </c>
      <c r="F3038" t="s">
        <v>3600</v>
      </c>
      <c r="G3038" t="s">
        <v>1019</v>
      </c>
      <c r="H3038" t="s">
        <v>1031</v>
      </c>
      <c r="I3038">
        <v>185347001</v>
      </c>
      <c r="J3038" t="s">
        <v>1124</v>
      </c>
      <c r="K3038">
        <v>85.55</v>
      </c>
      <c r="L3038">
        <v>852.62</v>
      </c>
      <c r="M3038">
        <v>0</v>
      </c>
      <c r="N3038">
        <v>431857002</v>
      </c>
      <c r="O3038" t="s">
        <v>4125</v>
      </c>
    </row>
    <row r="3039" spans="1:15">
      <c r="A3039" t="s">
        <v>4497</v>
      </c>
      <c r="B3039" s="2">
        <v>45742.117754629631</v>
      </c>
      <c r="C3039" s="2">
        <v>45742.343263888892</v>
      </c>
      <c r="D3039" t="s">
        <v>585</v>
      </c>
      <c r="E3039" t="s">
        <v>3599</v>
      </c>
      <c r="F3039" t="s">
        <v>3600</v>
      </c>
      <c r="G3039" t="s">
        <v>1019</v>
      </c>
      <c r="H3039" t="s">
        <v>1031</v>
      </c>
      <c r="I3039">
        <v>185349003</v>
      </c>
      <c r="J3039" t="s">
        <v>1038</v>
      </c>
      <c r="K3039">
        <v>85.55</v>
      </c>
      <c r="L3039">
        <v>4399.55</v>
      </c>
      <c r="M3039">
        <v>0</v>
      </c>
      <c r="N3039">
        <v>66383009</v>
      </c>
      <c r="O3039" t="s">
        <v>1209</v>
      </c>
    </row>
    <row r="3040" spans="1:15">
      <c r="A3040" t="s">
        <v>4498</v>
      </c>
      <c r="B3040" s="2">
        <v>45749.117754629631</v>
      </c>
      <c r="C3040" s="2">
        <v>45749.255254629628</v>
      </c>
      <c r="D3040" t="s">
        <v>585</v>
      </c>
      <c r="E3040" t="s">
        <v>3599</v>
      </c>
      <c r="F3040" t="s">
        <v>3600</v>
      </c>
      <c r="G3040" t="s">
        <v>1019</v>
      </c>
      <c r="H3040" t="s">
        <v>1031</v>
      </c>
      <c r="I3040">
        <v>185347001</v>
      </c>
      <c r="J3040" t="s">
        <v>1124</v>
      </c>
      <c r="K3040">
        <v>85.55</v>
      </c>
      <c r="L3040">
        <v>535.87</v>
      </c>
      <c r="M3040">
        <v>0</v>
      </c>
      <c r="N3040">
        <v>431857002</v>
      </c>
      <c r="O3040" t="s">
        <v>4125</v>
      </c>
    </row>
    <row r="3041" spans="1:15">
      <c r="A3041" t="s">
        <v>4499</v>
      </c>
      <c r="B3041" s="2">
        <v>45749.255254629628</v>
      </c>
      <c r="C3041" s="2">
        <v>45749.2656712963</v>
      </c>
      <c r="D3041" t="s">
        <v>585</v>
      </c>
      <c r="E3041" t="s">
        <v>3599</v>
      </c>
      <c r="F3041" t="s">
        <v>3600</v>
      </c>
      <c r="G3041" t="s">
        <v>1019</v>
      </c>
      <c r="H3041" t="s">
        <v>1031</v>
      </c>
      <c r="I3041">
        <v>185347001</v>
      </c>
      <c r="J3041" t="s">
        <v>1124</v>
      </c>
      <c r="K3041">
        <v>85.55</v>
      </c>
      <c r="L3041">
        <v>234.71</v>
      </c>
      <c r="M3041">
        <v>0</v>
      </c>
      <c r="N3041">
        <v>431857002</v>
      </c>
      <c r="O3041" t="s">
        <v>4125</v>
      </c>
    </row>
    <row r="3042" spans="1:15">
      <c r="A3042" t="s">
        <v>4500</v>
      </c>
      <c r="B3042" s="2">
        <v>45752.255254629628</v>
      </c>
      <c r="C3042" s="2">
        <v>45752.380949074075</v>
      </c>
      <c r="D3042" t="s">
        <v>585</v>
      </c>
      <c r="E3042" t="s">
        <v>3599</v>
      </c>
      <c r="F3042" t="s">
        <v>3600</v>
      </c>
      <c r="G3042" t="s">
        <v>1019</v>
      </c>
      <c r="H3042" t="s">
        <v>1031</v>
      </c>
      <c r="I3042">
        <v>185347001</v>
      </c>
      <c r="J3042" t="s">
        <v>1124</v>
      </c>
      <c r="K3042">
        <v>85.55</v>
      </c>
      <c r="L3042">
        <v>535.87</v>
      </c>
      <c r="M3042">
        <v>0</v>
      </c>
      <c r="N3042">
        <v>431857002</v>
      </c>
      <c r="O3042" t="s">
        <v>4125</v>
      </c>
    </row>
    <row r="3043" spans="1:15">
      <c r="A3043" t="s">
        <v>4501</v>
      </c>
      <c r="B3043" s="2">
        <v>45755.380949074075</v>
      </c>
      <c r="C3043" s="2">
        <v>45755.543449074074</v>
      </c>
      <c r="D3043" t="s">
        <v>585</v>
      </c>
      <c r="E3043" t="s">
        <v>3599</v>
      </c>
      <c r="F3043" t="s">
        <v>3600</v>
      </c>
      <c r="G3043" t="s">
        <v>1019</v>
      </c>
      <c r="H3043" t="s">
        <v>1031</v>
      </c>
      <c r="I3043">
        <v>185347001</v>
      </c>
      <c r="J3043" t="s">
        <v>1124</v>
      </c>
      <c r="K3043">
        <v>85.55</v>
      </c>
      <c r="L3043">
        <v>918.61</v>
      </c>
      <c r="M3043">
        <v>0</v>
      </c>
      <c r="N3043">
        <v>431857002</v>
      </c>
      <c r="O3043" t="s">
        <v>4125</v>
      </c>
    </row>
    <row r="3044" spans="1:15">
      <c r="A3044" t="s">
        <v>4502</v>
      </c>
      <c r="B3044" s="2">
        <v>45758.543449074074</v>
      </c>
      <c r="C3044" s="2">
        <v>45758.697615740741</v>
      </c>
      <c r="D3044" t="s">
        <v>585</v>
      </c>
      <c r="E3044" t="s">
        <v>3599</v>
      </c>
      <c r="F3044" t="s">
        <v>3600</v>
      </c>
      <c r="G3044" t="s">
        <v>1019</v>
      </c>
      <c r="H3044" t="s">
        <v>1031</v>
      </c>
      <c r="I3044">
        <v>185347001</v>
      </c>
      <c r="J3044" t="s">
        <v>1124</v>
      </c>
      <c r="K3044">
        <v>85.55</v>
      </c>
      <c r="L3044">
        <v>535.87</v>
      </c>
      <c r="M3044">
        <v>0</v>
      </c>
      <c r="N3044">
        <v>431857002</v>
      </c>
      <c r="O3044" t="s">
        <v>4125</v>
      </c>
    </row>
    <row r="3045" spans="1:15">
      <c r="A3045" t="s">
        <v>4503</v>
      </c>
      <c r="B3045" s="2">
        <v>45761.697615740741</v>
      </c>
      <c r="C3045" s="2">
        <v>45761.793449074074</v>
      </c>
      <c r="D3045" t="s">
        <v>585</v>
      </c>
      <c r="E3045" t="s">
        <v>3599</v>
      </c>
      <c r="F3045" t="s">
        <v>3600</v>
      </c>
      <c r="G3045" t="s">
        <v>1019</v>
      </c>
      <c r="H3045" t="s">
        <v>1031</v>
      </c>
      <c r="I3045">
        <v>185347001</v>
      </c>
      <c r="J3045" t="s">
        <v>1124</v>
      </c>
      <c r="K3045">
        <v>85.55</v>
      </c>
      <c r="L3045">
        <v>535.87</v>
      </c>
      <c r="M3045">
        <v>0</v>
      </c>
      <c r="N3045">
        <v>431857002</v>
      </c>
      <c r="O3045" t="s">
        <v>4125</v>
      </c>
    </row>
    <row r="3046" spans="1:15">
      <c r="A3046" t="s">
        <v>4504</v>
      </c>
      <c r="B3046" s="2">
        <v>45764.793449074074</v>
      </c>
      <c r="C3046" s="2">
        <v>45764.914282407408</v>
      </c>
      <c r="D3046" t="s">
        <v>585</v>
      </c>
      <c r="E3046" t="s">
        <v>3599</v>
      </c>
      <c r="F3046" t="s">
        <v>3600</v>
      </c>
      <c r="G3046" t="s">
        <v>1019</v>
      </c>
      <c r="H3046" t="s">
        <v>1031</v>
      </c>
      <c r="I3046">
        <v>185347001</v>
      </c>
      <c r="J3046" t="s">
        <v>1124</v>
      </c>
      <c r="K3046">
        <v>85.55</v>
      </c>
      <c r="L3046">
        <v>605.91</v>
      </c>
      <c r="M3046">
        <v>0</v>
      </c>
      <c r="N3046">
        <v>431857002</v>
      </c>
      <c r="O3046" t="s">
        <v>4125</v>
      </c>
    </row>
    <row r="3047" spans="1:15">
      <c r="A3047" t="s">
        <v>4505</v>
      </c>
      <c r="B3047" s="2">
        <v>45767.914282407408</v>
      </c>
      <c r="C3047" s="2">
        <v>45768.071921296294</v>
      </c>
      <c r="D3047" t="s">
        <v>585</v>
      </c>
      <c r="E3047" t="s">
        <v>3599</v>
      </c>
      <c r="F3047" t="s">
        <v>3600</v>
      </c>
      <c r="G3047" t="s">
        <v>1019</v>
      </c>
      <c r="H3047" t="s">
        <v>1031</v>
      </c>
      <c r="I3047">
        <v>185347001</v>
      </c>
      <c r="J3047" t="s">
        <v>1124</v>
      </c>
      <c r="K3047">
        <v>85.55</v>
      </c>
      <c r="L3047">
        <v>535.87</v>
      </c>
      <c r="M3047">
        <v>0</v>
      </c>
      <c r="N3047">
        <v>431857002</v>
      </c>
      <c r="O3047" t="s">
        <v>4125</v>
      </c>
    </row>
    <row r="3048" spans="1:15">
      <c r="A3048" t="s">
        <v>4506</v>
      </c>
      <c r="B3048" s="2">
        <v>45777.117754629631</v>
      </c>
      <c r="C3048" s="2">
        <v>45777.148576388892</v>
      </c>
      <c r="D3048" t="s">
        <v>585</v>
      </c>
      <c r="E3048" t="s">
        <v>3599</v>
      </c>
      <c r="F3048" t="s">
        <v>3600</v>
      </c>
      <c r="G3048" t="s">
        <v>1019</v>
      </c>
      <c r="H3048" t="s">
        <v>1043</v>
      </c>
      <c r="I3048">
        <v>185349003</v>
      </c>
      <c r="J3048" t="s">
        <v>1038</v>
      </c>
      <c r="K3048">
        <v>85.55</v>
      </c>
      <c r="L3048">
        <v>1499.08</v>
      </c>
      <c r="M3048">
        <v>0</v>
      </c>
      <c r="O3048" t="s">
        <v>34</v>
      </c>
    </row>
    <row r="3049" spans="1:15">
      <c r="A3049" t="s">
        <v>4507</v>
      </c>
      <c r="B3049" s="2">
        <v>45784.117754629631</v>
      </c>
      <c r="C3049" s="2">
        <v>45784.244143518517</v>
      </c>
      <c r="D3049" t="s">
        <v>585</v>
      </c>
      <c r="E3049" t="s">
        <v>3599</v>
      </c>
      <c r="F3049" t="s">
        <v>3600</v>
      </c>
      <c r="G3049" t="s">
        <v>1019</v>
      </c>
      <c r="H3049" t="s">
        <v>1031</v>
      </c>
      <c r="I3049">
        <v>185347001</v>
      </c>
      <c r="J3049" t="s">
        <v>1124</v>
      </c>
      <c r="K3049">
        <v>85.55</v>
      </c>
      <c r="L3049">
        <v>744.79</v>
      </c>
      <c r="M3049">
        <v>0</v>
      </c>
      <c r="N3049">
        <v>431857002</v>
      </c>
      <c r="O3049" t="s">
        <v>4125</v>
      </c>
    </row>
    <row r="3050" spans="1:15">
      <c r="A3050" t="s">
        <v>4508</v>
      </c>
      <c r="B3050" s="2">
        <v>45784.244143518517</v>
      </c>
      <c r="C3050" s="2">
        <v>45784.254560185182</v>
      </c>
      <c r="D3050" t="s">
        <v>585</v>
      </c>
      <c r="E3050" t="s">
        <v>3599</v>
      </c>
      <c r="F3050" t="s">
        <v>3600</v>
      </c>
      <c r="G3050" t="s">
        <v>1019</v>
      </c>
      <c r="H3050" t="s">
        <v>1031</v>
      </c>
      <c r="I3050">
        <v>185347001</v>
      </c>
      <c r="J3050" t="s">
        <v>1124</v>
      </c>
      <c r="K3050">
        <v>85.55</v>
      </c>
      <c r="L3050">
        <v>234.71</v>
      </c>
      <c r="M3050">
        <v>0</v>
      </c>
      <c r="N3050">
        <v>431857002</v>
      </c>
      <c r="O3050" t="s">
        <v>4125</v>
      </c>
    </row>
    <row r="3051" spans="1:15">
      <c r="A3051" t="s">
        <v>4509</v>
      </c>
      <c r="B3051" s="2">
        <v>45787.244143518517</v>
      </c>
      <c r="C3051" s="2">
        <v>45787.386504629627</v>
      </c>
      <c r="D3051" t="s">
        <v>585</v>
      </c>
      <c r="E3051" t="s">
        <v>3599</v>
      </c>
      <c r="F3051" t="s">
        <v>3600</v>
      </c>
      <c r="G3051" t="s">
        <v>1019</v>
      </c>
      <c r="H3051" t="s">
        <v>1031</v>
      </c>
      <c r="I3051">
        <v>185347001</v>
      </c>
      <c r="J3051" t="s">
        <v>1124</v>
      </c>
      <c r="K3051">
        <v>85.55</v>
      </c>
      <c r="L3051">
        <v>535.87</v>
      </c>
      <c r="M3051">
        <v>0</v>
      </c>
      <c r="N3051">
        <v>431857002</v>
      </c>
      <c r="O3051" t="s">
        <v>4125</v>
      </c>
    </row>
    <row r="3052" spans="1:15">
      <c r="A3052" t="s">
        <v>4510</v>
      </c>
      <c r="B3052" s="2">
        <v>45790.386504629627</v>
      </c>
      <c r="C3052" s="2">
        <v>45790.491365740738</v>
      </c>
      <c r="D3052" t="s">
        <v>585</v>
      </c>
      <c r="E3052" t="s">
        <v>3599</v>
      </c>
      <c r="F3052" t="s">
        <v>3600</v>
      </c>
      <c r="G3052" t="s">
        <v>1019</v>
      </c>
      <c r="H3052" t="s">
        <v>1031</v>
      </c>
      <c r="I3052">
        <v>185347001</v>
      </c>
      <c r="J3052" t="s">
        <v>1124</v>
      </c>
      <c r="K3052">
        <v>85.55</v>
      </c>
      <c r="L3052">
        <v>1791.03</v>
      </c>
      <c r="M3052">
        <v>0</v>
      </c>
      <c r="N3052">
        <v>431857002</v>
      </c>
      <c r="O3052" t="s">
        <v>4125</v>
      </c>
    </row>
    <row r="3053" spans="1:15">
      <c r="A3053" t="s">
        <v>4511</v>
      </c>
      <c r="B3053" s="2">
        <v>45793.491365740738</v>
      </c>
      <c r="C3053" s="2">
        <v>45793.576782407406</v>
      </c>
      <c r="D3053" t="s">
        <v>585</v>
      </c>
      <c r="E3053" t="s">
        <v>3599</v>
      </c>
      <c r="F3053" t="s">
        <v>3600</v>
      </c>
      <c r="G3053" t="s">
        <v>1019</v>
      </c>
      <c r="H3053" t="s">
        <v>1031</v>
      </c>
      <c r="I3053">
        <v>185347001</v>
      </c>
      <c r="J3053" t="s">
        <v>1124</v>
      </c>
      <c r="K3053">
        <v>85.55</v>
      </c>
      <c r="L3053">
        <v>1264.56</v>
      </c>
      <c r="M3053">
        <v>0</v>
      </c>
      <c r="N3053">
        <v>431857002</v>
      </c>
      <c r="O3053" t="s">
        <v>4125</v>
      </c>
    </row>
    <row r="3054" spans="1:15">
      <c r="A3054" t="s">
        <v>4512</v>
      </c>
      <c r="B3054" s="2">
        <v>45796.576782407406</v>
      </c>
      <c r="C3054" s="2">
        <v>45796.667060185187</v>
      </c>
      <c r="D3054" t="s">
        <v>585</v>
      </c>
      <c r="E3054" t="s">
        <v>3599</v>
      </c>
      <c r="F3054" t="s">
        <v>3600</v>
      </c>
      <c r="G3054" t="s">
        <v>1019</v>
      </c>
      <c r="H3054" t="s">
        <v>1031</v>
      </c>
      <c r="I3054">
        <v>185347001</v>
      </c>
      <c r="J3054" t="s">
        <v>1124</v>
      </c>
      <c r="K3054">
        <v>85.55</v>
      </c>
      <c r="L3054">
        <v>535.87</v>
      </c>
      <c r="M3054">
        <v>0</v>
      </c>
      <c r="N3054">
        <v>431857002</v>
      </c>
      <c r="O3054" t="s">
        <v>4125</v>
      </c>
    </row>
    <row r="3055" spans="1:15">
      <c r="A3055" t="s">
        <v>4513</v>
      </c>
      <c r="B3055" s="2">
        <v>45799.667060185187</v>
      </c>
      <c r="C3055" s="2">
        <v>45799.815671296295</v>
      </c>
      <c r="D3055" t="s">
        <v>585</v>
      </c>
      <c r="E3055" t="s">
        <v>3599</v>
      </c>
      <c r="F3055" t="s">
        <v>3600</v>
      </c>
      <c r="G3055" t="s">
        <v>1019</v>
      </c>
      <c r="H3055" t="s">
        <v>1031</v>
      </c>
      <c r="I3055">
        <v>185347001</v>
      </c>
      <c r="J3055" t="s">
        <v>1124</v>
      </c>
      <c r="K3055">
        <v>85.55</v>
      </c>
      <c r="L3055">
        <v>535.87</v>
      </c>
      <c r="M3055">
        <v>0</v>
      </c>
      <c r="N3055">
        <v>431857002</v>
      </c>
      <c r="O3055" t="s">
        <v>4125</v>
      </c>
    </row>
    <row r="3056" spans="1:15">
      <c r="A3056" t="s">
        <v>4514</v>
      </c>
      <c r="B3056" s="2">
        <v>45802.815671296295</v>
      </c>
      <c r="C3056" s="2">
        <v>45802.962893518517</v>
      </c>
      <c r="D3056" t="s">
        <v>585</v>
      </c>
      <c r="E3056" t="s">
        <v>3599</v>
      </c>
      <c r="F3056" t="s">
        <v>3600</v>
      </c>
      <c r="G3056" t="s">
        <v>1019</v>
      </c>
      <c r="H3056" t="s">
        <v>1031</v>
      </c>
      <c r="I3056">
        <v>185347001</v>
      </c>
      <c r="J3056" t="s">
        <v>1124</v>
      </c>
      <c r="K3056">
        <v>85.55</v>
      </c>
      <c r="L3056">
        <v>535.87</v>
      </c>
      <c r="M3056">
        <v>0</v>
      </c>
      <c r="N3056">
        <v>431857002</v>
      </c>
      <c r="O3056" t="s">
        <v>4125</v>
      </c>
    </row>
    <row r="3057" spans="1:15">
      <c r="A3057" t="s">
        <v>4515</v>
      </c>
      <c r="B3057" s="2">
        <v>45805.962893518517</v>
      </c>
      <c r="C3057" s="2">
        <v>45806.121921296297</v>
      </c>
      <c r="D3057" t="s">
        <v>585</v>
      </c>
      <c r="E3057" t="s">
        <v>3599</v>
      </c>
      <c r="F3057" t="s">
        <v>3600</v>
      </c>
      <c r="G3057" t="s">
        <v>1019</v>
      </c>
      <c r="H3057" t="s">
        <v>1031</v>
      </c>
      <c r="I3057">
        <v>185347001</v>
      </c>
      <c r="J3057" t="s">
        <v>1124</v>
      </c>
      <c r="K3057">
        <v>85.55</v>
      </c>
      <c r="L3057">
        <v>922.24</v>
      </c>
      <c r="M3057">
        <v>0</v>
      </c>
      <c r="N3057">
        <v>431857002</v>
      </c>
      <c r="O3057" t="s">
        <v>4125</v>
      </c>
    </row>
    <row r="3058" spans="1:15">
      <c r="A3058" t="s">
        <v>4516</v>
      </c>
      <c r="B3058" s="2">
        <v>45809.121921296297</v>
      </c>
      <c r="C3058" s="2">
        <v>45809.220532407409</v>
      </c>
      <c r="D3058" t="s">
        <v>585</v>
      </c>
      <c r="E3058" t="s">
        <v>3599</v>
      </c>
      <c r="F3058" t="s">
        <v>3600</v>
      </c>
      <c r="G3058" t="s">
        <v>1019</v>
      </c>
      <c r="H3058" t="s">
        <v>1031</v>
      </c>
      <c r="I3058">
        <v>185347001</v>
      </c>
      <c r="J3058" t="s">
        <v>1124</v>
      </c>
      <c r="K3058">
        <v>85.55</v>
      </c>
      <c r="L3058">
        <v>1791.03</v>
      </c>
      <c r="M3058">
        <v>0</v>
      </c>
      <c r="N3058">
        <v>431857002</v>
      </c>
      <c r="O3058" t="s">
        <v>4125</v>
      </c>
    </row>
    <row r="3059" spans="1:15">
      <c r="A3059" t="s">
        <v>4517</v>
      </c>
      <c r="B3059" s="2">
        <v>45812.220532407409</v>
      </c>
      <c r="C3059" s="2">
        <v>45812.360115740739</v>
      </c>
      <c r="D3059" t="s">
        <v>585</v>
      </c>
      <c r="E3059" t="s">
        <v>3599</v>
      </c>
      <c r="F3059" t="s">
        <v>3600</v>
      </c>
      <c r="G3059" t="s">
        <v>1019</v>
      </c>
      <c r="H3059" t="s">
        <v>1031</v>
      </c>
      <c r="I3059">
        <v>185347001</v>
      </c>
      <c r="J3059" t="s">
        <v>1124</v>
      </c>
      <c r="K3059">
        <v>85.55</v>
      </c>
      <c r="L3059">
        <v>535.87</v>
      </c>
      <c r="M3059">
        <v>0</v>
      </c>
      <c r="N3059">
        <v>431857002</v>
      </c>
      <c r="O3059" t="s">
        <v>4125</v>
      </c>
    </row>
    <row r="3060" spans="1:15">
      <c r="A3060" t="s">
        <v>4518</v>
      </c>
      <c r="B3060" s="2">
        <v>45815.360115740739</v>
      </c>
      <c r="C3060" s="2">
        <v>45815.483032407406</v>
      </c>
      <c r="D3060" t="s">
        <v>585</v>
      </c>
      <c r="E3060" t="s">
        <v>3599</v>
      </c>
      <c r="F3060" t="s">
        <v>3600</v>
      </c>
      <c r="G3060" t="s">
        <v>1019</v>
      </c>
      <c r="H3060" t="s">
        <v>1031</v>
      </c>
      <c r="I3060">
        <v>185347001</v>
      </c>
      <c r="J3060" t="s">
        <v>1124</v>
      </c>
      <c r="K3060">
        <v>85.55</v>
      </c>
      <c r="L3060">
        <v>1159.48</v>
      </c>
      <c r="M3060">
        <v>0</v>
      </c>
      <c r="N3060">
        <v>431857002</v>
      </c>
      <c r="O3060" t="s">
        <v>4125</v>
      </c>
    </row>
    <row r="3061" spans="1:15">
      <c r="A3061" t="s">
        <v>4519</v>
      </c>
      <c r="B3061" s="2">
        <v>45815.483032407406</v>
      </c>
      <c r="C3061" s="2">
        <v>45815.493449074071</v>
      </c>
      <c r="D3061" t="s">
        <v>585</v>
      </c>
      <c r="E3061" t="s">
        <v>3599</v>
      </c>
      <c r="F3061" t="s">
        <v>3600</v>
      </c>
      <c r="G3061" t="s">
        <v>1019</v>
      </c>
      <c r="H3061" t="s">
        <v>1031</v>
      </c>
      <c r="I3061">
        <v>185347001</v>
      </c>
      <c r="J3061" t="s">
        <v>1124</v>
      </c>
      <c r="K3061">
        <v>85.55</v>
      </c>
      <c r="L3061">
        <v>234.71</v>
      </c>
      <c r="M3061">
        <v>0</v>
      </c>
      <c r="N3061">
        <v>431857002</v>
      </c>
      <c r="O3061" t="s">
        <v>4125</v>
      </c>
    </row>
    <row r="3062" spans="1:15">
      <c r="A3062" t="s">
        <v>4520</v>
      </c>
      <c r="B3062" s="2">
        <v>45818.483032407406</v>
      </c>
      <c r="C3062" s="2">
        <v>45818.569143518522</v>
      </c>
      <c r="D3062" t="s">
        <v>585</v>
      </c>
      <c r="E3062" t="s">
        <v>3599</v>
      </c>
      <c r="F3062" t="s">
        <v>3600</v>
      </c>
      <c r="G3062" t="s">
        <v>1019</v>
      </c>
      <c r="H3062" t="s">
        <v>1031</v>
      </c>
      <c r="I3062">
        <v>185347001</v>
      </c>
      <c r="J3062" t="s">
        <v>1124</v>
      </c>
      <c r="K3062">
        <v>85.55</v>
      </c>
      <c r="L3062">
        <v>1414.53</v>
      </c>
      <c r="M3062">
        <v>0</v>
      </c>
      <c r="N3062">
        <v>431857002</v>
      </c>
      <c r="O3062" t="s">
        <v>4125</v>
      </c>
    </row>
    <row r="3063" spans="1:15">
      <c r="A3063" t="s">
        <v>4521</v>
      </c>
      <c r="B3063" s="2">
        <v>45821.569143518522</v>
      </c>
      <c r="C3063" s="2">
        <v>45821.682337962964</v>
      </c>
      <c r="D3063" t="s">
        <v>585</v>
      </c>
      <c r="E3063" t="s">
        <v>3599</v>
      </c>
      <c r="F3063" t="s">
        <v>3600</v>
      </c>
      <c r="G3063" t="s">
        <v>1019</v>
      </c>
      <c r="H3063" t="s">
        <v>1031</v>
      </c>
      <c r="I3063">
        <v>185347001</v>
      </c>
      <c r="J3063" t="s">
        <v>1124</v>
      </c>
      <c r="K3063">
        <v>85.55</v>
      </c>
      <c r="L3063">
        <v>1791.03</v>
      </c>
      <c r="M3063">
        <v>0</v>
      </c>
      <c r="N3063">
        <v>431857002</v>
      </c>
      <c r="O3063" t="s">
        <v>4125</v>
      </c>
    </row>
    <row r="3064" spans="1:15">
      <c r="A3064" t="s">
        <v>4522</v>
      </c>
      <c r="B3064" s="2">
        <v>45824.682337962964</v>
      </c>
      <c r="C3064" s="2">
        <v>45824.767754629633</v>
      </c>
      <c r="D3064" t="s">
        <v>585</v>
      </c>
      <c r="E3064" t="s">
        <v>3599</v>
      </c>
      <c r="F3064" t="s">
        <v>3600</v>
      </c>
      <c r="G3064" t="s">
        <v>1019</v>
      </c>
      <c r="H3064" t="s">
        <v>1031</v>
      </c>
      <c r="I3064">
        <v>185347001</v>
      </c>
      <c r="J3064" t="s">
        <v>1124</v>
      </c>
      <c r="K3064">
        <v>85.55</v>
      </c>
      <c r="L3064">
        <v>937.82</v>
      </c>
      <c r="M3064">
        <v>0</v>
      </c>
      <c r="N3064">
        <v>431857002</v>
      </c>
      <c r="O3064" t="s">
        <v>4125</v>
      </c>
    </row>
    <row r="3065" spans="1:15">
      <c r="A3065" t="s">
        <v>4523</v>
      </c>
      <c r="B3065" s="2">
        <v>45827.767754629633</v>
      </c>
      <c r="C3065" s="2">
        <v>45827.900393518517</v>
      </c>
      <c r="D3065" t="s">
        <v>585</v>
      </c>
      <c r="E3065" t="s">
        <v>3599</v>
      </c>
      <c r="F3065" t="s">
        <v>3600</v>
      </c>
      <c r="G3065" t="s">
        <v>1019</v>
      </c>
      <c r="H3065" t="s">
        <v>1031</v>
      </c>
      <c r="I3065">
        <v>185347001</v>
      </c>
      <c r="J3065" t="s">
        <v>1124</v>
      </c>
      <c r="K3065">
        <v>85.55</v>
      </c>
      <c r="L3065">
        <v>1099.08</v>
      </c>
      <c r="M3065">
        <v>0</v>
      </c>
      <c r="N3065">
        <v>431857002</v>
      </c>
      <c r="O3065" t="s">
        <v>4125</v>
      </c>
    </row>
    <row r="3066" spans="1:15">
      <c r="A3066" t="s">
        <v>4524</v>
      </c>
      <c r="B3066" s="2">
        <v>45830.900393518517</v>
      </c>
      <c r="C3066" s="2">
        <v>45831.017754629633</v>
      </c>
      <c r="D3066" t="s">
        <v>585</v>
      </c>
      <c r="E3066" t="s">
        <v>3599</v>
      </c>
      <c r="F3066" t="s">
        <v>3600</v>
      </c>
      <c r="G3066" t="s">
        <v>1019</v>
      </c>
      <c r="H3066" t="s">
        <v>1031</v>
      </c>
      <c r="I3066">
        <v>185347001</v>
      </c>
      <c r="J3066" t="s">
        <v>1124</v>
      </c>
      <c r="K3066">
        <v>85.55</v>
      </c>
      <c r="L3066">
        <v>535.87</v>
      </c>
      <c r="M3066">
        <v>0</v>
      </c>
      <c r="N3066">
        <v>431857002</v>
      </c>
      <c r="O3066" t="s">
        <v>4125</v>
      </c>
    </row>
    <row r="3067" spans="1:15">
      <c r="A3067" t="s">
        <v>4525</v>
      </c>
      <c r="B3067" s="2">
        <v>45840.117754629631</v>
      </c>
      <c r="C3067" s="2">
        <v>45840.155011574076</v>
      </c>
      <c r="D3067" t="s">
        <v>585</v>
      </c>
      <c r="E3067" t="s">
        <v>3599</v>
      </c>
      <c r="F3067" t="s">
        <v>3600</v>
      </c>
      <c r="G3067" t="s">
        <v>1019</v>
      </c>
      <c r="H3067" t="s">
        <v>1043</v>
      </c>
      <c r="I3067">
        <v>185349003</v>
      </c>
      <c r="J3067" t="s">
        <v>1038</v>
      </c>
      <c r="K3067">
        <v>85.55</v>
      </c>
      <c r="L3067">
        <v>1168.06</v>
      </c>
      <c r="M3067">
        <v>0</v>
      </c>
      <c r="O3067" t="s">
        <v>34</v>
      </c>
    </row>
    <row r="3068" spans="1:15">
      <c r="A3068" t="s">
        <v>4526</v>
      </c>
      <c r="B3068" s="2">
        <v>45847.117754629631</v>
      </c>
      <c r="C3068" s="2">
        <v>45847.261504629627</v>
      </c>
      <c r="D3068" t="s">
        <v>585</v>
      </c>
      <c r="E3068" t="s">
        <v>3599</v>
      </c>
      <c r="F3068" t="s">
        <v>3600</v>
      </c>
      <c r="G3068" t="s">
        <v>1019</v>
      </c>
      <c r="H3068" t="s">
        <v>1031</v>
      </c>
      <c r="I3068">
        <v>185347001</v>
      </c>
      <c r="J3068" t="s">
        <v>1124</v>
      </c>
      <c r="K3068">
        <v>85.55</v>
      </c>
      <c r="L3068">
        <v>1791.03</v>
      </c>
      <c r="M3068">
        <v>0</v>
      </c>
      <c r="N3068">
        <v>431857002</v>
      </c>
      <c r="O3068" t="s">
        <v>4125</v>
      </c>
    </row>
    <row r="3069" spans="1:15">
      <c r="A3069" t="s">
        <v>4527</v>
      </c>
      <c r="B3069" s="2">
        <v>45847.261504629627</v>
      </c>
      <c r="C3069" s="2">
        <v>45847.271921296298</v>
      </c>
      <c r="D3069" t="s">
        <v>585</v>
      </c>
      <c r="E3069" t="s">
        <v>3599</v>
      </c>
      <c r="F3069" t="s">
        <v>3600</v>
      </c>
      <c r="G3069" t="s">
        <v>1019</v>
      </c>
      <c r="H3069" t="s">
        <v>1031</v>
      </c>
      <c r="I3069">
        <v>185347001</v>
      </c>
      <c r="J3069" t="s">
        <v>1124</v>
      </c>
      <c r="K3069">
        <v>85.55</v>
      </c>
      <c r="L3069">
        <v>234.71</v>
      </c>
      <c r="M3069">
        <v>0</v>
      </c>
      <c r="N3069">
        <v>431857002</v>
      </c>
      <c r="O3069" t="s">
        <v>4125</v>
      </c>
    </row>
    <row r="3070" spans="1:15">
      <c r="A3070" t="s">
        <v>4528</v>
      </c>
      <c r="B3070" s="2">
        <v>45850.261504629627</v>
      </c>
      <c r="C3070" s="2">
        <v>45850.411504629628</v>
      </c>
      <c r="D3070" t="s">
        <v>585</v>
      </c>
      <c r="E3070" t="s">
        <v>3599</v>
      </c>
      <c r="F3070" t="s">
        <v>3600</v>
      </c>
      <c r="G3070" t="s">
        <v>1019</v>
      </c>
      <c r="H3070" t="s">
        <v>1031</v>
      </c>
      <c r="I3070">
        <v>185347001</v>
      </c>
      <c r="J3070" t="s">
        <v>1124</v>
      </c>
      <c r="K3070">
        <v>85.55</v>
      </c>
      <c r="L3070">
        <v>1074.08</v>
      </c>
      <c r="M3070">
        <v>0</v>
      </c>
      <c r="N3070">
        <v>431857002</v>
      </c>
      <c r="O3070" t="s">
        <v>4125</v>
      </c>
    </row>
    <row r="3071" spans="1:15">
      <c r="A3071" t="s">
        <v>4529</v>
      </c>
      <c r="B3071" s="2">
        <v>45853.411504629628</v>
      </c>
      <c r="C3071" s="2">
        <v>45853.560115740744</v>
      </c>
      <c r="D3071" t="s">
        <v>585</v>
      </c>
      <c r="E3071" t="s">
        <v>3599</v>
      </c>
      <c r="F3071" t="s">
        <v>3600</v>
      </c>
      <c r="G3071" t="s">
        <v>1019</v>
      </c>
      <c r="H3071" t="s">
        <v>1031</v>
      </c>
      <c r="I3071">
        <v>185347001</v>
      </c>
      <c r="J3071" t="s">
        <v>1124</v>
      </c>
      <c r="K3071">
        <v>85.55</v>
      </c>
      <c r="L3071">
        <v>1293.33</v>
      </c>
      <c r="M3071">
        <v>0</v>
      </c>
      <c r="N3071">
        <v>431857002</v>
      </c>
      <c r="O3071" t="s">
        <v>4125</v>
      </c>
    </row>
    <row r="3072" spans="1:15">
      <c r="A3072" t="s">
        <v>4530</v>
      </c>
      <c r="B3072" s="2">
        <v>45861.117754629631</v>
      </c>
      <c r="C3072" s="2">
        <v>45861.144502314812</v>
      </c>
      <c r="D3072" t="s">
        <v>585</v>
      </c>
      <c r="E3072" t="s">
        <v>4057</v>
      </c>
      <c r="F3072" t="s">
        <v>4058</v>
      </c>
      <c r="G3072" t="s">
        <v>1019</v>
      </c>
      <c r="H3072" t="s">
        <v>1020</v>
      </c>
      <c r="I3072">
        <v>162673000</v>
      </c>
      <c r="J3072" t="s">
        <v>1021</v>
      </c>
      <c r="K3072">
        <v>136.80000000000001</v>
      </c>
      <c r="L3072">
        <v>1082.22</v>
      </c>
      <c r="M3072">
        <v>0</v>
      </c>
      <c r="O3072" t="s">
        <v>34</v>
      </c>
    </row>
    <row r="3073" spans="1:15">
      <c r="A3073" t="s">
        <v>4531</v>
      </c>
      <c r="B3073" s="2">
        <v>45868.117754629631</v>
      </c>
      <c r="C3073" s="2">
        <v>45868.281643518516</v>
      </c>
      <c r="D3073" t="s">
        <v>585</v>
      </c>
      <c r="E3073" t="s">
        <v>3599</v>
      </c>
      <c r="F3073" t="s">
        <v>3600</v>
      </c>
      <c r="G3073" t="s">
        <v>1019</v>
      </c>
      <c r="H3073" t="s">
        <v>1031</v>
      </c>
      <c r="I3073">
        <v>185347001</v>
      </c>
      <c r="J3073" t="s">
        <v>1124</v>
      </c>
      <c r="K3073">
        <v>85.55</v>
      </c>
      <c r="L3073">
        <v>1681.31</v>
      </c>
      <c r="M3073">
        <v>0</v>
      </c>
      <c r="N3073">
        <v>431857002</v>
      </c>
      <c r="O3073" t="s">
        <v>4125</v>
      </c>
    </row>
    <row r="3074" spans="1:15">
      <c r="A3074" t="s">
        <v>4532</v>
      </c>
      <c r="B3074" s="2">
        <v>45871.281643518516</v>
      </c>
      <c r="C3074" s="2">
        <v>45871.414282407408</v>
      </c>
      <c r="D3074" t="s">
        <v>585</v>
      </c>
      <c r="E3074" t="s">
        <v>3599</v>
      </c>
      <c r="F3074" t="s">
        <v>3600</v>
      </c>
      <c r="G3074" t="s">
        <v>1019</v>
      </c>
      <c r="H3074" t="s">
        <v>1031</v>
      </c>
      <c r="I3074">
        <v>185347001</v>
      </c>
      <c r="J3074" t="s">
        <v>1124</v>
      </c>
      <c r="K3074">
        <v>85.55</v>
      </c>
      <c r="L3074">
        <v>727.02</v>
      </c>
      <c r="M3074">
        <v>0</v>
      </c>
      <c r="N3074">
        <v>431857002</v>
      </c>
      <c r="O3074" t="s">
        <v>4125</v>
      </c>
    </row>
    <row r="3075" spans="1:15">
      <c r="A3075" t="s">
        <v>4533</v>
      </c>
      <c r="B3075" s="2">
        <v>45874.414282407408</v>
      </c>
      <c r="C3075" s="2">
        <v>45874.578865740739</v>
      </c>
      <c r="D3075" t="s">
        <v>585</v>
      </c>
      <c r="E3075" t="s">
        <v>3599</v>
      </c>
      <c r="F3075" t="s">
        <v>3600</v>
      </c>
      <c r="G3075" t="s">
        <v>1019</v>
      </c>
      <c r="H3075" t="s">
        <v>1031</v>
      </c>
      <c r="I3075">
        <v>185347001</v>
      </c>
      <c r="J3075" t="s">
        <v>1124</v>
      </c>
      <c r="K3075">
        <v>85.55</v>
      </c>
      <c r="L3075">
        <v>535.87</v>
      </c>
      <c r="M3075">
        <v>0</v>
      </c>
      <c r="N3075">
        <v>431857002</v>
      </c>
      <c r="O3075" t="s">
        <v>4125</v>
      </c>
    </row>
    <row r="3076" spans="1:15">
      <c r="A3076" t="s">
        <v>4534</v>
      </c>
      <c r="B3076" s="2">
        <v>45882.117754629631</v>
      </c>
      <c r="C3076" s="2">
        <v>45882.246087962965</v>
      </c>
      <c r="D3076" t="s">
        <v>585</v>
      </c>
      <c r="E3076" t="s">
        <v>3599</v>
      </c>
      <c r="F3076" t="s">
        <v>3600</v>
      </c>
      <c r="G3076" t="s">
        <v>1019</v>
      </c>
      <c r="H3076" t="s">
        <v>1031</v>
      </c>
      <c r="I3076">
        <v>185349003</v>
      </c>
      <c r="J3076" t="s">
        <v>1038</v>
      </c>
      <c r="K3076">
        <v>85.55</v>
      </c>
      <c r="L3076">
        <v>3105.35</v>
      </c>
      <c r="M3076">
        <v>0</v>
      </c>
      <c r="N3076">
        <v>66383009</v>
      </c>
      <c r="O3076" t="s">
        <v>1209</v>
      </c>
    </row>
    <row r="3077" spans="1:15">
      <c r="A3077" t="s">
        <v>4535</v>
      </c>
      <c r="B3077" s="2">
        <v>45889.117754629631</v>
      </c>
      <c r="C3077" s="2">
        <v>45889.219143518516</v>
      </c>
      <c r="D3077" t="s">
        <v>585</v>
      </c>
      <c r="E3077" t="s">
        <v>3599</v>
      </c>
      <c r="F3077" t="s">
        <v>3600</v>
      </c>
      <c r="G3077" t="s">
        <v>1019</v>
      </c>
      <c r="H3077" t="s">
        <v>1031</v>
      </c>
      <c r="I3077">
        <v>185347001</v>
      </c>
      <c r="J3077" t="s">
        <v>1124</v>
      </c>
      <c r="K3077">
        <v>85.55</v>
      </c>
      <c r="L3077">
        <v>535.87</v>
      </c>
      <c r="M3077">
        <v>0</v>
      </c>
      <c r="N3077">
        <v>431857002</v>
      </c>
      <c r="O3077" t="s">
        <v>4125</v>
      </c>
    </row>
    <row r="3078" spans="1:15">
      <c r="A3078" t="s">
        <v>4536</v>
      </c>
      <c r="B3078" s="2">
        <v>45889.219143518516</v>
      </c>
      <c r="C3078" s="2">
        <v>45889.229560185187</v>
      </c>
      <c r="D3078" t="s">
        <v>585</v>
      </c>
      <c r="E3078" t="s">
        <v>3599</v>
      </c>
      <c r="F3078" t="s">
        <v>3600</v>
      </c>
      <c r="G3078" t="s">
        <v>1019</v>
      </c>
      <c r="H3078" t="s">
        <v>1031</v>
      </c>
      <c r="I3078">
        <v>185347001</v>
      </c>
      <c r="J3078" t="s">
        <v>1124</v>
      </c>
      <c r="K3078">
        <v>85.55</v>
      </c>
      <c r="L3078">
        <v>234.71</v>
      </c>
      <c r="M3078">
        <v>0</v>
      </c>
      <c r="N3078">
        <v>431857002</v>
      </c>
      <c r="O3078" t="s">
        <v>4125</v>
      </c>
    </row>
    <row r="3079" spans="1:15">
      <c r="A3079" t="s">
        <v>4537</v>
      </c>
      <c r="B3079" s="2">
        <v>45892.219143518516</v>
      </c>
      <c r="C3079" s="2">
        <v>45892.322615740741</v>
      </c>
      <c r="D3079" t="s">
        <v>585</v>
      </c>
      <c r="E3079" t="s">
        <v>3599</v>
      </c>
      <c r="F3079" t="s">
        <v>3600</v>
      </c>
      <c r="G3079" t="s">
        <v>1019</v>
      </c>
      <c r="H3079" t="s">
        <v>1031</v>
      </c>
      <c r="I3079">
        <v>185347001</v>
      </c>
      <c r="J3079" t="s">
        <v>1124</v>
      </c>
      <c r="K3079">
        <v>85.55</v>
      </c>
      <c r="L3079">
        <v>642.16</v>
      </c>
      <c r="M3079">
        <v>0</v>
      </c>
      <c r="N3079">
        <v>431857002</v>
      </c>
      <c r="O3079" t="s">
        <v>4125</v>
      </c>
    </row>
    <row r="3080" spans="1:15">
      <c r="A3080" t="s">
        <v>4538</v>
      </c>
      <c r="B3080" s="2">
        <v>45895.322615740741</v>
      </c>
      <c r="C3080" s="2">
        <v>45895.43372685185</v>
      </c>
      <c r="D3080" t="s">
        <v>585</v>
      </c>
      <c r="E3080" t="s">
        <v>3599</v>
      </c>
      <c r="F3080" t="s">
        <v>3600</v>
      </c>
      <c r="G3080" t="s">
        <v>1019</v>
      </c>
      <c r="H3080" t="s">
        <v>1031</v>
      </c>
      <c r="I3080">
        <v>185347001</v>
      </c>
      <c r="J3080" t="s">
        <v>1124</v>
      </c>
      <c r="K3080">
        <v>85.55</v>
      </c>
      <c r="L3080">
        <v>535.87</v>
      </c>
      <c r="M3080">
        <v>0</v>
      </c>
      <c r="N3080">
        <v>431857002</v>
      </c>
      <c r="O3080" t="s">
        <v>4125</v>
      </c>
    </row>
    <row r="3081" spans="1:15">
      <c r="A3081" t="s">
        <v>4539</v>
      </c>
      <c r="B3081" s="2">
        <v>45898.43372685185</v>
      </c>
      <c r="C3081" s="2">
        <v>45898.523310185185</v>
      </c>
      <c r="D3081" t="s">
        <v>585</v>
      </c>
      <c r="E3081" t="s">
        <v>3599</v>
      </c>
      <c r="F3081" t="s">
        <v>3600</v>
      </c>
      <c r="G3081" t="s">
        <v>1019</v>
      </c>
      <c r="H3081" t="s">
        <v>1031</v>
      </c>
      <c r="I3081">
        <v>185347001</v>
      </c>
      <c r="J3081" t="s">
        <v>1124</v>
      </c>
      <c r="K3081">
        <v>85.55</v>
      </c>
      <c r="L3081">
        <v>535.87</v>
      </c>
      <c r="M3081">
        <v>0</v>
      </c>
      <c r="N3081">
        <v>431857002</v>
      </c>
      <c r="O3081" t="s">
        <v>4125</v>
      </c>
    </row>
    <row r="3082" spans="1:15">
      <c r="A3082" t="s">
        <v>4540</v>
      </c>
      <c r="B3082" s="2">
        <v>45901.523310185185</v>
      </c>
      <c r="C3082" s="2">
        <v>45901.684421296297</v>
      </c>
      <c r="D3082" t="s">
        <v>585</v>
      </c>
      <c r="E3082" t="s">
        <v>3599</v>
      </c>
      <c r="F3082" t="s">
        <v>3600</v>
      </c>
      <c r="G3082" t="s">
        <v>1019</v>
      </c>
      <c r="H3082" t="s">
        <v>1031</v>
      </c>
      <c r="I3082">
        <v>185347001</v>
      </c>
      <c r="J3082" t="s">
        <v>1124</v>
      </c>
      <c r="K3082">
        <v>85.55</v>
      </c>
      <c r="L3082">
        <v>824.16</v>
      </c>
      <c r="M3082">
        <v>0</v>
      </c>
      <c r="N3082">
        <v>431857002</v>
      </c>
      <c r="O3082" t="s">
        <v>4125</v>
      </c>
    </row>
    <row r="3083" spans="1:15">
      <c r="A3083" t="s">
        <v>4541</v>
      </c>
      <c r="B3083" s="2">
        <v>45904.684421296297</v>
      </c>
      <c r="C3083" s="2">
        <v>45904.782337962963</v>
      </c>
      <c r="D3083" t="s">
        <v>585</v>
      </c>
      <c r="E3083" t="s">
        <v>3599</v>
      </c>
      <c r="F3083" t="s">
        <v>3600</v>
      </c>
      <c r="G3083" t="s">
        <v>1019</v>
      </c>
      <c r="H3083" t="s">
        <v>1031</v>
      </c>
      <c r="I3083">
        <v>185347001</v>
      </c>
      <c r="J3083" t="s">
        <v>1124</v>
      </c>
      <c r="K3083">
        <v>85.55</v>
      </c>
      <c r="L3083">
        <v>535.87</v>
      </c>
      <c r="M3083">
        <v>0</v>
      </c>
      <c r="N3083">
        <v>431857002</v>
      </c>
      <c r="O3083" t="s">
        <v>4125</v>
      </c>
    </row>
    <row r="3084" spans="1:15">
      <c r="A3084" t="s">
        <v>4542</v>
      </c>
      <c r="B3084" s="2">
        <v>45907.782337962963</v>
      </c>
      <c r="C3084" s="2">
        <v>45907.917754629627</v>
      </c>
      <c r="D3084" t="s">
        <v>585</v>
      </c>
      <c r="E3084" t="s">
        <v>3599</v>
      </c>
      <c r="F3084" t="s">
        <v>3600</v>
      </c>
      <c r="G3084" t="s">
        <v>1019</v>
      </c>
      <c r="H3084" t="s">
        <v>1031</v>
      </c>
      <c r="I3084">
        <v>185347001</v>
      </c>
      <c r="J3084" t="s">
        <v>1124</v>
      </c>
      <c r="K3084">
        <v>85.55</v>
      </c>
      <c r="L3084">
        <v>1791.03</v>
      </c>
      <c r="M3084">
        <v>0</v>
      </c>
      <c r="N3084">
        <v>431857002</v>
      </c>
      <c r="O3084" t="s">
        <v>4125</v>
      </c>
    </row>
    <row r="3085" spans="1:15">
      <c r="A3085" t="s">
        <v>4543</v>
      </c>
      <c r="B3085" s="2">
        <v>45910.917754629627</v>
      </c>
      <c r="C3085" s="2">
        <v>45911.03025462963</v>
      </c>
      <c r="D3085" t="s">
        <v>585</v>
      </c>
      <c r="E3085" t="s">
        <v>3599</v>
      </c>
      <c r="F3085" t="s">
        <v>3600</v>
      </c>
      <c r="G3085" t="s">
        <v>1019</v>
      </c>
      <c r="H3085" t="s">
        <v>1031</v>
      </c>
      <c r="I3085">
        <v>185347001</v>
      </c>
      <c r="J3085" t="s">
        <v>1124</v>
      </c>
      <c r="K3085">
        <v>85.55</v>
      </c>
      <c r="L3085">
        <v>1085.79</v>
      </c>
      <c r="M3085">
        <v>0</v>
      </c>
      <c r="N3085">
        <v>431857002</v>
      </c>
      <c r="O3085" t="s">
        <v>4125</v>
      </c>
    </row>
    <row r="3086" spans="1:15">
      <c r="A3086" t="s">
        <v>4544</v>
      </c>
      <c r="B3086" s="2">
        <v>45914.03025462963</v>
      </c>
      <c r="C3086" s="2">
        <v>45914.174699074072</v>
      </c>
      <c r="D3086" t="s">
        <v>585</v>
      </c>
      <c r="E3086" t="s">
        <v>3599</v>
      </c>
      <c r="F3086" t="s">
        <v>3600</v>
      </c>
      <c r="G3086" t="s">
        <v>1019</v>
      </c>
      <c r="H3086" t="s">
        <v>1031</v>
      </c>
      <c r="I3086">
        <v>185347001</v>
      </c>
      <c r="J3086" t="s">
        <v>1124</v>
      </c>
      <c r="K3086">
        <v>85.55</v>
      </c>
      <c r="L3086">
        <v>1183.96</v>
      </c>
      <c r="M3086">
        <v>0</v>
      </c>
      <c r="N3086">
        <v>431857002</v>
      </c>
      <c r="O3086" t="s">
        <v>4125</v>
      </c>
    </row>
    <row r="3087" spans="1:15">
      <c r="A3087" t="s">
        <v>4545</v>
      </c>
      <c r="B3087" s="2">
        <v>45924.117754629631</v>
      </c>
      <c r="C3087" s="2">
        <v>45924.157905092594</v>
      </c>
      <c r="D3087" t="s">
        <v>585</v>
      </c>
      <c r="E3087" t="s">
        <v>3599</v>
      </c>
      <c r="F3087" t="s">
        <v>3600</v>
      </c>
      <c r="G3087" t="s">
        <v>1019</v>
      </c>
      <c r="H3087" t="s">
        <v>1043</v>
      </c>
      <c r="I3087">
        <v>185349003</v>
      </c>
      <c r="J3087" t="s">
        <v>1038</v>
      </c>
      <c r="K3087">
        <v>85.55</v>
      </c>
      <c r="L3087">
        <v>815.27</v>
      </c>
      <c r="M3087">
        <v>0</v>
      </c>
      <c r="O3087" t="s">
        <v>34</v>
      </c>
    </row>
    <row r="3088" spans="1:15">
      <c r="A3088" t="s">
        <v>4546</v>
      </c>
      <c r="B3088" s="2">
        <v>45931.117754629631</v>
      </c>
      <c r="C3088" s="2">
        <v>45931.244143518517</v>
      </c>
      <c r="D3088" t="s">
        <v>585</v>
      </c>
      <c r="E3088" t="s">
        <v>3599</v>
      </c>
      <c r="F3088" t="s">
        <v>3600</v>
      </c>
      <c r="G3088" t="s">
        <v>1019</v>
      </c>
      <c r="H3088" t="s">
        <v>1031</v>
      </c>
      <c r="I3088">
        <v>185347001</v>
      </c>
      <c r="J3088" t="s">
        <v>1124</v>
      </c>
      <c r="K3088">
        <v>85.55</v>
      </c>
      <c r="L3088">
        <v>535.87</v>
      </c>
      <c r="M3088">
        <v>0</v>
      </c>
      <c r="N3088">
        <v>431857002</v>
      </c>
      <c r="O3088" t="s">
        <v>4125</v>
      </c>
    </row>
    <row r="3089" spans="1:15">
      <c r="A3089" t="s">
        <v>4547</v>
      </c>
      <c r="B3089" s="2">
        <v>45931.244143518517</v>
      </c>
      <c r="C3089" s="2">
        <v>45931.254560185182</v>
      </c>
      <c r="D3089" t="s">
        <v>585</v>
      </c>
      <c r="E3089" t="s">
        <v>3599</v>
      </c>
      <c r="F3089" t="s">
        <v>3600</v>
      </c>
      <c r="G3089" t="s">
        <v>1019</v>
      </c>
      <c r="H3089" t="s">
        <v>1031</v>
      </c>
      <c r="I3089">
        <v>185347001</v>
      </c>
      <c r="J3089" t="s">
        <v>1124</v>
      </c>
      <c r="K3089">
        <v>85.55</v>
      </c>
      <c r="L3089">
        <v>234.71</v>
      </c>
      <c r="M3089">
        <v>0</v>
      </c>
      <c r="N3089">
        <v>431857002</v>
      </c>
      <c r="O3089" t="s">
        <v>4125</v>
      </c>
    </row>
    <row r="3090" spans="1:15">
      <c r="A3090" t="s">
        <v>4548</v>
      </c>
      <c r="B3090" s="2">
        <v>45934.244143518517</v>
      </c>
      <c r="C3090" s="2">
        <v>45934.349699074075</v>
      </c>
      <c r="D3090" t="s">
        <v>585</v>
      </c>
      <c r="E3090" t="s">
        <v>3599</v>
      </c>
      <c r="F3090" t="s">
        <v>3600</v>
      </c>
      <c r="G3090" t="s">
        <v>1019</v>
      </c>
      <c r="H3090" t="s">
        <v>1031</v>
      </c>
      <c r="I3090">
        <v>185347001</v>
      </c>
      <c r="J3090" t="s">
        <v>1124</v>
      </c>
      <c r="K3090">
        <v>85.55</v>
      </c>
      <c r="L3090">
        <v>535.87</v>
      </c>
      <c r="M3090">
        <v>0</v>
      </c>
      <c r="N3090">
        <v>431857002</v>
      </c>
      <c r="O3090" t="s">
        <v>4125</v>
      </c>
    </row>
    <row r="3091" spans="1:15">
      <c r="A3091" t="s">
        <v>4549</v>
      </c>
      <c r="B3091" s="2">
        <v>45937.349699074075</v>
      </c>
      <c r="C3091" s="2">
        <v>45937.472615740742</v>
      </c>
      <c r="D3091" t="s">
        <v>585</v>
      </c>
      <c r="E3091" t="s">
        <v>3599</v>
      </c>
      <c r="F3091" t="s">
        <v>3600</v>
      </c>
      <c r="G3091" t="s">
        <v>1019</v>
      </c>
      <c r="H3091" t="s">
        <v>1031</v>
      </c>
      <c r="I3091">
        <v>185347001</v>
      </c>
      <c r="J3091" t="s">
        <v>1124</v>
      </c>
      <c r="K3091">
        <v>85.55</v>
      </c>
      <c r="L3091">
        <v>1590.62</v>
      </c>
      <c r="M3091">
        <v>0</v>
      </c>
      <c r="N3091">
        <v>431857002</v>
      </c>
      <c r="O3091" t="s">
        <v>4125</v>
      </c>
    </row>
    <row r="3092" spans="1:15">
      <c r="A3092" t="s">
        <v>4550</v>
      </c>
      <c r="B3092" s="2">
        <v>45940.472615740742</v>
      </c>
      <c r="C3092" s="2">
        <v>45940.630254629628</v>
      </c>
      <c r="D3092" t="s">
        <v>585</v>
      </c>
      <c r="E3092" t="s">
        <v>3599</v>
      </c>
      <c r="F3092" t="s">
        <v>3600</v>
      </c>
      <c r="G3092" t="s">
        <v>1019</v>
      </c>
      <c r="H3092" t="s">
        <v>1031</v>
      </c>
      <c r="I3092">
        <v>185347001</v>
      </c>
      <c r="J3092" t="s">
        <v>1124</v>
      </c>
      <c r="K3092">
        <v>85.55</v>
      </c>
      <c r="L3092">
        <v>1275.3</v>
      </c>
      <c r="M3092">
        <v>0</v>
      </c>
      <c r="N3092">
        <v>431857002</v>
      </c>
      <c r="O3092" t="s">
        <v>4125</v>
      </c>
    </row>
    <row r="3093" spans="1:15">
      <c r="A3093" t="s">
        <v>4551</v>
      </c>
      <c r="B3093" s="2">
        <v>45943.630254629628</v>
      </c>
      <c r="C3093" s="2">
        <v>45943.774699074071</v>
      </c>
      <c r="D3093" t="s">
        <v>585</v>
      </c>
      <c r="E3093" t="s">
        <v>3599</v>
      </c>
      <c r="F3093" t="s">
        <v>3600</v>
      </c>
      <c r="G3093" t="s">
        <v>1019</v>
      </c>
      <c r="H3093" t="s">
        <v>1031</v>
      </c>
      <c r="I3093">
        <v>185347001</v>
      </c>
      <c r="J3093" t="s">
        <v>1124</v>
      </c>
      <c r="K3093">
        <v>85.55</v>
      </c>
      <c r="L3093">
        <v>779.87</v>
      </c>
      <c r="M3093">
        <v>0</v>
      </c>
      <c r="N3093">
        <v>431857002</v>
      </c>
      <c r="O3093" t="s">
        <v>4125</v>
      </c>
    </row>
    <row r="3094" spans="1:15">
      <c r="A3094" t="s">
        <v>4552</v>
      </c>
      <c r="B3094" s="2">
        <v>45952.117754629631</v>
      </c>
      <c r="C3094" s="2">
        <v>45952.145439814813</v>
      </c>
      <c r="D3094" t="s">
        <v>585</v>
      </c>
      <c r="E3094" t="s">
        <v>3599</v>
      </c>
      <c r="F3094" t="s">
        <v>3600</v>
      </c>
      <c r="G3094" t="s">
        <v>1093</v>
      </c>
      <c r="H3094" t="s">
        <v>1031</v>
      </c>
      <c r="I3094">
        <v>185349003</v>
      </c>
      <c r="J3094" t="s">
        <v>1038</v>
      </c>
      <c r="K3094">
        <v>85.55</v>
      </c>
      <c r="L3094">
        <v>8307.35</v>
      </c>
      <c r="M3094">
        <v>8157.35</v>
      </c>
      <c r="N3094">
        <v>275978004</v>
      </c>
      <c r="O3094" t="s">
        <v>1449</v>
      </c>
    </row>
    <row r="3095" spans="1:15">
      <c r="A3095" t="s">
        <v>4553</v>
      </c>
      <c r="B3095" s="2">
        <v>45959.117754629631</v>
      </c>
      <c r="C3095" s="2">
        <v>45959.230254629627</v>
      </c>
      <c r="D3095" t="s">
        <v>585</v>
      </c>
      <c r="E3095" t="s">
        <v>3599</v>
      </c>
      <c r="F3095" t="s">
        <v>3600</v>
      </c>
      <c r="G3095" t="s">
        <v>1093</v>
      </c>
      <c r="H3095" t="s">
        <v>1031</v>
      </c>
      <c r="I3095">
        <v>185347001</v>
      </c>
      <c r="J3095" t="s">
        <v>1124</v>
      </c>
      <c r="K3095">
        <v>85.55</v>
      </c>
      <c r="L3095">
        <v>660.13</v>
      </c>
      <c r="M3095">
        <v>610.13</v>
      </c>
      <c r="N3095">
        <v>431857002</v>
      </c>
      <c r="O3095" t="s">
        <v>4125</v>
      </c>
    </row>
    <row r="3096" spans="1:15">
      <c r="A3096" t="s">
        <v>4554</v>
      </c>
      <c r="B3096" s="2">
        <v>45962.230254629627</v>
      </c>
      <c r="C3096" s="2">
        <v>45962.355254629627</v>
      </c>
      <c r="D3096" t="s">
        <v>585</v>
      </c>
      <c r="E3096" t="s">
        <v>3599</v>
      </c>
      <c r="F3096" t="s">
        <v>3600</v>
      </c>
      <c r="G3096" t="s">
        <v>1093</v>
      </c>
      <c r="H3096" t="s">
        <v>1031</v>
      </c>
      <c r="I3096">
        <v>185347001</v>
      </c>
      <c r="J3096" t="s">
        <v>1124</v>
      </c>
      <c r="K3096">
        <v>85.55</v>
      </c>
      <c r="L3096">
        <v>535.87</v>
      </c>
      <c r="M3096">
        <v>485.87</v>
      </c>
      <c r="N3096">
        <v>431857002</v>
      </c>
      <c r="O3096" t="s">
        <v>4125</v>
      </c>
    </row>
    <row r="3097" spans="1:15">
      <c r="A3097" t="s">
        <v>4555</v>
      </c>
      <c r="B3097" s="2">
        <v>45962.355254629627</v>
      </c>
      <c r="C3097" s="2">
        <v>45962.365671296298</v>
      </c>
      <c r="D3097" t="s">
        <v>585</v>
      </c>
      <c r="E3097" t="s">
        <v>3599</v>
      </c>
      <c r="F3097" t="s">
        <v>3600</v>
      </c>
      <c r="G3097" t="s">
        <v>1093</v>
      </c>
      <c r="H3097" t="s">
        <v>1031</v>
      </c>
      <c r="I3097">
        <v>185347001</v>
      </c>
      <c r="J3097" t="s">
        <v>1124</v>
      </c>
      <c r="K3097">
        <v>85.55</v>
      </c>
      <c r="L3097">
        <v>234.71</v>
      </c>
      <c r="M3097">
        <v>184.71</v>
      </c>
      <c r="N3097">
        <v>431857002</v>
      </c>
      <c r="O3097" t="s">
        <v>4125</v>
      </c>
    </row>
    <row r="3098" spans="1:15">
      <c r="A3098" t="s">
        <v>4556</v>
      </c>
      <c r="B3098" s="2">
        <v>45965.313587962963</v>
      </c>
      <c r="C3098" s="2">
        <v>45965.479560185187</v>
      </c>
      <c r="D3098" t="s">
        <v>585</v>
      </c>
      <c r="E3098" t="s">
        <v>3599</v>
      </c>
      <c r="F3098" t="s">
        <v>3600</v>
      </c>
      <c r="G3098" t="s">
        <v>1093</v>
      </c>
      <c r="H3098" t="s">
        <v>1031</v>
      </c>
      <c r="I3098">
        <v>185347001</v>
      </c>
      <c r="J3098" t="s">
        <v>1124</v>
      </c>
      <c r="K3098">
        <v>85.55</v>
      </c>
      <c r="L3098">
        <v>1014.49</v>
      </c>
      <c r="M3098">
        <v>964.49</v>
      </c>
      <c r="N3098">
        <v>431857002</v>
      </c>
      <c r="O3098" t="s">
        <v>4125</v>
      </c>
    </row>
    <row r="3099" spans="1:15">
      <c r="A3099" t="s">
        <v>4557</v>
      </c>
      <c r="B3099" s="2">
        <v>45973.07608796296</v>
      </c>
      <c r="C3099" s="2">
        <v>45973.101712962962</v>
      </c>
      <c r="D3099" t="s">
        <v>585</v>
      </c>
      <c r="E3099" t="s">
        <v>3599</v>
      </c>
      <c r="F3099" t="s">
        <v>3600</v>
      </c>
      <c r="G3099" t="s">
        <v>1093</v>
      </c>
      <c r="H3099" t="s">
        <v>1043</v>
      </c>
      <c r="I3099">
        <v>185349003</v>
      </c>
      <c r="J3099" t="s">
        <v>1038</v>
      </c>
      <c r="K3099">
        <v>85.55</v>
      </c>
      <c r="L3099">
        <v>1814.07</v>
      </c>
      <c r="M3099">
        <v>1764.07</v>
      </c>
      <c r="O3099" t="s">
        <v>34</v>
      </c>
    </row>
    <row r="3100" spans="1:15">
      <c r="A3100" t="s">
        <v>4558</v>
      </c>
      <c r="B3100" s="2">
        <v>45980.07608796296</v>
      </c>
      <c r="C3100" s="2">
        <v>45980.217060185183</v>
      </c>
      <c r="D3100" t="s">
        <v>585</v>
      </c>
      <c r="E3100" t="s">
        <v>3599</v>
      </c>
      <c r="F3100" t="s">
        <v>3600</v>
      </c>
      <c r="G3100" t="s">
        <v>1093</v>
      </c>
      <c r="H3100" t="s">
        <v>1031</v>
      </c>
      <c r="I3100">
        <v>185347001</v>
      </c>
      <c r="J3100" t="s">
        <v>1124</v>
      </c>
      <c r="K3100">
        <v>85.55</v>
      </c>
      <c r="L3100">
        <v>535.87</v>
      </c>
      <c r="M3100">
        <v>485.87</v>
      </c>
      <c r="N3100">
        <v>431857002</v>
      </c>
      <c r="O3100" t="s">
        <v>4125</v>
      </c>
    </row>
    <row r="3101" spans="1:15">
      <c r="A3101" t="s">
        <v>4559</v>
      </c>
      <c r="B3101" s="2">
        <v>45983.217060185183</v>
      </c>
      <c r="C3101" s="2">
        <v>45983.364282407405</v>
      </c>
      <c r="D3101" t="s">
        <v>585</v>
      </c>
      <c r="E3101" t="s">
        <v>3599</v>
      </c>
      <c r="F3101" t="s">
        <v>3600</v>
      </c>
      <c r="G3101" t="s">
        <v>1093</v>
      </c>
      <c r="H3101" t="s">
        <v>1031</v>
      </c>
      <c r="I3101">
        <v>185347001</v>
      </c>
      <c r="J3101" t="s">
        <v>1124</v>
      </c>
      <c r="K3101">
        <v>85.55</v>
      </c>
      <c r="L3101">
        <v>535.87</v>
      </c>
      <c r="M3101">
        <v>485.87</v>
      </c>
      <c r="N3101">
        <v>431857002</v>
      </c>
      <c r="O3101" t="s">
        <v>4125</v>
      </c>
    </row>
    <row r="3102" spans="1:15">
      <c r="A3102" t="s">
        <v>4560</v>
      </c>
      <c r="B3102" s="2">
        <v>45986.364282407405</v>
      </c>
      <c r="C3102" s="2">
        <v>45986.470532407409</v>
      </c>
      <c r="D3102" t="s">
        <v>585</v>
      </c>
      <c r="E3102" t="s">
        <v>3599</v>
      </c>
      <c r="F3102" t="s">
        <v>3600</v>
      </c>
      <c r="G3102" t="s">
        <v>1093</v>
      </c>
      <c r="H3102" t="s">
        <v>1031</v>
      </c>
      <c r="I3102">
        <v>185347001</v>
      </c>
      <c r="J3102" t="s">
        <v>1124</v>
      </c>
      <c r="K3102">
        <v>85.55</v>
      </c>
      <c r="L3102">
        <v>875.87</v>
      </c>
      <c r="M3102">
        <v>825.87</v>
      </c>
      <c r="N3102">
        <v>431857002</v>
      </c>
      <c r="O3102" t="s">
        <v>4125</v>
      </c>
    </row>
    <row r="3103" spans="1:15">
      <c r="A3103" t="s">
        <v>4561</v>
      </c>
      <c r="B3103" s="2">
        <v>45989.470532407409</v>
      </c>
      <c r="C3103" s="2">
        <v>45989.592060185183</v>
      </c>
      <c r="D3103" t="s">
        <v>585</v>
      </c>
      <c r="E3103" t="s">
        <v>3599</v>
      </c>
      <c r="F3103" t="s">
        <v>3600</v>
      </c>
      <c r="G3103" t="s">
        <v>1093</v>
      </c>
      <c r="H3103" t="s">
        <v>1031</v>
      </c>
      <c r="I3103">
        <v>185347001</v>
      </c>
      <c r="J3103" t="s">
        <v>1124</v>
      </c>
      <c r="K3103">
        <v>85.55</v>
      </c>
      <c r="L3103">
        <v>535.87</v>
      </c>
      <c r="M3103">
        <v>485.87</v>
      </c>
      <c r="N3103">
        <v>431857002</v>
      </c>
      <c r="O3103" t="s">
        <v>4125</v>
      </c>
    </row>
    <row r="3104" spans="1:15">
      <c r="A3104" t="s">
        <v>4562</v>
      </c>
      <c r="B3104" s="2">
        <v>45992.592060185183</v>
      </c>
      <c r="C3104" s="2">
        <v>45992.738587962966</v>
      </c>
      <c r="D3104" t="s">
        <v>585</v>
      </c>
      <c r="E3104" t="s">
        <v>3599</v>
      </c>
      <c r="F3104" t="s">
        <v>3600</v>
      </c>
      <c r="G3104" t="s">
        <v>1093</v>
      </c>
      <c r="H3104" t="s">
        <v>1031</v>
      </c>
      <c r="I3104">
        <v>185347001</v>
      </c>
      <c r="J3104" t="s">
        <v>1124</v>
      </c>
      <c r="K3104">
        <v>85.55</v>
      </c>
      <c r="L3104">
        <v>1642.36</v>
      </c>
      <c r="M3104">
        <v>1592.36</v>
      </c>
      <c r="N3104">
        <v>431857002</v>
      </c>
      <c r="O3104" t="s">
        <v>4125</v>
      </c>
    </row>
    <row r="3105" spans="1:15">
      <c r="A3105" t="s">
        <v>4563</v>
      </c>
      <c r="B3105" s="2">
        <v>45992.738587962966</v>
      </c>
      <c r="C3105" s="2">
        <v>45992.74900462963</v>
      </c>
      <c r="D3105" t="s">
        <v>585</v>
      </c>
      <c r="E3105" t="s">
        <v>3599</v>
      </c>
      <c r="F3105" t="s">
        <v>3600</v>
      </c>
      <c r="G3105" t="s">
        <v>1093</v>
      </c>
      <c r="H3105" t="s">
        <v>1031</v>
      </c>
      <c r="I3105">
        <v>185347001</v>
      </c>
      <c r="J3105" t="s">
        <v>1124</v>
      </c>
      <c r="K3105">
        <v>85.55</v>
      </c>
      <c r="L3105">
        <v>234.71</v>
      </c>
      <c r="M3105">
        <v>184.71</v>
      </c>
      <c r="N3105">
        <v>431857002</v>
      </c>
      <c r="O3105" t="s">
        <v>4125</v>
      </c>
    </row>
    <row r="3106" spans="1:15">
      <c r="A3106" t="s">
        <v>4564</v>
      </c>
      <c r="B3106" s="2">
        <v>45995.738587962966</v>
      </c>
      <c r="C3106" s="2">
        <v>45995.831643518519</v>
      </c>
      <c r="D3106" t="s">
        <v>585</v>
      </c>
      <c r="E3106" t="s">
        <v>3599</v>
      </c>
      <c r="F3106" t="s">
        <v>3600</v>
      </c>
      <c r="G3106" t="s">
        <v>1093</v>
      </c>
      <c r="H3106" t="s">
        <v>1031</v>
      </c>
      <c r="I3106">
        <v>185347001</v>
      </c>
      <c r="J3106" t="s">
        <v>1124</v>
      </c>
      <c r="K3106">
        <v>85.55</v>
      </c>
      <c r="L3106">
        <v>1385.45</v>
      </c>
      <c r="M3106">
        <v>1335.45</v>
      </c>
      <c r="N3106">
        <v>431857002</v>
      </c>
      <c r="O3106" t="s">
        <v>4125</v>
      </c>
    </row>
    <row r="3107" spans="1:15">
      <c r="A3107" t="s">
        <v>4565</v>
      </c>
      <c r="B3107" s="2">
        <v>45998.831643518519</v>
      </c>
      <c r="C3107" s="2">
        <v>45998.921226851853</v>
      </c>
      <c r="D3107" t="s">
        <v>585</v>
      </c>
      <c r="E3107" t="s">
        <v>3599</v>
      </c>
      <c r="F3107" t="s">
        <v>3600</v>
      </c>
      <c r="G3107" t="s">
        <v>1093</v>
      </c>
      <c r="H3107" t="s">
        <v>1031</v>
      </c>
      <c r="I3107">
        <v>185347001</v>
      </c>
      <c r="J3107" t="s">
        <v>1124</v>
      </c>
      <c r="K3107">
        <v>85.55</v>
      </c>
      <c r="L3107">
        <v>535.87</v>
      </c>
      <c r="M3107">
        <v>485.87</v>
      </c>
      <c r="N3107">
        <v>431857002</v>
      </c>
      <c r="O3107" t="s">
        <v>4125</v>
      </c>
    </row>
    <row r="3108" spans="1:15">
      <c r="A3108" t="s">
        <v>4566</v>
      </c>
      <c r="B3108" s="2">
        <v>46001.921226851853</v>
      </c>
      <c r="C3108" s="2">
        <v>46002.010810185187</v>
      </c>
      <c r="D3108" t="s">
        <v>585</v>
      </c>
      <c r="E3108" t="s">
        <v>3599</v>
      </c>
      <c r="F3108" t="s">
        <v>3600</v>
      </c>
      <c r="G3108" t="s">
        <v>1093</v>
      </c>
      <c r="H3108" t="s">
        <v>1031</v>
      </c>
      <c r="I3108">
        <v>185347001</v>
      </c>
      <c r="J3108" t="s">
        <v>1124</v>
      </c>
      <c r="K3108">
        <v>85.55</v>
      </c>
      <c r="L3108">
        <v>535.87</v>
      </c>
      <c r="M3108">
        <v>485.87</v>
      </c>
      <c r="N3108">
        <v>431857002</v>
      </c>
      <c r="O3108" t="s">
        <v>4125</v>
      </c>
    </row>
    <row r="3109" spans="1:15">
      <c r="A3109" t="s">
        <v>4567</v>
      </c>
      <c r="B3109" s="2">
        <v>46005.010810185187</v>
      </c>
      <c r="C3109" s="2">
        <v>46005.132337962961</v>
      </c>
      <c r="D3109" t="s">
        <v>585</v>
      </c>
      <c r="E3109" t="s">
        <v>3599</v>
      </c>
      <c r="F3109" t="s">
        <v>3600</v>
      </c>
      <c r="G3109" t="s">
        <v>1093</v>
      </c>
      <c r="H3109" t="s">
        <v>1031</v>
      </c>
      <c r="I3109">
        <v>185347001</v>
      </c>
      <c r="J3109" t="s">
        <v>1124</v>
      </c>
      <c r="K3109">
        <v>85.55</v>
      </c>
      <c r="L3109">
        <v>581.62</v>
      </c>
      <c r="M3109">
        <v>531.62</v>
      </c>
      <c r="N3109">
        <v>431857002</v>
      </c>
      <c r="O3109" t="s">
        <v>4125</v>
      </c>
    </row>
    <row r="3110" spans="1:15">
      <c r="A3110" t="s">
        <v>4568</v>
      </c>
      <c r="B3110" s="2">
        <v>46015.07608796296</v>
      </c>
      <c r="C3110" s="2">
        <v>46015.117384259262</v>
      </c>
      <c r="D3110" t="s">
        <v>585</v>
      </c>
      <c r="E3110" t="s">
        <v>3599</v>
      </c>
      <c r="F3110" t="s">
        <v>3600</v>
      </c>
      <c r="G3110" t="s">
        <v>1093</v>
      </c>
      <c r="H3110" t="s">
        <v>1043</v>
      </c>
      <c r="I3110">
        <v>185349003</v>
      </c>
      <c r="J3110" t="s">
        <v>1038</v>
      </c>
      <c r="K3110">
        <v>85.55</v>
      </c>
      <c r="L3110">
        <v>1374.04</v>
      </c>
      <c r="M3110">
        <v>1324.04</v>
      </c>
      <c r="O3110" t="s">
        <v>34</v>
      </c>
    </row>
    <row r="3111" spans="1:15">
      <c r="A3111" t="s">
        <v>4569</v>
      </c>
      <c r="B3111" s="2">
        <v>46022.07608796296</v>
      </c>
      <c r="C3111" s="2">
        <v>46022.195532407408</v>
      </c>
      <c r="D3111" t="s">
        <v>585</v>
      </c>
      <c r="E3111" t="s">
        <v>3599</v>
      </c>
      <c r="F3111" t="s">
        <v>3600</v>
      </c>
      <c r="G3111" t="s">
        <v>1093</v>
      </c>
      <c r="H3111" t="s">
        <v>1031</v>
      </c>
      <c r="I3111">
        <v>185347001</v>
      </c>
      <c r="J3111" t="s">
        <v>1124</v>
      </c>
      <c r="K3111">
        <v>85.55</v>
      </c>
      <c r="L3111">
        <v>535.87</v>
      </c>
      <c r="M3111">
        <v>485.87</v>
      </c>
      <c r="N3111">
        <v>431857002</v>
      </c>
      <c r="O3111" t="s">
        <v>4125</v>
      </c>
    </row>
    <row r="3112" spans="1:15">
      <c r="A3112" t="s">
        <v>4570</v>
      </c>
      <c r="B3112" s="2">
        <v>46025.195532407408</v>
      </c>
      <c r="C3112" s="2">
        <v>46025.347615740742</v>
      </c>
      <c r="D3112" t="s">
        <v>585</v>
      </c>
      <c r="E3112" t="s">
        <v>3599</v>
      </c>
      <c r="F3112" t="s">
        <v>3600</v>
      </c>
      <c r="G3112" t="s">
        <v>1093</v>
      </c>
      <c r="H3112" t="s">
        <v>1031</v>
      </c>
      <c r="I3112">
        <v>185347001</v>
      </c>
      <c r="J3112" t="s">
        <v>1124</v>
      </c>
      <c r="K3112">
        <v>85.55</v>
      </c>
      <c r="L3112">
        <v>1688.13</v>
      </c>
      <c r="M3112">
        <v>1638.13</v>
      </c>
      <c r="N3112">
        <v>431857002</v>
      </c>
      <c r="O3112" t="s">
        <v>4125</v>
      </c>
    </row>
    <row r="3113" spans="1:15">
      <c r="A3113" t="s">
        <v>4571</v>
      </c>
      <c r="B3113" s="2">
        <v>46025.347615740742</v>
      </c>
      <c r="C3113" s="2">
        <v>46025.358032407406</v>
      </c>
      <c r="D3113" t="s">
        <v>585</v>
      </c>
      <c r="E3113" t="s">
        <v>3599</v>
      </c>
      <c r="F3113" t="s">
        <v>3600</v>
      </c>
      <c r="G3113" t="s">
        <v>1093</v>
      </c>
      <c r="H3113" t="s">
        <v>1031</v>
      </c>
      <c r="I3113">
        <v>185347001</v>
      </c>
      <c r="J3113" t="s">
        <v>1124</v>
      </c>
      <c r="K3113">
        <v>85.55</v>
      </c>
      <c r="L3113">
        <v>234.71</v>
      </c>
      <c r="M3113">
        <v>184.71</v>
      </c>
      <c r="N3113">
        <v>431857002</v>
      </c>
      <c r="O3113" t="s">
        <v>4125</v>
      </c>
    </row>
    <row r="3114" spans="1:15">
      <c r="A3114" t="s">
        <v>4572</v>
      </c>
      <c r="B3114" s="2">
        <v>46028.347615740742</v>
      </c>
      <c r="C3114" s="2">
        <v>46028.508726851855</v>
      </c>
      <c r="D3114" t="s">
        <v>585</v>
      </c>
      <c r="E3114" t="s">
        <v>3599</v>
      </c>
      <c r="F3114" t="s">
        <v>3600</v>
      </c>
      <c r="G3114" t="s">
        <v>1093</v>
      </c>
      <c r="H3114" t="s">
        <v>1031</v>
      </c>
      <c r="I3114">
        <v>185347001</v>
      </c>
      <c r="J3114" t="s">
        <v>1124</v>
      </c>
      <c r="K3114">
        <v>85.55</v>
      </c>
      <c r="L3114">
        <v>1570.43</v>
      </c>
      <c r="M3114">
        <v>1520.43</v>
      </c>
      <c r="N3114">
        <v>431857002</v>
      </c>
      <c r="O3114" t="s">
        <v>4125</v>
      </c>
    </row>
    <row r="3115" spans="1:15">
      <c r="A3115" t="s">
        <v>4573</v>
      </c>
      <c r="B3115" s="2">
        <v>46031.508726851855</v>
      </c>
      <c r="C3115" s="2">
        <v>46031.626782407409</v>
      </c>
      <c r="D3115" t="s">
        <v>585</v>
      </c>
      <c r="E3115" t="s">
        <v>3599</v>
      </c>
      <c r="F3115" t="s">
        <v>3600</v>
      </c>
      <c r="G3115" t="s">
        <v>1093</v>
      </c>
      <c r="H3115" t="s">
        <v>1031</v>
      </c>
      <c r="I3115">
        <v>185347001</v>
      </c>
      <c r="J3115" t="s">
        <v>1124</v>
      </c>
      <c r="K3115">
        <v>85.55</v>
      </c>
      <c r="L3115">
        <v>572.9</v>
      </c>
      <c r="M3115">
        <v>522.9</v>
      </c>
      <c r="N3115">
        <v>431857002</v>
      </c>
      <c r="O3115" t="s">
        <v>4125</v>
      </c>
    </row>
    <row r="3116" spans="1:15">
      <c r="A3116" t="s">
        <v>4574</v>
      </c>
      <c r="B3116" s="2">
        <v>46034.626782407409</v>
      </c>
      <c r="C3116" s="2">
        <v>46034.778171296297</v>
      </c>
      <c r="D3116" t="s">
        <v>585</v>
      </c>
      <c r="E3116" t="s">
        <v>3599</v>
      </c>
      <c r="F3116" t="s">
        <v>3600</v>
      </c>
      <c r="G3116" t="s">
        <v>1093</v>
      </c>
      <c r="H3116" t="s">
        <v>1031</v>
      </c>
      <c r="I3116">
        <v>185347001</v>
      </c>
      <c r="J3116" t="s">
        <v>1124</v>
      </c>
      <c r="K3116">
        <v>85.55</v>
      </c>
      <c r="L3116">
        <v>1791.03</v>
      </c>
      <c r="M3116">
        <v>1741.03</v>
      </c>
      <c r="N3116">
        <v>431857002</v>
      </c>
      <c r="O3116" t="s">
        <v>4125</v>
      </c>
    </row>
    <row r="3117" spans="1:15">
      <c r="A3117" t="s">
        <v>4575</v>
      </c>
      <c r="B3117" s="2">
        <v>46037.778171296297</v>
      </c>
      <c r="C3117" s="2">
        <v>46037.868449074071</v>
      </c>
      <c r="D3117" t="s">
        <v>585</v>
      </c>
      <c r="E3117" t="s">
        <v>3599</v>
      </c>
      <c r="F3117" t="s">
        <v>3600</v>
      </c>
      <c r="G3117" t="s">
        <v>1093</v>
      </c>
      <c r="H3117" t="s">
        <v>1031</v>
      </c>
      <c r="I3117">
        <v>185347001</v>
      </c>
      <c r="J3117" t="s">
        <v>1124</v>
      </c>
      <c r="K3117">
        <v>85.55</v>
      </c>
      <c r="L3117">
        <v>535.87</v>
      </c>
      <c r="M3117">
        <v>485.87</v>
      </c>
      <c r="N3117">
        <v>431857002</v>
      </c>
      <c r="O3117" t="s">
        <v>4125</v>
      </c>
    </row>
    <row r="3118" spans="1:15">
      <c r="A3118" t="s">
        <v>4576</v>
      </c>
      <c r="B3118" s="2">
        <v>46040.868449074071</v>
      </c>
      <c r="C3118" s="2">
        <v>46040.967060185183</v>
      </c>
      <c r="D3118" t="s">
        <v>585</v>
      </c>
      <c r="E3118" t="s">
        <v>3599</v>
      </c>
      <c r="F3118" t="s">
        <v>3600</v>
      </c>
      <c r="G3118" t="s">
        <v>1093</v>
      </c>
      <c r="H3118" t="s">
        <v>1031</v>
      </c>
      <c r="I3118">
        <v>185347001</v>
      </c>
      <c r="J3118" t="s">
        <v>1124</v>
      </c>
      <c r="K3118">
        <v>85.55</v>
      </c>
      <c r="L3118">
        <v>659.49</v>
      </c>
      <c r="M3118">
        <v>609.49</v>
      </c>
      <c r="N3118">
        <v>431857002</v>
      </c>
      <c r="O3118" t="s">
        <v>4125</v>
      </c>
    </row>
    <row r="3119" spans="1:15">
      <c r="A3119" t="s">
        <v>4577</v>
      </c>
      <c r="B3119" s="2">
        <v>46050.07608796296</v>
      </c>
      <c r="C3119" s="2">
        <v>46050.097777777781</v>
      </c>
      <c r="D3119" t="s">
        <v>585</v>
      </c>
      <c r="E3119" t="s">
        <v>3599</v>
      </c>
      <c r="F3119" t="s">
        <v>3600</v>
      </c>
      <c r="G3119" t="s">
        <v>1093</v>
      </c>
      <c r="H3119" t="s">
        <v>1043</v>
      </c>
      <c r="I3119">
        <v>185349003</v>
      </c>
      <c r="J3119" t="s">
        <v>1038</v>
      </c>
      <c r="K3119">
        <v>85.55</v>
      </c>
      <c r="L3119">
        <v>1398.67</v>
      </c>
      <c r="M3119">
        <v>1348.67</v>
      </c>
      <c r="O3119" t="s">
        <v>34</v>
      </c>
    </row>
    <row r="3120" spans="1:15">
      <c r="A3120" t="s">
        <v>4578</v>
      </c>
      <c r="B3120" s="2">
        <v>46057.07608796296</v>
      </c>
      <c r="C3120" s="2">
        <v>46057.187893518516</v>
      </c>
      <c r="D3120" t="s">
        <v>585</v>
      </c>
      <c r="E3120" t="s">
        <v>3599</v>
      </c>
      <c r="F3120" t="s">
        <v>3600</v>
      </c>
      <c r="G3120" t="s">
        <v>1093</v>
      </c>
      <c r="H3120" t="s">
        <v>1031</v>
      </c>
      <c r="I3120">
        <v>185347001</v>
      </c>
      <c r="J3120" t="s">
        <v>1124</v>
      </c>
      <c r="K3120">
        <v>85.55</v>
      </c>
      <c r="L3120">
        <v>660.2</v>
      </c>
      <c r="M3120">
        <v>610.20000000000005</v>
      </c>
      <c r="N3120">
        <v>431857002</v>
      </c>
      <c r="O3120" t="s">
        <v>4125</v>
      </c>
    </row>
    <row r="3121" spans="1:15">
      <c r="A3121" t="s">
        <v>4579</v>
      </c>
      <c r="B3121" s="2">
        <v>46057.187893518516</v>
      </c>
      <c r="C3121" s="2">
        <v>46057.198310185187</v>
      </c>
      <c r="D3121" t="s">
        <v>585</v>
      </c>
      <c r="E3121" t="s">
        <v>3599</v>
      </c>
      <c r="F3121" t="s">
        <v>3600</v>
      </c>
      <c r="G3121" t="s">
        <v>1093</v>
      </c>
      <c r="H3121" t="s">
        <v>1031</v>
      </c>
      <c r="I3121">
        <v>185347001</v>
      </c>
      <c r="J3121" t="s">
        <v>1124</v>
      </c>
      <c r="K3121">
        <v>85.55</v>
      </c>
      <c r="L3121">
        <v>234.71</v>
      </c>
      <c r="M3121">
        <v>184.71</v>
      </c>
      <c r="N3121">
        <v>431857002</v>
      </c>
      <c r="O3121" t="s">
        <v>4125</v>
      </c>
    </row>
    <row r="3122" spans="1:15">
      <c r="A3122" t="s">
        <v>4580</v>
      </c>
      <c r="B3122" s="2">
        <v>46060.187893518516</v>
      </c>
      <c r="C3122" s="2">
        <v>46060.283726851849</v>
      </c>
      <c r="D3122" t="s">
        <v>585</v>
      </c>
      <c r="E3122" t="s">
        <v>3599</v>
      </c>
      <c r="F3122" t="s">
        <v>3600</v>
      </c>
      <c r="G3122" t="s">
        <v>1093</v>
      </c>
      <c r="H3122" t="s">
        <v>1031</v>
      </c>
      <c r="I3122">
        <v>185347001</v>
      </c>
      <c r="J3122" t="s">
        <v>1124</v>
      </c>
      <c r="K3122">
        <v>85.55</v>
      </c>
      <c r="L3122">
        <v>931.78</v>
      </c>
      <c r="M3122">
        <v>881.78</v>
      </c>
      <c r="N3122">
        <v>431857002</v>
      </c>
      <c r="O3122" t="s">
        <v>4125</v>
      </c>
    </row>
    <row r="3123" spans="1:15">
      <c r="A3123" t="s">
        <v>4581</v>
      </c>
      <c r="B3123" s="2">
        <v>46063.283726851849</v>
      </c>
      <c r="C3123" s="2">
        <v>46063.41914351852</v>
      </c>
      <c r="D3123" t="s">
        <v>585</v>
      </c>
      <c r="E3123" t="s">
        <v>3599</v>
      </c>
      <c r="F3123" t="s">
        <v>3600</v>
      </c>
      <c r="G3123" t="s">
        <v>1093</v>
      </c>
      <c r="H3123" t="s">
        <v>1031</v>
      </c>
      <c r="I3123">
        <v>185347001</v>
      </c>
      <c r="J3123" t="s">
        <v>1124</v>
      </c>
      <c r="K3123">
        <v>85.55</v>
      </c>
      <c r="L3123">
        <v>535.87</v>
      </c>
      <c r="M3123">
        <v>485.87</v>
      </c>
      <c r="N3123">
        <v>431857002</v>
      </c>
      <c r="O3123" t="s">
        <v>4125</v>
      </c>
    </row>
    <row r="3124" spans="1:15">
      <c r="A3124" t="s">
        <v>4582</v>
      </c>
      <c r="B3124" s="2">
        <v>46071.07608796296</v>
      </c>
      <c r="C3124" s="2">
        <v>46071.206712962965</v>
      </c>
      <c r="D3124" t="s">
        <v>585</v>
      </c>
      <c r="E3124" t="s">
        <v>3599</v>
      </c>
      <c r="F3124" t="s">
        <v>3600</v>
      </c>
      <c r="G3124" t="s">
        <v>1093</v>
      </c>
      <c r="H3124" t="s">
        <v>1031</v>
      </c>
      <c r="I3124">
        <v>185349003</v>
      </c>
      <c r="J3124" t="s">
        <v>1038</v>
      </c>
      <c r="K3124">
        <v>85.55</v>
      </c>
      <c r="L3124">
        <v>3105.35</v>
      </c>
      <c r="M3124">
        <v>3055.35</v>
      </c>
      <c r="N3124">
        <v>103697008</v>
      </c>
      <c r="O3124" t="s">
        <v>1039</v>
      </c>
    </row>
    <row r="3125" spans="1:15">
      <c r="A3125" t="s">
        <v>4583</v>
      </c>
      <c r="B3125" s="2">
        <v>46078.07608796296</v>
      </c>
      <c r="C3125" s="2">
        <v>46078.178865740738</v>
      </c>
      <c r="D3125" t="s">
        <v>585</v>
      </c>
      <c r="E3125" t="s">
        <v>3599</v>
      </c>
      <c r="F3125" t="s">
        <v>3600</v>
      </c>
      <c r="G3125" t="s">
        <v>1093</v>
      </c>
      <c r="H3125" t="s">
        <v>1031</v>
      </c>
      <c r="I3125">
        <v>185347001</v>
      </c>
      <c r="J3125" t="s">
        <v>1124</v>
      </c>
      <c r="K3125">
        <v>85.55</v>
      </c>
      <c r="L3125">
        <v>535.87</v>
      </c>
      <c r="M3125">
        <v>485.87</v>
      </c>
      <c r="N3125">
        <v>431857002</v>
      </c>
      <c r="O3125" t="s">
        <v>4125</v>
      </c>
    </row>
    <row r="3126" spans="1:15">
      <c r="A3126" t="s">
        <v>4584</v>
      </c>
      <c r="B3126" s="2">
        <v>46081.178865740738</v>
      </c>
      <c r="C3126" s="2">
        <v>46081.283726851849</v>
      </c>
      <c r="D3126" t="s">
        <v>585</v>
      </c>
      <c r="E3126" t="s">
        <v>3599</v>
      </c>
      <c r="F3126" t="s">
        <v>3600</v>
      </c>
      <c r="G3126" t="s">
        <v>1093</v>
      </c>
      <c r="H3126" t="s">
        <v>1031</v>
      </c>
      <c r="I3126">
        <v>185347001</v>
      </c>
      <c r="J3126" t="s">
        <v>1124</v>
      </c>
      <c r="K3126">
        <v>85.55</v>
      </c>
      <c r="L3126">
        <v>1111.3900000000001</v>
      </c>
      <c r="M3126">
        <v>1061.3900000000001</v>
      </c>
      <c r="N3126">
        <v>431857002</v>
      </c>
      <c r="O3126" t="s">
        <v>4125</v>
      </c>
    </row>
    <row r="3127" spans="1:15">
      <c r="A3127" t="s">
        <v>4585</v>
      </c>
      <c r="B3127" s="2">
        <v>46084.283726851849</v>
      </c>
      <c r="C3127" s="2">
        <v>46084.38789351852</v>
      </c>
      <c r="D3127" t="s">
        <v>585</v>
      </c>
      <c r="E3127" t="s">
        <v>3599</v>
      </c>
      <c r="F3127" t="s">
        <v>3600</v>
      </c>
      <c r="G3127" t="s">
        <v>1093</v>
      </c>
      <c r="H3127" t="s">
        <v>1031</v>
      </c>
      <c r="I3127">
        <v>185347001</v>
      </c>
      <c r="J3127" t="s">
        <v>1124</v>
      </c>
      <c r="K3127">
        <v>85.55</v>
      </c>
      <c r="L3127">
        <v>1791.03</v>
      </c>
      <c r="M3127">
        <v>1741.03</v>
      </c>
      <c r="N3127">
        <v>431857002</v>
      </c>
      <c r="O3127" t="s">
        <v>4125</v>
      </c>
    </row>
    <row r="3128" spans="1:15">
      <c r="A3128" t="s">
        <v>4586</v>
      </c>
      <c r="B3128" s="2">
        <v>46092.117754629631</v>
      </c>
      <c r="C3128" s="2">
        <v>46092.139074074075</v>
      </c>
      <c r="D3128" t="s">
        <v>585</v>
      </c>
      <c r="E3128" t="s">
        <v>3599</v>
      </c>
      <c r="F3128" t="s">
        <v>3600</v>
      </c>
      <c r="G3128" t="s">
        <v>1093</v>
      </c>
      <c r="H3128" t="s">
        <v>1043</v>
      </c>
      <c r="I3128">
        <v>185349003</v>
      </c>
      <c r="J3128" t="s">
        <v>1038</v>
      </c>
      <c r="K3128">
        <v>85.55</v>
      </c>
      <c r="L3128">
        <v>815.27</v>
      </c>
      <c r="M3128">
        <v>765.27</v>
      </c>
      <c r="O3128" t="s">
        <v>34</v>
      </c>
    </row>
    <row r="3129" spans="1:15">
      <c r="A3129" t="s">
        <v>4587</v>
      </c>
      <c r="B3129" s="2">
        <v>46099.117754629631</v>
      </c>
      <c r="C3129" s="2">
        <v>46099.213587962964</v>
      </c>
      <c r="D3129" t="s">
        <v>585</v>
      </c>
      <c r="E3129" t="s">
        <v>3599</v>
      </c>
      <c r="F3129" t="s">
        <v>3600</v>
      </c>
      <c r="G3129" t="s">
        <v>1093</v>
      </c>
      <c r="H3129" t="s">
        <v>1031</v>
      </c>
      <c r="I3129">
        <v>185347001</v>
      </c>
      <c r="J3129" t="s">
        <v>1124</v>
      </c>
      <c r="K3129">
        <v>85.55</v>
      </c>
      <c r="L3129">
        <v>535.87</v>
      </c>
      <c r="M3129">
        <v>485.87</v>
      </c>
      <c r="N3129">
        <v>431857002</v>
      </c>
      <c r="O3129" t="s">
        <v>4125</v>
      </c>
    </row>
    <row r="3130" spans="1:15">
      <c r="A3130" t="s">
        <v>4588</v>
      </c>
      <c r="B3130" s="2">
        <v>46099.213587962964</v>
      </c>
      <c r="C3130" s="2">
        <v>46099.224004629628</v>
      </c>
      <c r="D3130" t="s">
        <v>585</v>
      </c>
      <c r="E3130" t="s">
        <v>3599</v>
      </c>
      <c r="F3130" t="s">
        <v>3600</v>
      </c>
      <c r="G3130" t="s">
        <v>1093</v>
      </c>
      <c r="H3130" t="s">
        <v>1031</v>
      </c>
      <c r="I3130">
        <v>185347001</v>
      </c>
      <c r="J3130" t="s">
        <v>1124</v>
      </c>
      <c r="K3130">
        <v>85.55</v>
      </c>
      <c r="L3130">
        <v>234.71</v>
      </c>
      <c r="M3130">
        <v>184.71</v>
      </c>
      <c r="N3130">
        <v>431857002</v>
      </c>
      <c r="O3130" t="s">
        <v>4125</v>
      </c>
    </row>
    <row r="3131" spans="1:15">
      <c r="A3131" t="s">
        <v>4589</v>
      </c>
      <c r="B3131" s="2">
        <v>46102.213587962964</v>
      </c>
      <c r="C3131" s="2">
        <v>46102.329560185186</v>
      </c>
      <c r="D3131" t="s">
        <v>585</v>
      </c>
      <c r="E3131" t="s">
        <v>3599</v>
      </c>
      <c r="F3131" t="s">
        <v>3600</v>
      </c>
      <c r="G3131" t="s">
        <v>1093</v>
      </c>
      <c r="H3131" t="s">
        <v>1031</v>
      </c>
      <c r="I3131">
        <v>185347001</v>
      </c>
      <c r="J3131" t="s">
        <v>1124</v>
      </c>
      <c r="K3131">
        <v>85.55</v>
      </c>
      <c r="L3131">
        <v>535.87</v>
      </c>
      <c r="M3131">
        <v>485.87</v>
      </c>
      <c r="N3131">
        <v>431857002</v>
      </c>
      <c r="O3131" t="s">
        <v>4125</v>
      </c>
    </row>
    <row r="3132" spans="1:15">
      <c r="A3132" t="s">
        <v>4590</v>
      </c>
      <c r="B3132" s="2">
        <v>46105.329560185186</v>
      </c>
      <c r="C3132" s="2">
        <v>46105.459421296298</v>
      </c>
      <c r="D3132" t="s">
        <v>585</v>
      </c>
      <c r="E3132" t="s">
        <v>3599</v>
      </c>
      <c r="F3132" t="s">
        <v>3600</v>
      </c>
      <c r="G3132" t="s">
        <v>1093</v>
      </c>
      <c r="H3132" t="s">
        <v>1031</v>
      </c>
      <c r="I3132">
        <v>185347001</v>
      </c>
      <c r="J3132" t="s">
        <v>1124</v>
      </c>
      <c r="K3132">
        <v>85.55</v>
      </c>
      <c r="L3132">
        <v>535.87</v>
      </c>
      <c r="M3132">
        <v>485.87</v>
      </c>
      <c r="N3132">
        <v>431857002</v>
      </c>
      <c r="O3132" t="s">
        <v>4125</v>
      </c>
    </row>
    <row r="3133" spans="1:15">
      <c r="A3133" t="s">
        <v>4591</v>
      </c>
      <c r="B3133" s="2">
        <v>46108.459421296298</v>
      </c>
      <c r="C3133" s="2">
        <v>46108.545532407406</v>
      </c>
      <c r="D3133" t="s">
        <v>585</v>
      </c>
      <c r="E3133" t="s">
        <v>3599</v>
      </c>
      <c r="F3133" t="s">
        <v>3600</v>
      </c>
      <c r="G3133" t="s">
        <v>1093</v>
      </c>
      <c r="H3133" t="s">
        <v>1031</v>
      </c>
      <c r="I3133">
        <v>185347001</v>
      </c>
      <c r="J3133" t="s">
        <v>1124</v>
      </c>
      <c r="K3133">
        <v>85.55</v>
      </c>
      <c r="L3133">
        <v>535.87</v>
      </c>
      <c r="M3133">
        <v>485.87</v>
      </c>
      <c r="N3133">
        <v>431857002</v>
      </c>
      <c r="O3133" t="s">
        <v>4125</v>
      </c>
    </row>
    <row r="3134" spans="1:15">
      <c r="A3134" t="s">
        <v>4592</v>
      </c>
      <c r="B3134" s="2">
        <v>46111.545532407406</v>
      </c>
      <c r="C3134" s="2">
        <v>46111.670532407406</v>
      </c>
      <c r="D3134" t="s">
        <v>585</v>
      </c>
      <c r="E3134" t="s">
        <v>3599</v>
      </c>
      <c r="F3134" t="s">
        <v>3600</v>
      </c>
      <c r="G3134" t="s">
        <v>1093</v>
      </c>
      <c r="H3134" t="s">
        <v>1031</v>
      </c>
      <c r="I3134">
        <v>185347001</v>
      </c>
      <c r="J3134" t="s">
        <v>1124</v>
      </c>
      <c r="K3134">
        <v>85.55</v>
      </c>
      <c r="L3134">
        <v>535.87</v>
      </c>
      <c r="M3134">
        <v>485.87</v>
      </c>
      <c r="N3134">
        <v>431857002</v>
      </c>
      <c r="O3134" t="s">
        <v>4125</v>
      </c>
    </row>
    <row r="3135" spans="1:15">
      <c r="A3135" t="s">
        <v>4593</v>
      </c>
      <c r="B3135" s="2">
        <v>46114.670532407406</v>
      </c>
      <c r="C3135" s="2">
        <v>46114.812893518516</v>
      </c>
      <c r="D3135" t="s">
        <v>585</v>
      </c>
      <c r="E3135" t="s">
        <v>3599</v>
      </c>
      <c r="F3135" t="s">
        <v>3600</v>
      </c>
      <c r="G3135" t="s">
        <v>1093</v>
      </c>
      <c r="H3135" t="s">
        <v>1031</v>
      </c>
      <c r="I3135">
        <v>185347001</v>
      </c>
      <c r="J3135" t="s">
        <v>1124</v>
      </c>
      <c r="K3135">
        <v>85.55</v>
      </c>
      <c r="L3135">
        <v>535.87</v>
      </c>
      <c r="M3135">
        <v>485.87</v>
      </c>
      <c r="N3135">
        <v>431857002</v>
      </c>
      <c r="O3135" t="s">
        <v>4125</v>
      </c>
    </row>
    <row r="3136" spans="1:15">
      <c r="A3136" t="s">
        <v>4594</v>
      </c>
      <c r="B3136" s="2">
        <v>46117.812893518516</v>
      </c>
      <c r="C3136" s="2">
        <v>46117.962893518517</v>
      </c>
      <c r="D3136" t="s">
        <v>585</v>
      </c>
      <c r="E3136" t="s">
        <v>3599</v>
      </c>
      <c r="F3136" t="s">
        <v>3600</v>
      </c>
      <c r="G3136" t="s">
        <v>1093</v>
      </c>
      <c r="H3136" t="s">
        <v>1031</v>
      </c>
      <c r="I3136">
        <v>185347001</v>
      </c>
      <c r="J3136" t="s">
        <v>1124</v>
      </c>
      <c r="K3136">
        <v>85.55</v>
      </c>
      <c r="L3136">
        <v>535.87</v>
      </c>
      <c r="M3136">
        <v>485.87</v>
      </c>
      <c r="N3136">
        <v>431857002</v>
      </c>
      <c r="O3136" t="s">
        <v>4125</v>
      </c>
    </row>
    <row r="3137" spans="1:15">
      <c r="A3137" t="s">
        <v>4595</v>
      </c>
      <c r="B3137" s="2">
        <v>46127.117754629631</v>
      </c>
      <c r="C3137" s="2">
        <v>46127.154618055552</v>
      </c>
      <c r="D3137" t="s">
        <v>585</v>
      </c>
      <c r="E3137" t="s">
        <v>3599</v>
      </c>
      <c r="F3137" t="s">
        <v>3600</v>
      </c>
      <c r="G3137" t="s">
        <v>1093</v>
      </c>
      <c r="H3137" t="s">
        <v>1043</v>
      </c>
      <c r="I3137">
        <v>185349003</v>
      </c>
      <c r="J3137" t="s">
        <v>1038</v>
      </c>
      <c r="K3137">
        <v>85.55</v>
      </c>
      <c r="L3137">
        <v>1030.97</v>
      </c>
      <c r="M3137">
        <v>980.97</v>
      </c>
      <c r="O3137" t="s">
        <v>34</v>
      </c>
    </row>
    <row r="3138" spans="1:15">
      <c r="A3138" t="s">
        <v>4596</v>
      </c>
      <c r="B3138" s="2">
        <v>46134.117754629631</v>
      </c>
      <c r="C3138" s="2">
        <v>46134.23233796296</v>
      </c>
      <c r="D3138" t="s">
        <v>585</v>
      </c>
      <c r="E3138" t="s">
        <v>3599</v>
      </c>
      <c r="F3138" t="s">
        <v>3600</v>
      </c>
      <c r="G3138" t="s">
        <v>1093</v>
      </c>
      <c r="H3138" t="s">
        <v>1031</v>
      </c>
      <c r="I3138">
        <v>185347001</v>
      </c>
      <c r="J3138" t="s">
        <v>1124</v>
      </c>
      <c r="K3138">
        <v>85.55</v>
      </c>
      <c r="L3138">
        <v>677</v>
      </c>
      <c r="M3138">
        <v>627</v>
      </c>
      <c r="N3138">
        <v>431857002</v>
      </c>
      <c r="O3138" t="s">
        <v>4125</v>
      </c>
    </row>
    <row r="3139" spans="1:15">
      <c r="A3139" t="s">
        <v>4597</v>
      </c>
      <c r="B3139" s="2">
        <v>46134.23233796296</v>
      </c>
      <c r="C3139" s="2">
        <v>46134.242754629631</v>
      </c>
      <c r="D3139" t="s">
        <v>585</v>
      </c>
      <c r="E3139" t="s">
        <v>3599</v>
      </c>
      <c r="F3139" t="s">
        <v>3600</v>
      </c>
      <c r="G3139" t="s">
        <v>1093</v>
      </c>
      <c r="H3139" t="s">
        <v>1031</v>
      </c>
      <c r="I3139">
        <v>185347001</v>
      </c>
      <c r="J3139" t="s">
        <v>1124</v>
      </c>
      <c r="K3139">
        <v>85.55</v>
      </c>
      <c r="L3139">
        <v>234.71</v>
      </c>
      <c r="M3139">
        <v>184.71</v>
      </c>
      <c r="N3139">
        <v>431857002</v>
      </c>
      <c r="O3139" t="s">
        <v>4125</v>
      </c>
    </row>
    <row r="3140" spans="1:15">
      <c r="A3140" t="s">
        <v>4598</v>
      </c>
      <c r="B3140" s="2">
        <v>46137.23233796296</v>
      </c>
      <c r="C3140" s="2">
        <v>46137.353171296294</v>
      </c>
      <c r="D3140" t="s">
        <v>585</v>
      </c>
      <c r="E3140" t="s">
        <v>3599</v>
      </c>
      <c r="F3140" t="s">
        <v>3600</v>
      </c>
      <c r="G3140" t="s">
        <v>1093</v>
      </c>
      <c r="H3140" t="s">
        <v>1031</v>
      </c>
      <c r="I3140">
        <v>185347001</v>
      </c>
      <c r="J3140" t="s">
        <v>1124</v>
      </c>
      <c r="K3140">
        <v>85.55</v>
      </c>
      <c r="L3140">
        <v>535.87</v>
      </c>
      <c r="M3140">
        <v>485.87</v>
      </c>
      <c r="N3140">
        <v>431857002</v>
      </c>
      <c r="O3140" t="s">
        <v>4125</v>
      </c>
    </row>
    <row r="3141" spans="1:15">
      <c r="A3141" t="s">
        <v>4599</v>
      </c>
      <c r="B3141" s="2">
        <v>46140.353171296294</v>
      </c>
      <c r="C3141" s="2">
        <v>46140.446921296294</v>
      </c>
      <c r="D3141" t="s">
        <v>585</v>
      </c>
      <c r="E3141" t="s">
        <v>3599</v>
      </c>
      <c r="F3141" t="s">
        <v>3600</v>
      </c>
      <c r="G3141" t="s">
        <v>1093</v>
      </c>
      <c r="H3141" t="s">
        <v>1031</v>
      </c>
      <c r="I3141">
        <v>185347001</v>
      </c>
      <c r="J3141" t="s">
        <v>1124</v>
      </c>
      <c r="K3141">
        <v>85.55</v>
      </c>
      <c r="L3141">
        <v>1791.03</v>
      </c>
      <c r="M3141">
        <v>1741.03</v>
      </c>
      <c r="N3141">
        <v>431857002</v>
      </c>
      <c r="O3141" t="s">
        <v>4125</v>
      </c>
    </row>
    <row r="3142" spans="1:15">
      <c r="A3142" t="s">
        <v>4600</v>
      </c>
      <c r="B3142" s="2">
        <v>46143.446921296294</v>
      </c>
      <c r="C3142" s="2">
        <v>46143.558032407411</v>
      </c>
      <c r="D3142" t="s">
        <v>585</v>
      </c>
      <c r="E3142" t="s">
        <v>3599</v>
      </c>
      <c r="F3142" t="s">
        <v>3600</v>
      </c>
      <c r="G3142" t="s">
        <v>1093</v>
      </c>
      <c r="H3142" t="s">
        <v>1031</v>
      </c>
      <c r="I3142">
        <v>185347001</v>
      </c>
      <c r="J3142" t="s">
        <v>1124</v>
      </c>
      <c r="K3142">
        <v>85.55</v>
      </c>
      <c r="L3142">
        <v>1051.98</v>
      </c>
      <c r="M3142">
        <v>1001.98</v>
      </c>
      <c r="N3142">
        <v>431857002</v>
      </c>
      <c r="O3142" t="s">
        <v>4125</v>
      </c>
    </row>
    <row r="3143" spans="1:15">
      <c r="A3143" t="s">
        <v>4601</v>
      </c>
      <c r="B3143" s="2">
        <v>46146.558032407411</v>
      </c>
      <c r="C3143" s="2">
        <v>46146.664282407408</v>
      </c>
      <c r="D3143" t="s">
        <v>585</v>
      </c>
      <c r="E3143" t="s">
        <v>3599</v>
      </c>
      <c r="F3143" t="s">
        <v>3600</v>
      </c>
      <c r="G3143" t="s">
        <v>1093</v>
      </c>
      <c r="H3143" t="s">
        <v>1031</v>
      </c>
      <c r="I3143">
        <v>185347001</v>
      </c>
      <c r="J3143" t="s">
        <v>1124</v>
      </c>
      <c r="K3143">
        <v>85.55</v>
      </c>
      <c r="L3143">
        <v>535.87</v>
      </c>
      <c r="M3143">
        <v>485.87</v>
      </c>
      <c r="N3143">
        <v>431857002</v>
      </c>
      <c r="O3143" t="s">
        <v>4125</v>
      </c>
    </row>
    <row r="3144" spans="1:15">
      <c r="A3144" t="s">
        <v>4602</v>
      </c>
      <c r="B3144" s="2">
        <v>46149.664282407408</v>
      </c>
      <c r="C3144" s="2">
        <v>46149.776087962964</v>
      </c>
      <c r="D3144" t="s">
        <v>585</v>
      </c>
      <c r="E3144" t="s">
        <v>3599</v>
      </c>
      <c r="F3144" t="s">
        <v>3600</v>
      </c>
      <c r="G3144" t="s">
        <v>1093</v>
      </c>
      <c r="H3144" t="s">
        <v>1031</v>
      </c>
      <c r="I3144">
        <v>185347001</v>
      </c>
      <c r="J3144" t="s">
        <v>1124</v>
      </c>
      <c r="K3144">
        <v>85.55</v>
      </c>
      <c r="L3144">
        <v>535.87</v>
      </c>
      <c r="M3144">
        <v>485.87</v>
      </c>
      <c r="N3144">
        <v>431857002</v>
      </c>
      <c r="O3144" t="s">
        <v>4125</v>
      </c>
    </row>
    <row r="3145" spans="1:15">
      <c r="A3145" t="s">
        <v>4603</v>
      </c>
      <c r="B3145" s="2">
        <v>46152.776087962964</v>
      </c>
      <c r="C3145" s="2">
        <v>46152.914976851855</v>
      </c>
      <c r="D3145" t="s">
        <v>585</v>
      </c>
      <c r="E3145" t="s">
        <v>3599</v>
      </c>
      <c r="F3145" t="s">
        <v>3600</v>
      </c>
      <c r="G3145" t="s">
        <v>1093</v>
      </c>
      <c r="H3145" t="s">
        <v>1031</v>
      </c>
      <c r="I3145">
        <v>185347001</v>
      </c>
      <c r="J3145" t="s">
        <v>1124</v>
      </c>
      <c r="K3145">
        <v>85.55</v>
      </c>
      <c r="L3145">
        <v>571.11</v>
      </c>
      <c r="M3145">
        <v>521.11</v>
      </c>
      <c r="N3145">
        <v>431857002</v>
      </c>
      <c r="O3145" t="s">
        <v>4125</v>
      </c>
    </row>
    <row r="3146" spans="1:15">
      <c r="A3146" t="s">
        <v>4604</v>
      </c>
      <c r="B3146" s="2">
        <v>46162.117754629631</v>
      </c>
      <c r="C3146" s="2">
        <v>46162.14739583333</v>
      </c>
      <c r="D3146" t="s">
        <v>585</v>
      </c>
      <c r="E3146" t="s">
        <v>3599</v>
      </c>
      <c r="F3146" t="s">
        <v>3600</v>
      </c>
      <c r="G3146" t="s">
        <v>1093</v>
      </c>
      <c r="H3146" t="s">
        <v>1043</v>
      </c>
      <c r="I3146">
        <v>185349003</v>
      </c>
      <c r="J3146" t="s">
        <v>1038</v>
      </c>
      <c r="K3146">
        <v>85.55</v>
      </c>
      <c r="L3146">
        <v>1302.97</v>
      </c>
      <c r="M3146">
        <v>1252.97</v>
      </c>
      <c r="O3146" t="s">
        <v>34</v>
      </c>
    </row>
    <row r="3147" spans="1:15">
      <c r="A3147" t="s">
        <v>4605</v>
      </c>
      <c r="B3147" s="2">
        <v>46169.117754629631</v>
      </c>
      <c r="C3147" s="2">
        <v>46169.255949074075</v>
      </c>
      <c r="D3147" t="s">
        <v>585</v>
      </c>
      <c r="E3147" t="s">
        <v>3599</v>
      </c>
      <c r="F3147" t="s">
        <v>3600</v>
      </c>
      <c r="G3147" t="s">
        <v>1093</v>
      </c>
      <c r="H3147" t="s">
        <v>1031</v>
      </c>
      <c r="I3147">
        <v>185347001</v>
      </c>
      <c r="J3147" t="s">
        <v>1124</v>
      </c>
      <c r="K3147">
        <v>85.55</v>
      </c>
      <c r="L3147">
        <v>1027.6099999999999</v>
      </c>
      <c r="M3147">
        <v>977.61</v>
      </c>
      <c r="N3147">
        <v>431857002</v>
      </c>
      <c r="O3147" t="s">
        <v>4125</v>
      </c>
    </row>
    <row r="3148" spans="1:15">
      <c r="A3148" t="s">
        <v>4606</v>
      </c>
      <c r="B3148" s="2">
        <v>46169.255949074075</v>
      </c>
      <c r="C3148" s="2">
        <v>46169.266365740739</v>
      </c>
      <c r="D3148" t="s">
        <v>585</v>
      </c>
      <c r="E3148" t="s">
        <v>3599</v>
      </c>
      <c r="F3148" t="s">
        <v>3600</v>
      </c>
      <c r="G3148" t="s">
        <v>1093</v>
      </c>
      <c r="H3148" t="s">
        <v>1031</v>
      </c>
      <c r="I3148">
        <v>185347001</v>
      </c>
      <c r="J3148" t="s">
        <v>1124</v>
      </c>
      <c r="K3148">
        <v>85.55</v>
      </c>
      <c r="L3148">
        <v>234.71</v>
      </c>
      <c r="M3148">
        <v>184.71</v>
      </c>
      <c r="N3148">
        <v>431857002</v>
      </c>
      <c r="O3148" t="s">
        <v>4125</v>
      </c>
    </row>
    <row r="3149" spans="1:15">
      <c r="A3149" t="s">
        <v>4607</v>
      </c>
      <c r="B3149" s="2">
        <v>46172.255949074075</v>
      </c>
      <c r="C3149" s="2">
        <v>46172.3906712963</v>
      </c>
      <c r="D3149" t="s">
        <v>585</v>
      </c>
      <c r="E3149" t="s">
        <v>3599</v>
      </c>
      <c r="F3149" t="s">
        <v>3600</v>
      </c>
      <c r="G3149" t="s">
        <v>1093</v>
      </c>
      <c r="H3149" t="s">
        <v>1031</v>
      </c>
      <c r="I3149">
        <v>185347001</v>
      </c>
      <c r="J3149" t="s">
        <v>1124</v>
      </c>
      <c r="K3149">
        <v>85.55</v>
      </c>
      <c r="L3149">
        <v>535.87</v>
      </c>
      <c r="M3149">
        <v>485.87</v>
      </c>
      <c r="N3149">
        <v>431857002</v>
      </c>
      <c r="O3149" t="s">
        <v>4125</v>
      </c>
    </row>
    <row r="3150" spans="1:15">
      <c r="A3150" t="s">
        <v>4608</v>
      </c>
      <c r="B3150" s="2">
        <v>46175.3906712963</v>
      </c>
      <c r="C3150" s="2">
        <v>46175.483726851853</v>
      </c>
      <c r="D3150" t="s">
        <v>585</v>
      </c>
      <c r="E3150" t="s">
        <v>3599</v>
      </c>
      <c r="F3150" t="s">
        <v>3600</v>
      </c>
      <c r="G3150" t="s">
        <v>1093</v>
      </c>
      <c r="H3150" t="s">
        <v>1031</v>
      </c>
      <c r="I3150">
        <v>185347001</v>
      </c>
      <c r="J3150" t="s">
        <v>1124</v>
      </c>
      <c r="K3150">
        <v>85.55</v>
      </c>
      <c r="L3150">
        <v>743.77</v>
      </c>
      <c r="M3150">
        <v>693.77</v>
      </c>
      <c r="N3150">
        <v>431857002</v>
      </c>
      <c r="O3150" t="s">
        <v>4125</v>
      </c>
    </row>
    <row r="3151" spans="1:15">
      <c r="A3151" t="s">
        <v>4609</v>
      </c>
      <c r="B3151" s="2">
        <v>46183.117754629631</v>
      </c>
      <c r="C3151" s="2">
        <v>46183.255590277775</v>
      </c>
      <c r="D3151" t="s">
        <v>585</v>
      </c>
      <c r="E3151" t="s">
        <v>3599</v>
      </c>
      <c r="F3151" t="s">
        <v>3600</v>
      </c>
      <c r="G3151" t="s">
        <v>1093</v>
      </c>
      <c r="H3151" t="s">
        <v>1031</v>
      </c>
      <c r="I3151">
        <v>185349003</v>
      </c>
      <c r="J3151" t="s">
        <v>1038</v>
      </c>
      <c r="K3151">
        <v>85.55</v>
      </c>
      <c r="L3151">
        <v>3105.35</v>
      </c>
      <c r="M3151">
        <v>3055.35</v>
      </c>
      <c r="N3151">
        <v>103697008</v>
      </c>
      <c r="O3151" t="s">
        <v>1039</v>
      </c>
    </row>
    <row r="3152" spans="1:15">
      <c r="A3152" t="s">
        <v>4610</v>
      </c>
      <c r="B3152" s="2">
        <v>46190.117754629631</v>
      </c>
      <c r="C3152" s="2">
        <v>46190.251087962963</v>
      </c>
      <c r="D3152" t="s">
        <v>585</v>
      </c>
      <c r="E3152" t="s">
        <v>3599</v>
      </c>
      <c r="F3152" t="s">
        <v>3600</v>
      </c>
      <c r="G3152" t="s">
        <v>1093</v>
      </c>
      <c r="H3152" t="s">
        <v>1031</v>
      </c>
      <c r="I3152">
        <v>185347001</v>
      </c>
      <c r="J3152" t="s">
        <v>1124</v>
      </c>
      <c r="K3152">
        <v>85.55</v>
      </c>
      <c r="L3152">
        <v>971.1</v>
      </c>
      <c r="M3152">
        <v>921.1</v>
      </c>
      <c r="N3152">
        <v>431857002</v>
      </c>
      <c r="O3152" t="s">
        <v>4125</v>
      </c>
    </row>
    <row r="3153" spans="1:15">
      <c r="A3153" t="s">
        <v>4611</v>
      </c>
      <c r="B3153" s="2">
        <v>46193.251087962963</v>
      </c>
      <c r="C3153" s="2">
        <v>46193.354560185187</v>
      </c>
      <c r="D3153" t="s">
        <v>585</v>
      </c>
      <c r="E3153" t="s">
        <v>3599</v>
      </c>
      <c r="F3153" t="s">
        <v>3600</v>
      </c>
      <c r="G3153" t="s">
        <v>1093</v>
      </c>
      <c r="H3153" t="s">
        <v>1031</v>
      </c>
      <c r="I3153">
        <v>185347001</v>
      </c>
      <c r="J3153" t="s">
        <v>1124</v>
      </c>
      <c r="K3153">
        <v>85.55</v>
      </c>
      <c r="L3153">
        <v>535.87</v>
      </c>
      <c r="M3153">
        <v>485.87</v>
      </c>
      <c r="N3153">
        <v>431857002</v>
      </c>
      <c r="O3153" t="s">
        <v>4125</v>
      </c>
    </row>
    <row r="3154" spans="1:15">
      <c r="A3154" t="s">
        <v>4612</v>
      </c>
      <c r="B3154" s="2">
        <v>46196.354560185187</v>
      </c>
      <c r="C3154" s="2">
        <v>46196.51289351852</v>
      </c>
      <c r="D3154" t="s">
        <v>585</v>
      </c>
      <c r="E3154" t="s">
        <v>3599</v>
      </c>
      <c r="F3154" t="s">
        <v>3600</v>
      </c>
      <c r="G3154" t="s">
        <v>1093</v>
      </c>
      <c r="H3154" t="s">
        <v>1031</v>
      </c>
      <c r="I3154">
        <v>185347001</v>
      </c>
      <c r="J3154" t="s">
        <v>1124</v>
      </c>
      <c r="K3154">
        <v>85.55</v>
      </c>
      <c r="L3154">
        <v>1444.55</v>
      </c>
      <c r="M3154">
        <v>1394.55</v>
      </c>
      <c r="N3154">
        <v>431857002</v>
      </c>
      <c r="O3154" t="s">
        <v>4125</v>
      </c>
    </row>
    <row r="3155" spans="1:15">
      <c r="A3155" t="s">
        <v>4613</v>
      </c>
      <c r="B3155" s="2">
        <v>46199.51289351852</v>
      </c>
      <c r="C3155" s="2">
        <v>46199.667060185187</v>
      </c>
      <c r="D3155" t="s">
        <v>585</v>
      </c>
      <c r="E3155" t="s">
        <v>3599</v>
      </c>
      <c r="F3155" t="s">
        <v>3600</v>
      </c>
      <c r="G3155" t="s">
        <v>1093</v>
      </c>
      <c r="H3155" t="s">
        <v>1031</v>
      </c>
      <c r="I3155">
        <v>185347001</v>
      </c>
      <c r="J3155" t="s">
        <v>1124</v>
      </c>
      <c r="K3155">
        <v>85.55</v>
      </c>
      <c r="L3155">
        <v>997.69</v>
      </c>
      <c r="M3155">
        <v>947.69</v>
      </c>
      <c r="N3155">
        <v>431857002</v>
      </c>
      <c r="O3155" t="s">
        <v>4125</v>
      </c>
    </row>
    <row r="3156" spans="1:15">
      <c r="A3156" t="s">
        <v>4614</v>
      </c>
      <c r="B3156" s="2">
        <v>46199.667060185187</v>
      </c>
      <c r="C3156" s="2">
        <v>46199.677476851852</v>
      </c>
      <c r="D3156" t="s">
        <v>585</v>
      </c>
      <c r="E3156" t="s">
        <v>3599</v>
      </c>
      <c r="F3156" t="s">
        <v>3600</v>
      </c>
      <c r="G3156" t="s">
        <v>1093</v>
      </c>
      <c r="H3156" t="s">
        <v>1031</v>
      </c>
      <c r="I3156">
        <v>185347001</v>
      </c>
      <c r="J3156" t="s">
        <v>1124</v>
      </c>
      <c r="K3156">
        <v>85.55</v>
      </c>
      <c r="L3156">
        <v>234.71</v>
      </c>
      <c r="M3156">
        <v>184.71</v>
      </c>
      <c r="N3156">
        <v>431857002</v>
      </c>
      <c r="O3156" t="s">
        <v>4125</v>
      </c>
    </row>
    <row r="3157" spans="1:15">
      <c r="A3157" t="s">
        <v>4615</v>
      </c>
      <c r="B3157" s="2">
        <v>46202.667060185187</v>
      </c>
      <c r="C3157" s="2">
        <v>46202.755949074075</v>
      </c>
      <c r="D3157" t="s">
        <v>585</v>
      </c>
      <c r="E3157" t="s">
        <v>3599</v>
      </c>
      <c r="F3157" t="s">
        <v>3600</v>
      </c>
      <c r="G3157" t="s">
        <v>1093</v>
      </c>
      <c r="H3157" t="s">
        <v>1031</v>
      </c>
      <c r="I3157">
        <v>185347001</v>
      </c>
      <c r="J3157" t="s">
        <v>1124</v>
      </c>
      <c r="K3157">
        <v>85.55</v>
      </c>
      <c r="L3157">
        <v>959.23</v>
      </c>
      <c r="M3157">
        <v>909.23</v>
      </c>
      <c r="N3157">
        <v>431857002</v>
      </c>
      <c r="O3157" t="s">
        <v>4125</v>
      </c>
    </row>
    <row r="3158" spans="1:15">
      <c r="A3158" t="s">
        <v>4616</v>
      </c>
      <c r="B3158" s="2">
        <v>46205.755949074075</v>
      </c>
      <c r="C3158" s="2">
        <v>46205.914976851855</v>
      </c>
      <c r="D3158" t="s">
        <v>585</v>
      </c>
      <c r="E3158" t="s">
        <v>3599</v>
      </c>
      <c r="F3158" t="s">
        <v>3600</v>
      </c>
      <c r="G3158" t="s">
        <v>1093</v>
      </c>
      <c r="H3158" t="s">
        <v>1031</v>
      </c>
      <c r="I3158">
        <v>185347001</v>
      </c>
      <c r="J3158" t="s">
        <v>1124</v>
      </c>
      <c r="K3158">
        <v>85.55</v>
      </c>
      <c r="L3158">
        <v>535.87</v>
      </c>
      <c r="M3158">
        <v>485.87</v>
      </c>
      <c r="N3158">
        <v>431857002</v>
      </c>
      <c r="O3158" t="s">
        <v>4125</v>
      </c>
    </row>
    <row r="3159" spans="1:15">
      <c r="A3159" t="s">
        <v>4617</v>
      </c>
      <c r="B3159" s="2">
        <v>46208.914976851855</v>
      </c>
      <c r="C3159" s="2">
        <v>46209.033032407409</v>
      </c>
      <c r="D3159" t="s">
        <v>585</v>
      </c>
      <c r="E3159" t="s">
        <v>3599</v>
      </c>
      <c r="F3159" t="s">
        <v>3600</v>
      </c>
      <c r="G3159" t="s">
        <v>1093</v>
      </c>
      <c r="H3159" t="s">
        <v>1031</v>
      </c>
      <c r="I3159">
        <v>185347001</v>
      </c>
      <c r="J3159" t="s">
        <v>1124</v>
      </c>
      <c r="K3159">
        <v>85.55</v>
      </c>
      <c r="L3159">
        <v>535.87</v>
      </c>
      <c r="M3159">
        <v>485.87</v>
      </c>
      <c r="N3159">
        <v>431857002</v>
      </c>
      <c r="O3159" t="s">
        <v>4125</v>
      </c>
    </row>
    <row r="3160" spans="1:15">
      <c r="A3160" t="s">
        <v>4618</v>
      </c>
      <c r="B3160" s="2">
        <v>46212.033032407409</v>
      </c>
      <c r="C3160" s="2">
        <v>46212.16914351852</v>
      </c>
      <c r="D3160" t="s">
        <v>585</v>
      </c>
      <c r="E3160" t="s">
        <v>3599</v>
      </c>
      <c r="F3160" t="s">
        <v>3600</v>
      </c>
      <c r="G3160" t="s">
        <v>1093</v>
      </c>
      <c r="H3160" t="s">
        <v>1031</v>
      </c>
      <c r="I3160">
        <v>185347001</v>
      </c>
      <c r="J3160" t="s">
        <v>1124</v>
      </c>
      <c r="K3160">
        <v>85.55</v>
      </c>
      <c r="L3160">
        <v>1197.6300000000001</v>
      </c>
      <c r="M3160">
        <v>1147.6300000000001</v>
      </c>
      <c r="N3160">
        <v>431857002</v>
      </c>
      <c r="O3160" t="s">
        <v>4125</v>
      </c>
    </row>
    <row r="3161" spans="1:15">
      <c r="A3161" t="s">
        <v>4619</v>
      </c>
      <c r="B3161" s="2">
        <v>46215.16914351852</v>
      </c>
      <c r="C3161" s="2">
        <v>46215.254560185182</v>
      </c>
      <c r="D3161" t="s">
        <v>585</v>
      </c>
      <c r="E3161" t="s">
        <v>3599</v>
      </c>
      <c r="F3161" t="s">
        <v>3600</v>
      </c>
      <c r="G3161" t="s">
        <v>1093</v>
      </c>
      <c r="H3161" t="s">
        <v>1031</v>
      </c>
      <c r="I3161">
        <v>185347001</v>
      </c>
      <c r="J3161" t="s">
        <v>1124</v>
      </c>
      <c r="K3161">
        <v>85.55</v>
      </c>
      <c r="L3161">
        <v>1379.29</v>
      </c>
      <c r="M3161">
        <v>1329.29</v>
      </c>
      <c r="N3161">
        <v>431857002</v>
      </c>
      <c r="O3161" t="s">
        <v>4125</v>
      </c>
    </row>
    <row r="3162" spans="1:15">
      <c r="A3162" t="s">
        <v>4620</v>
      </c>
      <c r="B3162" s="2">
        <v>46225.117754629631</v>
      </c>
      <c r="C3162" s="2">
        <v>46225.149780092594</v>
      </c>
      <c r="D3162" t="s">
        <v>585</v>
      </c>
      <c r="E3162" t="s">
        <v>3599</v>
      </c>
      <c r="F3162" t="s">
        <v>3600</v>
      </c>
      <c r="G3162" t="s">
        <v>1093</v>
      </c>
      <c r="H3162" t="s">
        <v>1043</v>
      </c>
      <c r="I3162">
        <v>185349003</v>
      </c>
      <c r="J3162" t="s">
        <v>1038</v>
      </c>
      <c r="K3162">
        <v>85.55</v>
      </c>
      <c r="L3162">
        <v>815.27</v>
      </c>
      <c r="M3162">
        <v>765.27</v>
      </c>
      <c r="O3162" t="s">
        <v>34</v>
      </c>
    </row>
    <row r="3163" spans="1:15">
      <c r="A3163" t="s">
        <v>4621</v>
      </c>
      <c r="B3163" s="2">
        <v>46232.117754629631</v>
      </c>
      <c r="C3163" s="2">
        <v>46232.128171296295</v>
      </c>
      <c r="D3163" t="s">
        <v>585</v>
      </c>
      <c r="E3163" t="s">
        <v>4057</v>
      </c>
      <c r="F3163" t="s">
        <v>4058</v>
      </c>
      <c r="G3163" t="s">
        <v>1093</v>
      </c>
      <c r="H3163" t="s">
        <v>1020</v>
      </c>
      <c r="I3163">
        <v>162673000</v>
      </c>
      <c r="J3163" t="s">
        <v>1021</v>
      </c>
      <c r="K3163">
        <v>136.80000000000001</v>
      </c>
      <c r="L3163">
        <v>285.95999999999998</v>
      </c>
      <c r="M3163">
        <v>285.95999999999998</v>
      </c>
      <c r="O3163" t="s">
        <v>34</v>
      </c>
    </row>
    <row r="3164" spans="1:15">
      <c r="A3164" t="s">
        <v>4622</v>
      </c>
      <c r="B3164" s="2">
        <v>46239.117754629631</v>
      </c>
      <c r="C3164" s="2">
        <v>46239.376597222225</v>
      </c>
      <c r="D3164" t="s">
        <v>585</v>
      </c>
      <c r="E3164" t="s">
        <v>3599</v>
      </c>
      <c r="F3164" t="s">
        <v>3600</v>
      </c>
      <c r="G3164" t="s">
        <v>1093</v>
      </c>
      <c r="H3164" t="s">
        <v>1031</v>
      </c>
      <c r="I3164">
        <v>185349003</v>
      </c>
      <c r="J3164" t="s">
        <v>1038</v>
      </c>
      <c r="K3164">
        <v>85.55</v>
      </c>
      <c r="L3164">
        <v>4830.95</v>
      </c>
      <c r="M3164">
        <v>4780.95</v>
      </c>
      <c r="N3164">
        <v>66383009</v>
      </c>
      <c r="O3164" t="s">
        <v>1209</v>
      </c>
    </row>
    <row r="3165" spans="1:15">
      <c r="A3165" t="s">
        <v>4623</v>
      </c>
      <c r="B3165" s="2">
        <v>46246.117754629631</v>
      </c>
      <c r="C3165" s="2">
        <v>46246.216365740744</v>
      </c>
      <c r="D3165" t="s">
        <v>585</v>
      </c>
      <c r="E3165" t="s">
        <v>3599</v>
      </c>
      <c r="F3165" t="s">
        <v>3600</v>
      </c>
      <c r="G3165" t="s">
        <v>1093</v>
      </c>
      <c r="H3165" t="s">
        <v>1031</v>
      </c>
      <c r="I3165">
        <v>185347001</v>
      </c>
      <c r="J3165" t="s">
        <v>1124</v>
      </c>
      <c r="K3165">
        <v>85.55</v>
      </c>
      <c r="L3165">
        <v>814.57</v>
      </c>
      <c r="M3165">
        <v>764.57</v>
      </c>
      <c r="N3165">
        <v>431857002</v>
      </c>
      <c r="O3165" t="s">
        <v>4125</v>
      </c>
    </row>
    <row r="3166" spans="1:15">
      <c r="A3166" t="s">
        <v>4624</v>
      </c>
      <c r="B3166" s="2">
        <v>35756.240613425929</v>
      </c>
      <c r="C3166" s="2">
        <v>35756.256840277776</v>
      </c>
      <c r="D3166" t="s">
        <v>594</v>
      </c>
      <c r="E3166" t="s">
        <v>3715</v>
      </c>
      <c r="F3166" t="s">
        <v>3716</v>
      </c>
      <c r="G3166" t="s">
        <v>1325</v>
      </c>
      <c r="H3166" t="s">
        <v>1020</v>
      </c>
      <c r="I3166">
        <v>410620009</v>
      </c>
      <c r="J3166" t="s">
        <v>1054</v>
      </c>
      <c r="K3166">
        <v>136.80000000000001</v>
      </c>
      <c r="L3166">
        <v>704.2</v>
      </c>
      <c r="M3166">
        <v>0</v>
      </c>
      <c r="O3166" t="s">
        <v>34</v>
      </c>
    </row>
    <row r="3167" spans="1:15">
      <c r="A3167" t="s">
        <v>4625</v>
      </c>
      <c r="B3167" s="2">
        <v>36127.240613425929</v>
      </c>
      <c r="C3167" s="2">
        <v>36127.270775462966</v>
      </c>
      <c r="D3167" t="s">
        <v>594</v>
      </c>
      <c r="E3167" t="s">
        <v>3715</v>
      </c>
      <c r="F3167" t="s">
        <v>3716</v>
      </c>
      <c r="G3167" t="s">
        <v>1325</v>
      </c>
      <c r="H3167" t="s">
        <v>1020</v>
      </c>
      <c r="I3167">
        <v>162673000</v>
      </c>
      <c r="J3167" t="s">
        <v>1021</v>
      </c>
      <c r="K3167">
        <v>136.80000000000001</v>
      </c>
      <c r="L3167">
        <v>919.9</v>
      </c>
      <c r="M3167">
        <v>0</v>
      </c>
      <c r="O3167" t="s">
        <v>34</v>
      </c>
    </row>
    <row r="3168" spans="1:15">
      <c r="A3168" t="s">
        <v>4626</v>
      </c>
      <c r="B3168" s="2">
        <v>37597.240613425929</v>
      </c>
      <c r="C3168" s="2">
        <v>37597.27857638889</v>
      </c>
      <c r="D3168" t="s">
        <v>594</v>
      </c>
      <c r="E3168" t="s">
        <v>3715</v>
      </c>
      <c r="F3168" t="s">
        <v>3716</v>
      </c>
      <c r="G3168" t="s">
        <v>1325</v>
      </c>
      <c r="H3168" t="s">
        <v>1020</v>
      </c>
      <c r="I3168">
        <v>162673000</v>
      </c>
      <c r="J3168" t="s">
        <v>1021</v>
      </c>
      <c r="K3168">
        <v>136.80000000000001</v>
      </c>
      <c r="L3168">
        <v>1050.78</v>
      </c>
      <c r="M3168">
        <v>0</v>
      </c>
      <c r="O3168" t="s">
        <v>34</v>
      </c>
    </row>
    <row r="3169" spans="1:15">
      <c r="A3169" t="s">
        <v>4627</v>
      </c>
      <c r="B3169" s="2">
        <v>39795.240613425929</v>
      </c>
      <c r="C3169" s="2">
        <v>39795.271608796298</v>
      </c>
      <c r="D3169" t="s">
        <v>594</v>
      </c>
      <c r="E3169" t="s">
        <v>3715</v>
      </c>
      <c r="F3169" t="s">
        <v>3716</v>
      </c>
      <c r="G3169" t="s">
        <v>1325</v>
      </c>
      <c r="H3169" t="s">
        <v>1020</v>
      </c>
      <c r="I3169">
        <v>162673000</v>
      </c>
      <c r="J3169" t="s">
        <v>1021</v>
      </c>
      <c r="K3169">
        <v>136.80000000000001</v>
      </c>
      <c r="L3169">
        <v>778.78</v>
      </c>
      <c r="M3169">
        <v>0</v>
      </c>
      <c r="O3169" t="s">
        <v>34</v>
      </c>
    </row>
    <row r="3170" spans="1:15">
      <c r="A3170" t="s">
        <v>4628</v>
      </c>
      <c r="B3170" s="2">
        <v>43092.240613425929</v>
      </c>
      <c r="C3170" s="2">
        <v>43092.279710648145</v>
      </c>
      <c r="D3170" t="s">
        <v>594</v>
      </c>
      <c r="E3170" t="s">
        <v>3715</v>
      </c>
      <c r="F3170" t="s">
        <v>3716</v>
      </c>
      <c r="G3170" t="s">
        <v>1325</v>
      </c>
      <c r="H3170" t="s">
        <v>1020</v>
      </c>
      <c r="I3170">
        <v>162673000</v>
      </c>
      <c r="J3170" t="s">
        <v>1021</v>
      </c>
      <c r="K3170">
        <v>136.80000000000001</v>
      </c>
      <c r="L3170">
        <v>1641.58</v>
      </c>
      <c r="M3170">
        <v>0</v>
      </c>
      <c r="O3170" t="s">
        <v>34</v>
      </c>
    </row>
    <row r="3171" spans="1:15">
      <c r="A3171" t="s">
        <v>4629</v>
      </c>
      <c r="B3171" s="2">
        <v>43106.240613425929</v>
      </c>
      <c r="C3171" s="2">
        <v>43106.354490740741</v>
      </c>
      <c r="D3171" t="s">
        <v>594</v>
      </c>
      <c r="E3171" t="s">
        <v>3712</v>
      </c>
      <c r="F3171" t="s">
        <v>3713</v>
      </c>
      <c r="G3171" t="s">
        <v>1325</v>
      </c>
      <c r="H3171" t="s">
        <v>1031</v>
      </c>
      <c r="I3171">
        <v>185349003</v>
      </c>
      <c r="J3171" t="s">
        <v>1038</v>
      </c>
      <c r="K3171">
        <v>85.55</v>
      </c>
      <c r="L3171">
        <v>2673.95</v>
      </c>
      <c r="M3171">
        <v>0</v>
      </c>
      <c r="N3171">
        <v>103697008</v>
      </c>
      <c r="O3171" t="s">
        <v>1039</v>
      </c>
    </row>
    <row r="3172" spans="1:15">
      <c r="A3172" t="s">
        <v>4630</v>
      </c>
      <c r="B3172" s="2">
        <v>44114.282280092593</v>
      </c>
      <c r="C3172" s="2">
        <v>44114.305509259262</v>
      </c>
      <c r="D3172" t="s">
        <v>594</v>
      </c>
      <c r="E3172" t="s">
        <v>3715</v>
      </c>
      <c r="F3172" t="s">
        <v>3716</v>
      </c>
      <c r="G3172" t="s">
        <v>1325</v>
      </c>
      <c r="H3172" t="s">
        <v>1020</v>
      </c>
      <c r="I3172">
        <v>162673000</v>
      </c>
      <c r="J3172" t="s">
        <v>1021</v>
      </c>
      <c r="K3172">
        <v>136.80000000000001</v>
      </c>
      <c r="L3172">
        <v>914.78</v>
      </c>
      <c r="M3172">
        <v>0</v>
      </c>
      <c r="O3172" t="s">
        <v>34</v>
      </c>
    </row>
    <row r="3173" spans="1:15">
      <c r="A3173" t="s">
        <v>4631</v>
      </c>
      <c r="B3173" s="2">
        <v>44128.282280092593</v>
      </c>
      <c r="C3173" s="2">
        <v>44128.427939814814</v>
      </c>
      <c r="D3173" t="s">
        <v>594</v>
      </c>
      <c r="E3173" t="s">
        <v>3712</v>
      </c>
      <c r="F3173" t="s">
        <v>3713</v>
      </c>
      <c r="G3173" t="s">
        <v>1325</v>
      </c>
      <c r="H3173" t="s">
        <v>1031</v>
      </c>
      <c r="I3173">
        <v>185349003</v>
      </c>
      <c r="J3173" t="s">
        <v>1038</v>
      </c>
      <c r="K3173">
        <v>85.55</v>
      </c>
      <c r="L3173">
        <v>3536.75</v>
      </c>
      <c r="M3173">
        <v>0</v>
      </c>
      <c r="N3173">
        <v>66383009</v>
      </c>
      <c r="O3173" t="s">
        <v>1209</v>
      </c>
    </row>
    <row r="3174" spans="1:15">
      <c r="A3174" t="s">
        <v>4632</v>
      </c>
      <c r="B3174" s="2">
        <v>44203.261423611111</v>
      </c>
      <c r="C3174" s="2">
        <v>44203.303090277775</v>
      </c>
      <c r="D3174" t="s">
        <v>594</v>
      </c>
      <c r="E3174" t="s">
        <v>3726</v>
      </c>
      <c r="F3174" t="s">
        <v>3727</v>
      </c>
      <c r="G3174" t="s">
        <v>1325</v>
      </c>
      <c r="H3174" t="s">
        <v>1076</v>
      </c>
      <c r="I3174">
        <v>50849002</v>
      </c>
      <c r="J3174" t="s">
        <v>1163</v>
      </c>
      <c r="K3174">
        <v>146.18</v>
      </c>
      <c r="L3174">
        <v>5249.16</v>
      </c>
      <c r="M3174">
        <v>2297.0100000000002</v>
      </c>
      <c r="N3174">
        <v>312608009</v>
      </c>
      <c r="O3174" t="s">
        <v>1249</v>
      </c>
    </row>
    <row r="3175" spans="1:15">
      <c r="A3175" t="s">
        <v>4633</v>
      </c>
      <c r="B3175" s="2">
        <v>44210.240613425929</v>
      </c>
      <c r="C3175" s="2">
        <v>44210.272314814814</v>
      </c>
      <c r="D3175" t="s">
        <v>594</v>
      </c>
      <c r="E3175" t="s">
        <v>3712</v>
      </c>
      <c r="F3175" t="s">
        <v>3713</v>
      </c>
      <c r="G3175" t="s">
        <v>1325</v>
      </c>
      <c r="H3175" t="s">
        <v>1031</v>
      </c>
      <c r="I3175">
        <v>185345009</v>
      </c>
      <c r="J3175" t="s">
        <v>1032</v>
      </c>
      <c r="K3175">
        <v>85.55</v>
      </c>
      <c r="L3175">
        <v>235.74</v>
      </c>
      <c r="M3175">
        <v>141.44999999999999</v>
      </c>
      <c r="N3175">
        <v>840544004</v>
      </c>
      <c r="O3175" t="s">
        <v>1455</v>
      </c>
    </row>
    <row r="3176" spans="1:15">
      <c r="A3176" t="s">
        <v>4634</v>
      </c>
      <c r="B3176" s="2">
        <v>44537.657280092593</v>
      </c>
      <c r="C3176" s="2">
        <v>44537.667696759258</v>
      </c>
      <c r="D3176" t="s">
        <v>594</v>
      </c>
      <c r="E3176" t="s">
        <v>3712</v>
      </c>
      <c r="F3176" t="s">
        <v>3713</v>
      </c>
      <c r="G3176" t="s">
        <v>1325</v>
      </c>
      <c r="H3176" t="s">
        <v>1031</v>
      </c>
      <c r="I3176">
        <v>185345009</v>
      </c>
      <c r="J3176" t="s">
        <v>1032</v>
      </c>
      <c r="K3176">
        <v>85.55</v>
      </c>
      <c r="L3176">
        <v>85.55</v>
      </c>
      <c r="M3176">
        <v>0</v>
      </c>
      <c r="N3176">
        <v>444814009</v>
      </c>
      <c r="O3176" t="s">
        <v>1035</v>
      </c>
    </row>
    <row r="3177" spans="1:15">
      <c r="A3177" t="s">
        <v>4635</v>
      </c>
      <c r="B3177" s="2">
        <v>44589.282280092593</v>
      </c>
      <c r="C3177" s="2">
        <v>44589.292696759258</v>
      </c>
      <c r="D3177" t="s">
        <v>594</v>
      </c>
      <c r="E3177" t="s">
        <v>3712</v>
      </c>
      <c r="F3177" t="s">
        <v>3713</v>
      </c>
      <c r="G3177" t="s">
        <v>1325</v>
      </c>
      <c r="H3177" t="s">
        <v>1031</v>
      </c>
      <c r="I3177">
        <v>185345009</v>
      </c>
      <c r="J3177" t="s">
        <v>1032</v>
      </c>
      <c r="K3177">
        <v>85.55</v>
      </c>
      <c r="L3177">
        <v>141.16999999999999</v>
      </c>
      <c r="M3177">
        <v>0</v>
      </c>
      <c r="N3177">
        <v>10509002</v>
      </c>
      <c r="O3177" t="s">
        <v>1033</v>
      </c>
    </row>
    <row r="3178" spans="1:15">
      <c r="A3178" t="s">
        <v>4636</v>
      </c>
      <c r="B3178" s="2">
        <v>44597.240613425929</v>
      </c>
      <c r="C3178" s="2">
        <v>44597.266435185185</v>
      </c>
      <c r="D3178" t="s">
        <v>594</v>
      </c>
      <c r="E3178" t="s">
        <v>3390</v>
      </c>
      <c r="F3178" t="s">
        <v>3391</v>
      </c>
      <c r="G3178" t="s">
        <v>1325</v>
      </c>
      <c r="H3178" t="s">
        <v>1159</v>
      </c>
      <c r="I3178">
        <v>702927004</v>
      </c>
      <c r="J3178" t="s">
        <v>1160</v>
      </c>
      <c r="K3178">
        <v>142.58000000000001</v>
      </c>
      <c r="L3178">
        <v>1056.56</v>
      </c>
      <c r="M3178">
        <v>0</v>
      </c>
      <c r="O3178" t="s">
        <v>34</v>
      </c>
    </row>
    <row r="3179" spans="1:15">
      <c r="A3179" t="s">
        <v>4637</v>
      </c>
      <c r="B3179" s="2">
        <v>44611.240613425929</v>
      </c>
      <c r="C3179" s="2">
        <v>44611.388240740744</v>
      </c>
      <c r="D3179" t="s">
        <v>594</v>
      </c>
      <c r="E3179" t="s">
        <v>3712</v>
      </c>
      <c r="F3179" t="s">
        <v>3713</v>
      </c>
      <c r="G3179" t="s">
        <v>1325</v>
      </c>
      <c r="H3179" t="s">
        <v>1031</v>
      </c>
      <c r="I3179">
        <v>185349003</v>
      </c>
      <c r="J3179" t="s">
        <v>1038</v>
      </c>
      <c r="K3179">
        <v>85.55</v>
      </c>
      <c r="L3179">
        <v>3536.75</v>
      </c>
      <c r="M3179">
        <v>0</v>
      </c>
      <c r="N3179">
        <v>103697008</v>
      </c>
      <c r="O3179" t="s">
        <v>1039</v>
      </c>
    </row>
    <row r="3180" spans="1:15">
      <c r="A3180" t="s">
        <v>4638</v>
      </c>
      <c r="B3180" s="2">
        <v>24409.632662037038</v>
      </c>
      <c r="C3180" s="2">
        <v>24409.643078703702</v>
      </c>
      <c r="D3180" t="s">
        <v>603</v>
      </c>
      <c r="E3180" t="s">
        <v>4639</v>
      </c>
      <c r="F3180" t="s">
        <v>4640</v>
      </c>
      <c r="G3180" t="s">
        <v>1325</v>
      </c>
      <c r="H3180" t="s">
        <v>1031</v>
      </c>
      <c r="I3180">
        <v>185345009</v>
      </c>
      <c r="J3180" t="s">
        <v>1032</v>
      </c>
      <c r="K3180">
        <v>85.55</v>
      </c>
      <c r="L3180">
        <v>92.93</v>
      </c>
      <c r="M3180">
        <v>0</v>
      </c>
      <c r="N3180">
        <v>75498004</v>
      </c>
      <c r="O3180" t="s">
        <v>1174</v>
      </c>
    </row>
    <row r="3181" spans="1:15">
      <c r="A3181" t="s">
        <v>4641</v>
      </c>
      <c r="B3181" s="2">
        <v>24704.799328703702</v>
      </c>
      <c r="C3181" s="2">
        <v>24708.430428240739</v>
      </c>
      <c r="D3181" t="s">
        <v>603</v>
      </c>
      <c r="E3181" t="s">
        <v>4639</v>
      </c>
      <c r="F3181" t="s">
        <v>4640</v>
      </c>
      <c r="G3181" t="s">
        <v>1325</v>
      </c>
      <c r="H3181" t="s">
        <v>1431</v>
      </c>
      <c r="I3181">
        <v>185347001</v>
      </c>
      <c r="J3181" t="s">
        <v>1124</v>
      </c>
      <c r="K3181">
        <v>87.71</v>
      </c>
      <c r="L3181">
        <v>5423.98</v>
      </c>
      <c r="M3181">
        <v>0</v>
      </c>
      <c r="N3181">
        <v>74400008</v>
      </c>
      <c r="O3181" t="s">
        <v>1427</v>
      </c>
    </row>
    <row r="3182" spans="1:15">
      <c r="A3182" t="s">
        <v>4642</v>
      </c>
      <c r="B3182" s="2">
        <v>29686.924328703702</v>
      </c>
      <c r="C3182" s="2">
        <v>29686.93986111111</v>
      </c>
      <c r="D3182" t="s">
        <v>603</v>
      </c>
      <c r="E3182" t="s">
        <v>3880</v>
      </c>
      <c r="F3182" t="s">
        <v>3881</v>
      </c>
      <c r="G3182" t="s">
        <v>1325</v>
      </c>
      <c r="H3182" t="s">
        <v>1020</v>
      </c>
      <c r="I3182">
        <v>410620009</v>
      </c>
      <c r="J3182" t="s">
        <v>1054</v>
      </c>
      <c r="K3182">
        <v>136.80000000000001</v>
      </c>
      <c r="L3182">
        <v>1364.4</v>
      </c>
      <c r="M3182">
        <v>0</v>
      </c>
      <c r="O3182" t="s">
        <v>34</v>
      </c>
    </row>
    <row r="3183" spans="1:15">
      <c r="A3183" t="s">
        <v>4643</v>
      </c>
      <c r="B3183" s="2">
        <v>30057.924328703702</v>
      </c>
      <c r="C3183" s="2">
        <v>30057.952673611111</v>
      </c>
      <c r="D3183" t="s">
        <v>603</v>
      </c>
      <c r="E3183" t="s">
        <v>3880</v>
      </c>
      <c r="F3183" t="s">
        <v>3881</v>
      </c>
      <c r="G3183" t="s">
        <v>1325</v>
      </c>
      <c r="H3183" t="s">
        <v>1020</v>
      </c>
      <c r="I3183">
        <v>162673000</v>
      </c>
      <c r="J3183" t="s">
        <v>1021</v>
      </c>
      <c r="K3183">
        <v>136.80000000000001</v>
      </c>
      <c r="L3183">
        <v>1567</v>
      </c>
      <c r="M3183">
        <v>0</v>
      </c>
      <c r="O3183" t="s">
        <v>34</v>
      </c>
    </row>
    <row r="3184" spans="1:15">
      <c r="A3184" t="s">
        <v>4644</v>
      </c>
      <c r="B3184" s="2">
        <v>35923.924328703702</v>
      </c>
      <c r="C3184" s="2">
        <v>35923.953657407408</v>
      </c>
      <c r="D3184" t="s">
        <v>603</v>
      </c>
      <c r="E3184" t="s">
        <v>3880</v>
      </c>
      <c r="F3184" t="s">
        <v>3881</v>
      </c>
      <c r="G3184" t="s">
        <v>1325</v>
      </c>
      <c r="H3184" t="s">
        <v>1020</v>
      </c>
      <c r="I3184">
        <v>162673000</v>
      </c>
      <c r="J3184" t="s">
        <v>1021</v>
      </c>
      <c r="K3184">
        <v>136.80000000000001</v>
      </c>
      <c r="L3184">
        <v>1069.06</v>
      </c>
      <c r="M3184">
        <v>0</v>
      </c>
      <c r="O3184" t="s">
        <v>34</v>
      </c>
    </row>
    <row r="3185" spans="1:15">
      <c r="A3185" t="s">
        <v>4645</v>
      </c>
      <c r="B3185" s="2">
        <v>38302.882662037038</v>
      </c>
      <c r="C3185" s="2">
        <v>38302.893078703702</v>
      </c>
      <c r="D3185" t="s">
        <v>603</v>
      </c>
      <c r="E3185" t="s">
        <v>4639</v>
      </c>
      <c r="F3185" t="s">
        <v>4640</v>
      </c>
      <c r="G3185" t="s">
        <v>1325</v>
      </c>
      <c r="H3185" t="s">
        <v>1031</v>
      </c>
      <c r="I3185">
        <v>185347001</v>
      </c>
      <c r="J3185" t="s">
        <v>1124</v>
      </c>
      <c r="K3185">
        <v>85.55</v>
      </c>
      <c r="L3185">
        <v>85.55</v>
      </c>
      <c r="M3185">
        <v>0</v>
      </c>
      <c r="N3185">
        <v>90560007</v>
      </c>
      <c r="O3185" t="s">
        <v>3408</v>
      </c>
    </row>
    <row r="3186" spans="1:15">
      <c r="A3186" t="s">
        <v>4646</v>
      </c>
      <c r="B3186" s="2">
        <v>40249.882662037038</v>
      </c>
      <c r="C3186" s="2">
        <v>40249.91878472222</v>
      </c>
      <c r="D3186" t="s">
        <v>603</v>
      </c>
      <c r="E3186" t="s">
        <v>3880</v>
      </c>
      <c r="F3186" t="s">
        <v>3881</v>
      </c>
      <c r="G3186" t="s">
        <v>1325</v>
      </c>
      <c r="H3186" t="s">
        <v>1020</v>
      </c>
      <c r="I3186">
        <v>162673000</v>
      </c>
      <c r="J3186" t="s">
        <v>1021</v>
      </c>
      <c r="K3186">
        <v>136.80000000000001</v>
      </c>
      <c r="L3186">
        <v>1069.06</v>
      </c>
      <c r="M3186">
        <v>0</v>
      </c>
      <c r="O3186" t="s">
        <v>34</v>
      </c>
    </row>
    <row r="3187" spans="1:15">
      <c r="A3187" t="s">
        <v>4647</v>
      </c>
      <c r="B3187" s="2">
        <v>40599.882662037038</v>
      </c>
      <c r="C3187" s="2">
        <v>40599.935011574074</v>
      </c>
      <c r="D3187" t="s">
        <v>603</v>
      </c>
      <c r="E3187" t="s">
        <v>4639</v>
      </c>
      <c r="F3187" t="s">
        <v>4640</v>
      </c>
      <c r="G3187" t="s">
        <v>1325</v>
      </c>
      <c r="H3187" t="s">
        <v>1031</v>
      </c>
      <c r="I3187">
        <v>185347001</v>
      </c>
      <c r="J3187" t="s">
        <v>1124</v>
      </c>
      <c r="K3187">
        <v>85.55</v>
      </c>
      <c r="L3187">
        <v>1379.75</v>
      </c>
      <c r="M3187">
        <v>0</v>
      </c>
      <c r="N3187">
        <v>37320007</v>
      </c>
      <c r="O3187" t="s">
        <v>1125</v>
      </c>
    </row>
    <row r="3188" spans="1:15">
      <c r="A3188" t="s">
        <v>4648</v>
      </c>
      <c r="B3188" s="2">
        <v>44849.282280092593</v>
      </c>
      <c r="C3188" s="2">
        <v>44849.304525462961</v>
      </c>
      <c r="D3188" t="s">
        <v>594</v>
      </c>
      <c r="E3188" t="s">
        <v>3715</v>
      </c>
      <c r="F3188" t="s">
        <v>3716</v>
      </c>
      <c r="G3188" t="s">
        <v>1325</v>
      </c>
      <c r="H3188" t="s">
        <v>1020</v>
      </c>
      <c r="I3188">
        <v>162673000</v>
      </c>
      <c r="J3188" t="s">
        <v>1021</v>
      </c>
      <c r="K3188">
        <v>136.80000000000001</v>
      </c>
      <c r="L3188">
        <v>704.2</v>
      </c>
      <c r="M3188">
        <v>0</v>
      </c>
      <c r="O3188" t="s">
        <v>34</v>
      </c>
    </row>
    <row r="3189" spans="1:15">
      <c r="A3189" t="s">
        <v>4649</v>
      </c>
      <c r="B3189" s="2">
        <v>42062.882662037038</v>
      </c>
      <c r="C3189" s="2">
        <v>42062.915000000001</v>
      </c>
      <c r="D3189" t="s">
        <v>603</v>
      </c>
      <c r="E3189" t="s">
        <v>3880</v>
      </c>
      <c r="F3189" t="s">
        <v>3881</v>
      </c>
      <c r="G3189" t="s">
        <v>1325</v>
      </c>
      <c r="H3189" t="s">
        <v>1020</v>
      </c>
      <c r="I3189">
        <v>162673000</v>
      </c>
      <c r="J3189" t="s">
        <v>1021</v>
      </c>
      <c r="K3189">
        <v>136.80000000000001</v>
      </c>
      <c r="L3189">
        <v>976.2</v>
      </c>
      <c r="M3189">
        <v>0</v>
      </c>
      <c r="O3189" t="s">
        <v>34</v>
      </c>
    </row>
    <row r="3190" spans="1:15">
      <c r="A3190" t="s">
        <v>4650</v>
      </c>
      <c r="B3190" s="2">
        <v>42804.882662037038</v>
      </c>
      <c r="C3190" s="2">
        <v>42804.919247685182</v>
      </c>
      <c r="D3190" t="s">
        <v>603</v>
      </c>
      <c r="E3190" t="s">
        <v>3880</v>
      </c>
      <c r="F3190" t="s">
        <v>3881</v>
      </c>
      <c r="G3190" t="s">
        <v>1325</v>
      </c>
      <c r="H3190" t="s">
        <v>1020</v>
      </c>
      <c r="I3190">
        <v>162673000</v>
      </c>
      <c r="J3190" t="s">
        <v>1021</v>
      </c>
      <c r="K3190">
        <v>136.80000000000001</v>
      </c>
      <c r="L3190">
        <v>994.48</v>
      </c>
      <c r="M3190">
        <v>0</v>
      </c>
      <c r="O3190" t="s">
        <v>34</v>
      </c>
    </row>
    <row r="3191" spans="1:15">
      <c r="A3191" t="s">
        <v>4651</v>
      </c>
      <c r="B3191" s="2">
        <v>42818.924328703702</v>
      </c>
      <c r="C3191" s="2">
        <v>42819.084305555552</v>
      </c>
      <c r="D3191" t="s">
        <v>603</v>
      </c>
      <c r="E3191" t="s">
        <v>4639</v>
      </c>
      <c r="F3191" t="s">
        <v>4640</v>
      </c>
      <c r="G3191" t="s">
        <v>1325</v>
      </c>
      <c r="H3191" t="s">
        <v>1031</v>
      </c>
      <c r="I3191">
        <v>185349003</v>
      </c>
      <c r="J3191" t="s">
        <v>1038</v>
      </c>
      <c r="K3191">
        <v>85.55</v>
      </c>
      <c r="L3191">
        <v>3536.75</v>
      </c>
      <c r="M3191">
        <v>0</v>
      </c>
      <c r="N3191">
        <v>103697008</v>
      </c>
      <c r="O3191" t="s">
        <v>1039</v>
      </c>
    </row>
    <row r="3192" spans="1:15">
      <c r="A3192" t="s">
        <v>4652</v>
      </c>
      <c r="B3192" s="2">
        <v>42969.465995370374</v>
      </c>
      <c r="C3192" s="2">
        <v>42969.476412037038</v>
      </c>
      <c r="D3192" t="s">
        <v>603</v>
      </c>
      <c r="E3192" t="s">
        <v>4639</v>
      </c>
      <c r="F3192" t="s">
        <v>4640</v>
      </c>
      <c r="G3192" t="s">
        <v>1325</v>
      </c>
      <c r="H3192" t="s">
        <v>1031</v>
      </c>
      <c r="I3192">
        <v>185345009</v>
      </c>
      <c r="J3192" t="s">
        <v>1032</v>
      </c>
      <c r="K3192">
        <v>85.55</v>
      </c>
      <c r="L3192">
        <v>85.55</v>
      </c>
      <c r="M3192">
        <v>0</v>
      </c>
      <c r="N3192">
        <v>36971009</v>
      </c>
      <c r="O3192" t="s">
        <v>1278</v>
      </c>
    </row>
    <row r="3193" spans="1:15">
      <c r="A3193" t="s">
        <v>4653</v>
      </c>
      <c r="B3193" s="2">
        <v>43175.924328703702</v>
      </c>
      <c r="C3193" s="2">
        <v>43175.959467592591</v>
      </c>
      <c r="D3193" t="s">
        <v>603</v>
      </c>
      <c r="E3193" t="s">
        <v>3880</v>
      </c>
      <c r="F3193" t="s">
        <v>3881</v>
      </c>
      <c r="G3193" t="s">
        <v>1325</v>
      </c>
      <c r="H3193" t="s">
        <v>1020</v>
      </c>
      <c r="I3193">
        <v>162673000</v>
      </c>
      <c r="J3193" t="s">
        <v>1021</v>
      </c>
      <c r="K3193">
        <v>136.80000000000001</v>
      </c>
      <c r="L3193">
        <v>704.2</v>
      </c>
      <c r="M3193">
        <v>0</v>
      </c>
      <c r="O3193" t="s">
        <v>34</v>
      </c>
    </row>
    <row r="3194" spans="1:15">
      <c r="A3194" t="s">
        <v>4654</v>
      </c>
      <c r="B3194" s="2">
        <v>43189.924328703702</v>
      </c>
      <c r="C3194" s="2">
        <v>43190.043888888889</v>
      </c>
      <c r="D3194" t="s">
        <v>603</v>
      </c>
      <c r="E3194" t="s">
        <v>4639</v>
      </c>
      <c r="F3194" t="s">
        <v>4640</v>
      </c>
      <c r="G3194" t="s">
        <v>1325</v>
      </c>
      <c r="H3194" t="s">
        <v>1031</v>
      </c>
      <c r="I3194">
        <v>185349003</v>
      </c>
      <c r="J3194" t="s">
        <v>1038</v>
      </c>
      <c r="K3194">
        <v>85.55</v>
      </c>
      <c r="L3194">
        <v>2673.95</v>
      </c>
      <c r="M3194">
        <v>0</v>
      </c>
      <c r="N3194">
        <v>103697008</v>
      </c>
      <c r="O3194" t="s">
        <v>1039</v>
      </c>
    </row>
    <row r="3195" spans="1:15">
      <c r="A3195" t="s">
        <v>4655</v>
      </c>
      <c r="B3195" s="2">
        <v>43455.215995370374</v>
      </c>
      <c r="C3195" s="2">
        <v>43455.226412037038</v>
      </c>
      <c r="D3195" t="s">
        <v>603</v>
      </c>
      <c r="E3195" t="s">
        <v>4639</v>
      </c>
      <c r="F3195" t="s">
        <v>4640</v>
      </c>
      <c r="G3195" t="s">
        <v>1325</v>
      </c>
      <c r="H3195" t="s">
        <v>1031</v>
      </c>
      <c r="I3195">
        <v>185345009</v>
      </c>
      <c r="J3195" t="s">
        <v>1032</v>
      </c>
      <c r="K3195">
        <v>85.55</v>
      </c>
      <c r="L3195">
        <v>85.55</v>
      </c>
      <c r="M3195">
        <v>0</v>
      </c>
      <c r="N3195">
        <v>195662009</v>
      </c>
      <c r="O3195" t="s">
        <v>1130</v>
      </c>
    </row>
    <row r="3196" spans="1:15">
      <c r="A3196" t="s">
        <v>4656</v>
      </c>
      <c r="B3196" s="2">
        <v>43524.91306712963</v>
      </c>
      <c r="C3196" s="2">
        <v>43524.943298611113</v>
      </c>
      <c r="D3196" t="s">
        <v>603</v>
      </c>
      <c r="E3196" t="s">
        <v>4639</v>
      </c>
      <c r="F3196" t="s">
        <v>4640</v>
      </c>
      <c r="G3196" t="s">
        <v>1325</v>
      </c>
      <c r="H3196" t="s">
        <v>1031</v>
      </c>
      <c r="I3196">
        <v>185349003</v>
      </c>
      <c r="J3196" t="s">
        <v>1038</v>
      </c>
      <c r="K3196">
        <v>85.55</v>
      </c>
      <c r="L3196">
        <v>12363.44</v>
      </c>
      <c r="M3196">
        <v>3761.66</v>
      </c>
      <c r="N3196">
        <v>275978004</v>
      </c>
      <c r="O3196" t="s">
        <v>1449</v>
      </c>
    </row>
    <row r="3197" spans="1:15">
      <c r="A3197" t="s">
        <v>4657</v>
      </c>
      <c r="B3197" s="2">
        <v>43546.924328703702</v>
      </c>
      <c r="C3197" s="2">
        <v>43546.949537037035</v>
      </c>
      <c r="D3197" t="s">
        <v>603</v>
      </c>
      <c r="E3197" t="s">
        <v>3880</v>
      </c>
      <c r="F3197" t="s">
        <v>3881</v>
      </c>
      <c r="G3197" t="s">
        <v>1325</v>
      </c>
      <c r="H3197" t="s">
        <v>1020</v>
      </c>
      <c r="I3197">
        <v>162673000</v>
      </c>
      <c r="J3197" t="s">
        <v>1021</v>
      </c>
      <c r="K3197">
        <v>136.80000000000001</v>
      </c>
      <c r="L3197">
        <v>704.2</v>
      </c>
      <c r="M3197">
        <v>422.52</v>
      </c>
      <c r="O3197" t="s">
        <v>34</v>
      </c>
    </row>
    <row r="3198" spans="1:15">
      <c r="A3198" t="s">
        <v>4658</v>
      </c>
      <c r="B3198" s="2">
        <v>44863.282280092593</v>
      </c>
      <c r="C3198" s="2">
        <v>44863.453113425923</v>
      </c>
      <c r="D3198" t="s">
        <v>594</v>
      </c>
      <c r="E3198" t="s">
        <v>3712</v>
      </c>
      <c r="F3198" t="s">
        <v>3713</v>
      </c>
      <c r="G3198" t="s">
        <v>1325</v>
      </c>
      <c r="H3198" t="s">
        <v>1031</v>
      </c>
      <c r="I3198">
        <v>185349003</v>
      </c>
      <c r="J3198" t="s">
        <v>1038</v>
      </c>
      <c r="K3198">
        <v>85.55</v>
      </c>
      <c r="L3198">
        <v>3105.35</v>
      </c>
      <c r="M3198">
        <v>0</v>
      </c>
      <c r="N3198">
        <v>66383009</v>
      </c>
      <c r="O3198" t="s">
        <v>1209</v>
      </c>
    </row>
    <row r="3199" spans="1:15">
      <c r="A3199" t="s">
        <v>4659</v>
      </c>
      <c r="B3199" s="2">
        <v>45584.282280092593</v>
      </c>
      <c r="C3199" s="2">
        <v>45584.304988425924</v>
      </c>
      <c r="D3199" t="s">
        <v>594</v>
      </c>
      <c r="E3199" t="s">
        <v>3715</v>
      </c>
      <c r="F3199" t="s">
        <v>3716</v>
      </c>
      <c r="G3199" t="s">
        <v>1325</v>
      </c>
      <c r="H3199" t="s">
        <v>1020</v>
      </c>
      <c r="I3199">
        <v>162673000</v>
      </c>
      <c r="J3199" t="s">
        <v>1021</v>
      </c>
      <c r="K3199">
        <v>136.80000000000001</v>
      </c>
      <c r="L3199">
        <v>704.2</v>
      </c>
      <c r="M3199">
        <v>0</v>
      </c>
      <c r="O3199" t="s">
        <v>34</v>
      </c>
    </row>
    <row r="3200" spans="1:15">
      <c r="A3200" t="s">
        <v>4660</v>
      </c>
      <c r="B3200" s="2">
        <v>46194.324513888889</v>
      </c>
      <c r="C3200" s="2">
        <v>46194.366180555553</v>
      </c>
      <c r="D3200" t="s">
        <v>594</v>
      </c>
      <c r="E3200" t="s">
        <v>3726</v>
      </c>
      <c r="F3200" t="s">
        <v>3727</v>
      </c>
      <c r="G3200" t="s">
        <v>1325</v>
      </c>
      <c r="H3200" t="s">
        <v>1076</v>
      </c>
      <c r="I3200">
        <v>50849002</v>
      </c>
      <c r="J3200" t="s">
        <v>1163</v>
      </c>
      <c r="K3200">
        <v>146.18</v>
      </c>
      <c r="L3200">
        <v>146.18</v>
      </c>
      <c r="M3200">
        <v>0</v>
      </c>
      <c r="N3200">
        <v>48333001</v>
      </c>
      <c r="O3200" t="s">
        <v>2529</v>
      </c>
    </row>
    <row r="3201" spans="1:15">
      <c r="A3201" t="s">
        <v>4661</v>
      </c>
      <c r="B3201" s="2">
        <v>46194.324513888889</v>
      </c>
      <c r="C3201" s="2">
        <v>46226.334930555553</v>
      </c>
      <c r="D3201" t="s">
        <v>594</v>
      </c>
      <c r="E3201" t="s">
        <v>4662</v>
      </c>
      <c r="F3201" t="s">
        <v>4663</v>
      </c>
      <c r="G3201" t="s">
        <v>1325</v>
      </c>
      <c r="H3201" t="s">
        <v>1836</v>
      </c>
      <c r="I3201">
        <v>32485007</v>
      </c>
      <c r="J3201" t="s">
        <v>1837</v>
      </c>
      <c r="K3201">
        <v>110.92</v>
      </c>
      <c r="L3201">
        <v>23391.759999999998</v>
      </c>
      <c r="M3201">
        <v>10521.39</v>
      </c>
      <c r="N3201">
        <v>25675004</v>
      </c>
      <c r="O3201" t="s">
        <v>1838</v>
      </c>
    </row>
    <row r="3202" spans="1:15">
      <c r="A3202" t="s">
        <v>4664</v>
      </c>
      <c r="B3202" s="2">
        <v>43550.152916666666</v>
      </c>
      <c r="C3202" s="2">
        <v>43550.20517361111</v>
      </c>
      <c r="D3202" t="s">
        <v>603</v>
      </c>
      <c r="E3202" t="s">
        <v>4639</v>
      </c>
      <c r="F3202" t="s">
        <v>4640</v>
      </c>
      <c r="G3202" t="s">
        <v>1325</v>
      </c>
      <c r="H3202" t="s">
        <v>1031</v>
      </c>
      <c r="I3202">
        <v>185347001</v>
      </c>
      <c r="J3202" t="s">
        <v>1124</v>
      </c>
      <c r="K3202">
        <v>85.55</v>
      </c>
      <c r="L3202">
        <v>1379.75</v>
      </c>
      <c r="M3202">
        <v>1379.75</v>
      </c>
      <c r="N3202">
        <v>37320007</v>
      </c>
      <c r="O3202" t="s">
        <v>1125</v>
      </c>
    </row>
    <row r="3203" spans="1:15">
      <c r="A3203" t="s">
        <v>4665</v>
      </c>
      <c r="B3203" s="2">
        <v>43571.20517361111</v>
      </c>
      <c r="C3203" s="2">
        <v>43571.221655092595</v>
      </c>
      <c r="D3203" t="s">
        <v>603</v>
      </c>
      <c r="E3203" t="s">
        <v>4639</v>
      </c>
      <c r="F3203" t="s">
        <v>4640</v>
      </c>
      <c r="G3203" t="s">
        <v>1325</v>
      </c>
      <c r="H3203" t="s">
        <v>1031</v>
      </c>
      <c r="I3203">
        <v>390906007</v>
      </c>
      <c r="J3203" t="s">
        <v>1255</v>
      </c>
      <c r="K3203">
        <v>85.55</v>
      </c>
      <c r="L3203">
        <v>516.95000000000005</v>
      </c>
      <c r="M3203">
        <v>516.95000000000005</v>
      </c>
      <c r="N3203">
        <v>37320007</v>
      </c>
      <c r="O3203" t="s">
        <v>1125</v>
      </c>
    </row>
    <row r="3204" spans="1:15">
      <c r="A3204" t="s">
        <v>4666</v>
      </c>
      <c r="B3204" s="2">
        <v>43868.882662037038</v>
      </c>
      <c r="C3204" s="2">
        <v>43868.922685185185</v>
      </c>
      <c r="D3204" t="s">
        <v>603</v>
      </c>
      <c r="E3204" t="s">
        <v>4639</v>
      </c>
      <c r="F3204" t="s">
        <v>4640</v>
      </c>
      <c r="G3204" t="s">
        <v>1325</v>
      </c>
      <c r="H3204" t="s">
        <v>1031</v>
      </c>
      <c r="I3204">
        <v>185345009</v>
      </c>
      <c r="J3204" t="s">
        <v>1032</v>
      </c>
      <c r="K3204">
        <v>85.55</v>
      </c>
      <c r="L3204">
        <v>948.35</v>
      </c>
      <c r="M3204">
        <v>948.35</v>
      </c>
      <c r="N3204">
        <v>39898005</v>
      </c>
      <c r="O3204" t="s">
        <v>2157</v>
      </c>
    </row>
    <row r="3205" spans="1:15">
      <c r="A3205" t="s">
        <v>4667</v>
      </c>
      <c r="B3205" s="2">
        <v>43879.922685185185</v>
      </c>
      <c r="C3205" s="2">
        <v>43879.957129629627</v>
      </c>
      <c r="D3205" t="s">
        <v>603</v>
      </c>
      <c r="E3205" t="s">
        <v>4639</v>
      </c>
      <c r="F3205" t="s">
        <v>4640</v>
      </c>
      <c r="G3205" t="s">
        <v>1325</v>
      </c>
      <c r="H3205" t="s">
        <v>1031</v>
      </c>
      <c r="I3205">
        <v>185345009</v>
      </c>
      <c r="J3205" t="s">
        <v>1032</v>
      </c>
      <c r="K3205">
        <v>85.55</v>
      </c>
      <c r="L3205">
        <v>948.35</v>
      </c>
      <c r="M3205">
        <v>948.35</v>
      </c>
      <c r="N3205">
        <v>39898005</v>
      </c>
      <c r="O3205" t="s">
        <v>2157</v>
      </c>
    </row>
    <row r="3206" spans="1:15">
      <c r="A3206" t="s">
        <v>4668</v>
      </c>
      <c r="B3206" s="2">
        <v>43896.957129629627</v>
      </c>
      <c r="C3206" s="2">
        <v>43897.957129629627</v>
      </c>
      <c r="D3206" t="s">
        <v>603</v>
      </c>
      <c r="E3206" t="s">
        <v>4639</v>
      </c>
      <c r="F3206" t="s">
        <v>4640</v>
      </c>
      <c r="G3206" t="s">
        <v>1325</v>
      </c>
      <c r="H3206" t="s">
        <v>1431</v>
      </c>
      <c r="I3206">
        <v>185347001</v>
      </c>
      <c r="J3206" t="s">
        <v>1124</v>
      </c>
      <c r="K3206">
        <v>87.71</v>
      </c>
      <c r="L3206">
        <v>987.05</v>
      </c>
      <c r="M3206">
        <v>0</v>
      </c>
      <c r="N3206">
        <v>39898005</v>
      </c>
      <c r="O3206" t="s">
        <v>2157</v>
      </c>
    </row>
    <row r="3207" spans="1:15">
      <c r="A3207" t="s">
        <v>4669</v>
      </c>
      <c r="B3207" s="2">
        <v>43917.924328703702</v>
      </c>
      <c r="C3207" s="2">
        <v>43917.957407407404</v>
      </c>
      <c r="D3207" t="s">
        <v>603</v>
      </c>
      <c r="E3207" t="s">
        <v>3880</v>
      </c>
      <c r="F3207" t="s">
        <v>3881</v>
      </c>
      <c r="G3207" t="s">
        <v>1325</v>
      </c>
      <c r="H3207" t="s">
        <v>1020</v>
      </c>
      <c r="I3207">
        <v>162673000</v>
      </c>
      <c r="J3207" t="s">
        <v>1021</v>
      </c>
      <c r="K3207">
        <v>136.80000000000001</v>
      </c>
      <c r="L3207">
        <v>778.78</v>
      </c>
      <c r="M3207">
        <v>0</v>
      </c>
      <c r="O3207" t="s">
        <v>34</v>
      </c>
    </row>
    <row r="3208" spans="1:15">
      <c r="A3208" t="s">
        <v>4670</v>
      </c>
      <c r="B3208" s="2">
        <v>44209.882662037038</v>
      </c>
      <c r="C3208" s="2">
        <v>44209.981956018521</v>
      </c>
      <c r="D3208" t="s">
        <v>603</v>
      </c>
      <c r="E3208" t="s">
        <v>4671</v>
      </c>
      <c r="F3208" t="s">
        <v>4672</v>
      </c>
      <c r="G3208" t="s">
        <v>1325</v>
      </c>
      <c r="H3208" t="s">
        <v>1076</v>
      </c>
      <c r="I3208">
        <v>185345009</v>
      </c>
      <c r="J3208" t="s">
        <v>1032</v>
      </c>
      <c r="K3208">
        <v>87.71</v>
      </c>
      <c r="L3208">
        <v>4476.29</v>
      </c>
      <c r="M3208">
        <v>166.84</v>
      </c>
      <c r="N3208">
        <v>307426000</v>
      </c>
      <c r="O3208" t="s">
        <v>1097</v>
      </c>
    </row>
    <row r="3209" spans="1:15">
      <c r="A3209" t="s">
        <v>4673</v>
      </c>
      <c r="B3209" s="2">
        <v>44288.924328703702</v>
      </c>
      <c r="C3209" s="2">
        <v>44288.957812499997</v>
      </c>
      <c r="D3209" t="s">
        <v>603</v>
      </c>
      <c r="E3209" t="s">
        <v>3880</v>
      </c>
      <c r="F3209" t="s">
        <v>3881</v>
      </c>
      <c r="G3209" t="s">
        <v>1122</v>
      </c>
      <c r="H3209" t="s">
        <v>1020</v>
      </c>
      <c r="I3209">
        <v>162673000</v>
      </c>
      <c r="J3209" t="s">
        <v>1021</v>
      </c>
      <c r="K3209">
        <v>136.80000000000001</v>
      </c>
      <c r="L3209">
        <v>1210.18</v>
      </c>
      <c r="M3209">
        <v>781.74</v>
      </c>
      <c r="O3209" t="s">
        <v>34</v>
      </c>
    </row>
    <row r="3210" spans="1:15">
      <c r="A3210" t="s">
        <v>4674</v>
      </c>
      <c r="B3210" s="2">
        <v>44351.924328703702</v>
      </c>
      <c r="C3210" s="2">
        <v>44351.934745370374</v>
      </c>
      <c r="D3210" t="s">
        <v>603</v>
      </c>
      <c r="E3210" t="s">
        <v>4639</v>
      </c>
      <c r="F3210" t="s">
        <v>4640</v>
      </c>
      <c r="G3210" t="s">
        <v>1122</v>
      </c>
      <c r="H3210" t="s">
        <v>1043</v>
      </c>
      <c r="I3210">
        <v>33879002</v>
      </c>
      <c r="J3210" t="s">
        <v>1044</v>
      </c>
      <c r="K3210">
        <v>142.58000000000001</v>
      </c>
      <c r="L3210">
        <v>278.58</v>
      </c>
      <c r="M3210">
        <v>222.86</v>
      </c>
      <c r="O3210" t="s">
        <v>34</v>
      </c>
    </row>
    <row r="3211" spans="1:15">
      <c r="A3211" t="s">
        <v>4675</v>
      </c>
      <c r="B3211" s="2">
        <v>44659.924328703702</v>
      </c>
      <c r="C3211" s="2">
        <v>44659.964108796295</v>
      </c>
      <c r="D3211" t="s">
        <v>603</v>
      </c>
      <c r="E3211" t="s">
        <v>3880</v>
      </c>
      <c r="F3211" t="s">
        <v>3881</v>
      </c>
      <c r="G3211" t="s">
        <v>1122</v>
      </c>
      <c r="H3211" t="s">
        <v>1020</v>
      </c>
      <c r="I3211">
        <v>162673000</v>
      </c>
      <c r="J3211" t="s">
        <v>1021</v>
      </c>
      <c r="K3211">
        <v>136.80000000000001</v>
      </c>
      <c r="L3211">
        <v>1135.5999999999999</v>
      </c>
      <c r="M3211">
        <v>722.08</v>
      </c>
      <c r="O3211" t="s">
        <v>34</v>
      </c>
    </row>
    <row r="3212" spans="1:15">
      <c r="A3212" t="s">
        <v>4676</v>
      </c>
      <c r="B3212" s="2">
        <v>44673.924328703702</v>
      </c>
      <c r="C3212" s="2">
        <v>44674.070023148146</v>
      </c>
      <c r="D3212" t="s">
        <v>603</v>
      </c>
      <c r="E3212" t="s">
        <v>4639</v>
      </c>
      <c r="F3212" t="s">
        <v>4640</v>
      </c>
      <c r="G3212" t="s">
        <v>1122</v>
      </c>
      <c r="H3212" t="s">
        <v>1031</v>
      </c>
      <c r="I3212">
        <v>185349003</v>
      </c>
      <c r="J3212" t="s">
        <v>1038</v>
      </c>
      <c r="K3212">
        <v>85.55</v>
      </c>
      <c r="L3212">
        <v>3105.35</v>
      </c>
      <c r="M3212">
        <v>2484.2800000000002</v>
      </c>
      <c r="N3212">
        <v>103697008</v>
      </c>
      <c r="O3212" t="s">
        <v>1039</v>
      </c>
    </row>
    <row r="3213" spans="1:15">
      <c r="A3213" t="s">
        <v>4677</v>
      </c>
      <c r="B3213" s="2">
        <v>46242.324513888889</v>
      </c>
      <c r="C3213" s="2">
        <v>46242.334930555553</v>
      </c>
      <c r="D3213" t="s">
        <v>594</v>
      </c>
      <c r="E3213" t="s">
        <v>3712</v>
      </c>
      <c r="F3213" t="s">
        <v>3713</v>
      </c>
      <c r="G3213" t="s">
        <v>1325</v>
      </c>
      <c r="H3213" t="s">
        <v>1031</v>
      </c>
      <c r="I3213">
        <v>185349003</v>
      </c>
      <c r="J3213" t="s">
        <v>1038</v>
      </c>
      <c r="K3213">
        <v>85.55</v>
      </c>
      <c r="L3213">
        <v>85.55</v>
      </c>
      <c r="M3213">
        <v>85.55</v>
      </c>
      <c r="N3213">
        <v>403190006</v>
      </c>
      <c r="O3213" t="s">
        <v>2534</v>
      </c>
    </row>
    <row r="3214" spans="1:15">
      <c r="A3214" t="s">
        <v>4678</v>
      </c>
      <c r="B3214" s="2">
        <v>44729.174328703702</v>
      </c>
      <c r="C3214" s="2">
        <v>44729.184745370374</v>
      </c>
      <c r="D3214" t="s">
        <v>603</v>
      </c>
      <c r="E3214" t="s">
        <v>4639</v>
      </c>
      <c r="F3214" t="s">
        <v>4640</v>
      </c>
      <c r="G3214" t="s">
        <v>1122</v>
      </c>
      <c r="H3214" t="s">
        <v>1031</v>
      </c>
      <c r="I3214">
        <v>185345009</v>
      </c>
      <c r="J3214" t="s">
        <v>1032</v>
      </c>
      <c r="K3214">
        <v>85.55</v>
      </c>
      <c r="L3214">
        <v>85.55</v>
      </c>
      <c r="M3214">
        <v>68.44</v>
      </c>
      <c r="N3214">
        <v>195662009</v>
      </c>
      <c r="O3214" t="s">
        <v>1130</v>
      </c>
    </row>
    <row r="3215" spans="1:15">
      <c r="A3215" t="s">
        <v>4679</v>
      </c>
      <c r="B3215" s="2">
        <v>45030.924328703702</v>
      </c>
      <c r="C3215" s="2">
        <v>45030.962592592594</v>
      </c>
      <c r="D3215" t="s">
        <v>603</v>
      </c>
      <c r="E3215" t="s">
        <v>3880</v>
      </c>
      <c r="F3215" t="s">
        <v>3881</v>
      </c>
      <c r="G3215" t="s">
        <v>1122</v>
      </c>
      <c r="H3215" t="s">
        <v>1020</v>
      </c>
      <c r="I3215">
        <v>162673000</v>
      </c>
      <c r="J3215" t="s">
        <v>1021</v>
      </c>
      <c r="K3215">
        <v>136.80000000000001</v>
      </c>
      <c r="L3215">
        <v>1210.18</v>
      </c>
      <c r="M3215">
        <v>781.74</v>
      </c>
      <c r="O3215" t="s">
        <v>34</v>
      </c>
    </row>
    <row r="3216" spans="1:15">
      <c r="A3216" t="s">
        <v>4680</v>
      </c>
      <c r="B3216" s="2">
        <v>45044.924328703702</v>
      </c>
      <c r="C3216" s="2">
        <v>45045.054803240739</v>
      </c>
      <c r="D3216" t="s">
        <v>603</v>
      </c>
      <c r="E3216" t="s">
        <v>4639</v>
      </c>
      <c r="F3216" t="s">
        <v>4640</v>
      </c>
      <c r="G3216" t="s">
        <v>1122</v>
      </c>
      <c r="H3216" t="s">
        <v>1031</v>
      </c>
      <c r="I3216">
        <v>185349003</v>
      </c>
      <c r="J3216" t="s">
        <v>1038</v>
      </c>
      <c r="K3216">
        <v>85.55</v>
      </c>
      <c r="L3216">
        <v>3105.35</v>
      </c>
      <c r="M3216">
        <v>2484.2800000000002</v>
      </c>
      <c r="N3216">
        <v>66383009</v>
      </c>
      <c r="O3216" t="s">
        <v>1209</v>
      </c>
    </row>
    <row r="3217" spans="1:15">
      <c r="A3217" t="s">
        <v>4681</v>
      </c>
      <c r="B3217" s="2">
        <v>45280.139664351853</v>
      </c>
      <c r="C3217" s="2">
        <v>45280.155300925922</v>
      </c>
      <c r="D3217" t="s">
        <v>603</v>
      </c>
      <c r="E3217" t="s">
        <v>4639</v>
      </c>
      <c r="F3217" t="s">
        <v>4640</v>
      </c>
      <c r="G3217" t="s">
        <v>1122</v>
      </c>
      <c r="H3217" t="s">
        <v>1031</v>
      </c>
      <c r="I3217">
        <v>185345009</v>
      </c>
      <c r="J3217" t="s">
        <v>1032</v>
      </c>
      <c r="K3217">
        <v>85.55</v>
      </c>
      <c r="L3217">
        <v>385.12</v>
      </c>
      <c r="M3217">
        <v>308.10000000000002</v>
      </c>
      <c r="N3217">
        <v>10509002</v>
      </c>
      <c r="O3217" t="s">
        <v>1033</v>
      </c>
    </row>
    <row r="3218" spans="1:15">
      <c r="A3218" t="s">
        <v>4682</v>
      </c>
      <c r="B3218" s="2">
        <v>45289.882662037038</v>
      </c>
      <c r="C3218" s="2">
        <v>45289.910937499997</v>
      </c>
      <c r="D3218" t="s">
        <v>603</v>
      </c>
      <c r="E3218" t="s">
        <v>4639</v>
      </c>
      <c r="F3218" t="s">
        <v>4640</v>
      </c>
      <c r="G3218" t="s">
        <v>1122</v>
      </c>
      <c r="H3218" t="s">
        <v>1043</v>
      </c>
      <c r="I3218">
        <v>185349003</v>
      </c>
      <c r="J3218" t="s">
        <v>1038</v>
      </c>
      <c r="K3218">
        <v>85.55</v>
      </c>
      <c r="L3218">
        <v>1084.3499999999999</v>
      </c>
      <c r="M3218">
        <v>867.48</v>
      </c>
      <c r="O3218" t="s">
        <v>34</v>
      </c>
    </row>
    <row r="3219" spans="1:15">
      <c r="A3219" t="s">
        <v>4683</v>
      </c>
      <c r="B3219" s="2">
        <v>45350.943298611113</v>
      </c>
      <c r="C3219" s="2">
        <v>45350.966678240744</v>
      </c>
      <c r="D3219" t="s">
        <v>603</v>
      </c>
      <c r="E3219" t="s">
        <v>4639</v>
      </c>
      <c r="F3219" t="s">
        <v>4640</v>
      </c>
      <c r="G3219" t="s">
        <v>1122</v>
      </c>
      <c r="H3219" t="s">
        <v>1031</v>
      </c>
      <c r="I3219">
        <v>185349003</v>
      </c>
      <c r="J3219" t="s">
        <v>1038</v>
      </c>
      <c r="K3219">
        <v>85.55</v>
      </c>
      <c r="L3219">
        <v>16366.89</v>
      </c>
      <c r="M3219">
        <v>12907.11</v>
      </c>
      <c r="N3219">
        <v>275978004</v>
      </c>
      <c r="O3219" t="s">
        <v>1449</v>
      </c>
    </row>
    <row r="3220" spans="1:15">
      <c r="A3220" t="s">
        <v>4684</v>
      </c>
      <c r="B3220" s="2">
        <v>45401.924328703702</v>
      </c>
      <c r="C3220" s="2">
        <v>45401.946388888886</v>
      </c>
      <c r="D3220" t="s">
        <v>603</v>
      </c>
      <c r="E3220" t="s">
        <v>3880</v>
      </c>
      <c r="F3220" t="s">
        <v>3881</v>
      </c>
      <c r="G3220" t="s">
        <v>1122</v>
      </c>
      <c r="H3220" t="s">
        <v>1020</v>
      </c>
      <c r="I3220">
        <v>162673000</v>
      </c>
      <c r="J3220" t="s">
        <v>1021</v>
      </c>
      <c r="K3220">
        <v>136.80000000000001</v>
      </c>
      <c r="L3220">
        <v>1139.82</v>
      </c>
      <c r="M3220">
        <v>911.86</v>
      </c>
      <c r="O3220" t="s">
        <v>34</v>
      </c>
    </row>
    <row r="3221" spans="1:15">
      <c r="A3221" t="s">
        <v>4685</v>
      </c>
      <c r="B3221" s="2">
        <v>45613.945856481485</v>
      </c>
      <c r="C3221" s="2">
        <v>45613.987523148149</v>
      </c>
      <c r="D3221" t="s">
        <v>603</v>
      </c>
      <c r="E3221" t="s">
        <v>4671</v>
      </c>
      <c r="F3221" t="s">
        <v>4672</v>
      </c>
      <c r="G3221" t="s">
        <v>1122</v>
      </c>
      <c r="H3221" t="s">
        <v>1076</v>
      </c>
      <c r="I3221">
        <v>50849002</v>
      </c>
      <c r="J3221" t="s">
        <v>1163</v>
      </c>
      <c r="K3221">
        <v>146.18</v>
      </c>
      <c r="L3221">
        <v>4140.8900000000003</v>
      </c>
      <c r="M3221">
        <v>3312.71</v>
      </c>
      <c r="N3221">
        <v>312608009</v>
      </c>
      <c r="O3221" t="s">
        <v>1249</v>
      </c>
    </row>
    <row r="3222" spans="1:15">
      <c r="A3222" t="s">
        <v>4686</v>
      </c>
      <c r="B3222" s="2">
        <v>45772.924328703702</v>
      </c>
      <c r="C3222" s="2">
        <v>45772.952106481483</v>
      </c>
      <c r="D3222" t="s">
        <v>603</v>
      </c>
      <c r="E3222" t="s">
        <v>3880</v>
      </c>
      <c r="F3222" t="s">
        <v>3881</v>
      </c>
      <c r="G3222" t="s">
        <v>1122</v>
      </c>
      <c r="H3222" t="s">
        <v>1020</v>
      </c>
      <c r="I3222">
        <v>162673000</v>
      </c>
      <c r="J3222" t="s">
        <v>1021</v>
      </c>
      <c r="K3222">
        <v>136.80000000000001</v>
      </c>
      <c r="L3222">
        <v>2005.46</v>
      </c>
      <c r="M3222">
        <v>1417.97</v>
      </c>
      <c r="O3222" t="s">
        <v>34</v>
      </c>
    </row>
    <row r="3223" spans="1:15">
      <c r="A3223" t="s">
        <v>4687</v>
      </c>
      <c r="B3223" s="2">
        <v>45786.924328703702</v>
      </c>
      <c r="C3223" s="2">
        <v>45787.061701388891</v>
      </c>
      <c r="D3223" t="s">
        <v>603</v>
      </c>
      <c r="E3223" t="s">
        <v>4639</v>
      </c>
      <c r="F3223" t="s">
        <v>4640</v>
      </c>
      <c r="G3223" t="s">
        <v>1122</v>
      </c>
      <c r="H3223" t="s">
        <v>1031</v>
      </c>
      <c r="I3223">
        <v>185349003</v>
      </c>
      <c r="J3223" t="s">
        <v>1038</v>
      </c>
      <c r="K3223">
        <v>85.55</v>
      </c>
      <c r="L3223">
        <v>3105.35</v>
      </c>
      <c r="M3223">
        <v>2484.2800000000002</v>
      </c>
      <c r="N3223">
        <v>103697008</v>
      </c>
      <c r="O3223" t="s">
        <v>1039</v>
      </c>
    </row>
    <row r="3224" spans="1:15">
      <c r="A3224" t="s">
        <v>4688</v>
      </c>
      <c r="B3224" s="2">
        <v>46143.924328703702</v>
      </c>
      <c r="C3224" s="2">
        <v>46143.949259259258</v>
      </c>
      <c r="D3224" t="s">
        <v>603</v>
      </c>
      <c r="E3224" t="s">
        <v>3880</v>
      </c>
      <c r="F3224" t="s">
        <v>3881</v>
      </c>
      <c r="G3224" t="s">
        <v>1122</v>
      </c>
      <c r="H3224" t="s">
        <v>1020</v>
      </c>
      <c r="I3224">
        <v>162673000</v>
      </c>
      <c r="J3224" t="s">
        <v>1021</v>
      </c>
      <c r="K3224">
        <v>136.80000000000001</v>
      </c>
      <c r="L3224">
        <v>853.36</v>
      </c>
      <c r="M3224">
        <v>496.28</v>
      </c>
      <c r="O3224" t="s">
        <v>34</v>
      </c>
    </row>
    <row r="3225" spans="1:15">
      <c r="A3225" t="s">
        <v>4689</v>
      </c>
      <c r="B3225" s="2">
        <v>46157.924328703702</v>
      </c>
      <c r="C3225" s="2">
        <v>46158.057835648149</v>
      </c>
      <c r="D3225" t="s">
        <v>603</v>
      </c>
      <c r="E3225" t="s">
        <v>4639</v>
      </c>
      <c r="F3225" t="s">
        <v>4640</v>
      </c>
      <c r="G3225" t="s">
        <v>1122</v>
      </c>
      <c r="H3225" t="s">
        <v>1031</v>
      </c>
      <c r="I3225">
        <v>185349003</v>
      </c>
      <c r="J3225" t="s">
        <v>1038</v>
      </c>
      <c r="K3225">
        <v>85.55</v>
      </c>
      <c r="L3225">
        <v>2673.95</v>
      </c>
      <c r="M3225">
        <v>2139.16</v>
      </c>
      <c r="N3225">
        <v>66383009</v>
      </c>
      <c r="O3225" t="s">
        <v>1209</v>
      </c>
    </row>
    <row r="3226" spans="1:15">
      <c r="A3226" t="s">
        <v>4690</v>
      </c>
      <c r="B3226" s="2">
        <v>43741.280046296299</v>
      </c>
      <c r="C3226" s="2">
        <v>43741.290462962963</v>
      </c>
      <c r="D3226" t="s">
        <v>612</v>
      </c>
      <c r="E3226" t="s">
        <v>4027</v>
      </c>
      <c r="F3226" t="s">
        <v>4028</v>
      </c>
      <c r="G3226" t="s">
        <v>1325</v>
      </c>
      <c r="H3226" t="s">
        <v>1020</v>
      </c>
      <c r="I3226">
        <v>410620009</v>
      </c>
      <c r="J3226" t="s">
        <v>1054</v>
      </c>
      <c r="K3226">
        <v>136.80000000000001</v>
      </c>
      <c r="L3226">
        <v>347.38</v>
      </c>
      <c r="M3226">
        <v>0</v>
      </c>
      <c r="O3226" t="s">
        <v>34</v>
      </c>
    </row>
    <row r="3227" spans="1:15">
      <c r="A3227" t="s">
        <v>4691</v>
      </c>
      <c r="B3227" s="2">
        <v>43776.238379629627</v>
      </c>
      <c r="C3227" s="2">
        <v>43776.248796296299</v>
      </c>
      <c r="D3227" t="s">
        <v>612</v>
      </c>
      <c r="E3227" t="s">
        <v>4027</v>
      </c>
      <c r="F3227" t="s">
        <v>4028</v>
      </c>
      <c r="G3227" t="s">
        <v>1325</v>
      </c>
      <c r="H3227" t="s">
        <v>1020</v>
      </c>
      <c r="I3227">
        <v>410620009</v>
      </c>
      <c r="J3227" t="s">
        <v>1054</v>
      </c>
      <c r="K3227">
        <v>136.80000000000001</v>
      </c>
      <c r="L3227">
        <v>272.8</v>
      </c>
      <c r="M3227">
        <v>0</v>
      </c>
      <c r="O3227" t="s">
        <v>34</v>
      </c>
    </row>
    <row r="3228" spans="1:15">
      <c r="A3228" t="s">
        <v>4692</v>
      </c>
      <c r="B3228" s="2">
        <v>43839.238379629627</v>
      </c>
      <c r="C3228" s="2">
        <v>43839.248796296299</v>
      </c>
      <c r="D3228" t="s">
        <v>612</v>
      </c>
      <c r="E3228" t="s">
        <v>4027</v>
      </c>
      <c r="F3228" t="s">
        <v>4028</v>
      </c>
      <c r="G3228" t="s">
        <v>1325</v>
      </c>
      <c r="H3228" t="s">
        <v>1020</v>
      </c>
      <c r="I3228">
        <v>410620009</v>
      </c>
      <c r="J3228" t="s">
        <v>1054</v>
      </c>
      <c r="K3228">
        <v>136.80000000000001</v>
      </c>
      <c r="L3228">
        <v>816.8</v>
      </c>
      <c r="M3228">
        <v>0</v>
      </c>
      <c r="O3228" t="s">
        <v>34</v>
      </c>
    </row>
    <row r="3229" spans="1:15">
      <c r="A3229" t="s">
        <v>4693</v>
      </c>
      <c r="B3229" s="2">
        <v>43902.280046296299</v>
      </c>
      <c r="C3229" s="2">
        <v>43902.290462962963</v>
      </c>
      <c r="D3229" t="s">
        <v>612</v>
      </c>
      <c r="E3229" t="s">
        <v>4027</v>
      </c>
      <c r="F3229" t="s">
        <v>4028</v>
      </c>
      <c r="G3229" t="s">
        <v>1325</v>
      </c>
      <c r="H3229" t="s">
        <v>1020</v>
      </c>
      <c r="I3229">
        <v>410620009</v>
      </c>
      <c r="J3229" t="s">
        <v>1054</v>
      </c>
      <c r="K3229">
        <v>136.80000000000001</v>
      </c>
      <c r="L3229">
        <v>816.8</v>
      </c>
      <c r="M3229">
        <v>0</v>
      </c>
      <c r="O3229" t="s">
        <v>34</v>
      </c>
    </row>
    <row r="3230" spans="1:15">
      <c r="A3230" t="s">
        <v>4694</v>
      </c>
      <c r="B3230" s="2">
        <v>43993.280046296299</v>
      </c>
      <c r="C3230" s="2">
        <v>43993.290462962963</v>
      </c>
      <c r="D3230" t="s">
        <v>612</v>
      </c>
      <c r="E3230" t="s">
        <v>4027</v>
      </c>
      <c r="F3230" t="s">
        <v>4028</v>
      </c>
      <c r="G3230" t="s">
        <v>1325</v>
      </c>
      <c r="H3230" t="s">
        <v>1020</v>
      </c>
      <c r="I3230">
        <v>410620009</v>
      </c>
      <c r="J3230" t="s">
        <v>1054</v>
      </c>
      <c r="K3230">
        <v>136.80000000000001</v>
      </c>
      <c r="L3230">
        <v>816.8</v>
      </c>
      <c r="M3230">
        <v>0</v>
      </c>
      <c r="O3230" t="s">
        <v>34</v>
      </c>
    </row>
    <row r="3231" spans="1:15">
      <c r="A3231" t="s">
        <v>4695</v>
      </c>
      <c r="B3231" s="2">
        <v>44041.280046296299</v>
      </c>
      <c r="C3231" s="2">
        <v>44041.290462962963</v>
      </c>
      <c r="D3231" t="s">
        <v>612</v>
      </c>
      <c r="E3231" t="s">
        <v>4696</v>
      </c>
      <c r="F3231" t="s">
        <v>4697</v>
      </c>
      <c r="G3231" t="s">
        <v>1325</v>
      </c>
      <c r="H3231" t="s">
        <v>1043</v>
      </c>
      <c r="I3231">
        <v>185345009</v>
      </c>
      <c r="J3231" t="s">
        <v>1032</v>
      </c>
      <c r="K3231">
        <v>85.55</v>
      </c>
      <c r="L3231">
        <v>85.55</v>
      </c>
      <c r="M3231">
        <v>0</v>
      </c>
      <c r="N3231">
        <v>65363002</v>
      </c>
      <c r="O3231" t="s">
        <v>1335</v>
      </c>
    </row>
    <row r="3232" spans="1:15">
      <c r="A3232" t="s">
        <v>4698</v>
      </c>
      <c r="B3232" s="2">
        <v>44084.280046296299</v>
      </c>
      <c r="C3232" s="2">
        <v>44084.290462962963</v>
      </c>
      <c r="D3232" t="s">
        <v>612</v>
      </c>
      <c r="E3232" t="s">
        <v>4027</v>
      </c>
      <c r="F3232" t="s">
        <v>4028</v>
      </c>
      <c r="G3232" t="s">
        <v>1325</v>
      </c>
      <c r="H3232" t="s">
        <v>1020</v>
      </c>
      <c r="I3232">
        <v>410620009</v>
      </c>
      <c r="J3232" t="s">
        <v>1054</v>
      </c>
      <c r="K3232">
        <v>136.80000000000001</v>
      </c>
      <c r="L3232">
        <v>136.80000000000001</v>
      </c>
      <c r="M3232">
        <v>0</v>
      </c>
      <c r="O3232" t="s">
        <v>34</v>
      </c>
    </row>
    <row r="3233" spans="1:15">
      <c r="A3233" t="s">
        <v>4699</v>
      </c>
      <c r="B3233" s="2">
        <v>44175.238379629627</v>
      </c>
      <c r="C3233" s="2">
        <v>44175.248796296299</v>
      </c>
      <c r="D3233" t="s">
        <v>612</v>
      </c>
      <c r="E3233" t="s">
        <v>4027</v>
      </c>
      <c r="F3233" t="s">
        <v>4028</v>
      </c>
      <c r="G3233" t="s">
        <v>1325</v>
      </c>
      <c r="H3233" t="s">
        <v>1020</v>
      </c>
      <c r="I3233">
        <v>410620009</v>
      </c>
      <c r="J3233" t="s">
        <v>1054</v>
      </c>
      <c r="K3233">
        <v>136.80000000000001</v>
      </c>
      <c r="L3233">
        <v>1032.5</v>
      </c>
      <c r="M3233">
        <v>0</v>
      </c>
      <c r="O3233" t="s">
        <v>34</v>
      </c>
    </row>
    <row r="3234" spans="1:15">
      <c r="A3234" t="s">
        <v>4700</v>
      </c>
      <c r="B3234" s="2">
        <v>44182.238379629627</v>
      </c>
      <c r="C3234" s="2">
        <v>44182.248796296299</v>
      </c>
      <c r="D3234" t="s">
        <v>612</v>
      </c>
      <c r="E3234" t="s">
        <v>4696</v>
      </c>
      <c r="F3234" t="s">
        <v>4697</v>
      </c>
      <c r="G3234" t="s">
        <v>1325</v>
      </c>
      <c r="H3234" t="s">
        <v>1043</v>
      </c>
      <c r="I3234">
        <v>185345009</v>
      </c>
      <c r="J3234" t="s">
        <v>1032</v>
      </c>
      <c r="K3234">
        <v>85.55</v>
      </c>
      <c r="L3234">
        <v>85.55</v>
      </c>
      <c r="M3234">
        <v>0</v>
      </c>
      <c r="N3234">
        <v>65363002</v>
      </c>
      <c r="O3234" t="s">
        <v>1335</v>
      </c>
    </row>
    <row r="3235" spans="1:15">
      <c r="A3235" t="s">
        <v>4701</v>
      </c>
      <c r="B3235" s="2">
        <v>44266.238379629627</v>
      </c>
      <c r="C3235" s="2">
        <v>44266.248796296299</v>
      </c>
      <c r="D3235" t="s">
        <v>612</v>
      </c>
      <c r="E3235" t="s">
        <v>4027</v>
      </c>
      <c r="F3235" t="s">
        <v>4028</v>
      </c>
      <c r="G3235" t="s">
        <v>1325</v>
      </c>
      <c r="H3235" t="s">
        <v>1020</v>
      </c>
      <c r="I3235">
        <v>410620009</v>
      </c>
      <c r="J3235" t="s">
        <v>1054</v>
      </c>
      <c r="K3235">
        <v>136.80000000000001</v>
      </c>
      <c r="L3235">
        <v>514.41</v>
      </c>
      <c r="M3235">
        <v>0</v>
      </c>
      <c r="O3235" t="s">
        <v>34</v>
      </c>
    </row>
    <row r="3236" spans="1:15">
      <c r="A3236" t="s">
        <v>4702</v>
      </c>
      <c r="B3236" s="2">
        <v>44416.280046296299</v>
      </c>
      <c r="C3236" s="2">
        <v>44416.290462962963</v>
      </c>
      <c r="D3236" t="s">
        <v>612</v>
      </c>
      <c r="E3236" t="s">
        <v>4696</v>
      </c>
      <c r="F3236" t="s">
        <v>4697</v>
      </c>
      <c r="G3236" t="s">
        <v>1325</v>
      </c>
      <c r="H3236" t="s">
        <v>1043</v>
      </c>
      <c r="I3236">
        <v>185345009</v>
      </c>
      <c r="J3236" t="s">
        <v>1032</v>
      </c>
      <c r="K3236">
        <v>85.55</v>
      </c>
      <c r="L3236">
        <v>85.55</v>
      </c>
      <c r="M3236">
        <v>0</v>
      </c>
      <c r="N3236">
        <v>65363002</v>
      </c>
      <c r="O3236" t="s">
        <v>1335</v>
      </c>
    </row>
    <row r="3237" spans="1:15">
      <c r="A3237" t="s">
        <v>4703</v>
      </c>
      <c r="B3237" s="2">
        <v>44448.280046296299</v>
      </c>
      <c r="C3237" s="2">
        <v>44448.290462962963</v>
      </c>
      <c r="D3237" t="s">
        <v>612</v>
      </c>
      <c r="E3237" t="s">
        <v>4027</v>
      </c>
      <c r="F3237" t="s">
        <v>4028</v>
      </c>
      <c r="G3237" t="s">
        <v>1325</v>
      </c>
      <c r="H3237" t="s">
        <v>1020</v>
      </c>
      <c r="I3237">
        <v>410620009</v>
      </c>
      <c r="J3237" t="s">
        <v>1054</v>
      </c>
      <c r="K3237">
        <v>136.80000000000001</v>
      </c>
      <c r="L3237">
        <v>488.5</v>
      </c>
      <c r="M3237">
        <v>0</v>
      </c>
      <c r="O3237" t="s">
        <v>34</v>
      </c>
    </row>
    <row r="3238" spans="1:15">
      <c r="A3238" t="s">
        <v>4704</v>
      </c>
      <c r="B3238" s="2">
        <v>44630.238379629627</v>
      </c>
      <c r="C3238" s="2">
        <v>44630.248796296299</v>
      </c>
      <c r="D3238" t="s">
        <v>612</v>
      </c>
      <c r="E3238" t="s">
        <v>4027</v>
      </c>
      <c r="F3238" t="s">
        <v>4028</v>
      </c>
      <c r="G3238" t="s">
        <v>1325</v>
      </c>
      <c r="H3238" t="s">
        <v>1020</v>
      </c>
      <c r="I3238">
        <v>410620009</v>
      </c>
      <c r="J3238" t="s">
        <v>1054</v>
      </c>
      <c r="K3238">
        <v>136.80000000000001</v>
      </c>
      <c r="L3238">
        <v>674.31</v>
      </c>
      <c r="M3238">
        <v>0</v>
      </c>
      <c r="O3238" t="s">
        <v>34</v>
      </c>
    </row>
    <row r="3239" spans="1:15">
      <c r="A3239" t="s">
        <v>4705</v>
      </c>
      <c r="B3239" s="2">
        <v>44812.280046296299</v>
      </c>
      <c r="C3239" s="2">
        <v>44812.290462962963</v>
      </c>
      <c r="D3239" t="s">
        <v>612</v>
      </c>
      <c r="E3239" t="s">
        <v>4027</v>
      </c>
      <c r="F3239" t="s">
        <v>4028</v>
      </c>
      <c r="G3239" t="s">
        <v>1325</v>
      </c>
      <c r="H3239" t="s">
        <v>1020</v>
      </c>
      <c r="I3239">
        <v>410620009</v>
      </c>
      <c r="J3239" t="s">
        <v>1054</v>
      </c>
      <c r="K3239">
        <v>136.80000000000001</v>
      </c>
      <c r="L3239">
        <v>704.2</v>
      </c>
      <c r="M3239">
        <v>0</v>
      </c>
      <c r="O3239" t="s">
        <v>34</v>
      </c>
    </row>
    <row r="3240" spans="1:15">
      <c r="A3240" t="s">
        <v>4706</v>
      </c>
      <c r="B3240" s="2">
        <v>44819.280046296299</v>
      </c>
      <c r="C3240" s="2">
        <v>44819.429618055554</v>
      </c>
      <c r="D3240" t="s">
        <v>612</v>
      </c>
      <c r="E3240" t="s">
        <v>4696</v>
      </c>
      <c r="F3240" t="s">
        <v>4697</v>
      </c>
      <c r="G3240" t="s">
        <v>1325</v>
      </c>
      <c r="H3240" t="s">
        <v>1031</v>
      </c>
      <c r="I3240">
        <v>185349003</v>
      </c>
      <c r="J3240" t="s">
        <v>1038</v>
      </c>
      <c r="K3240">
        <v>85.55</v>
      </c>
      <c r="L3240">
        <v>3536.75</v>
      </c>
      <c r="M3240">
        <v>0</v>
      </c>
      <c r="N3240">
        <v>103697008</v>
      </c>
      <c r="O3240" t="s">
        <v>1039</v>
      </c>
    </row>
    <row r="3241" spans="1:15">
      <c r="A3241" t="s">
        <v>4707</v>
      </c>
      <c r="B3241" s="2">
        <v>44994.238379629627</v>
      </c>
      <c r="C3241" s="2">
        <v>44994.248796296299</v>
      </c>
      <c r="D3241" t="s">
        <v>612</v>
      </c>
      <c r="E3241" t="s">
        <v>4027</v>
      </c>
      <c r="F3241" t="s">
        <v>4028</v>
      </c>
      <c r="G3241" t="s">
        <v>1325</v>
      </c>
      <c r="H3241" t="s">
        <v>1020</v>
      </c>
      <c r="I3241">
        <v>410620009</v>
      </c>
      <c r="J3241" t="s">
        <v>1054</v>
      </c>
      <c r="K3241">
        <v>136.80000000000001</v>
      </c>
      <c r="L3241">
        <v>136.80000000000001</v>
      </c>
      <c r="M3241">
        <v>0</v>
      </c>
      <c r="O3241" t="s">
        <v>34</v>
      </c>
    </row>
    <row r="3242" spans="1:15">
      <c r="A3242" t="s">
        <v>4708</v>
      </c>
      <c r="B3242" s="2">
        <v>45176.280046296299</v>
      </c>
      <c r="C3242" s="2">
        <v>45176.293958333335</v>
      </c>
      <c r="D3242" t="s">
        <v>612</v>
      </c>
      <c r="E3242" t="s">
        <v>4027</v>
      </c>
      <c r="F3242" t="s">
        <v>4028</v>
      </c>
      <c r="G3242" t="s">
        <v>1325</v>
      </c>
      <c r="H3242" t="s">
        <v>1020</v>
      </c>
      <c r="I3242">
        <v>410620009</v>
      </c>
      <c r="J3242" t="s">
        <v>1054</v>
      </c>
      <c r="K3242">
        <v>136.80000000000001</v>
      </c>
      <c r="L3242">
        <v>704.2</v>
      </c>
      <c r="M3242">
        <v>0</v>
      </c>
      <c r="O3242" t="s">
        <v>34</v>
      </c>
    </row>
    <row r="3243" spans="1:15">
      <c r="A3243" t="s">
        <v>4709</v>
      </c>
      <c r="B3243" s="2">
        <v>45183.280046296299</v>
      </c>
      <c r="C3243" s="2">
        <v>45183.433657407404</v>
      </c>
      <c r="D3243" t="s">
        <v>612</v>
      </c>
      <c r="E3243" t="s">
        <v>4696</v>
      </c>
      <c r="F3243" t="s">
        <v>4697</v>
      </c>
      <c r="G3243" t="s">
        <v>1325</v>
      </c>
      <c r="H3243" t="s">
        <v>1031</v>
      </c>
      <c r="I3243">
        <v>185349003</v>
      </c>
      <c r="J3243" t="s">
        <v>1038</v>
      </c>
      <c r="K3243">
        <v>85.55</v>
      </c>
      <c r="L3243">
        <v>3536.75</v>
      </c>
      <c r="M3243">
        <v>0</v>
      </c>
      <c r="N3243">
        <v>103697008</v>
      </c>
      <c r="O3243" t="s">
        <v>1039</v>
      </c>
    </row>
    <row r="3244" spans="1:15">
      <c r="A3244" t="s">
        <v>4710</v>
      </c>
      <c r="B3244" s="2">
        <v>45547.280046296299</v>
      </c>
      <c r="C3244" s="2">
        <v>45547.290462962963</v>
      </c>
      <c r="D3244" t="s">
        <v>612</v>
      </c>
      <c r="E3244" t="s">
        <v>4027</v>
      </c>
      <c r="F3244" t="s">
        <v>4028</v>
      </c>
      <c r="G3244" t="s">
        <v>1325</v>
      </c>
      <c r="H3244" t="s">
        <v>1020</v>
      </c>
      <c r="I3244">
        <v>410620009</v>
      </c>
      <c r="J3244" t="s">
        <v>1054</v>
      </c>
      <c r="K3244">
        <v>136.80000000000001</v>
      </c>
      <c r="L3244">
        <v>816.8</v>
      </c>
      <c r="M3244">
        <v>0</v>
      </c>
      <c r="O3244" t="s">
        <v>34</v>
      </c>
    </row>
    <row r="3245" spans="1:15">
      <c r="A3245" t="s">
        <v>4711</v>
      </c>
      <c r="B3245" s="2">
        <v>45699.530046296299</v>
      </c>
      <c r="C3245" s="2">
        <v>45699.540462962963</v>
      </c>
      <c r="D3245" t="s">
        <v>612</v>
      </c>
      <c r="E3245" t="s">
        <v>4696</v>
      </c>
      <c r="F3245" t="s">
        <v>4697</v>
      </c>
      <c r="G3245" t="s">
        <v>1325</v>
      </c>
      <c r="H3245" t="s">
        <v>1031</v>
      </c>
      <c r="I3245">
        <v>185345009</v>
      </c>
      <c r="J3245" t="s">
        <v>1032</v>
      </c>
      <c r="K3245">
        <v>85.55</v>
      </c>
      <c r="L3245">
        <v>85.55</v>
      </c>
      <c r="M3245">
        <v>0</v>
      </c>
      <c r="N3245">
        <v>75498004</v>
      </c>
      <c r="O3245" t="s">
        <v>1174</v>
      </c>
    </row>
    <row r="3246" spans="1:15">
      <c r="A3246" t="s">
        <v>4712</v>
      </c>
      <c r="B3246" s="2">
        <v>45735.571712962963</v>
      </c>
      <c r="C3246" s="2">
        <v>45735.582129629627</v>
      </c>
      <c r="D3246" t="s">
        <v>612</v>
      </c>
      <c r="E3246" t="s">
        <v>4696</v>
      </c>
      <c r="F3246" t="s">
        <v>4697</v>
      </c>
      <c r="G3246" t="s">
        <v>1325</v>
      </c>
      <c r="H3246" t="s">
        <v>1031</v>
      </c>
      <c r="I3246">
        <v>185345009</v>
      </c>
      <c r="J3246" t="s">
        <v>1032</v>
      </c>
      <c r="K3246">
        <v>85.55</v>
      </c>
      <c r="L3246">
        <v>92.93</v>
      </c>
      <c r="M3246">
        <v>0</v>
      </c>
      <c r="N3246">
        <v>75498004</v>
      </c>
      <c r="O3246" t="s">
        <v>1174</v>
      </c>
    </row>
    <row r="3247" spans="1:15">
      <c r="A3247" t="s">
        <v>4713</v>
      </c>
      <c r="B3247" s="2">
        <v>45756.571712962963</v>
      </c>
      <c r="C3247" s="2">
        <v>45756.582129629627</v>
      </c>
      <c r="D3247" t="s">
        <v>612</v>
      </c>
      <c r="E3247" t="s">
        <v>4696</v>
      </c>
      <c r="F3247" t="s">
        <v>4697</v>
      </c>
      <c r="G3247" t="s">
        <v>1325</v>
      </c>
      <c r="H3247" t="s">
        <v>1031</v>
      </c>
      <c r="I3247">
        <v>185345009</v>
      </c>
      <c r="J3247" t="s">
        <v>1032</v>
      </c>
      <c r="K3247">
        <v>85.55</v>
      </c>
      <c r="L3247">
        <v>85.55</v>
      </c>
      <c r="M3247">
        <v>0</v>
      </c>
      <c r="N3247">
        <v>75498004</v>
      </c>
      <c r="O3247" t="s">
        <v>1174</v>
      </c>
    </row>
    <row r="3248" spans="1:15">
      <c r="A3248" t="s">
        <v>4714</v>
      </c>
      <c r="B3248" s="2">
        <v>45764.280046296299</v>
      </c>
      <c r="C3248" s="2">
        <v>45764.29488425926</v>
      </c>
      <c r="D3248" t="s">
        <v>612</v>
      </c>
      <c r="E3248" t="s">
        <v>4696</v>
      </c>
      <c r="F3248" t="s">
        <v>4697</v>
      </c>
      <c r="G3248" t="s">
        <v>1325</v>
      </c>
      <c r="H3248" t="s">
        <v>1043</v>
      </c>
      <c r="I3248">
        <v>185349003</v>
      </c>
      <c r="J3248" t="s">
        <v>1038</v>
      </c>
      <c r="K3248">
        <v>85.55</v>
      </c>
      <c r="L3248">
        <v>1590.33</v>
      </c>
      <c r="M3248">
        <v>0</v>
      </c>
      <c r="O3248" t="s">
        <v>34</v>
      </c>
    </row>
    <row r="3249" spans="1:15">
      <c r="A3249" t="s">
        <v>4715</v>
      </c>
      <c r="B3249" s="2">
        <v>45771.280046296299</v>
      </c>
      <c r="C3249" s="2">
        <v>45771.545393518521</v>
      </c>
      <c r="D3249" t="s">
        <v>612</v>
      </c>
      <c r="E3249" t="s">
        <v>4696</v>
      </c>
      <c r="F3249" t="s">
        <v>4697</v>
      </c>
      <c r="G3249" t="s">
        <v>1325</v>
      </c>
      <c r="H3249" t="s">
        <v>1031</v>
      </c>
      <c r="I3249">
        <v>185349003</v>
      </c>
      <c r="J3249" t="s">
        <v>1038</v>
      </c>
      <c r="K3249">
        <v>85.55</v>
      </c>
      <c r="L3249">
        <v>4830.95</v>
      </c>
      <c r="M3249">
        <v>354.79</v>
      </c>
      <c r="N3249">
        <v>103697008</v>
      </c>
      <c r="O3249" t="s">
        <v>1039</v>
      </c>
    </row>
    <row r="3250" spans="1:15">
      <c r="A3250" t="s">
        <v>4716</v>
      </c>
      <c r="B3250" s="2">
        <v>45918.280046296299</v>
      </c>
      <c r="C3250" s="2">
        <v>45918.290462962963</v>
      </c>
      <c r="D3250" t="s">
        <v>612</v>
      </c>
      <c r="E3250" t="s">
        <v>4027</v>
      </c>
      <c r="F3250" t="s">
        <v>4028</v>
      </c>
      <c r="G3250" t="s">
        <v>1325</v>
      </c>
      <c r="H3250" t="s">
        <v>1020</v>
      </c>
      <c r="I3250">
        <v>410620009</v>
      </c>
      <c r="J3250" t="s">
        <v>1054</v>
      </c>
      <c r="K3250">
        <v>136.80000000000001</v>
      </c>
      <c r="L3250">
        <v>500.02</v>
      </c>
      <c r="M3250">
        <v>300.01</v>
      </c>
      <c r="O3250" t="s">
        <v>34</v>
      </c>
    </row>
    <row r="3251" spans="1:15">
      <c r="A3251" t="s">
        <v>4717</v>
      </c>
      <c r="B3251" s="2">
        <v>42819.714050925926</v>
      </c>
      <c r="C3251" s="2">
        <v>42819.72446759259</v>
      </c>
      <c r="D3251" t="s">
        <v>618</v>
      </c>
      <c r="E3251" t="s">
        <v>4718</v>
      </c>
      <c r="F3251" t="s">
        <v>4719</v>
      </c>
      <c r="G3251" t="s">
        <v>1107</v>
      </c>
      <c r="H3251" t="s">
        <v>1020</v>
      </c>
      <c r="I3251">
        <v>410620009</v>
      </c>
      <c r="J3251" t="s">
        <v>1054</v>
      </c>
      <c r="K3251">
        <v>136.80000000000001</v>
      </c>
      <c r="L3251">
        <v>917.97</v>
      </c>
      <c r="M3251">
        <v>0</v>
      </c>
      <c r="O3251" t="s">
        <v>34</v>
      </c>
    </row>
    <row r="3252" spans="1:15">
      <c r="A3252" t="s">
        <v>4720</v>
      </c>
      <c r="B3252" s="2">
        <v>42854.714050925926</v>
      </c>
      <c r="C3252" s="2">
        <v>42854.72446759259</v>
      </c>
      <c r="D3252" t="s">
        <v>618</v>
      </c>
      <c r="E3252" t="s">
        <v>4718</v>
      </c>
      <c r="F3252" t="s">
        <v>4719</v>
      </c>
      <c r="G3252" t="s">
        <v>1107</v>
      </c>
      <c r="H3252" t="s">
        <v>1020</v>
      </c>
      <c r="I3252">
        <v>410620009</v>
      </c>
      <c r="J3252" t="s">
        <v>1054</v>
      </c>
      <c r="K3252">
        <v>136.80000000000001</v>
      </c>
      <c r="L3252">
        <v>986.56</v>
      </c>
      <c r="M3252">
        <v>0</v>
      </c>
      <c r="O3252" t="s">
        <v>34</v>
      </c>
    </row>
    <row r="3253" spans="1:15">
      <c r="A3253" t="s">
        <v>4721</v>
      </c>
      <c r="B3253" s="2">
        <v>42917.714050925926</v>
      </c>
      <c r="C3253" s="2">
        <v>42917.72446759259</v>
      </c>
      <c r="D3253" t="s">
        <v>618</v>
      </c>
      <c r="E3253" t="s">
        <v>4718</v>
      </c>
      <c r="F3253" t="s">
        <v>4719</v>
      </c>
      <c r="G3253" t="s">
        <v>1107</v>
      </c>
      <c r="H3253" t="s">
        <v>1020</v>
      </c>
      <c r="I3253">
        <v>410620009</v>
      </c>
      <c r="J3253" t="s">
        <v>1054</v>
      </c>
      <c r="K3253">
        <v>136.80000000000001</v>
      </c>
      <c r="L3253">
        <v>816.8</v>
      </c>
      <c r="M3253">
        <v>0</v>
      </c>
      <c r="O3253" t="s">
        <v>34</v>
      </c>
    </row>
    <row r="3254" spans="1:15">
      <c r="A3254" t="s">
        <v>4722</v>
      </c>
      <c r="B3254" s="2">
        <v>42980.714050925926</v>
      </c>
      <c r="C3254" s="2">
        <v>42980.72446759259</v>
      </c>
      <c r="D3254" t="s">
        <v>618</v>
      </c>
      <c r="E3254" t="s">
        <v>4718</v>
      </c>
      <c r="F3254" t="s">
        <v>4719</v>
      </c>
      <c r="G3254" t="s">
        <v>1107</v>
      </c>
      <c r="H3254" t="s">
        <v>1020</v>
      </c>
      <c r="I3254">
        <v>410620009</v>
      </c>
      <c r="J3254" t="s">
        <v>1054</v>
      </c>
      <c r="K3254">
        <v>136.80000000000001</v>
      </c>
      <c r="L3254">
        <v>1032.5</v>
      </c>
      <c r="M3254">
        <v>0</v>
      </c>
      <c r="O3254" t="s">
        <v>34</v>
      </c>
    </row>
    <row r="3255" spans="1:15">
      <c r="A3255" t="s">
        <v>4723</v>
      </c>
      <c r="B3255" s="2">
        <v>43071.672384259262</v>
      </c>
      <c r="C3255" s="2">
        <v>43071.682800925926</v>
      </c>
      <c r="D3255" t="s">
        <v>618</v>
      </c>
      <c r="E3255" t="s">
        <v>4718</v>
      </c>
      <c r="F3255" t="s">
        <v>4719</v>
      </c>
      <c r="G3255" t="s">
        <v>1107</v>
      </c>
      <c r="H3255" t="s">
        <v>1020</v>
      </c>
      <c r="I3255">
        <v>410620009</v>
      </c>
      <c r="J3255" t="s">
        <v>1054</v>
      </c>
      <c r="K3255">
        <v>136.80000000000001</v>
      </c>
      <c r="L3255">
        <v>1557.45</v>
      </c>
      <c r="M3255">
        <v>567.9</v>
      </c>
      <c r="O3255" t="s">
        <v>34</v>
      </c>
    </row>
    <row r="3256" spans="1:15">
      <c r="A3256" t="s">
        <v>4724</v>
      </c>
      <c r="B3256" s="2">
        <v>43162.672384259262</v>
      </c>
      <c r="C3256" s="2">
        <v>43162.682800925926</v>
      </c>
      <c r="D3256" t="s">
        <v>618</v>
      </c>
      <c r="E3256" t="s">
        <v>4718</v>
      </c>
      <c r="F3256" t="s">
        <v>4719</v>
      </c>
      <c r="G3256" t="s">
        <v>1107</v>
      </c>
      <c r="H3256" t="s">
        <v>1020</v>
      </c>
      <c r="I3256">
        <v>410620009</v>
      </c>
      <c r="J3256" t="s">
        <v>1054</v>
      </c>
      <c r="K3256">
        <v>136.80000000000001</v>
      </c>
      <c r="L3256">
        <v>136.80000000000001</v>
      </c>
      <c r="M3256">
        <v>95.76</v>
      </c>
      <c r="O3256" t="s">
        <v>34</v>
      </c>
    </row>
    <row r="3257" spans="1:15">
      <c r="A3257" t="s">
        <v>4725</v>
      </c>
      <c r="B3257" s="2">
        <v>43253.714050925926</v>
      </c>
      <c r="C3257" s="2">
        <v>43253.72446759259</v>
      </c>
      <c r="D3257" t="s">
        <v>618</v>
      </c>
      <c r="E3257" t="s">
        <v>4718</v>
      </c>
      <c r="F3257" t="s">
        <v>4719</v>
      </c>
      <c r="G3257" t="s">
        <v>1107</v>
      </c>
      <c r="H3257" t="s">
        <v>1020</v>
      </c>
      <c r="I3257">
        <v>410620009</v>
      </c>
      <c r="J3257" t="s">
        <v>1054</v>
      </c>
      <c r="K3257">
        <v>136.80000000000001</v>
      </c>
      <c r="L3257">
        <v>816.8</v>
      </c>
      <c r="M3257">
        <v>0</v>
      </c>
      <c r="O3257" t="s">
        <v>34</v>
      </c>
    </row>
    <row r="3258" spans="1:15">
      <c r="A3258" t="s">
        <v>4726</v>
      </c>
      <c r="B3258" s="2">
        <v>43332.172384259262</v>
      </c>
      <c r="C3258" s="2">
        <v>43332.182800925926</v>
      </c>
      <c r="D3258" t="s">
        <v>618</v>
      </c>
      <c r="E3258" t="s">
        <v>4727</v>
      </c>
      <c r="F3258" t="s">
        <v>4728</v>
      </c>
      <c r="G3258" t="s">
        <v>1107</v>
      </c>
      <c r="H3258" t="s">
        <v>1031</v>
      </c>
      <c r="I3258">
        <v>185345009</v>
      </c>
      <c r="J3258" t="s">
        <v>1032</v>
      </c>
      <c r="K3258">
        <v>85.55</v>
      </c>
      <c r="L3258">
        <v>85.55</v>
      </c>
      <c r="M3258">
        <v>0</v>
      </c>
      <c r="N3258">
        <v>43878008</v>
      </c>
      <c r="O3258" t="s">
        <v>1217</v>
      </c>
    </row>
    <row r="3259" spans="1:15">
      <c r="A3259" t="s">
        <v>4729</v>
      </c>
      <c r="B3259" s="2">
        <v>43344.714050925926</v>
      </c>
      <c r="C3259" s="2">
        <v>43344.72446759259</v>
      </c>
      <c r="D3259" t="s">
        <v>618</v>
      </c>
      <c r="E3259" t="s">
        <v>4718</v>
      </c>
      <c r="F3259" t="s">
        <v>4719</v>
      </c>
      <c r="G3259" t="s">
        <v>1107</v>
      </c>
      <c r="H3259" t="s">
        <v>1020</v>
      </c>
      <c r="I3259">
        <v>410620009</v>
      </c>
      <c r="J3259" t="s">
        <v>1054</v>
      </c>
      <c r="K3259">
        <v>136.80000000000001</v>
      </c>
      <c r="L3259">
        <v>272.8</v>
      </c>
      <c r="M3259">
        <v>0</v>
      </c>
      <c r="O3259" t="s">
        <v>34</v>
      </c>
    </row>
    <row r="3260" spans="1:15">
      <c r="A3260" t="s">
        <v>4730</v>
      </c>
      <c r="B3260" s="2">
        <v>43421.589050925926</v>
      </c>
      <c r="C3260" s="2">
        <v>43421.601782407408</v>
      </c>
      <c r="D3260" t="s">
        <v>618</v>
      </c>
      <c r="E3260" t="s">
        <v>4727</v>
      </c>
      <c r="F3260" t="s">
        <v>4728</v>
      </c>
      <c r="G3260" t="s">
        <v>1107</v>
      </c>
      <c r="H3260" t="s">
        <v>1031</v>
      </c>
      <c r="I3260">
        <v>185345009</v>
      </c>
      <c r="J3260" t="s">
        <v>1032</v>
      </c>
      <c r="K3260">
        <v>85.55</v>
      </c>
      <c r="L3260">
        <v>500.01</v>
      </c>
      <c r="M3260">
        <v>0</v>
      </c>
      <c r="N3260">
        <v>10509002</v>
      </c>
      <c r="O3260" t="s">
        <v>1033</v>
      </c>
    </row>
    <row r="3261" spans="1:15">
      <c r="A3261" t="s">
        <v>4731</v>
      </c>
      <c r="B3261" s="2">
        <v>43455.589050925926</v>
      </c>
      <c r="C3261" s="2">
        <v>43455.59946759259</v>
      </c>
      <c r="D3261" t="s">
        <v>618</v>
      </c>
      <c r="E3261" t="s">
        <v>4727</v>
      </c>
      <c r="F3261" t="s">
        <v>4728</v>
      </c>
      <c r="G3261" t="s">
        <v>1107</v>
      </c>
      <c r="H3261" t="s">
        <v>1031</v>
      </c>
      <c r="I3261">
        <v>185345009</v>
      </c>
      <c r="J3261" t="s">
        <v>1032</v>
      </c>
      <c r="K3261">
        <v>85.55</v>
      </c>
      <c r="L3261">
        <v>85.55</v>
      </c>
      <c r="M3261">
        <v>0</v>
      </c>
      <c r="N3261">
        <v>444814009</v>
      </c>
      <c r="O3261" t="s">
        <v>1035</v>
      </c>
    </row>
    <row r="3262" spans="1:15">
      <c r="A3262" t="s">
        <v>4732</v>
      </c>
      <c r="B3262" s="2">
        <v>43526.672384259262</v>
      </c>
      <c r="C3262" s="2">
        <v>43526.682800925926</v>
      </c>
      <c r="D3262" t="s">
        <v>618</v>
      </c>
      <c r="E3262" t="s">
        <v>4718</v>
      </c>
      <c r="F3262" t="s">
        <v>4719</v>
      </c>
      <c r="G3262" t="s">
        <v>1107</v>
      </c>
      <c r="H3262" t="s">
        <v>1020</v>
      </c>
      <c r="I3262">
        <v>410620009</v>
      </c>
      <c r="J3262" t="s">
        <v>1054</v>
      </c>
      <c r="K3262">
        <v>136.80000000000001</v>
      </c>
      <c r="L3262">
        <v>488.5</v>
      </c>
      <c r="M3262">
        <v>0</v>
      </c>
      <c r="O3262" t="s">
        <v>34</v>
      </c>
    </row>
    <row r="3263" spans="1:15">
      <c r="A3263" t="s">
        <v>4733</v>
      </c>
      <c r="B3263" s="2">
        <v>43708.714050925926</v>
      </c>
      <c r="C3263" s="2">
        <v>43708.72446759259</v>
      </c>
      <c r="D3263" t="s">
        <v>618</v>
      </c>
      <c r="E3263" t="s">
        <v>4718</v>
      </c>
      <c r="F3263" t="s">
        <v>4719</v>
      </c>
      <c r="G3263" t="s">
        <v>1107</v>
      </c>
      <c r="H3263" t="s">
        <v>1020</v>
      </c>
      <c r="I3263">
        <v>410620009</v>
      </c>
      <c r="J3263" t="s">
        <v>1054</v>
      </c>
      <c r="K3263">
        <v>136.80000000000001</v>
      </c>
      <c r="L3263">
        <v>272.8</v>
      </c>
      <c r="M3263">
        <v>0</v>
      </c>
      <c r="O3263" t="s">
        <v>34</v>
      </c>
    </row>
    <row r="3264" spans="1:15">
      <c r="A3264" t="s">
        <v>4734</v>
      </c>
      <c r="B3264" s="2">
        <v>43779.672384259262</v>
      </c>
      <c r="C3264" s="2">
        <v>43779.682800925926</v>
      </c>
      <c r="D3264" t="s">
        <v>618</v>
      </c>
      <c r="E3264" t="s">
        <v>4727</v>
      </c>
      <c r="F3264" t="s">
        <v>4728</v>
      </c>
      <c r="G3264" t="s">
        <v>1107</v>
      </c>
      <c r="H3264" t="s">
        <v>1043</v>
      </c>
      <c r="I3264">
        <v>185345009</v>
      </c>
      <c r="J3264" t="s">
        <v>1032</v>
      </c>
      <c r="K3264">
        <v>85.55</v>
      </c>
      <c r="L3264">
        <v>85.55</v>
      </c>
      <c r="M3264">
        <v>0</v>
      </c>
      <c r="N3264">
        <v>65363002</v>
      </c>
      <c r="O3264" t="s">
        <v>1335</v>
      </c>
    </row>
    <row r="3265" spans="1:15">
      <c r="A3265" t="s">
        <v>4735</v>
      </c>
      <c r="B3265" s="2">
        <v>43883.672384259262</v>
      </c>
      <c r="C3265" s="2">
        <v>43883.682800925926</v>
      </c>
      <c r="D3265" t="s">
        <v>618</v>
      </c>
      <c r="E3265" t="s">
        <v>4727</v>
      </c>
      <c r="F3265" t="s">
        <v>4728</v>
      </c>
      <c r="G3265" t="s">
        <v>1107</v>
      </c>
      <c r="H3265" t="s">
        <v>1031</v>
      </c>
      <c r="I3265">
        <v>185345009</v>
      </c>
      <c r="J3265" t="s">
        <v>1032</v>
      </c>
      <c r="K3265">
        <v>85.55</v>
      </c>
      <c r="L3265">
        <v>85.55</v>
      </c>
      <c r="M3265">
        <v>0</v>
      </c>
      <c r="N3265">
        <v>232353008</v>
      </c>
      <c r="O3265" t="s">
        <v>1196</v>
      </c>
    </row>
    <row r="3266" spans="1:15">
      <c r="A3266" t="s">
        <v>4736</v>
      </c>
      <c r="B3266" s="2">
        <v>43890.672384259262</v>
      </c>
      <c r="C3266" s="2">
        <v>43890.682800925926</v>
      </c>
      <c r="D3266" t="s">
        <v>618</v>
      </c>
      <c r="E3266" t="s">
        <v>4718</v>
      </c>
      <c r="F3266" t="s">
        <v>4719</v>
      </c>
      <c r="G3266" t="s">
        <v>1107</v>
      </c>
      <c r="H3266" t="s">
        <v>1020</v>
      </c>
      <c r="I3266">
        <v>410620009</v>
      </c>
      <c r="J3266" t="s">
        <v>1054</v>
      </c>
      <c r="K3266">
        <v>136.80000000000001</v>
      </c>
      <c r="L3266">
        <v>919.9</v>
      </c>
      <c r="M3266">
        <v>0</v>
      </c>
      <c r="O3266" t="s">
        <v>34</v>
      </c>
    </row>
    <row r="3267" spans="1:15">
      <c r="A3267" t="s">
        <v>4737</v>
      </c>
      <c r="B3267" s="2">
        <v>43897.672384259262</v>
      </c>
      <c r="C3267" s="2">
        <v>43897.697384259256</v>
      </c>
      <c r="D3267" t="s">
        <v>618</v>
      </c>
      <c r="E3267" t="s">
        <v>4727</v>
      </c>
      <c r="F3267" t="s">
        <v>4728</v>
      </c>
      <c r="G3267" t="s">
        <v>1107</v>
      </c>
      <c r="H3267" t="s">
        <v>1031</v>
      </c>
      <c r="I3267">
        <v>185347001</v>
      </c>
      <c r="J3267" t="s">
        <v>1124</v>
      </c>
      <c r="K3267">
        <v>85.55</v>
      </c>
      <c r="L3267">
        <v>516.95000000000005</v>
      </c>
      <c r="M3267">
        <v>0</v>
      </c>
      <c r="N3267">
        <v>609328004</v>
      </c>
      <c r="O3267" t="s">
        <v>1137</v>
      </c>
    </row>
    <row r="3268" spans="1:15">
      <c r="A3268" t="s">
        <v>4738</v>
      </c>
      <c r="B3268" s="2">
        <v>43904.714050925926</v>
      </c>
      <c r="C3268" s="2">
        <v>43904.86822916667</v>
      </c>
      <c r="D3268" t="s">
        <v>618</v>
      </c>
      <c r="E3268" t="s">
        <v>4727</v>
      </c>
      <c r="F3268" t="s">
        <v>4728</v>
      </c>
      <c r="G3268" t="s">
        <v>1107</v>
      </c>
      <c r="H3268" t="s">
        <v>1031</v>
      </c>
      <c r="I3268">
        <v>185349003</v>
      </c>
      <c r="J3268" t="s">
        <v>1038</v>
      </c>
      <c r="K3268">
        <v>85.55</v>
      </c>
      <c r="L3268">
        <v>3536.75</v>
      </c>
      <c r="M3268">
        <v>975.98</v>
      </c>
      <c r="N3268">
        <v>103697008</v>
      </c>
      <c r="O3268" t="s">
        <v>1039</v>
      </c>
    </row>
    <row r="3269" spans="1:15">
      <c r="A3269" t="s">
        <v>4739</v>
      </c>
      <c r="B3269" s="2">
        <v>44072.714050925926</v>
      </c>
      <c r="C3269" s="2">
        <v>44072.72446759259</v>
      </c>
      <c r="D3269" t="s">
        <v>618</v>
      </c>
      <c r="E3269" t="s">
        <v>4718</v>
      </c>
      <c r="F3269" t="s">
        <v>4719</v>
      </c>
      <c r="G3269" t="s">
        <v>1107</v>
      </c>
      <c r="H3269" t="s">
        <v>1020</v>
      </c>
      <c r="I3269">
        <v>410620009</v>
      </c>
      <c r="J3269" t="s">
        <v>1054</v>
      </c>
      <c r="K3269">
        <v>136.80000000000001</v>
      </c>
      <c r="L3269">
        <v>352.5</v>
      </c>
      <c r="M3269">
        <v>0</v>
      </c>
      <c r="O3269" t="s">
        <v>34</v>
      </c>
    </row>
    <row r="3270" spans="1:15">
      <c r="A3270" t="s">
        <v>4740</v>
      </c>
      <c r="B3270" s="2">
        <v>44254.672384259262</v>
      </c>
      <c r="C3270" s="2">
        <v>44254.682800925926</v>
      </c>
      <c r="D3270" t="s">
        <v>618</v>
      </c>
      <c r="E3270" t="s">
        <v>4718</v>
      </c>
      <c r="F3270" t="s">
        <v>4719</v>
      </c>
      <c r="G3270" t="s">
        <v>1107</v>
      </c>
      <c r="H3270" t="s">
        <v>1020</v>
      </c>
      <c r="I3270">
        <v>410620009</v>
      </c>
      <c r="J3270" t="s">
        <v>1054</v>
      </c>
      <c r="K3270">
        <v>136.80000000000001</v>
      </c>
      <c r="L3270">
        <v>784.57</v>
      </c>
      <c r="M3270">
        <v>0</v>
      </c>
      <c r="O3270" t="s">
        <v>34</v>
      </c>
    </row>
    <row r="3271" spans="1:15">
      <c r="A3271" t="s">
        <v>4741</v>
      </c>
      <c r="B3271" s="2">
        <v>44625.672384259262</v>
      </c>
      <c r="C3271" s="2">
        <v>44625.682800925926</v>
      </c>
      <c r="D3271" t="s">
        <v>618</v>
      </c>
      <c r="E3271" t="s">
        <v>4718</v>
      </c>
      <c r="F3271" t="s">
        <v>4719</v>
      </c>
      <c r="G3271" t="s">
        <v>1107</v>
      </c>
      <c r="H3271" t="s">
        <v>1020</v>
      </c>
      <c r="I3271">
        <v>410620009</v>
      </c>
      <c r="J3271" t="s">
        <v>1054</v>
      </c>
      <c r="K3271">
        <v>136.80000000000001</v>
      </c>
      <c r="L3271">
        <v>1032.5</v>
      </c>
      <c r="M3271">
        <v>0</v>
      </c>
      <c r="O3271" t="s">
        <v>34</v>
      </c>
    </row>
    <row r="3272" spans="1:15">
      <c r="A3272" t="s">
        <v>4742</v>
      </c>
      <c r="B3272" s="2">
        <v>44996.672384259262</v>
      </c>
      <c r="C3272" s="2">
        <v>44996.682800925926</v>
      </c>
      <c r="D3272" t="s">
        <v>618</v>
      </c>
      <c r="E3272" t="s">
        <v>4718</v>
      </c>
      <c r="F3272" t="s">
        <v>4719</v>
      </c>
      <c r="G3272" t="s">
        <v>1107</v>
      </c>
      <c r="H3272" t="s">
        <v>1020</v>
      </c>
      <c r="I3272">
        <v>410620009</v>
      </c>
      <c r="J3272" t="s">
        <v>1054</v>
      </c>
      <c r="K3272">
        <v>136.80000000000001</v>
      </c>
      <c r="L3272">
        <v>1210.18</v>
      </c>
      <c r="M3272">
        <v>0</v>
      </c>
      <c r="O3272" t="s">
        <v>34</v>
      </c>
    </row>
    <row r="3273" spans="1:15">
      <c r="A3273" t="s">
        <v>4743</v>
      </c>
      <c r="B3273" s="2">
        <v>45367.714050925926</v>
      </c>
      <c r="C3273" s="2">
        <v>45367.72446759259</v>
      </c>
      <c r="D3273" t="s">
        <v>618</v>
      </c>
      <c r="E3273" t="s">
        <v>4718</v>
      </c>
      <c r="F3273" t="s">
        <v>4719</v>
      </c>
      <c r="G3273" t="s">
        <v>1107</v>
      </c>
      <c r="H3273" t="s">
        <v>1020</v>
      </c>
      <c r="I3273">
        <v>410620009</v>
      </c>
      <c r="J3273" t="s">
        <v>1054</v>
      </c>
      <c r="K3273">
        <v>136.80000000000001</v>
      </c>
      <c r="L3273">
        <v>919.9</v>
      </c>
      <c r="M3273">
        <v>0</v>
      </c>
      <c r="O3273" t="s">
        <v>34</v>
      </c>
    </row>
    <row r="3274" spans="1:15">
      <c r="A3274" t="s">
        <v>4744</v>
      </c>
      <c r="B3274" s="2">
        <v>45374.714050925926</v>
      </c>
      <c r="C3274" s="2">
        <v>45374.848217592589</v>
      </c>
      <c r="D3274" t="s">
        <v>618</v>
      </c>
      <c r="E3274" t="s">
        <v>4727</v>
      </c>
      <c r="F3274" t="s">
        <v>4728</v>
      </c>
      <c r="G3274" t="s">
        <v>1107</v>
      </c>
      <c r="H3274" t="s">
        <v>1031</v>
      </c>
      <c r="I3274">
        <v>185349003</v>
      </c>
      <c r="J3274" t="s">
        <v>1038</v>
      </c>
      <c r="K3274">
        <v>85.55</v>
      </c>
      <c r="L3274">
        <v>2673.95</v>
      </c>
      <c r="M3274">
        <v>0</v>
      </c>
      <c r="N3274">
        <v>103697008</v>
      </c>
      <c r="O3274" t="s">
        <v>1039</v>
      </c>
    </row>
    <row r="3275" spans="1:15">
      <c r="A3275" t="s">
        <v>4745</v>
      </c>
      <c r="B3275" s="2">
        <v>45738.714050925926</v>
      </c>
      <c r="C3275" s="2">
        <v>45738.72446759259</v>
      </c>
      <c r="D3275" t="s">
        <v>618</v>
      </c>
      <c r="E3275" t="s">
        <v>4718</v>
      </c>
      <c r="F3275" t="s">
        <v>4719</v>
      </c>
      <c r="G3275" t="s">
        <v>1107</v>
      </c>
      <c r="H3275" t="s">
        <v>1020</v>
      </c>
      <c r="I3275">
        <v>410620009</v>
      </c>
      <c r="J3275" t="s">
        <v>1054</v>
      </c>
      <c r="K3275">
        <v>136.80000000000001</v>
      </c>
      <c r="L3275">
        <v>704.2</v>
      </c>
      <c r="M3275">
        <v>0</v>
      </c>
      <c r="O3275" t="s">
        <v>34</v>
      </c>
    </row>
    <row r="3276" spans="1:15">
      <c r="A3276" t="s">
        <v>4746</v>
      </c>
      <c r="B3276" s="2">
        <v>45745.714050925926</v>
      </c>
      <c r="C3276" s="2">
        <v>45745.833854166667</v>
      </c>
      <c r="D3276" t="s">
        <v>618</v>
      </c>
      <c r="E3276" t="s">
        <v>4727</v>
      </c>
      <c r="F3276" t="s">
        <v>4728</v>
      </c>
      <c r="G3276" t="s">
        <v>1026</v>
      </c>
      <c r="H3276" t="s">
        <v>1031</v>
      </c>
      <c r="I3276">
        <v>185349003</v>
      </c>
      <c r="J3276" t="s">
        <v>1038</v>
      </c>
      <c r="K3276">
        <v>85.55</v>
      </c>
      <c r="L3276">
        <v>3105.35</v>
      </c>
      <c r="M3276">
        <v>0</v>
      </c>
      <c r="N3276">
        <v>103697008</v>
      </c>
      <c r="O3276" t="s">
        <v>1039</v>
      </c>
    </row>
    <row r="3277" spans="1:15">
      <c r="A3277" t="s">
        <v>4747</v>
      </c>
      <c r="B3277" s="2">
        <v>46109.714050925926</v>
      </c>
      <c r="C3277" s="2">
        <v>46109.72446759259</v>
      </c>
      <c r="D3277" t="s">
        <v>618</v>
      </c>
      <c r="E3277" t="s">
        <v>4718</v>
      </c>
      <c r="F3277" t="s">
        <v>4719</v>
      </c>
      <c r="G3277" t="s">
        <v>1026</v>
      </c>
      <c r="H3277" t="s">
        <v>1020</v>
      </c>
      <c r="I3277">
        <v>410620009</v>
      </c>
      <c r="J3277" t="s">
        <v>1054</v>
      </c>
      <c r="K3277">
        <v>136.80000000000001</v>
      </c>
      <c r="L3277">
        <v>272.8</v>
      </c>
      <c r="M3277">
        <v>0</v>
      </c>
      <c r="O3277" t="s">
        <v>34</v>
      </c>
    </row>
    <row r="3278" spans="1:15">
      <c r="A3278" t="s">
        <v>4748</v>
      </c>
      <c r="B3278" s="2">
        <v>46146.714050925926</v>
      </c>
      <c r="C3278" s="2">
        <v>46146.75571759259</v>
      </c>
      <c r="D3278" t="s">
        <v>618</v>
      </c>
      <c r="E3278" t="s">
        <v>4749</v>
      </c>
      <c r="F3278" t="s">
        <v>4750</v>
      </c>
      <c r="G3278" t="s">
        <v>1026</v>
      </c>
      <c r="H3278" t="s">
        <v>1076</v>
      </c>
      <c r="I3278">
        <v>50849002</v>
      </c>
      <c r="J3278" t="s">
        <v>1163</v>
      </c>
      <c r="K3278">
        <v>146.18</v>
      </c>
      <c r="L3278">
        <v>146.18</v>
      </c>
      <c r="M3278">
        <v>0</v>
      </c>
      <c r="N3278">
        <v>384709000</v>
      </c>
      <c r="O3278" t="s">
        <v>1164</v>
      </c>
    </row>
    <row r="3279" spans="1:15">
      <c r="A3279" t="s">
        <v>4751</v>
      </c>
      <c r="B3279" s="2">
        <v>40200.682268518518</v>
      </c>
      <c r="C3279" s="2">
        <v>40200.692685185182</v>
      </c>
      <c r="D3279" t="s">
        <v>626</v>
      </c>
      <c r="E3279" t="s">
        <v>2270</v>
      </c>
      <c r="F3279" t="s">
        <v>2271</v>
      </c>
      <c r="G3279" t="s">
        <v>1093</v>
      </c>
      <c r="H3279" t="s">
        <v>1031</v>
      </c>
      <c r="I3279">
        <v>185345009</v>
      </c>
      <c r="J3279" t="s">
        <v>1032</v>
      </c>
      <c r="K3279">
        <v>85.55</v>
      </c>
      <c r="L3279">
        <v>516.95000000000005</v>
      </c>
      <c r="M3279">
        <v>466.95</v>
      </c>
      <c r="N3279">
        <v>233678006</v>
      </c>
      <c r="O3279" t="s">
        <v>1148</v>
      </c>
    </row>
    <row r="3280" spans="1:15">
      <c r="A3280" t="s">
        <v>4752</v>
      </c>
      <c r="B3280" s="2">
        <v>42281.723935185182</v>
      </c>
      <c r="C3280" s="2">
        <v>42281.734351851854</v>
      </c>
      <c r="D3280" t="s">
        <v>626</v>
      </c>
      <c r="E3280" t="s">
        <v>4753</v>
      </c>
      <c r="F3280" t="s">
        <v>4754</v>
      </c>
      <c r="G3280" t="s">
        <v>1093</v>
      </c>
      <c r="H3280" t="s">
        <v>1020</v>
      </c>
      <c r="I3280">
        <v>410620009</v>
      </c>
      <c r="J3280" t="s">
        <v>1054</v>
      </c>
      <c r="K3280">
        <v>136.80000000000001</v>
      </c>
      <c r="L3280">
        <v>763.1</v>
      </c>
      <c r="M3280">
        <v>763.1</v>
      </c>
      <c r="O3280" t="s">
        <v>34</v>
      </c>
    </row>
    <row r="3281" spans="1:15">
      <c r="A3281" t="s">
        <v>4755</v>
      </c>
      <c r="B3281" s="2">
        <v>42652.723935185182</v>
      </c>
      <c r="C3281" s="2">
        <v>42652.734351851854</v>
      </c>
      <c r="D3281" t="s">
        <v>626</v>
      </c>
      <c r="E3281" t="s">
        <v>4753</v>
      </c>
      <c r="F3281" t="s">
        <v>4754</v>
      </c>
      <c r="G3281" t="s">
        <v>1093</v>
      </c>
      <c r="H3281" t="s">
        <v>1020</v>
      </c>
      <c r="I3281">
        <v>410620009</v>
      </c>
      <c r="J3281" t="s">
        <v>1054</v>
      </c>
      <c r="K3281">
        <v>136.80000000000001</v>
      </c>
      <c r="L3281">
        <v>704.2</v>
      </c>
      <c r="M3281">
        <v>704.2</v>
      </c>
      <c r="O3281" t="s">
        <v>34</v>
      </c>
    </row>
    <row r="3282" spans="1:15">
      <c r="A3282" t="s">
        <v>4756</v>
      </c>
      <c r="B3282" s="2">
        <v>42659.723935185182</v>
      </c>
      <c r="C3282" s="2">
        <v>42659.853206018517</v>
      </c>
      <c r="D3282" t="s">
        <v>626</v>
      </c>
      <c r="E3282" t="s">
        <v>2270</v>
      </c>
      <c r="F3282" t="s">
        <v>2271</v>
      </c>
      <c r="G3282" t="s">
        <v>1093</v>
      </c>
      <c r="H3282" t="s">
        <v>1031</v>
      </c>
      <c r="I3282">
        <v>185349003</v>
      </c>
      <c r="J3282" t="s">
        <v>1038</v>
      </c>
      <c r="K3282">
        <v>85.55</v>
      </c>
      <c r="L3282">
        <v>3536.75</v>
      </c>
      <c r="M3282">
        <v>3486.75</v>
      </c>
      <c r="N3282">
        <v>66383009</v>
      </c>
      <c r="O3282" t="s">
        <v>1209</v>
      </c>
    </row>
    <row r="3283" spans="1:15">
      <c r="A3283" t="s">
        <v>4757</v>
      </c>
      <c r="B3283" s="2">
        <v>42900.723935185182</v>
      </c>
      <c r="C3283" s="2">
        <v>42900.734351851854</v>
      </c>
      <c r="D3283" t="s">
        <v>626</v>
      </c>
      <c r="E3283" t="s">
        <v>2270</v>
      </c>
      <c r="F3283" t="s">
        <v>2271</v>
      </c>
      <c r="G3283" t="s">
        <v>1093</v>
      </c>
      <c r="H3283" t="s">
        <v>1031</v>
      </c>
      <c r="I3283">
        <v>394701000</v>
      </c>
      <c r="J3283" t="s">
        <v>1154</v>
      </c>
      <c r="K3283">
        <v>142.58000000000001</v>
      </c>
      <c r="L3283">
        <v>142.58000000000001</v>
      </c>
      <c r="M3283">
        <v>92.58</v>
      </c>
      <c r="N3283">
        <v>233678006</v>
      </c>
      <c r="O3283" t="s">
        <v>1148</v>
      </c>
    </row>
    <row r="3284" spans="1:15">
      <c r="A3284" t="s">
        <v>4758</v>
      </c>
      <c r="B3284" s="2">
        <v>42975.723935185182</v>
      </c>
      <c r="C3284" s="2">
        <v>43016.184247685182</v>
      </c>
      <c r="D3284" t="s">
        <v>626</v>
      </c>
      <c r="E3284" t="s">
        <v>4753</v>
      </c>
      <c r="F3284" t="s">
        <v>4754</v>
      </c>
      <c r="G3284" t="s">
        <v>1093</v>
      </c>
      <c r="H3284" t="s">
        <v>1020</v>
      </c>
      <c r="I3284">
        <v>185349003</v>
      </c>
      <c r="J3284" t="s">
        <v>1038</v>
      </c>
      <c r="K3284">
        <v>82.08</v>
      </c>
      <c r="L3284">
        <v>944.88</v>
      </c>
      <c r="M3284">
        <v>944.88</v>
      </c>
      <c r="O3284" t="s">
        <v>34</v>
      </c>
    </row>
    <row r="3285" spans="1:15">
      <c r="A3285" t="s">
        <v>4759</v>
      </c>
      <c r="B3285" s="2">
        <v>43016.184247685182</v>
      </c>
      <c r="C3285" s="2">
        <v>43016.206759259258</v>
      </c>
      <c r="D3285" t="s">
        <v>626</v>
      </c>
      <c r="E3285" t="s">
        <v>2270</v>
      </c>
      <c r="F3285" t="s">
        <v>2271</v>
      </c>
      <c r="G3285" t="s">
        <v>1093</v>
      </c>
      <c r="H3285" t="s">
        <v>1031</v>
      </c>
      <c r="I3285">
        <v>185347001</v>
      </c>
      <c r="J3285" t="s">
        <v>1124</v>
      </c>
      <c r="K3285">
        <v>85.55</v>
      </c>
      <c r="L3285">
        <v>1811.15</v>
      </c>
      <c r="M3285">
        <v>1661.15</v>
      </c>
      <c r="O3285" t="s">
        <v>34</v>
      </c>
    </row>
    <row r="3286" spans="1:15">
      <c r="A3286" t="s">
        <v>4760</v>
      </c>
      <c r="B3286" s="2">
        <v>43016.206759259258</v>
      </c>
      <c r="C3286" s="2">
        <v>43020.217835648145</v>
      </c>
      <c r="D3286" t="s">
        <v>626</v>
      </c>
      <c r="E3286" t="s">
        <v>2270</v>
      </c>
      <c r="F3286" t="s">
        <v>2271</v>
      </c>
      <c r="G3286" t="s">
        <v>1093</v>
      </c>
      <c r="H3286" t="s">
        <v>1043</v>
      </c>
      <c r="I3286">
        <v>308335008</v>
      </c>
      <c r="J3286" t="s">
        <v>1194</v>
      </c>
      <c r="K3286">
        <v>142.58000000000001</v>
      </c>
      <c r="L3286">
        <v>573.98</v>
      </c>
      <c r="M3286">
        <v>523.98</v>
      </c>
      <c r="O3286" t="s">
        <v>34</v>
      </c>
    </row>
    <row r="3287" spans="1:15">
      <c r="A3287" t="s">
        <v>4761</v>
      </c>
      <c r="B3287" s="2">
        <v>43033.217835648145</v>
      </c>
      <c r="C3287" s="2">
        <v>43033.237893518519</v>
      </c>
      <c r="D3287" t="s">
        <v>626</v>
      </c>
      <c r="E3287" t="s">
        <v>2270</v>
      </c>
      <c r="F3287" t="s">
        <v>2271</v>
      </c>
      <c r="G3287" t="s">
        <v>1093</v>
      </c>
      <c r="H3287" t="s">
        <v>1031</v>
      </c>
      <c r="I3287">
        <v>390906007</v>
      </c>
      <c r="J3287" t="s">
        <v>1255</v>
      </c>
      <c r="K3287">
        <v>85.55</v>
      </c>
      <c r="L3287">
        <v>948.35</v>
      </c>
      <c r="M3287">
        <v>898.35</v>
      </c>
      <c r="N3287">
        <v>203646004</v>
      </c>
      <c r="O3287" t="s">
        <v>3475</v>
      </c>
    </row>
    <row r="3288" spans="1:15">
      <c r="A3288" t="s">
        <v>4762</v>
      </c>
      <c r="B3288" s="2">
        <v>43069.196226851855</v>
      </c>
      <c r="C3288" s="2">
        <v>43069.206643518519</v>
      </c>
      <c r="D3288" t="s">
        <v>626</v>
      </c>
      <c r="E3288" t="s">
        <v>2270</v>
      </c>
      <c r="F3288" t="s">
        <v>2271</v>
      </c>
      <c r="G3288" t="s">
        <v>1093</v>
      </c>
      <c r="H3288" t="s">
        <v>1031</v>
      </c>
      <c r="I3288">
        <v>185347001</v>
      </c>
      <c r="J3288" t="s">
        <v>1124</v>
      </c>
      <c r="K3288">
        <v>85.55</v>
      </c>
      <c r="L3288">
        <v>85.55</v>
      </c>
      <c r="M3288">
        <v>35.549999999999997</v>
      </c>
      <c r="O3288" t="s">
        <v>34</v>
      </c>
    </row>
    <row r="3289" spans="1:15">
      <c r="A3289" t="s">
        <v>4763</v>
      </c>
      <c r="B3289" s="2">
        <v>43345.723935185182</v>
      </c>
      <c r="C3289" s="2">
        <v>43345.734351851854</v>
      </c>
      <c r="D3289" t="s">
        <v>626</v>
      </c>
      <c r="E3289" t="s">
        <v>4753</v>
      </c>
      <c r="F3289" t="s">
        <v>4754</v>
      </c>
      <c r="G3289" t="s">
        <v>1093</v>
      </c>
      <c r="H3289" t="s">
        <v>1020</v>
      </c>
      <c r="I3289">
        <v>410620009</v>
      </c>
      <c r="J3289" t="s">
        <v>1054</v>
      </c>
      <c r="K3289">
        <v>136.80000000000001</v>
      </c>
      <c r="L3289">
        <v>755.38</v>
      </c>
      <c r="M3289">
        <v>755.38</v>
      </c>
      <c r="O3289" t="s">
        <v>34</v>
      </c>
    </row>
    <row r="3290" spans="1:15">
      <c r="A3290" t="s">
        <v>4764</v>
      </c>
      <c r="B3290" s="2">
        <v>43716.723935185182</v>
      </c>
      <c r="C3290" s="2">
        <v>43716.739699074074</v>
      </c>
      <c r="D3290" t="s">
        <v>626</v>
      </c>
      <c r="E3290" t="s">
        <v>4753</v>
      </c>
      <c r="F3290" t="s">
        <v>4754</v>
      </c>
      <c r="G3290" t="s">
        <v>1093</v>
      </c>
      <c r="H3290" t="s">
        <v>1020</v>
      </c>
      <c r="I3290">
        <v>410620009</v>
      </c>
      <c r="J3290" t="s">
        <v>1054</v>
      </c>
      <c r="K3290">
        <v>136.80000000000001</v>
      </c>
      <c r="L3290">
        <v>1341.39</v>
      </c>
      <c r="M3290">
        <v>1341.39</v>
      </c>
      <c r="O3290" t="s">
        <v>34</v>
      </c>
    </row>
    <row r="3291" spans="1:15">
      <c r="A3291" t="s">
        <v>4765</v>
      </c>
      <c r="B3291" s="2">
        <v>43730.723935185182</v>
      </c>
      <c r="C3291" s="2">
        <v>43730.854131944441</v>
      </c>
      <c r="D3291" t="s">
        <v>626</v>
      </c>
      <c r="E3291" t="s">
        <v>2270</v>
      </c>
      <c r="F3291" t="s">
        <v>2271</v>
      </c>
      <c r="G3291" t="s">
        <v>1093</v>
      </c>
      <c r="H3291" t="s">
        <v>1031</v>
      </c>
      <c r="I3291">
        <v>185349003</v>
      </c>
      <c r="J3291" t="s">
        <v>1038</v>
      </c>
      <c r="K3291">
        <v>85.55</v>
      </c>
      <c r="L3291">
        <v>3105.35</v>
      </c>
      <c r="M3291">
        <v>3055.35</v>
      </c>
      <c r="N3291">
        <v>66383009</v>
      </c>
      <c r="O3291" t="s">
        <v>1209</v>
      </c>
    </row>
    <row r="3292" spans="1:15">
      <c r="A3292" t="s">
        <v>4766</v>
      </c>
      <c r="B3292" s="2">
        <v>43898.723935185182</v>
      </c>
      <c r="C3292" s="2">
        <v>43898.742881944447</v>
      </c>
      <c r="D3292" t="s">
        <v>626</v>
      </c>
      <c r="E3292" t="s">
        <v>4767</v>
      </c>
      <c r="F3292" t="s">
        <v>4768</v>
      </c>
      <c r="G3292" t="s">
        <v>1093</v>
      </c>
      <c r="H3292" t="s">
        <v>1159</v>
      </c>
      <c r="I3292">
        <v>702927004</v>
      </c>
      <c r="J3292" t="s">
        <v>1160</v>
      </c>
      <c r="K3292">
        <v>142.58000000000001</v>
      </c>
      <c r="L3292">
        <v>845.98</v>
      </c>
      <c r="M3292">
        <v>795.98</v>
      </c>
      <c r="O3292" t="s">
        <v>34</v>
      </c>
    </row>
    <row r="3293" spans="1:15">
      <c r="A3293" t="s">
        <v>4769</v>
      </c>
      <c r="B3293" s="2">
        <v>43905.723935185182</v>
      </c>
      <c r="C3293" s="2">
        <v>43905.734351851854</v>
      </c>
      <c r="D3293" t="s">
        <v>626</v>
      </c>
      <c r="E3293" t="s">
        <v>2270</v>
      </c>
      <c r="F3293" t="s">
        <v>2271</v>
      </c>
      <c r="G3293" t="s">
        <v>1093</v>
      </c>
      <c r="H3293" t="s">
        <v>1043</v>
      </c>
      <c r="I3293">
        <v>185349003</v>
      </c>
      <c r="J3293" t="s">
        <v>1038</v>
      </c>
      <c r="K3293">
        <v>85.55</v>
      </c>
      <c r="L3293">
        <v>301.25</v>
      </c>
      <c r="M3293">
        <v>251.25</v>
      </c>
      <c r="O3293" t="s">
        <v>34</v>
      </c>
    </row>
    <row r="3294" spans="1:15">
      <c r="A3294" t="s">
        <v>4770</v>
      </c>
      <c r="B3294" s="2">
        <v>43912.723935185182</v>
      </c>
      <c r="C3294" s="2">
        <v>43912.87195601852</v>
      </c>
      <c r="D3294" t="s">
        <v>626</v>
      </c>
      <c r="E3294" t="s">
        <v>2270</v>
      </c>
      <c r="F3294" t="s">
        <v>2271</v>
      </c>
      <c r="G3294" t="s">
        <v>1093</v>
      </c>
      <c r="H3294" t="s">
        <v>1031</v>
      </c>
      <c r="I3294">
        <v>185349003</v>
      </c>
      <c r="J3294" t="s">
        <v>1038</v>
      </c>
      <c r="K3294">
        <v>85.55</v>
      </c>
      <c r="L3294">
        <v>3536.75</v>
      </c>
      <c r="M3294">
        <v>3486.75</v>
      </c>
      <c r="N3294">
        <v>66383009</v>
      </c>
      <c r="O3294" t="s">
        <v>1209</v>
      </c>
    </row>
    <row r="3295" spans="1:15">
      <c r="A3295" t="s">
        <v>4771</v>
      </c>
      <c r="B3295" s="2">
        <v>43919.723935185182</v>
      </c>
      <c r="C3295" s="2">
        <v>43919.734351851854</v>
      </c>
      <c r="D3295" t="s">
        <v>626</v>
      </c>
      <c r="E3295" t="s">
        <v>2270</v>
      </c>
      <c r="F3295" t="s">
        <v>2271</v>
      </c>
      <c r="G3295" t="s">
        <v>1093</v>
      </c>
      <c r="H3295" t="s">
        <v>1031</v>
      </c>
      <c r="I3295">
        <v>185345009</v>
      </c>
      <c r="J3295" t="s">
        <v>1032</v>
      </c>
      <c r="K3295">
        <v>85.55</v>
      </c>
      <c r="L3295">
        <v>948.35</v>
      </c>
      <c r="M3295">
        <v>898.35</v>
      </c>
      <c r="N3295">
        <v>195662009</v>
      </c>
      <c r="O3295" t="s">
        <v>1130</v>
      </c>
    </row>
    <row r="3296" spans="1:15">
      <c r="A3296" t="s">
        <v>4772</v>
      </c>
      <c r="B3296" s="2">
        <v>44087.723935185182</v>
      </c>
      <c r="C3296" s="2">
        <v>44087.734351851854</v>
      </c>
      <c r="D3296" t="s">
        <v>626</v>
      </c>
      <c r="E3296" t="s">
        <v>4753</v>
      </c>
      <c r="F3296" t="s">
        <v>4754</v>
      </c>
      <c r="G3296" t="s">
        <v>1093</v>
      </c>
      <c r="H3296" t="s">
        <v>1020</v>
      </c>
      <c r="I3296">
        <v>410620009</v>
      </c>
      <c r="J3296" t="s">
        <v>1054</v>
      </c>
      <c r="K3296">
        <v>136.80000000000001</v>
      </c>
      <c r="L3296">
        <v>704.2</v>
      </c>
      <c r="M3296">
        <v>704.2</v>
      </c>
      <c r="O3296" t="s">
        <v>34</v>
      </c>
    </row>
    <row r="3297" spans="1:15">
      <c r="A3297" t="s">
        <v>4773</v>
      </c>
      <c r="B3297" s="2">
        <v>44339.723935185182</v>
      </c>
      <c r="C3297" s="2">
        <v>44339.734351851854</v>
      </c>
      <c r="D3297" t="s">
        <v>626</v>
      </c>
      <c r="E3297" t="s">
        <v>2270</v>
      </c>
      <c r="F3297" t="s">
        <v>2271</v>
      </c>
      <c r="G3297" t="s">
        <v>1093</v>
      </c>
      <c r="H3297" t="s">
        <v>1043</v>
      </c>
      <c r="I3297">
        <v>33879002</v>
      </c>
      <c r="J3297" t="s">
        <v>1044</v>
      </c>
      <c r="K3297">
        <v>142.58000000000001</v>
      </c>
      <c r="L3297">
        <v>278.58</v>
      </c>
      <c r="M3297">
        <v>128.58000000000001</v>
      </c>
      <c r="O3297" t="s">
        <v>34</v>
      </c>
    </row>
    <row r="3298" spans="1:15">
      <c r="A3298" t="s">
        <v>4774</v>
      </c>
      <c r="B3298" s="2">
        <v>44340.723935185182</v>
      </c>
      <c r="C3298" s="2">
        <v>44340.734351851854</v>
      </c>
      <c r="D3298" t="s">
        <v>626</v>
      </c>
      <c r="E3298" t="s">
        <v>2270</v>
      </c>
      <c r="F3298" t="s">
        <v>2271</v>
      </c>
      <c r="G3298" t="s">
        <v>1093</v>
      </c>
      <c r="H3298" t="s">
        <v>1031</v>
      </c>
      <c r="I3298">
        <v>394701000</v>
      </c>
      <c r="J3298" t="s">
        <v>1154</v>
      </c>
      <c r="K3298">
        <v>142.58000000000001</v>
      </c>
      <c r="L3298">
        <v>142.58000000000001</v>
      </c>
      <c r="M3298">
        <v>92.58</v>
      </c>
      <c r="N3298">
        <v>233678006</v>
      </c>
      <c r="O3298" t="s">
        <v>1148</v>
      </c>
    </row>
    <row r="3299" spans="1:15">
      <c r="A3299" t="s">
        <v>4775</v>
      </c>
      <c r="B3299" s="2">
        <v>44360.723935185182</v>
      </c>
      <c r="C3299" s="2">
        <v>44360.734351851854</v>
      </c>
      <c r="D3299" t="s">
        <v>626</v>
      </c>
      <c r="E3299" t="s">
        <v>2270</v>
      </c>
      <c r="F3299" t="s">
        <v>2271</v>
      </c>
      <c r="G3299" t="s">
        <v>1093</v>
      </c>
      <c r="H3299" t="s">
        <v>1043</v>
      </c>
      <c r="I3299">
        <v>33879002</v>
      </c>
      <c r="J3299" t="s">
        <v>1044</v>
      </c>
      <c r="K3299">
        <v>142.58000000000001</v>
      </c>
      <c r="L3299">
        <v>278.58</v>
      </c>
      <c r="M3299">
        <v>228.58</v>
      </c>
      <c r="O3299" t="s">
        <v>34</v>
      </c>
    </row>
    <row r="3300" spans="1:15">
      <c r="A3300" t="s">
        <v>4776</v>
      </c>
      <c r="B3300" s="2">
        <v>44458.723935185182</v>
      </c>
      <c r="C3300" s="2">
        <v>44458.734988425924</v>
      </c>
      <c r="D3300" t="s">
        <v>626</v>
      </c>
      <c r="E3300" t="s">
        <v>4753</v>
      </c>
      <c r="F3300" t="s">
        <v>4754</v>
      </c>
      <c r="G3300" t="s">
        <v>1093</v>
      </c>
      <c r="H3300" t="s">
        <v>1020</v>
      </c>
      <c r="I3300">
        <v>410620009</v>
      </c>
      <c r="J3300" t="s">
        <v>1054</v>
      </c>
      <c r="K3300">
        <v>136.80000000000001</v>
      </c>
      <c r="L3300">
        <v>704.2</v>
      </c>
      <c r="M3300">
        <v>704.2</v>
      </c>
      <c r="O3300" t="s">
        <v>34</v>
      </c>
    </row>
    <row r="3301" spans="1:15">
      <c r="A3301" t="s">
        <v>4777</v>
      </c>
      <c r="B3301" s="2">
        <v>44472.723935185182</v>
      </c>
      <c r="C3301" s="2">
        <v>44472.88553240741</v>
      </c>
      <c r="D3301" t="s">
        <v>626</v>
      </c>
      <c r="E3301" t="s">
        <v>2270</v>
      </c>
      <c r="F3301" t="s">
        <v>2271</v>
      </c>
      <c r="G3301" t="s">
        <v>1093</v>
      </c>
      <c r="H3301" t="s">
        <v>1031</v>
      </c>
      <c r="I3301">
        <v>185349003</v>
      </c>
      <c r="J3301" t="s">
        <v>1038</v>
      </c>
      <c r="K3301">
        <v>85.55</v>
      </c>
      <c r="L3301">
        <v>3536.75</v>
      </c>
      <c r="M3301">
        <v>3466.69</v>
      </c>
      <c r="N3301">
        <v>103697008</v>
      </c>
      <c r="O3301" t="s">
        <v>1039</v>
      </c>
    </row>
    <row r="3302" spans="1:15">
      <c r="A3302" t="s">
        <v>4778</v>
      </c>
      <c r="B3302" s="2">
        <v>44520.682268518518</v>
      </c>
      <c r="C3302" s="2">
        <v>44520.692685185182</v>
      </c>
      <c r="D3302" t="s">
        <v>626</v>
      </c>
      <c r="E3302" t="s">
        <v>2270</v>
      </c>
      <c r="F3302" t="s">
        <v>2271</v>
      </c>
      <c r="G3302" t="s">
        <v>1093</v>
      </c>
      <c r="H3302" t="s">
        <v>1031</v>
      </c>
      <c r="I3302">
        <v>394701000</v>
      </c>
      <c r="J3302" t="s">
        <v>1154</v>
      </c>
      <c r="K3302">
        <v>142.58000000000001</v>
      </c>
      <c r="L3302">
        <v>142.58000000000001</v>
      </c>
      <c r="M3302">
        <v>92.58</v>
      </c>
      <c r="N3302">
        <v>233678006</v>
      </c>
      <c r="O3302" t="s">
        <v>1148</v>
      </c>
    </row>
    <row r="3303" spans="1:15">
      <c r="A3303" t="s">
        <v>4779</v>
      </c>
      <c r="B3303" s="2">
        <v>44556.682268518518</v>
      </c>
      <c r="C3303" s="2">
        <v>44556.692685185182</v>
      </c>
      <c r="D3303" t="s">
        <v>626</v>
      </c>
      <c r="E3303" t="s">
        <v>2270</v>
      </c>
      <c r="F3303" t="s">
        <v>2271</v>
      </c>
      <c r="G3303" t="s">
        <v>1093</v>
      </c>
      <c r="H3303" t="s">
        <v>1043</v>
      </c>
      <c r="I3303">
        <v>185349003</v>
      </c>
      <c r="J3303" t="s">
        <v>1038</v>
      </c>
      <c r="K3303">
        <v>85.55</v>
      </c>
      <c r="L3303">
        <v>516.95000000000005</v>
      </c>
      <c r="M3303">
        <v>466.95</v>
      </c>
      <c r="O3303" t="s">
        <v>34</v>
      </c>
    </row>
    <row r="3304" spans="1:15">
      <c r="A3304" t="s">
        <v>4780</v>
      </c>
      <c r="B3304" s="2">
        <v>44563.682268518518</v>
      </c>
      <c r="C3304" s="2">
        <v>44563.692685185182</v>
      </c>
      <c r="D3304" t="s">
        <v>626</v>
      </c>
      <c r="E3304" t="s">
        <v>2270</v>
      </c>
      <c r="F3304" t="s">
        <v>2271</v>
      </c>
      <c r="G3304" t="s">
        <v>1093</v>
      </c>
      <c r="H3304" t="s">
        <v>1031</v>
      </c>
      <c r="I3304">
        <v>185345009</v>
      </c>
      <c r="J3304" t="s">
        <v>1032</v>
      </c>
      <c r="K3304">
        <v>85.55</v>
      </c>
      <c r="L3304">
        <v>85.55</v>
      </c>
      <c r="M3304">
        <v>35.549999999999997</v>
      </c>
      <c r="N3304">
        <v>444814009</v>
      </c>
      <c r="O3304" t="s">
        <v>1035</v>
      </c>
    </row>
    <row r="3305" spans="1:15">
      <c r="A3305" t="s">
        <v>4781</v>
      </c>
      <c r="B3305" s="2">
        <v>44570.682268518518</v>
      </c>
      <c r="C3305" s="2">
        <v>44570.80736111111</v>
      </c>
      <c r="D3305" t="s">
        <v>626</v>
      </c>
      <c r="E3305" t="s">
        <v>2270</v>
      </c>
      <c r="F3305" t="s">
        <v>2271</v>
      </c>
      <c r="G3305" t="s">
        <v>1093</v>
      </c>
      <c r="H3305" t="s">
        <v>1031</v>
      </c>
      <c r="I3305">
        <v>185349003</v>
      </c>
      <c r="J3305" t="s">
        <v>1038</v>
      </c>
      <c r="K3305">
        <v>85.55</v>
      </c>
      <c r="L3305">
        <v>3105.35</v>
      </c>
      <c r="M3305">
        <v>3055.35</v>
      </c>
      <c r="N3305">
        <v>66383009</v>
      </c>
      <c r="O3305" t="s">
        <v>1209</v>
      </c>
    </row>
    <row r="3306" spans="1:15">
      <c r="A3306" t="s">
        <v>4782</v>
      </c>
      <c r="B3306" s="2">
        <v>44700.723935185182</v>
      </c>
      <c r="C3306" s="2">
        <v>44700.734351851854</v>
      </c>
      <c r="D3306" t="s">
        <v>626</v>
      </c>
      <c r="E3306" t="s">
        <v>2270</v>
      </c>
      <c r="F3306" t="s">
        <v>2271</v>
      </c>
      <c r="G3306" t="s">
        <v>1093</v>
      </c>
      <c r="H3306" t="s">
        <v>1031</v>
      </c>
      <c r="I3306">
        <v>394701000</v>
      </c>
      <c r="J3306" t="s">
        <v>1154</v>
      </c>
      <c r="K3306">
        <v>142.58000000000001</v>
      </c>
      <c r="L3306">
        <v>142.58000000000001</v>
      </c>
      <c r="M3306">
        <v>92.58</v>
      </c>
      <c r="N3306">
        <v>233678006</v>
      </c>
      <c r="O3306" t="s">
        <v>1148</v>
      </c>
    </row>
    <row r="3307" spans="1:15">
      <c r="A3307" t="s">
        <v>4783</v>
      </c>
      <c r="B3307" s="2">
        <v>44829.723935185182</v>
      </c>
      <c r="C3307" s="2">
        <v>44829.743946759256</v>
      </c>
      <c r="D3307" t="s">
        <v>626</v>
      </c>
      <c r="E3307" t="s">
        <v>4753</v>
      </c>
      <c r="F3307" t="s">
        <v>4754</v>
      </c>
      <c r="G3307" t="s">
        <v>1093</v>
      </c>
      <c r="H3307" t="s">
        <v>1020</v>
      </c>
      <c r="I3307">
        <v>410620009</v>
      </c>
      <c r="J3307" t="s">
        <v>1054</v>
      </c>
      <c r="K3307">
        <v>136.80000000000001</v>
      </c>
      <c r="L3307">
        <v>704.2</v>
      </c>
      <c r="M3307">
        <v>704.2</v>
      </c>
      <c r="O3307" t="s">
        <v>34</v>
      </c>
    </row>
    <row r="3308" spans="1:15">
      <c r="A3308" t="s">
        <v>4784</v>
      </c>
      <c r="B3308" s="2">
        <v>44843.723935185182</v>
      </c>
      <c r="C3308" s="2">
        <v>44843.996377314812</v>
      </c>
      <c r="D3308" t="s">
        <v>626</v>
      </c>
      <c r="E3308" t="s">
        <v>2270</v>
      </c>
      <c r="F3308" t="s">
        <v>2271</v>
      </c>
      <c r="G3308" t="s">
        <v>1093</v>
      </c>
      <c r="H3308" t="s">
        <v>1031</v>
      </c>
      <c r="I3308">
        <v>185349003</v>
      </c>
      <c r="J3308" t="s">
        <v>1038</v>
      </c>
      <c r="K3308">
        <v>85.55</v>
      </c>
      <c r="L3308">
        <v>4399.55</v>
      </c>
      <c r="M3308">
        <v>4249.55</v>
      </c>
      <c r="N3308">
        <v>66383009</v>
      </c>
      <c r="O3308" t="s">
        <v>1209</v>
      </c>
    </row>
    <row r="3309" spans="1:15">
      <c r="A3309" t="s">
        <v>4785</v>
      </c>
      <c r="B3309" s="2">
        <v>45200.723935185182</v>
      </c>
      <c r="C3309" s="2">
        <v>45200.741527777776</v>
      </c>
      <c r="D3309" t="s">
        <v>626</v>
      </c>
      <c r="E3309" t="s">
        <v>4753</v>
      </c>
      <c r="F3309" t="s">
        <v>4754</v>
      </c>
      <c r="G3309" t="s">
        <v>1093</v>
      </c>
      <c r="H3309" t="s">
        <v>1020</v>
      </c>
      <c r="I3309">
        <v>410620009</v>
      </c>
      <c r="J3309" t="s">
        <v>1054</v>
      </c>
      <c r="K3309">
        <v>136.80000000000001</v>
      </c>
      <c r="L3309">
        <v>914.78</v>
      </c>
      <c r="M3309">
        <v>914.78</v>
      </c>
      <c r="O3309" t="s">
        <v>34</v>
      </c>
    </row>
    <row r="3310" spans="1:15">
      <c r="A3310" t="s">
        <v>4786</v>
      </c>
      <c r="B3310" s="2">
        <v>45214.723935185182</v>
      </c>
      <c r="C3310" s="2">
        <v>45214.847638888888</v>
      </c>
      <c r="D3310" t="s">
        <v>626</v>
      </c>
      <c r="E3310" t="s">
        <v>2270</v>
      </c>
      <c r="F3310" t="s">
        <v>2271</v>
      </c>
      <c r="G3310" t="s">
        <v>1093</v>
      </c>
      <c r="H3310" t="s">
        <v>1031</v>
      </c>
      <c r="I3310">
        <v>185349003</v>
      </c>
      <c r="J3310" t="s">
        <v>1038</v>
      </c>
      <c r="K3310">
        <v>85.55</v>
      </c>
      <c r="L3310">
        <v>2673.95</v>
      </c>
      <c r="M3310">
        <v>2623.95</v>
      </c>
      <c r="N3310">
        <v>103697008</v>
      </c>
      <c r="O3310" t="s">
        <v>1039</v>
      </c>
    </row>
    <row r="3311" spans="1:15">
      <c r="A3311" t="s">
        <v>4787</v>
      </c>
      <c r="B3311" s="2">
        <v>45571.723935185182</v>
      </c>
      <c r="C3311" s="2">
        <v>45571.749456018515</v>
      </c>
      <c r="D3311" t="s">
        <v>626</v>
      </c>
      <c r="E3311" t="s">
        <v>4753</v>
      </c>
      <c r="F3311" t="s">
        <v>4754</v>
      </c>
      <c r="G3311" t="s">
        <v>1093</v>
      </c>
      <c r="H3311" t="s">
        <v>1020</v>
      </c>
      <c r="I3311">
        <v>162673000</v>
      </c>
      <c r="J3311" t="s">
        <v>1021</v>
      </c>
      <c r="K3311">
        <v>136.80000000000001</v>
      </c>
      <c r="L3311">
        <v>704.2</v>
      </c>
      <c r="M3311">
        <v>704.2</v>
      </c>
      <c r="O3311" t="s">
        <v>34</v>
      </c>
    </row>
    <row r="3312" spans="1:15">
      <c r="A3312" t="s">
        <v>4788</v>
      </c>
      <c r="B3312" s="2">
        <v>45585.723935185182</v>
      </c>
      <c r="C3312" s="2">
        <v>45585.86478009259</v>
      </c>
      <c r="D3312" t="s">
        <v>626</v>
      </c>
      <c r="E3312" t="s">
        <v>2270</v>
      </c>
      <c r="F3312" t="s">
        <v>2271</v>
      </c>
      <c r="G3312" t="s">
        <v>1093</v>
      </c>
      <c r="H3312" t="s">
        <v>1031</v>
      </c>
      <c r="I3312">
        <v>185349003</v>
      </c>
      <c r="J3312" t="s">
        <v>1038</v>
      </c>
      <c r="K3312">
        <v>85.55</v>
      </c>
      <c r="L3312">
        <v>3536.75</v>
      </c>
      <c r="M3312">
        <v>3486.75</v>
      </c>
      <c r="N3312">
        <v>103697008</v>
      </c>
      <c r="O3312" t="s">
        <v>1039</v>
      </c>
    </row>
    <row r="3313" spans="1:15">
      <c r="A3313" t="s">
        <v>4789</v>
      </c>
      <c r="B3313" s="2">
        <v>45904.723935185182</v>
      </c>
      <c r="C3313" s="2">
        <v>45904.734351851854</v>
      </c>
      <c r="D3313" t="s">
        <v>626</v>
      </c>
      <c r="E3313" t="s">
        <v>2270</v>
      </c>
      <c r="F3313" t="s">
        <v>2271</v>
      </c>
      <c r="G3313" t="s">
        <v>1093</v>
      </c>
      <c r="H3313" t="s">
        <v>1043</v>
      </c>
      <c r="I3313">
        <v>698314001</v>
      </c>
      <c r="J3313" t="s">
        <v>1190</v>
      </c>
      <c r="K3313">
        <v>142.58000000000001</v>
      </c>
      <c r="L3313">
        <v>3040.72</v>
      </c>
      <c r="M3313">
        <v>2990.72</v>
      </c>
      <c r="N3313">
        <v>389095005</v>
      </c>
      <c r="O3313" t="s">
        <v>1191</v>
      </c>
    </row>
    <row r="3314" spans="1:15">
      <c r="A3314" t="s">
        <v>4790</v>
      </c>
      <c r="B3314" s="2">
        <v>45942.723935185182</v>
      </c>
      <c r="C3314" s="2">
        <v>45942.755648148152</v>
      </c>
      <c r="D3314" t="s">
        <v>626</v>
      </c>
      <c r="E3314" t="s">
        <v>4753</v>
      </c>
      <c r="F3314" t="s">
        <v>4754</v>
      </c>
      <c r="G3314" t="s">
        <v>1093</v>
      </c>
      <c r="H3314" t="s">
        <v>1020</v>
      </c>
      <c r="I3314">
        <v>162673000</v>
      </c>
      <c r="J3314" t="s">
        <v>1021</v>
      </c>
      <c r="K3314">
        <v>136.80000000000001</v>
      </c>
      <c r="L3314">
        <v>967.76</v>
      </c>
      <c r="M3314">
        <v>967.76</v>
      </c>
      <c r="O3314" t="s">
        <v>34</v>
      </c>
    </row>
    <row r="3315" spans="1:15">
      <c r="A3315" t="s">
        <v>4791</v>
      </c>
      <c r="B3315" s="2">
        <v>45956.723935185182</v>
      </c>
      <c r="C3315" s="2">
        <v>45956.87841435185</v>
      </c>
      <c r="D3315" t="s">
        <v>626</v>
      </c>
      <c r="E3315" t="s">
        <v>2270</v>
      </c>
      <c r="F3315" t="s">
        <v>2271</v>
      </c>
      <c r="G3315" t="s">
        <v>1093</v>
      </c>
      <c r="H3315" t="s">
        <v>1031</v>
      </c>
      <c r="I3315">
        <v>185349003</v>
      </c>
      <c r="J3315" t="s">
        <v>1038</v>
      </c>
      <c r="K3315">
        <v>85.55</v>
      </c>
      <c r="L3315">
        <v>3536.75</v>
      </c>
      <c r="M3315">
        <v>3486.75</v>
      </c>
      <c r="N3315">
        <v>103697008</v>
      </c>
      <c r="O3315" t="s">
        <v>1039</v>
      </c>
    </row>
    <row r="3316" spans="1:15">
      <c r="A3316" t="s">
        <v>4792</v>
      </c>
      <c r="B3316" s="2">
        <v>46005.682268518518</v>
      </c>
      <c r="C3316" s="2">
        <v>46005.692870370367</v>
      </c>
      <c r="D3316" t="s">
        <v>626</v>
      </c>
      <c r="E3316" t="s">
        <v>2270</v>
      </c>
      <c r="F3316" t="s">
        <v>2271</v>
      </c>
      <c r="G3316" t="s">
        <v>1093</v>
      </c>
      <c r="H3316" t="s">
        <v>1043</v>
      </c>
      <c r="I3316">
        <v>308335008</v>
      </c>
      <c r="J3316" t="s">
        <v>1194</v>
      </c>
      <c r="K3316">
        <v>142.58000000000001</v>
      </c>
      <c r="L3316">
        <v>1250.8499999999999</v>
      </c>
      <c r="M3316">
        <v>1200.8499999999999</v>
      </c>
      <c r="N3316">
        <v>389095005</v>
      </c>
      <c r="O3316" t="s">
        <v>1191</v>
      </c>
    </row>
    <row r="3317" spans="1:15">
      <c r="A3317" t="s">
        <v>4793</v>
      </c>
      <c r="B3317" s="2">
        <v>46096.723935185182</v>
      </c>
      <c r="C3317" s="2">
        <v>46096.736712962964</v>
      </c>
      <c r="D3317" t="s">
        <v>626</v>
      </c>
      <c r="E3317" t="s">
        <v>2270</v>
      </c>
      <c r="F3317" t="s">
        <v>2271</v>
      </c>
      <c r="G3317" t="s">
        <v>1093</v>
      </c>
      <c r="H3317" t="s">
        <v>1043</v>
      </c>
      <c r="I3317">
        <v>308335008</v>
      </c>
      <c r="J3317" t="s">
        <v>1194</v>
      </c>
      <c r="K3317">
        <v>142.58000000000001</v>
      </c>
      <c r="L3317">
        <v>1250.8499999999999</v>
      </c>
      <c r="M3317">
        <v>1200.8499999999999</v>
      </c>
      <c r="N3317">
        <v>389095005</v>
      </c>
      <c r="O3317" t="s">
        <v>1191</v>
      </c>
    </row>
    <row r="3318" spans="1:15">
      <c r="A3318" t="s">
        <v>4794</v>
      </c>
      <c r="B3318" s="2">
        <v>46187.723935185182</v>
      </c>
      <c r="C3318" s="2">
        <v>46187.734351851854</v>
      </c>
      <c r="D3318" t="s">
        <v>626</v>
      </c>
      <c r="E3318" t="s">
        <v>2270</v>
      </c>
      <c r="F3318" t="s">
        <v>2271</v>
      </c>
      <c r="G3318" t="s">
        <v>1093</v>
      </c>
      <c r="H3318" t="s">
        <v>1043</v>
      </c>
      <c r="I3318">
        <v>308335008</v>
      </c>
      <c r="J3318" t="s">
        <v>1194</v>
      </c>
      <c r="K3318">
        <v>142.58000000000001</v>
      </c>
      <c r="L3318">
        <v>1250.8499999999999</v>
      </c>
      <c r="M3318">
        <v>1200.8499999999999</v>
      </c>
      <c r="N3318">
        <v>389095005</v>
      </c>
      <c r="O3318" t="s">
        <v>1191</v>
      </c>
    </row>
    <row r="3319" spans="1:15">
      <c r="A3319" t="s">
        <v>4795</v>
      </c>
      <c r="B3319" s="2">
        <v>38049.513645833336</v>
      </c>
      <c r="C3319" s="2">
        <v>38049.524062500001</v>
      </c>
      <c r="D3319" t="s">
        <v>632</v>
      </c>
      <c r="E3319" t="s">
        <v>4796</v>
      </c>
      <c r="F3319" t="s">
        <v>4797</v>
      </c>
      <c r="G3319" t="s">
        <v>1019</v>
      </c>
      <c r="H3319" t="s">
        <v>1020</v>
      </c>
      <c r="I3319">
        <v>410620009</v>
      </c>
      <c r="J3319" t="s">
        <v>1054</v>
      </c>
      <c r="K3319">
        <v>136.80000000000001</v>
      </c>
      <c r="L3319">
        <v>704.2</v>
      </c>
      <c r="M3319">
        <v>0</v>
      </c>
      <c r="O3319" t="s">
        <v>34</v>
      </c>
    </row>
    <row r="3320" spans="1:15">
      <c r="A3320" t="s">
        <v>4798</v>
      </c>
      <c r="B3320" s="2">
        <v>38791.513645833336</v>
      </c>
      <c r="C3320" s="2">
        <v>38791.530277777776</v>
      </c>
      <c r="D3320" t="s">
        <v>632</v>
      </c>
      <c r="E3320" t="s">
        <v>4796</v>
      </c>
      <c r="F3320" t="s">
        <v>4797</v>
      </c>
      <c r="G3320" t="s">
        <v>1474</v>
      </c>
      <c r="H3320" t="s">
        <v>1020</v>
      </c>
      <c r="I3320">
        <v>410620009</v>
      </c>
      <c r="J3320" t="s">
        <v>1054</v>
      </c>
      <c r="K3320">
        <v>136.80000000000001</v>
      </c>
      <c r="L3320">
        <v>704.2</v>
      </c>
      <c r="M3320">
        <v>0</v>
      </c>
      <c r="O3320" t="s">
        <v>34</v>
      </c>
    </row>
    <row r="3321" spans="1:15">
      <c r="A3321" t="s">
        <v>4799</v>
      </c>
      <c r="B3321" s="2">
        <v>39162.555312500001</v>
      </c>
      <c r="C3321" s="2">
        <v>39162.585034722222</v>
      </c>
      <c r="D3321" t="s">
        <v>632</v>
      </c>
      <c r="E3321" t="s">
        <v>4796</v>
      </c>
      <c r="F3321" t="s">
        <v>4797</v>
      </c>
      <c r="G3321" t="s">
        <v>1474</v>
      </c>
      <c r="H3321" t="s">
        <v>1020</v>
      </c>
      <c r="I3321">
        <v>162673000</v>
      </c>
      <c r="J3321" t="s">
        <v>1021</v>
      </c>
      <c r="K3321">
        <v>136.80000000000001</v>
      </c>
      <c r="L3321">
        <v>704.2</v>
      </c>
      <c r="M3321">
        <v>0</v>
      </c>
      <c r="O3321" t="s">
        <v>34</v>
      </c>
    </row>
    <row r="3322" spans="1:15">
      <c r="A3322" t="s">
        <v>4800</v>
      </c>
      <c r="B3322" s="2">
        <v>40743.555312500001</v>
      </c>
      <c r="C3322" s="2">
        <v>40743.565729166665</v>
      </c>
      <c r="D3322" t="s">
        <v>632</v>
      </c>
      <c r="E3322" t="s">
        <v>4801</v>
      </c>
      <c r="F3322" t="s">
        <v>4802</v>
      </c>
      <c r="G3322" t="s">
        <v>1474</v>
      </c>
      <c r="H3322" t="s">
        <v>1031</v>
      </c>
      <c r="I3322">
        <v>424619006</v>
      </c>
      <c r="J3322" t="s">
        <v>1062</v>
      </c>
      <c r="K3322">
        <v>142.58000000000001</v>
      </c>
      <c r="L3322">
        <v>2113.65</v>
      </c>
      <c r="M3322">
        <v>1690.92</v>
      </c>
      <c r="N3322">
        <v>35999006</v>
      </c>
      <c r="O3322" t="s">
        <v>1116</v>
      </c>
    </row>
    <row r="3323" spans="1:15">
      <c r="A3323" t="s">
        <v>4803</v>
      </c>
      <c r="B3323" s="2">
        <v>41670.513645833336</v>
      </c>
      <c r="C3323" s="2">
        <v>41670.524062500001</v>
      </c>
      <c r="D3323" t="s">
        <v>632</v>
      </c>
      <c r="E3323" t="s">
        <v>4801</v>
      </c>
      <c r="F3323" t="s">
        <v>4802</v>
      </c>
      <c r="G3323" t="s">
        <v>1474</v>
      </c>
      <c r="H3323" t="s">
        <v>1043</v>
      </c>
      <c r="I3323">
        <v>185347001</v>
      </c>
      <c r="J3323" t="s">
        <v>1124</v>
      </c>
      <c r="K3323">
        <v>85.55</v>
      </c>
      <c r="L3323">
        <v>85.55</v>
      </c>
      <c r="M3323">
        <v>0</v>
      </c>
      <c r="N3323">
        <v>82423001</v>
      </c>
      <c r="O3323" t="s">
        <v>1542</v>
      </c>
    </row>
    <row r="3324" spans="1:15">
      <c r="A3324" t="s">
        <v>4804</v>
      </c>
      <c r="B3324" s="2">
        <v>41677.555312500001</v>
      </c>
      <c r="C3324" s="2">
        <v>41677.592326388891</v>
      </c>
      <c r="D3324" t="s">
        <v>632</v>
      </c>
      <c r="E3324" t="s">
        <v>4801</v>
      </c>
      <c r="F3324" t="s">
        <v>4802</v>
      </c>
      <c r="G3324" t="s">
        <v>1474</v>
      </c>
      <c r="H3324" t="s">
        <v>1031</v>
      </c>
      <c r="I3324">
        <v>185347001</v>
      </c>
      <c r="J3324" t="s">
        <v>1124</v>
      </c>
      <c r="K3324">
        <v>85.55</v>
      </c>
      <c r="L3324">
        <v>516.95000000000005</v>
      </c>
      <c r="M3324">
        <v>0</v>
      </c>
      <c r="N3324">
        <v>5602001</v>
      </c>
      <c r="O3324" t="s">
        <v>4805</v>
      </c>
    </row>
    <row r="3325" spans="1:15">
      <c r="A3325" t="s">
        <v>4806</v>
      </c>
      <c r="B3325" s="2">
        <v>42291.555312500001</v>
      </c>
      <c r="C3325" s="2">
        <v>42291.585104166668</v>
      </c>
      <c r="D3325" t="s">
        <v>632</v>
      </c>
      <c r="E3325" t="s">
        <v>2236</v>
      </c>
      <c r="F3325" t="s">
        <v>2237</v>
      </c>
      <c r="G3325" t="s">
        <v>1474</v>
      </c>
      <c r="H3325" t="s">
        <v>1159</v>
      </c>
      <c r="I3325">
        <v>702927004</v>
      </c>
      <c r="J3325" t="s">
        <v>1160</v>
      </c>
      <c r="K3325">
        <v>142.58000000000001</v>
      </c>
      <c r="L3325">
        <v>709.98</v>
      </c>
      <c r="M3325">
        <v>709.98</v>
      </c>
      <c r="O3325" t="s">
        <v>34</v>
      </c>
    </row>
    <row r="3326" spans="1:15">
      <c r="A3326" t="s">
        <v>4807</v>
      </c>
      <c r="B3326" s="2">
        <v>42445.555312500001</v>
      </c>
      <c r="C3326" s="2">
        <v>42445.595648148148</v>
      </c>
      <c r="D3326" t="s">
        <v>632</v>
      </c>
      <c r="E3326" t="s">
        <v>4796</v>
      </c>
      <c r="F3326" t="s">
        <v>4797</v>
      </c>
      <c r="G3326" t="s">
        <v>1474</v>
      </c>
      <c r="H3326" t="s">
        <v>1020</v>
      </c>
      <c r="I3326">
        <v>162673000</v>
      </c>
      <c r="J3326" t="s">
        <v>1021</v>
      </c>
      <c r="K3326">
        <v>136.80000000000001</v>
      </c>
      <c r="L3326">
        <v>568.20000000000005</v>
      </c>
      <c r="M3326">
        <v>0</v>
      </c>
      <c r="O3326" t="s">
        <v>34</v>
      </c>
    </row>
    <row r="3327" spans="1:15">
      <c r="A3327" t="s">
        <v>4808</v>
      </c>
      <c r="B3327" s="2">
        <v>42615.555312500001</v>
      </c>
      <c r="C3327" s="2">
        <v>42615.565729166665</v>
      </c>
      <c r="D3327" t="s">
        <v>632</v>
      </c>
      <c r="E3327" t="s">
        <v>4801</v>
      </c>
      <c r="F3327" t="s">
        <v>4802</v>
      </c>
      <c r="G3327" t="s">
        <v>1474</v>
      </c>
      <c r="H3327" t="s">
        <v>1043</v>
      </c>
      <c r="I3327">
        <v>698314001</v>
      </c>
      <c r="J3327" t="s">
        <v>1190</v>
      </c>
      <c r="K3327">
        <v>142.58000000000001</v>
      </c>
      <c r="L3327">
        <v>142.58000000000001</v>
      </c>
      <c r="M3327">
        <v>114.06</v>
      </c>
      <c r="N3327">
        <v>389095005</v>
      </c>
      <c r="O3327" t="s">
        <v>1191</v>
      </c>
    </row>
    <row r="3328" spans="1:15">
      <c r="A3328" t="s">
        <v>4809</v>
      </c>
      <c r="B3328" s="2">
        <v>42816.555312500001</v>
      </c>
      <c r="C3328" s="2">
        <v>42816.586111111108</v>
      </c>
      <c r="D3328" t="s">
        <v>632</v>
      </c>
      <c r="E3328" t="s">
        <v>4796</v>
      </c>
      <c r="F3328" t="s">
        <v>4797</v>
      </c>
      <c r="G3328" t="s">
        <v>1474</v>
      </c>
      <c r="H3328" t="s">
        <v>1020</v>
      </c>
      <c r="I3328">
        <v>162673000</v>
      </c>
      <c r="J3328" t="s">
        <v>1021</v>
      </c>
      <c r="K3328">
        <v>136.80000000000001</v>
      </c>
      <c r="L3328">
        <v>1030.72</v>
      </c>
      <c r="M3328">
        <v>0</v>
      </c>
      <c r="O3328" t="s">
        <v>34</v>
      </c>
    </row>
    <row r="3329" spans="1:15">
      <c r="A3329" t="s">
        <v>4810</v>
      </c>
      <c r="B3329" s="2">
        <v>42975.555312500001</v>
      </c>
      <c r="C3329" s="2">
        <v>42975.568078703705</v>
      </c>
      <c r="D3329" t="s">
        <v>632</v>
      </c>
      <c r="E3329" t="s">
        <v>4801</v>
      </c>
      <c r="F3329" t="s">
        <v>4802</v>
      </c>
      <c r="G3329" t="s">
        <v>1474</v>
      </c>
      <c r="H3329" t="s">
        <v>1043</v>
      </c>
      <c r="I3329">
        <v>698314001</v>
      </c>
      <c r="J3329" t="s">
        <v>1190</v>
      </c>
      <c r="K3329">
        <v>142.58000000000001</v>
      </c>
      <c r="L3329">
        <v>1250.8499999999999</v>
      </c>
      <c r="M3329">
        <v>770.96</v>
      </c>
      <c r="N3329">
        <v>389095005</v>
      </c>
      <c r="O3329" t="s">
        <v>1191</v>
      </c>
    </row>
    <row r="3330" spans="1:15">
      <c r="A3330" t="s">
        <v>4811</v>
      </c>
      <c r="B3330" s="2">
        <v>43075.513645833336</v>
      </c>
      <c r="C3330" s="2">
        <v>43075.524062500001</v>
      </c>
      <c r="D3330" t="s">
        <v>632</v>
      </c>
      <c r="E3330" t="s">
        <v>4801</v>
      </c>
      <c r="F3330" t="s">
        <v>4802</v>
      </c>
      <c r="G3330" t="s">
        <v>1474</v>
      </c>
      <c r="H3330" t="s">
        <v>1043</v>
      </c>
      <c r="I3330">
        <v>308335008</v>
      </c>
      <c r="J3330" t="s">
        <v>1194</v>
      </c>
      <c r="K3330">
        <v>142.58000000000001</v>
      </c>
      <c r="L3330">
        <v>1250.8499999999999</v>
      </c>
      <c r="M3330">
        <v>1000.68</v>
      </c>
      <c r="N3330">
        <v>389095005</v>
      </c>
      <c r="O3330" t="s">
        <v>1191</v>
      </c>
    </row>
    <row r="3331" spans="1:15">
      <c r="A3331" t="s">
        <v>4812</v>
      </c>
      <c r="B3331" s="2">
        <v>43166.513645833336</v>
      </c>
      <c r="C3331" s="2">
        <v>43166.52548611111</v>
      </c>
      <c r="D3331" t="s">
        <v>632</v>
      </c>
      <c r="E3331" t="s">
        <v>4801</v>
      </c>
      <c r="F3331" t="s">
        <v>4802</v>
      </c>
      <c r="G3331" t="s">
        <v>1474</v>
      </c>
      <c r="H3331" t="s">
        <v>1043</v>
      </c>
      <c r="I3331">
        <v>308335008</v>
      </c>
      <c r="J3331" t="s">
        <v>1194</v>
      </c>
      <c r="K3331">
        <v>142.58000000000001</v>
      </c>
      <c r="L3331">
        <v>1330.33</v>
      </c>
      <c r="M3331">
        <v>0</v>
      </c>
      <c r="N3331">
        <v>389095005</v>
      </c>
      <c r="O3331" t="s">
        <v>1191</v>
      </c>
    </row>
    <row r="3332" spans="1:15">
      <c r="A3332" t="s">
        <v>4813</v>
      </c>
      <c r="B3332" s="2">
        <v>43187.555312500001</v>
      </c>
      <c r="C3332" s="2">
        <v>43187.588194444441</v>
      </c>
      <c r="D3332" t="s">
        <v>632</v>
      </c>
      <c r="E3332" t="s">
        <v>4796</v>
      </c>
      <c r="F3332" t="s">
        <v>4797</v>
      </c>
      <c r="G3332" t="s">
        <v>1474</v>
      </c>
      <c r="H3332" t="s">
        <v>1020</v>
      </c>
      <c r="I3332">
        <v>162673000</v>
      </c>
      <c r="J3332" t="s">
        <v>1021</v>
      </c>
      <c r="K3332">
        <v>136.80000000000001</v>
      </c>
      <c r="L3332">
        <v>1157.32</v>
      </c>
      <c r="M3332">
        <v>925.86</v>
      </c>
      <c r="O3332" t="s">
        <v>34</v>
      </c>
    </row>
    <row r="3333" spans="1:15">
      <c r="A3333" t="s">
        <v>4814</v>
      </c>
      <c r="B3333" s="2">
        <v>43257.555312500001</v>
      </c>
      <c r="C3333" s="2">
        <v>43257.565729166665</v>
      </c>
      <c r="D3333" t="s">
        <v>632</v>
      </c>
      <c r="E3333" t="s">
        <v>4801</v>
      </c>
      <c r="F3333" t="s">
        <v>4802</v>
      </c>
      <c r="G3333" t="s">
        <v>1474</v>
      </c>
      <c r="H3333" t="s">
        <v>1043</v>
      </c>
      <c r="I3333">
        <v>308335008</v>
      </c>
      <c r="J3333" t="s">
        <v>1194</v>
      </c>
      <c r="K3333">
        <v>142.58000000000001</v>
      </c>
      <c r="L3333">
        <v>3306.67</v>
      </c>
      <c r="M3333">
        <v>2645.33</v>
      </c>
      <c r="N3333">
        <v>389095005</v>
      </c>
      <c r="O3333" t="s">
        <v>1191</v>
      </c>
    </row>
    <row r="3334" spans="1:15">
      <c r="A3334" t="s">
        <v>4815</v>
      </c>
      <c r="B3334" s="2">
        <v>43348.555312500001</v>
      </c>
      <c r="C3334" s="2">
        <v>43348.565729166665</v>
      </c>
      <c r="D3334" t="s">
        <v>632</v>
      </c>
      <c r="E3334" t="s">
        <v>4801</v>
      </c>
      <c r="F3334" t="s">
        <v>4802</v>
      </c>
      <c r="G3334" t="s">
        <v>1474</v>
      </c>
      <c r="H3334" t="s">
        <v>1043</v>
      </c>
      <c r="I3334">
        <v>308335008</v>
      </c>
      <c r="J3334" t="s">
        <v>1194</v>
      </c>
      <c r="K3334">
        <v>142.58000000000001</v>
      </c>
      <c r="L3334">
        <v>4272.82</v>
      </c>
      <c r="M3334">
        <v>3418.25</v>
      </c>
      <c r="N3334">
        <v>389095005</v>
      </c>
      <c r="O3334" t="s">
        <v>1191</v>
      </c>
    </row>
    <row r="3335" spans="1:15">
      <c r="A3335" t="s">
        <v>4816</v>
      </c>
      <c r="B3335" s="2">
        <v>43388.346979166665</v>
      </c>
      <c r="C3335" s="2">
        <v>43388.357395833336</v>
      </c>
      <c r="D3335" t="s">
        <v>632</v>
      </c>
      <c r="E3335" t="s">
        <v>4801</v>
      </c>
      <c r="F3335" t="s">
        <v>4802</v>
      </c>
      <c r="G3335" t="s">
        <v>1474</v>
      </c>
      <c r="H3335" t="s">
        <v>1031</v>
      </c>
      <c r="I3335">
        <v>185345009</v>
      </c>
      <c r="J3335" t="s">
        <v>1032</v>
      </c>
      <c r="K3335">
        <v>85.55</v>
      </c>
      <c r="L3335">
        <v>85.55</v>
      </c>
      <c r="M3335">
        <v>68.44</v>
      </c>
      <c r="N3335">
        <v>444814009</v>
      </c>
      <c r="O3335" t="s">
        <v>1035</v>
      </c>
    </row>
    <row r="3336" spans="1:15">
      <c r="A3336" t="s">
        <v>4817</v>
      </c>
      <c r="B3336" s="2">
        <v>43439.513645833336</v>
      </c>
      <c r="C3336" s="2">
        <v>43439.524062500001</v>
      </c>
      <c r="D3336" t="s">
        <v>632</v>
      </c>
      <c r="E3336" t="s">
        <v>4801</v>
      </c>
      <c r="F3336" t="s">
        <v>4802</v>
      </c>
      <c r="G3336" t="s">
        <v>1474</v>
      </c>
      <c r="H3336" t="s">
        <v>1043</v>
      </c>
      <c r="I3336">
        <v>308335008</v>
      </c>
      <c r="J3336" t="s">
        <v>1194</v>
      </c>
      <c r="K3336">
        <v>142.58000000000001</v>
      </c>
      <c r="L3336">
        <v>2474.13</v>
      </c>
      <c r="M3336">
        <v>1979.3</v>
      </c>
      <c r="N3336">
        <v>389095005</v>
      </c>
      <c r="O3336" t="s">
        <v>1191</v>
      </c>
    </row>
    <row r="3337" spans="1:15">
      <c r="A3337" t="s">
        <v>4818</v>
      </c>
      <c r="B3337" s="2">
        <v>43530.513645833336</v>
      </c>
      <c r="C3337" s="2">
        <v>43530.524062500001</v>
      </c>
      <c r="D3337" t="s">
        <v>632</v>
      </c>
      <c r="E3337" t="s">
        <v>4801</v>
      </c>
      <c r="F3337" t="s">
        <v>4802</v>
      </c>
      <c r="G3337" t="s">
        <v>1474</v>
      </c>
      <c r="H3337" t="s">
        <v>1043</v>
      </c>
      <c r="I3337">
        <v>308335008</v>
      </c>
      <c r="J3337" t="s">
        <v>1194</v>
      </c>
      <c r="K3337">
        <v>142.58000000000001</v>
      </c>
      <c r="L3337">
        <v>1250.8499999999999</v>
      </c>
      <c r="M3337">
        <v>0</v>
      </c>
      <c r="N3337">
        <v>389095005</v>
      </c>
      <c r="O3337" t="s">
        <v>1191</v>
      </c>
    </row>
    <row r="3338" spans="1:15">
      <c r="A3338" t="s">
        <v>4819</v>
      </c>
      <c r="B3338" s="2">
        <v>43558.555312500001</v>
      </c>
      <c r="C3338" s="2">
        <v>43558.581886574073</v>
      </c>
      <c r="D3338" t="s">
        <v>632</v>
      </c>
      <c r="E3338" t="s">
        <v>4796</v>
      </c>
      <c r="F3338" t="s">
        <v>4797</v>
      </c>
      <c r="G3338" t="s">
        <v>1474</v>
      </c>
      <c r="H3338" t="s">
        <v>1020</v>
      </c>
      <c r="I3338">
        <v>162673000</v>
      </c>
      <c r="J3338" t="s">
        <v>1021</v>
      </c>
      <c r="K3338">
        <v>136.80000000000001</v>
      </c>
      <c r="L3338">
        <v>778.78</v>
      </c>
      <c r="M3338">
        <v>561.25</v>
      </c>
      <c r="O3338" t="s">
        <v>34</v>
      </c>
    </row>
    <row r="3339" spans="1:15">
      <c r="A3339" t="s">
        <v>4820</v>
      </c>
      <c r="B3339" s="2">
        <v>43572.555312500001</v>
      </c>
      <c r="C3339" s="2">
        <v>43572.690752314818</v>
      </c>
      <c r="D3339" t="s">
        <v>632</v>
      </c>
      <c r="E3339" t="s">
        <v>4801</v>
      </c>
      <c r="F3339" t="s">
        <v>4802</v>
      </c>
      <c r="G3339" t="s">
        <v>1474</v>
      </c>
      <c r="H3339" t="s">
        <v>1031</v>
      </c>
      <c r="I3339">
        <v>185349003</v>
      </c>
      <c r="J3339" t="s">
        <v>1038</v>
      </c>
      <c r="K3339">
        <v>85.55</v>
      </c>
      <c r="L3339">
        <v>3105.35</v>
      </c>
      <c r="M3339">
        <v>2484.2800000000002</v>
      </c>
      <c r="N3339">
        <v>66383009</v>
      </c>
      <c r="O3339" t="s">
        <v>1209</v>
      </c>
    </row>
    <row r="3340" spans="1:15">
      <c r="A3340" t="s">
        <v>4821</v>
      </c>
      <c r="B3340" s="2">
        <v>43621.555312500001</v>
      </c>
      <c r="C3340" s="2">
        <v>43621.565729166665</v>
      </c>
      <c r="D3340" t="s">
        <v>632</v>
      </c>
      <c r="E3340" t="s">
        <v>4801</v>
      </c>
      <c r="F3340" t="s">
        <v>4802</v>
      </c>
      <c r="G3340" t="s">
        <v>1474</v>
      </c>
      <c r="H3340" t="s">
        <v>1043</v>
      </c>
      <c r="I3340">
        <v>308335008</v>
      </c>
      <c r="J3340" t="s">
        <v>1194</v>
      </c>
      <c r="K3340">
        <v>142.58000000000001</v>
      </c>
      <c r="L3340">
        <v>4575.68</v>
      </c>
      <c r="M3340">
        <v>3660.54</v>
      </c>
      <c r="N3340">
        <v>389095005</v>
      </c>
      <c r="O3340" t="s">
        <v>1191</v>
      </c>
    </row>
    <row r="3341" spans="1:15">
      <c r="A3341" t="s">
        <v>4822</v>
      </c>
      <c r="B3341" s="2">
        <v>43712.555312500001</v>
      </c>
      <c r="C3341" s="2">
        <v>43712.567314814813</v>
      </c>
      <c r="D3341" t="s">
        <v>632</v>
      </c>
      <c r="E3341" t="s">
        <v>4801</v>
      </c>
      <c r="F3341" t="s">
        <v>4802</v>
      </c>
      <c r="G3341" t="s">
        <v>1474</v>
      </c>
      <c r="H3341" t="s">
        <v>1043</v>
      </c>
      <c r="I3341">
        <v>308335008</v>
      </c>
      <c r="J3341" t="s">
        <v>1194</v>
      </c>
      <c r="K3341">
        <v>142.58000000000001</v>
      </c>
      <c r="L3341">
        <v>1250.8499999999999</v>
      </c>
      <c r="M3341">
        <v>1000.68</v>
      </c>
      <c r="N3341">
        <v>389095005</v>
      </c>
      <c r="O3341" t="s">
        <v>1191</v>
      </c>
    </row>
    <row r="3342" spans="1:15">
      <c r="A3342" t="s">
        <v>4823</v>
      </c>
      <c r="B3342" s="2">
        <v>43803.513645833336</v>
      </c>
      <c r="C3342" s="2">
        <v>43803.527499999997</v>
      </c>
      <c r="D3342" t="s">
        <v>632</v>
      </c>
      <c r="E3342" t="s">
        <v>4801</v>
      </c>
      <c r="F3342" t="s">
        <v>4802</v>
      </c>
      <c r="G3342" t="s">
        <v>1474</v>
      </c>
      <c r="H3342" t="s">
        <v>1043</v>
      </c>
      <c r="I3342">
        <v>308335008</v>
      </c>
      <c r="J3342" t="s">
        <v>1194</v>
      </c>
      <c r="K3342">
        <v>142.58000000000001</v>
      </c>
      <c r="L3342">
        <v>4575.68</v>
      </c>
      <c r="M3342">
        <v>3660.54</v>
      </c>
      <c r="N3342">
        <v>389095005</v>
      </c>
      <c r="O3342" t="s">
        <v>1191</v>
      </c>
    </row>
    <row r="3343" spans="1:15">
      <c r="A3343" t="s">
        <v>4824</v>
      </c>
      <c r="B3343" s="2">
        <v>43894.513645833336</v>
      </c>
      <c r="C3343" s="2">
        <v>43894.527268518519</v>
      </c>
      <c r="D3343" t="s">
        <v>632</v>
      </c>
      <c r="E3343" t="s">
        <v>4801</v>
      </c>
      <c r="F3343" t="s">
        <v>4802</v>
      </c>
      <c r="G3343" t="s">
        <v>1474</v>
      </c>
      <c r="H3343" t="s">
        <v>1043</v>
      </c>
      <c r="I3343">
        <v>308335008</v>
      </c>
      <c r="J3343" t="s">
        <v>1194</v>
      </c>
      <c r="K3343">
        <v>142.58000000000001</v>
      </c>
      <c r="L3343">
        <v>1517.17</v>
      </c>
      <c r="M3343">
        <v>47.34</v>
      </c>
      <c r="N3343">
        <v>389095005</v>
      </c>
      <c r="O3343" t="s">
        <v>1191</v>
      </c>
    </row>
    <row r="3344" spans="1:15">
      <c r="A3344" t="s">
        <v>4825</v>
      </c>
      <c r="B3344" s="2">
        <v>43929.555312500001</v>
      </c>
      <c r="C3344" s="2">
        <v>43929.593900462962</v>
      </c>
      <c r="D3344" t="s">
        <v>632</v>
      </c>
      <c r="E3344" t="s">
        <v>4796</v>
      </c>
      <c r="F3344" t="s">
        <v>4797</v>
      </c>
      <c r="G3344" t="s">
        <v>1474</v>
      </c>
      <c r="H3344" t="s">
        <v>1020</v>
      </c>
      <c r="I3344">
        <v>162673000</v>
      </c>
      <c r="J3344" t="s">
        <v>1021</v>
      </c>
      <c r="K3344">
        <v>136.80000000000001</v>
      </c>
      <c r="L3344">
        <v>840.2</v>
      </c>
      <c r="M3344">
        <v>672.16</v>
      </c>
      <c r="O3344" t="s">
        <v>34</v>
      </c>
    </row>
    <row r="3345" spans="1:15">
      <c r="A3345" t="s">
        <v>4826</v>
      </c>
      <c r="B3345" s="2">
        <v>43943.555312500001</v>
      </c>
      <c r="C3345" s="2">
        <v>43943.697488425925</v>
      </c>
      <c r="D3345" t="s">
        <v>632</v>
      </c>
      <c r="E3345" t="s">
        <v>4801</v>
      </c>
      <c r="F3345" t="s">
        <v>4802</v>
      </c>
      <c r="G3345" t="s">
        <v>1474</v>
      </c>
      <c r="H3345" t="s">
        <v>1031</v>
      </c>
      <c r="I3345">
        <v>185349003</v>
      </c>
      <c r="J3345" t="s">
        <v>1038</v>
      </c>
      <c r="K3345">
        <v>85.55</v>
      </c>
      <c r="L3345">
        <v>3105.35</v>
      </c>
      <c r="M3345">
        <v>2484.2800000000002</v>
      </c>
      <c r="N3345">
        <v>103697008</v>
      </c>
      <c r="O3345" t="s">
        <v>1039</v>
      </c>
    </row>
    <row r="3346" spans="1:15">
      <c r="A3346" t="s">
        <v>4827</v>
      </c>
      <c r="B3346" s="2">
        <v>43985.555312500001</v>
      </c>
      <c r="C3346" s="2">
        <v>43985.565729166665</v>
      </c>
      <c r="D3346" t="s">
        <v>632</v>
      </c>
      <c r="E3346" t="s">
        <v>4801</v>
      </c>
      <c r="F3346" t="s">
        <v>4802</v>
      </c>
      <c r="G3346" t="s">
        <v>1474</v>
      </c>
      <c r="H3346" t="s">
        <v>1043</v>
      </c>
      <c r="I3346">
        <v>308335008</v>
      </c>
      <c r="J3346" t="s">
        <v>1194</v>
      </c>
      <c r="K3346">
        <v>142.58000000000001</v>
      </c>
      <c r="L3346">
        <v>1942.34</v>
      </c>
      <c r="M3346">
        <v>1553.87</v>
      </c>
      <c r="N3346">
        <v>389095005</v>
      </c>
      <c r="O3346" t="s">
        <v>1191</v>
      </c>
    </row>
    <row r="3347" spans="1:15">
      <c r="A3347" t="s">
        <v>4828</v>
      </c>
      <c r="B3347" s="2">
        <v>44076.555312500001</v>
      </c>
      <c r="C3347" s="2">
        <v>44076.565729166665</v>
      </c>
      <c r="D3347" t="s">
        <v>632</v>
      </c>
      <c r="E3347" t="s">
        <v>4801</v>
      </c>
      <c r="F3347" t="s">
        <v>4802</v>
      </c>
      <c r="G3347" t="s">
        <v>1474</v>
      </c>
      <c r="H3347" t="s">
        <v>1043</v>
      </c>
      <c r="I3347">
        <v>308335008</v>
      </c>
      <c r="J3347" t="s">
        <v>1194</v>
      </c>
      <c r="K3347">
        <v>142.58000000000001</v>
      </c>
      <c r="L3347">
        <v>1250.8499999999999</v>
      </c>
      <c r="M3347">
        <v>1000.68</v>
      </c>
      <c r="N3347">
        <v>389095005</v>
      </c>
      <c r="O3347" t="s">
        <v>1191</v>
      </c>
    </row>
    <row r="3348" spans="1:15">
      <c r="A3348" t="s">
        <v>4829</v>
      </c>
      <c r="B3348" s="2">
        <v>44132.555312500001</v>
      </c>
      <c r="C3348" s="2">
        <v>44132.565729166665</v>
      </c>
      <c r="D3348" t="s">
        <v>632</v>
      </c>
      <c r="E3348" t="s">
        <v>4801</v>
      </c>
      <c r="F3348" t="s">
        <v>4802</v>
      </c>
      <c r="G3348" t="s">
        <v>1474</v>
      </c>
      <c r="H3348" t="s">
        <v>1031</v>
      </c>
      <c r="I3348">
        <v>424441002</v>
      </c>
      <c r="J3348" t="s">
        <v>1059</v>
      </c>
      <c r="K3348">
        <v>142.58000000000001</v>
      </c>
      <c r="L3348">
        <v>44308.01</v>
      </c>
      <c r="M3348">
        <v>35446.410000000003</v>
      </c>
      <c r="N3348">
        <v>72892002</v>
      </c>
      <c r="O3348" t="s">
        <v>1060</v>
      </c>
    </row>
    <row r="3349" spans="1:15">
      <c r="A3349" t="s">
        <v>4830</v>
      </c>
      <c r="B3349" s="2">
        <v>44160.513645833336</v>
      </c>
      <c r="C3349" s="2">
        <v>44160.524062500001</v>
      </c>
      <c r="D3349" t="s">
        <v>632</v>
      </c>
      <c r="E3349" t="s">
        <v>4801</v>
      </c>
      <c r="F3349" t="s">
        <v>4802</v>
      </c>
      <c r="G3349" t="s">
        <v>1474</v>
      </c>
      <c r="H3349" t="s">
        <v>1031</v>
      </c>
      <c r="I3349">
        <v>424619006</v>
      </c>
      <c r="J3349" t="s">
        <v>1062</v>
      </c>
      <c r="K3349">
        <v>142.58000000000001</v>
      </c>
      <c r="L3349">
        <v>12313.82</v>
      </c>
      <c r="M3349">
        <v>12313.82</v>
      </c>
      <c r="N3349">
        <v>72892002</v>
      </c>
      <c r="O3349" t="s">
        <v>1060</v>
      </c>
    </row>
    <row r="3350" spans="1:15">
      <c r="A3350" t="s">
        <v>4831</v>
      </c>
      <c r="B3350" s="2">
        <v>44188.513645833336</v>
      </c>
      <c r="C3350" s="2">
        <v>44188.524062500001</v>
      </c>
      <c r="D3350" t="s">
        <v>632</v>
      </c>
      <c r="E3350" t="s">
        <v>4801</v>
      </c>
      <c r="F3350" t="s">
        <v>4802</v>
      </c>
      <c r="G3350" t="s">
        <v>1474</v>
      </c>
      <c r="H3350" t="s">
        <v>1031</v>
      </c>
      <c r="I3350">
        <v>424619006</v>
      </c>
      <c r="J3350" t="s">
        <v>1062</v>
      </c>
      <c r="K3350">
        <v>142.58000000000001</v>
      </c>
      <c r="L3350">
        <v>11962.3</v>
      </c>
      <c r="M3350">
        <v>11962.3</v>
      </c>
      <c r="N3350">
        <v>72892002</v>
      </c>
      <c r="O3350" t="s">
        <v>1060</v>
      </c>
    </row>
    <row r="3351" spans="1:15">
      <c r="A3351" t="s">
        <v>4832</v>
      </c>
      <c r="B3351" s="2">
        <v>44216.513645833336</v>
      </c>
      <c r="C3351" s="2">
        <v>44216.524062500001</v>
      </c>
      <c r="D3351" t="s">
        <v>632</v>
      </c>
      <c r="E3351" t="s">
        <v>4801</v>
      </c>
      <c r="F3351" t="s">
        <v>4802</v>
      </c>
      <c r="G3351" t="s">
        <v>1474</v>
      </c>
      <c r="H3351" t="s">
        <v>1031</v>
      </c>
      <c r="I3351">
        <v>424619006</v>
      </c>
      <c r="J3351" t="s">
        <v>1062</v>
      </c>
      <c r="K3351">
        <v>142.58000000000001</v>
      </c>
      <c r="L3351">
        <v>13799.63</v>
      </c>
      <c r="M3351">
        <v>9873.2999999999993</v>
      </c>
      <c r="N3351">
        <v>72892002</v>
      </c>
      <c r="O3351" t="s">
        <v>1060</v>
      </c>
    </row>
    <row r="3352" spans="1:15">
      <c r="A3352" t="s">
        <v>4833</v>
      </c>
      <c r="B3352" s="2">
        <v>44244.513645833336</v>
      </c>
      <c r="C3352" s="2">
        <v>44244.524062500001</v>
      </c>
      <c r="D3352" t="s">
        <v>632</v>
      </c>
      <c r="E3352" t="s">
        <v>4801</v>
      </c>
      <c r="F3352" t="s">
        <v>4802</v>
      </c>
      <c r="G3352" t="s">
        <v>1474</v>
      </c>
      <c r="H3352" t="s">
        <v>1031</v>
      </c>
      <c r="I3352">
        <v>424619006</v>
      </c>
      <c r="J3352" t="s">
        <v>1062</v>
      </c>
      <c r="K3352">
        <v>142.58000000000001</v>
      </c>
      <c r="L3352">
        <v>6465.54</v>
      </c>
      <c r="M3352">
        <v>5172.43</v>
      </c>
      <c r="N3352">
        <v>72892002</v>
      </c>
      <c r="O3352" t="s">
        <v>1060</v>
      </c>
    </row>
    <row r="3353" spans="1:15">
      <c r="A3353" t="s">
        <v>4834</v>
      </c>
      <c r="B3353" s="2">
        <v>44272.555312500001</v>
      </c>
      <c r="C3353" s="2">
        <v>44272.565729166665</v>
      </c>
      <c r="D3353" t="s">
        <v>632</v>
      </c>
      <c r="E3353" t="s">
        <v>4801</v>
      </c>
      <c r="F3353" t="s">
        <v>4802</v>
      </c>
      <c r="G3353" t="s">
        <v>1474</v>
      </c>
      <c r="H3353" t="s">
        <v>1031</v>
      </c>
      <c r="I3353">
        <v>424619006</v>
      </c>
      <c r="J3353" t="s">
        <v>1062</v>
      </c>
      <c r="K3353">
        <v>142.58000000000001</v>
      </c>
      <c r="L3353">
        <v>15166</v>
      </c>
      <c r="M3353">
        <v>12132.8</v>
      </c>
      <c r="N3353">
        <v>72892002</v>
      </c>
      <c r="O3353" t="s">
        <v>1060</v>
      </c>
    </row>
    <row r="3354" spans="1:15">
      <c r="A3354" t="s">
        <v>4835</v>
      </c>
      <c r="B3354" s="2">
        <v>44300.555312500001</v>
      </c>
      <c r="C3354" s="2">
        <v>44300.589479166665</v>
      </c>
      <c r="D3354" t="s">
        <v>632</v>
      </c>
      <c r="E3354" t="s">
        <v>4796</v>
      </c>
      <c r="F3354" t="s">
        <v>4797</v>
      </c>
      <c r="G3354" t="s">
        <v>1474</v>
      </c>
      <c r="H3354" t="s">
        <v>1020</v>
      </c>
      <c r="I3354">
        <v>162673000</v>
      </c>
      <c r="J3354" t="s">
        <v>1021</v>
      </c>
      <c r="K3354">
        <v>136.80000000000001</v>
      </c>
      <c r="L3354">
        <v>704.2</v>
      </c>
      <c r="M3354">
        <v>563.36</v>
      </c>
      <c r="O3354" t="s">
        <v>34</v>
      </c>
    </row>
    <row r="3355" spans="1:15">
      <c r="A3355" t="s">
        <v>4836</v>
      </c>
      <c r="B3355" s="2">
        <v>44307.555312500001</v>
      </c>
      <c r="C3355" s="2">
        <v>44307.565729166665</v>
      </c>
      <c r="D3355" t="s">
        <v>632</v>
      </c>
      <c r="E3355" t="s">
        <v>4801</v>
      </c>
      <c r="F3355" t="s">
        <v>4802</v>
      </c>
      <c r="G3355" t="s">
        <v>1474</v>
      </c>
      <c r="H3355" t="s">
        <v>1031</v>
      </c>
      <c r="I3355">
        <v>424619006</v>
      </c>
      <c r="J3355" t="s">
        <v>1062</v>
      </c>
      <c r="K3355">
        <v>142.58000000000001</v>
      </c>
      <c r="L3355">
        <v>11451.02</v>
      </c>
      <c r="M3355">
        <v>9160.81</v>
      </c>
      <c r="N3355">
        <v>72892002</v>
      </c>
      <c r="O3355" t="s">
        <v>1060</v>
      </c>
    </row>
    <row r="3356" spans="1:15">
      <c r="A3356" t="s">
        <v>4837</v>
      </c>
      <c r="B3356" s="2">
        <v>44314.555312500001</v>
      </c>
      <c r="C3356" s="2">
        <v>44314.808622685188</v>
      </c>
      <c r="D3356" t="s">
        <v>632</v>
      </c>
      <c r="E3356" t="s">
        <v>4801</v>
      </c>
      <c r="F3356" t="s">
        <v>4802</v>
      </c>
      <c r="G3356" t="s">
        <v>1474</v>
      </c>
      <c r="H3356" t="s">
        <v>1031</v>
      </c>
      <c r="I3356">
        <v>185349003</v>
      </c>
      <c r="J3356" t="s">
        <v>1038</v>
      </c>
      <c r="K3356">
        <v>85.55</v>
      </c>
      <c r="L3356">
        <v>4830.95</v>
      </c>
      <c r="M3356">
        <v>4830.95</v>
      </c>
      <c r="N3356">
        <v>103697008</v>
      </c>
      <c r="O3356" t="s">
        <v>1039</v>
      </c>
    </row>
    <row r="3357" spans="1:15">
      <c r="A3357" t="s">
        <v>4838</v>
      </c>
      <c r="B3357" s="2">
        <v>44335.555312500001</v>
      </c>
      <c r="C3357" s="2">
        <v>44335.565729166665</v>
      </c>
      <c r="D3357" t="s">
        <v>632</v>
      </c>
      <c r="E3357" t="s">
        <v>4801</v>
      </c>
      <c r="F3357" t="s">
        <v>4802</v>
      </c>
      <c r="G3357" t="s">
        <v>1474</v>
      </c>
      <c r="H3357" t="s">
        <v>1031</v>
      </c>
      <c r="I3357">
        <v>424619006</v>
      </c>
      <c r="J3357" t="s">
        <v>1062</v>
      </c>
      <c r="K3357">
        <v>142.58000000000001</v>
      </c>
      <c r="L3357">
        <v>11974.61</v>
      </c>
      <c r="M3357">
        <v>11974.61</v>
      </c>
      <c r="N3357">
        <v>72892002</v>
      </c>
      <c r="O3357" t="s">
        <v>1060</v>
      </c>
    </row>
    <row r="3358" spans="1:15">
      <c r="A3358" t="s">
        <v>4839</v>
      </c>
      <c r="B3358" s="2">
        <v>44349.555312500001</v>
      </c>
      <c r="C3358" s="2">
        <v>44349.596979166665</v>
      </c>
      <c r="D3358" t="s">
        <v>632</v>
      </c>
      <c r="E3358" t="s">
        <v>3553</v>
      </c>
      <c r="F3358" t="s">
        <v>3554</v>
      </c>
      <c r="G3358" t="s">
        <v>1474</v>
      </c>
      <c r="H3358" t="s">
        <v>1076</v>
      </c>
      <c r="I3358">
        <v>183460006</v>
      </c>
      <c r="J3358" t="s">
        <v>1077</v>
      </c>
      <c r="K3358">
        <v>146.18</v>
      </c>
      <c r="L3358">
        <v>2925.6</v>
      </c>
      <c r="M3358">
        <v>2925.6</v>
      </c>
      <c r="N3358">
        <v>72892002</v>
      </c>
      <c r="O3358" t="s">
        <v>1060</v>
      </c>
    </row>
    <row r="3359" spans="1:15">
      <c r="A3359" t="s">
        <v>4840</v>
      </c>
      <c r="B3359" s="2">
        <v>44391.555312500001</v>
      </c>
      <c r="C3359" s="2">
        <v>44391.565729166665</v>
      </c>
      <c r="D3359" t="s">
        <v>632</v>
      </c>
      <c r="E3359" t="s">
        <v>4801</v>
      </c>
      <c r="F3359" t="s">
        <v>4802</v>
      </c>
      <c r="G3359" t="s">
        <v>1474</v>
      </c>
      <c r="H3359" t="s">
        <v>1031</v>
      </c>
      <c r="I3359">
        <v>169762003</v>
      </c>
      <c r="J3359" t="s">
        <v>1079</v>
      </c>
      <c r="K3359">
        <v>142.58000000000001</v>
      </c>
      <c r="L3359">
        <v>5438.48</v>
      </c>
      <c r="M3359">
        <v>5438.48</v>
      </c>
      <c r="O3359" t="s">
        <v>34</v>
      </c>
    </row>
    <row r="3360" spans="1:15">
      <c r="A3360" t="s">
        <v>4841</v>
      </c>
      <c r="B3360" s="2">
        <v>44482.555312500001</v>
      </c>
      <c r="C3360" s="2">
        <v>44482.565729166665</v>
      </c>
      <c r="D3360" t="s">
        <v>632</v>
      </c>
      <c r="E3360" t="s">
        <v>4801</v>
      </c>
      <c r="F3360" t="s">
        <v>4802</v>
      </c>
      <c r="G3360" t="s">
        <v>1474</v>
      </c>
      <c r="H3360" t="s">
        <v>1043</v>
      </c>
      <c r="I3360">
        <v>33879002</v>
      </c>
      <c r="J3360" t="s">
        <v>1044</v>
      </c>
      <c r="K3360">
        <v>142.58000000000001</v>
      </c>
      <c r="L3360">
        <v>278.58</v>
      </c>
      <c r="M3360">
        <v>278.58</v>
      </c>
      <c r="O3360" t="s">
        <v>34</v>
      </c>
    </row>
    <row r="3361" spans="1:15">
      <c r="A3361" t="s">
        <v>4842</v>
      </c>
      <c r="B3361" s="2">
        <v>44510.513645833336</v>
      </c>
      <c r="C3361" s="2">
        <v>44510.524062500001</v>
      </c>
      <c r="D3361" t="s">
        <v>632</v>
      </c>
      <c r="E3361" t="s">
        <v>4801</v>
      </c>
      <c r="F3361" t="s">
        <v>4802</v>
      </c>
      <c r="G3361" t="s">
        <v>1474</v>
      </c>
      <c r="H3361" t="s">
        <v>1043</v>
      </c>
      <c r="I3361">
        <v>33879002</v>
      </c>
      <c r="J3361" t="s">
        <v>1044</v>
      </c>
      <c r="K3361">
        <v>142.58000000000001</v>
      </c>
      <c r="L3361">
        <v>278.58</v>
      </c>
      <c r="M3361">
        <v>278.58</v>
      </c>
      <c r="O3361" t="s">
        <v>34</v>
      </c>
    </row>
    <row r="3362" spans="1:15">
      <c r="A3362" t="s">
        <v>4843</v>
      </c>
      <c r="B3362" s="2">
        <v>44671.555312500001</v>
      </c>
      <c r="C3362" s="2">
        <v>44671.585925925923</v>
      </c>
      <c r="D3362" t="s">
        <v>632</v>
      </c>
      <c r="E3362" t="s">
        <v>4796</v>
      </c>
      <c r="F3362" t="s">
        <v>4797</v>
      </c>
      <c r="G3362" t="s">
        <v>1474</v>
      </c>
      <c r="H3362" t="s">
        <v>1020</v>
      </c>
      <c r="I3362">
        <v>162673000</v>
      </c>
      <c r="J3362" t="s">
        <v>1021</v>
      </c>
      <c r="K3362">
        <v>136.80000000000001</v>
      </c>
      <c r="L3362">
        <v>1716.16</v>
      </c>
      <c r="M3362">
        <v>310.48</v>
      </c>
      <c r="O3362" t="s">
        <v>34</v>
      </c>
    </row>
    <row r="3363" spans="1:15">
      <c r="A3363" t="s">
        <v>4844</v>
      </c>
      <c r="B3363" s="2">
        <v>44775.568078703705</v>
      </c>
      <c r="C3363" s="2">
        <v>44775.57849537037</v>
      </c>
      <c r="D3363" t="s">
        <v>632</v>
      </c>
      <c r="E3363" t="s">
        <v>4801</v>
      </c>
      <c r="F3363" t="s">
        <v>4802</v>
      </c>
      <c r="G3363" t="s">
        <v>1474</v>
      </c>
      <c r="H3363" t="s">
        <v>1043</v>
      </c>
      <c r="I3363">
        <v>698314001</v>
      </c>
      <c r="J3363" t="s">
        <v>1190</v>
      </c>
      <c r="K3363">
        <v>142.58000000000001</v>
      </c>
      <c r="L3363">
        <v>142.58000000000001</v>
      </c>
      <c r="M3363">
        <v>114.06</v>
      </c>
      <c r="N3363">
        <v>389095005</v>
      </c>
      <c r="O3363" t="s">
        <v>1191</v>
      </c>
    </row>
    <row r="3364" spans="1:15">
      <c r="A3364" t="s">
        <v>4845</v>
      </c>
      <c r="B3364" s="2">
        <v>45042.555312500001</v>
      </c>
      <c r="C3364" s="2">
        <v>45042.59337962963</v>
      </c>
      <c r="D3364" t="s">
        <v>632</v>
      </c>
      <c r="E3364" t="s">
        <v>4796</v>
      </c>
      <c r="F3364" t="s">
        <v>4797</v>
      </c>
      <c r="G3364" t="s">
        <v>1474</v>
      </c>
      <c r="H3364" t="s">
        <v>1020</v>
      </c>
      <c r="I3364">
        <v>162673000</v>
      </c>
      <c r="J3364" t="s">
        <v>1021</v>
      </c>
      <c r="K3364">
        <v>136.80000000000001</v>
      </c>
      <c r="L3364">
        <v>704.2</v>
      </c>
      <c r="M3364">
        <v>0</v>
      </c>
      <c r="O3364" t="s">
        <v>34</v>
      </c>
    </row>
    <row r="3365" spans="1:15">
      <c r="A3365" t="s">
        <v>4846</v>
      </c>
      <c r="B3365" s="2">
        <v>45087.221979166665</v>
      </c>
      <c r="C3365" s="2">
        <v>45087.232395833336</v>
      </c>
      <c r="D3365" t="s">
        <v>632</v>
      </c>
      <c r="E3365" t="s">
        <v>4801</v>
      </c>
      <c r="F3365" t="s">
        <v>4802</v>
      </c>
      <c r="G3365" t="s">
        <v>1474</v>
      </c>
      <c r="H3365" t="s">
        <v>1031</v>
      </c>
      <c r="I3365">
        <v>185345009</v>
      </c>
      <c r="J3365" t="s">
        <v>1032</v>
      </c>
      <c r="K3365">
        <v>85.55</v>
      </c>
      <c r="L3365">
        <v>85.55</v>
      </c>
      <c r="M3365">
        <v>0</v>
      </c>
      <c r="N3365">
        <v>10509002</v>
      </c>
      <c r="O3365" t="s">
        <v>1033</v>
      </c>
    </row>
    <row r="3366" spans="1:15">
      <c r="A3366" t="s">
        <v>4847</v>
      </c>
      <c r="B3366" s="2">
        <v>45098.555312500001</v>
      </c>
      <c r="C3366" s="2">
        <v>45098.58321759259</v>
      </c>
      <c r="D3366" t="s">
        <v>632</v>
      </c>
      <c r="E3366" t="s">
        <v>2236</v>
      </c>
      <c r="F3366" t="s">
        <v>2237</v>
      </c>
      <c r="G3366" t="s">
        <v>1474</v>
      </c>
      <c r="H3366" t="s">
        <v>1159</v>
      </c>
      <c r="I3366">
        <v>702927004</v>
      </c>
      <c r="J3366" t="s">
        <v>1160</v>
      </c>
      <c r="K3366">
        <v>142.58000000000001</v>
      </c>
      <c r="L3366">
        <v>573.98</v>
      </c>
      <c r="M3366">
        <v>273.13</v>
      </c>
      <c r="O3366" t="s">
        <v>34</v>
      </c>
    </row>
    <row r="3367" spans="1:15">
      <c r="A3367" t="s">
        <v>4848</v>
      </c>
      <c r="B3367" s="2">
        <v>45196.555312500001</v>
      </c>
      <c r="C3367" s="2">
        <v>45196.565729166665</v>
      </c>
      <c r="D3367" t="s">
        <v>632</v>
      </c>
      <c r="E3367" t="s">
        <v>4801</v>
      </c>
      <c r="F3367" t="s">
        <v>4802</v>
      </c>
      <c r="G3367" t="s">
        <v>1474</v>
      </c>
      <c r="H3367" t="s">
        <v>1031</v>
      </c>
      <c r="I3367">
        <v>424441002</v>
      </c>
      <c r="J3367" t="s">
        <v>1059</v>
      </c>
      <c r="K3367">
        <v>142.58000000000001</v>
      </c>
      <c r="L3367">
        <v>54897.5</v>
      </c>
      <c r="M3367">
        <v>43918</v>
      </c>
      <c r="N3367">
        <v>72892002</v>
      </c>
      <c r="O3367" t="s">
        <v>1060</v>
      </c>
    </row>
    <row r="3368" spans="1:15">
      <c r="A3368" t="s">
        <v>4849</v>
      </c>
      <c r="B3368" s="2">
        <v>45224.555312500001</v>
      </c>
      <c r="C3368" s="2">
        <v>45224.565729166665</v>
      </c>
      <c r="D3368" t="s">
        <v>632</v>
      </c>
      <c r="E3368" t="s">
        <v>4801</v>
      </c>
      <c r="F3368" t="s">
        <v>4802</v>
      </c>
      <c r="G3368" t="s">
        <v>1474</v>
      </c>
      <c r="H3368" t="s">
        <v>1031</v>
      </c>
      <c r="I3368">
        <v>424619006</v>
      </c>
      <c r="J3368" t="s">
        <v>1062</v>
      </c>
      <c r="K3368">
        <v>142.58000000000001</v>
      </c>
      <c r="L3368">
        <v>6407.98</v>
      </c>
      <c r="M3368">
        <v>6407.98</v>
      </c>
      <c r="N3368">
        <v>72892002</v>
      </c>
      <c r="O3368" t="s">
        <v>1060</v>
      </c>
    </row>
    <row r="3369" spans="1:15">
      <c r="A3369" t="s">
        <v>4850</v>
      </c>
      <c r="B3369" s="2">
        <v>45252.513645833336</v>
      </c>
      <c r="C3369" s="2">
        <v>45252.524062500001</v>
      </c>
      <c r="D3369" t="s">
        <v>632</v>
      </c>
      <c r="E3369" t="s">
        <v>4801</v>
      </c>
      <c r="F3369" t="s">
        <v>4802</v>
      </c>
      <c r="G3369" t="s">
        <v>1474</v>
      </c>
      <c r="H3369" t="s">
        <v>1031</v>
      </c>
      <c r="I3369">
        <v>424619006</v>
      </c>
      <c r="J3369" t="s">
        <v>1062</v>
      </c>
      <c r="K3369">
        <v>142.58000000000001</v>
      </c>
      <c r="L3369">
        <v>142.58000000000001</v>
      </c>
      <c r="M3369">
        <v>142.58000000000001</v>
      </c>
      <c r="N3369">
        <v>72892002</v>
      </c>
      <c r="O3369" t="s">
        <v>1060</v>
      </c>
    </row>
    <row r="3370" spans="1:15">
      <c r="A3370" t="s">
        <v>4851</v>
      </c>
      <c r="B3370" s="2">
        <v>45259.513645833336</v>
      </c>
      <c r="C3370" s="2">
        <v>45259.524062500001</v>
      </c>
      <c r="D3370" t="s">
        <v>632</v>
      </c>
      <c r="E3370" t="s">
        <v>4801</v>
      </c>
      <c r="F3370" t="s">
        <v>4802</v>
      </c>
      <c r="G3370" t="s">
        <v>1474</v>
      </c>
      <c r="H3370" t="s">
        <v>1031</v>
      </c>
      <c r="I3370">
        <v>424619006</v>
      </c>
      <c r="J3370" t="s">
        <v>1062</v>
      </c>
      <c r="K3370">
        <v>142.58000000000001</v>
      </c>
      <c r="L3370">
        <v>2415.17</v>
      </c>
      <c r="M3370">
        <v>2415.17</v>
      </c>
      <c r="N3370">
        <v>267253006</v>
      </c>
      <c r="O3370" t="s">
        <v>1593</v>
      </c>
    </row>
    <row r="3371" spans="1:15">
      <c r="A3371" t="s">
        <v>4852</v>
      </c>
      <c r="B3371" s="2">
        <v>45413.555312500001</v>
      </c>
      <c r="C3371" s="2">
        <v>45413.594814814816</v>
      </c>
      <c r="D3371" t="s">
        <v>632</v>
      </c>
      <c r="E3371" t="s">
        <v>4796</v>
      </c>
      <c r="F3371" t="s">
        <v>4797</v>
      </c>
      <c r="G3371" t="s">
        <v>1474</v>
      </c>
      <c r="H3371" t="s">
        <v>1020</v>
      </c>
      <c r="I3371">
        <v>162673000</v>
      </c>
      <c r="J3371" t="s">
        <v>1021</v>
      </c>
      <c r="K3371">
        <v>136.80000000000001</v>
      </c>
      <c r="L3371">
        <v>1291.0999999999999</v>
      </c>
      <c r="M3371">
        <v>0</v>
      </c>
      <c r="O3371" t="s">
        <v>34</v>
      </c>
    </row>
    <row r="3372" spans="1:15">
      <c r="A3372" t="s">
        <v>4853</v>
      </c>
      <c r="B3372" s="2">
        <v>45504.555312500001</v>
      </c>
      <c r="C3372" s="2">
        <v>45504.565729166665</v>
      </c>
      <c r="D3372" t="s">
        <v>632</v>
      </c>
      <c r="E3372" t="s">
        <v>4801</v>
      </c>
      <c r="F3372" t="s">
        <v>4802</v>
      </c>
      <c r="G3372" t="s">
        <v>1474</v>
      </c>
      <c r="H3372" t="s">
        <v>1031</v>
      </c>
      <c r="I3372">
        <v>424441002</v>
      </c>
      <c r="J3372" t="s">
        <v>1059</v>
      </c>
      <c r="K3372">
        <v>142.58000000000001</v>
      </c>
      <c r="L3372">
        <v>49634.68</v>
      </c>
      <c r="M3372">
        <v>39678.19</v>
      </c>
      <c r="N3372">
        <v>72892002</v>
      </c>
      <c r="O3372" t="s">
        <v>1060</v>
      </c>
    </row>
    <row r="3373" spans="1:15">
      <c r="A3373" t="s">
        <v>4854</v>
      </c>
      <c r="B3373" s="2">
        <v>45532.555312500001</v>
      </c>
      <c r="C3373" s="2">
        <v>45532.565729166665</v>
      </c>
      <c r="D3373" t="s">
        <v>632</v>
      </c>
      <c r="E3373" t="s">
        <v>4801</v>
      </c>
      <c r="F3373" t="s">
        <v>4802</v>
      </c>
      <c r="G3373" t="s">
        <v>1474</v>
      </c>
      <c r="H3373" t="s">
        <v>1031</v>
      </c>
      <c r="I3373">
        <v>424619006</v>
      </c>
      <c r="J3373" t="s">
        <v>1062</v>
      </c>
      <c r="K3373">
        <v>142.58000000000001</v>
      </c>
      <c r="L3373">
        <v>9784.0499999999993</v>
      </c>
      <c r="M3373">
        <v>9784.0499999999993</v>
      </c>
      <c r="N3373">
        <v>72892002</v>
      </c>
      <c r="O3373" t="s">
        <v>1060</v>
      </c>
    </row>
    <row r="3374" spans="1:15">
      <c r="A3374" t="s">
        <v>4855</v>
      </c>
      <c r="B3374" s="2">
        <v>45560.555312500001</v>
      </c>
      <c r="C3374" s="2">
        <v>45560.565729166665</v>
      </c>
      <c r="D3374" t="s">
        <v>632</v>
      </c>
      <c r="E3374" t="s">
        <v>4801</v>
      </c>
      <c r="F3374" t="s">
        <v>4802</v>
      </c>
      <c r="G3374" t="s">
        <v>1474</v>
      </c>
      <c r="H3374" t="s">
        <v>1031</v>
      </c>
      <c r="I3374">
        <v>424619006</v>
      </c>
      <c r="J3374" t="s">
        <v>1062</v>
      </c>
      <c r="K3374">
        <v>142.58000000000001</v>
      </c>
      <c r="L3374">
        <v>8942.77</v>
      </c>
      <c r="M3374">
        <v>8942.77</v>
      </c>
      <c r="N3374">
        <v>72892002</v>
      </c>
      <c r="O3374" t="s">
        <v>1060</v>
      </c>
    </row>
    <row r="3375" spans="1:15">
      <c r="A3375" t="s">
        <v>4856</v>
      </c>
      <c r="B3375" s="2">
        <v>45588.555312500001</v>
      </c>
      <c r="C3375" s="2">
        <v>45588.565729166665</v>
      </c>
      <c r="D3375" t="s">
        <v>632</v>
      </c>
      <c r="E3375" t="s">
        <v>4801</v>
      </c>
      <c r="F3375" t="s">
        <v>4802</v>
      </c>
      <c r="G3375" t="s">
        <v>1474</v>
      </c>
      <c r="H3375" t="s">
        <v>1031</v>
      </c>
      <c r="I3375">
        <v>424619006</v>
      </c>
      <c r="J3375" t="s">
        <v>1062</v>
      </c>
      <c r="K3375">
        <v>142.58000000000001</v>
      </c>
      <c r="L3375">
        <v>4926.16</v>
      </c>
      <c r="M3375">
        <v>4926.16</v>
      </c>
      <c r="N3375">
        <v>72892002</v>
      </c>
      <c r="O3375" t="s">
        <v>1060</v>
      </c>
    </row>
    <row r="3376" spans="1:15">
      <c r="A3376" t="s">
        <v>4857</v>
      </c>
      <c r="B3376" s="2">
        <v>45616.513645833336</v>
      </c>
      <c r="C3376" s="2">
        <v>45616.524062500001</v>
      </c>
      <c r="D3376" t="s">
        <v>632</v>
      </c>
      <c r="E3376" t="s">
        <v>4801</v>
      </c>
      <c r="F3376" t="s">
        <v>4802</v>
      </c>
      <c r="G3376" t="s">
        <v>1474</v>
      </c>
      <c r="H3376" t="s">
        <v>1031</v>
      </c>
      <c r="I3376">
        <v>424619006</v>
      </c>
      <c r="J3376" t="s">
        <v>1062</v>
      </c>
      <c r="K3376">
        <v>142.58000000000001</v>
      </c>
      <c r="L3376">
        <v>4665.96</v>
      </c>
      <c r="M3376">
        <v>4665.96</v>
      </c>
      <c r="N3376">
        <v>72892002</v>
      </c>
      <c r="O3376" t="s">
        <v>1060</v>
      </c>
    </row>
    <row r="3377" spans="1:15">
      <c r="A3377" t="s">
        <v>4858</v>
      </c>
      <c r="B3377" s="2">
        <v>45644.513645833336</v>
      </c>
      <c r="C3377" s="2">
        <v>45644.524062500001</v>
      </c>
      <c r="D3377" t="s">
        <v>632</v>
      </c>
      <c r="E3377" t="s">
        <v>4801</v>
      </c>
      <c r="F3377" t="s">
        <v>4802</v>
      </c>
      <c r="G3377" t="s">
        <v>1474</v>
      </c>
      <c r="H3377" t="s">
        <v>1031</v>
      </c>
      <c r="I3377">
        <v>424619006</v>
      </c>
      <c r="J3377" t="s">
        <v>1062</v>
      </c>
      <c r="K3377">
        <v>142.58000000000001</v>
      </c>
      <c r="L3377">
        <v>11077.46</v>
      </c>
      <c r="M3377">
        <v>11077.46</v>
      </c>
      <c r="N3377">
        <v>72892002</v>
      </c>
      <c r="O3377" t="s">
        <v>1060</v>
      </c>
    </row>
    <row r="3378" spans="1:15">
      <c r="A3378" t="s">
        <v>4859</v>
      </c>
      <c r="B3378" s="2">
        <v>45672.513645833336</v>
      </c>
      <c r="C3378" s="2">
        <v>45672.524062500001</v>
      </c>
      <c r="D3378" t="s">
        <v>632</v>
      </c>
      <c r="E3378" t="s">
        <v>4801</v>
      </c>
      <c r="F3378" t="s">
        <v>4802</v>
      </c>
      <c r="G3378" t="s">
        <v>1474</v>
      </c>
      <c r="H3378" t="s">
        <v>1031</v>
      </c>
      <c r="I3378">
        <v>424619006</v>
      </c>
      <c r="J3378" t="s">
        <v>1062</v>
      </c>
      <c r="K3378">
        <v>142.58000000000001</v>
      </c>
      <c r="L3378">
        <v>4708.3500000000004</v>
      </c>
      <c r="M3378">
        <v>4708.3500000000004</v>
      </c>
      <c r="N3378">
        <v>72892002</v>
      </c>
      <c r="O3378" t="s">
        <v>1060</v>
      </c>
    </row>
    <row r="3379" spans="1:15">
      <c r="A3379" t="s">
        <v>4860</v>
      </c>
      <c r="B3379" s="2">
        <v>45700.513645833336</v>
      </c>
      <c r="C3379" s="2">
        <v>45700.524062500001</v>
      </c>
      <c r="D3379" t="s">
        <v>632</v>
      </c>
      <c r="E3379" t="s">
        <v>4801</v>
      </c>
      <c r="F3379" t="s">
        <v>4802</v>
      </c>
      <c r="G3379" t="s">
        <v>1474</v>
      </c>
      <c r="H3379" t="s">
        <v>1031</v>
      </c>
      <c r="I3379">
        <v>424619006</v>
      </c>
      <c r="J3379" t="s">
        <v>1062</v>
      </c>
      <c r="K3379">
        <v>142.58000000000001</v>
      </c>
      <c r="L3379">
        <v>8117.16</v>
      </c>
      <c r="M3379">
        <v>5327.32</v>
      </c>
      <c r="N3379">
        <v>72892002</v>
      </c>
      <c r="O3379" t="s">
        <v>1060</v>
      </c>
    </row>
    <row r="3380" spans="1:15">
      <c r="A3380" t="s">
        <v>4861</v>
      </c>
      <c r="B3380" s="2">
        <v>45714.513645833336</v>
      </c>
      <c r="C3380" s="2">
        <v>45714.524062500001</v>
      </c>
      <c r="D3380" t="s">
        <v>632</v>
      </c>
      <c r="E3380" t="s">
        <v>4801</v>
      </c>
      <c r="F3380" t="s">
        <v>4802</v>
      </c>
      <c r="G3380" t="s">
        <v>1474</v>
      </c>
      <c r="H3380" t="s">
        <v>1031</v>
      </c>
      <c r="I3380">
        <v>424619006</v>
      </c>
      <c r="J3380" t="s">
        <v>1062</v>
      </c>
      <c r="K3380">
        <v>142.58000000000001</v>
      </c>
      <c r="L3380">
        <v>13576.82</v>
      </c>
      <c r="M3380">
        <v>10861.45</v>
      </c>
      <c r="N3380">
        <v>72892002</v>
      </c>
      <c r="O3380" t="s">
        <v>1060</v>
      </c>
    </row>
    <row r="3381" spans="1:15">
      <c r="A3381" t="s">
        <v>4862</v>
      </c>
      <c r="B3381" s="2">
        <v>45721.513645833336</v>
      </c>
      <c r="C3381" s="2">
        <v>45721.555312500001</v>
      </c>
      <c r="D3381" t="s">
        <v>632</v>
      </c>
      <c r="E3381" t="s">
        <v>3553</v>
      </c>
      <c r="F3381" t="s">
        <v>3554</v>
      </c>
      <c r="G3381" t="s">
        <v>1474</v>
      </c>
      <c r="H3381" t="s">
        <v>1076</v>
      </c>
      <c r="I3381">
        <v>183460006</v>
      </c>
      <c r="J3381" t="s">
        <v>1077</v>
      </c>
      <c r="K3381">
        <v>146.18</v>
      </c>
      <c r="L3381">
        <v>577.58000000000004</v>
      </c>
      <c r="M3381">
        <v>462.06</v>
      </c>
      <c r="N3381">
        <v>72892002</v>
      </c>
      <c r="O3381" t="s">
        <v>1060</v>
      </c>
    </row>
    <row r="3382" spans="1:15">
      <c r="A3382" t="s">
        <v>4863</v>
      </c>
      <c r="B3382" s="2">
        <v>45763.555312500001</v>
      </c>
      <c r="C3382" s="2">
        <v>45763.565729166665</v>
      </c>
      <c r="D3382" t="s">
        <v>632</v>
      </c>
      <c r="E3382" t="s">
        <v>4801</v>
      </c>
      <c r="F3382" t="s">
        <v>4802</v>
      </c>
      <c r="G3382" t="s">
        <v>1474</v>
      </c>
      <c r="H3382" t="s">
        <v>1031</v>
      </c>
      <c r="I3382">
        <v>169762003</v>
      </c>
      <c r="J3382" t="s">
        <v>1079</v>
      </c>
      <c r="K3382">
        <v>142.58000000000001</v>
      </c>
      <c r="L3382">
        <v>4877.1499999999996</v>
      </c>
      <c r="M3382">
        <v>3901.72</v>
      </c>
      <c r="O3382" t="s">
        <v>34</v>
      </c>
    </row>
    <row r="3383" spans="1:15">
      <c r="A3383" t="s">
        <v>4864</v>
      </c>
      <c r="B3383" s="2">
        <v>45784.555312500001</v>
      </c>
      <c r="C3383" s="2">
        <v>45784.596400462964</v>
      </c>
      <c r="D3383" t="s">
        <v>632</v>
      </c>
      <c r="E3383" t="s">
        <v>4796</v>
      </c>
      <c r="F3383" t="s">
        <v>4797</v>
      </c>
      <c r="G3383" t="s">
        <v>1474</v>
      </c>
      <c r="H3383" t="s">
        <v>1020</v>
      </c>
      <c r="I3383">
        <v>162673000</v>
      </c>
      <c r="J3383" t="s">
        <v>1021</v>
      </c>
      <c r="K3383">
        <v>136.80000000000001</v>
      </c>
      <c r="L3383">
        <v>778.78</v>
      </c>
      <c r="M3383">
        <v>623.02</v>
      </c>
      <c r="O3383" t="s">
        <v>34</v>
      </c>
    </row>
    <row r="3384" spans="1:15">
      <c r="A3384" t="s">
        <v>4865</v>
      </c>
      <c r="B3384" s="2">
        <v>45798.555312500001</v>
      </c>
      <c r="C3384" s="2">
        <v>45798.869421296295</v>
      </c>
      <c r="D3384" t="s">
        <v>632</v>
      </c>
      <c r="E3384" t="s">
        <v>4801</v>
      </c>
      <c r="F3384" t="s">
        <v>4802</v>
      </c>
      <c r="G3384" t="s">
        <v>1474</v>
      </c>
      <c r="H3384" t="s">
        <v>1031</v>
      </c>
      <c r="I3384">
        <v>185349003</v>
      </c>
      <c r="J3384" t="s">
        <v>1038</v>
      </c>
      <c r="K3384">
        <v>85.55</v>
      </c>
      <c r="L3384">
        <v>5693.75</v>
      </c>
      <c r="M3384">
        <v>4555</v>
      </c>
      <c r="N3384">
        <v>66383009</v>
      </c>
      <c r="O3384" t="s">
        <v>1209</v>
      </c>
    </row>
    <row r="3385" spans="1:15">
      <c r="A3385" t="s">
        <v>4866</v>
      </c>
      <c r="B3385" s="2">
        <v>46130.555312500001</v>
      </c>
      <c r="C3385" s="2">
        <v>46130.565729166665</v>
      </c>
      <c r="D3385" t="s">
        <v>632</v>
      </c>
      <c r="E3385" t="s">
        <v>4801</v>
      </c>
      <c r="F3385" t="s">
        <v>4802</v>
      </c>
      <c r="G3385" t="s">
        <v>1474</v>
      </c>
      <c r="H3385" t="s">
        <v>1043</v>
      </c>
      <c r="I3385">
        <v>698314001</v>
      </c>
      <c r="J3385" t="s">
        <v>1190</v>
      </c>
      <c r="K3385">
        <v>142.58000000000001</v>
      </c>
      <c r="L3385">
        <v>142.58000000000001</v>
      </c>
      <c r="M3385">
        <v>0</v>
      </c>
      <c r="N3385">
        <v>389095005</v>
      </c>
      <c r="O3385" t="s">
        <v>1191</v>
      </c>
    </row>
    <row r="3386" spans="1:15">
      <c r="A3386" t="s">
        <v>4867</v>
      </c>
      <c r="B3386" s="2">
        <v>46132.596979166665</v>
      </c>
      <c r="C3386" s="2">
        <v>46132.624756944446</v>
      </c>
      <c r="D3386" t="s">
        <v>632</v>
      </c>
      <c r="E3386" t="s">
        <v>4801</v>
      </c>
      <c r="F3386" t="s">
        <v>4802</v>
      </c>
      <c r="G3386" t="s">
        <v>1474</v>
      </c>
      <c r="H3386" t="s">
        <v>1043</v>
      </c>
      <c r="I3386">
        <v>308335008</v>
      </c>
      <c r="J3386" t="s">
        <v>1194</v>
      </c>
      <c r="K3386">
        <v>142.58000000000001</v>
      </c>
      <c r="L3386">
        <v>6406.76</v>
      </c>
      <c r="M3386">
        <v>4082.92</v>
      </c>
      <c r="N3386">
        <v>389095005</v>
      </c>
      <c r="O3386" t="s">
        <v>1191</v>
      </c>
    </row>
    <row r="3387" spans="1:15">
      <c r="A3387" t="s">
        <v>4868</v>
      </c>
      <c r="B3387" s="2">
        <v>46155.555312500001</v>
      </c>
      <c r="C3387" s="2">
        <v>46155.577743055554</v>
      </c>
      <c r="D3387" t="s">
        <v>632</v>
      </c>
      <c r="E3387" t="s">
        <v>4796</v>
      </c>
      <c r="F3387" t="s">
        <v>4797</v>
      </c>
      <c r="G3387" t="s">
        <v>1474</v>
      </c>
      <c r="H3387" t="s">
        <v>1020</v>
      </c>
      <c r="I3387">
        <v>162673000</v>
      </c>
      <c r="J3387" t="s">
        <v>1021</v>
      </c>
      <c r="K3387">
        <v>136.80000000000001</v>
      </c>
      <c r="L3387">
        <v>704.2</v>
      </c>
      <c r="M3387">
        <v>563.36</v>
      </c>
      <c r="O3387" t="s">
        <v>34</v>
      </c>
    </row>
    <row r="3388" spans="1:15">
      <c r="A3388" t="s">
        <v>4869</v>
      </c>
      <c r="B3388" s="2">
        <v>46169.555312500001</v>
      </c>
      <c r="C3388" s="2">
        <v>46169.733344907407</v>
      </c>
      <c r="D3388" t="s">
        <v>632</v>
      </c>
      <c r="E3388" t="s">
        <v>4801</v>
      </c>
      <c r="F3388" t="s">
        <v>4802</v>
      </c>
      <c r="G3388" t="s">
        <v>1474</v>
      </c>
      <c r="H3388" t="s">
        <v>1031</v>
      </c>
      <c r="I3388">
        <v>185349003</v>
      </c>
      <c r="J3388" t="s">
        <v>1038</v>
      </c>
      <c r="K3388">
        <v>85.55</v>
      </c>
      <c r="L3388">
        <v>3536.75</v>
      </c>
      <c r="M3388">
        <v>2829.4</v>
      </c>
      <c r="N3388">
        <v>66383009</v>
      </c>
      <c r="O3388" t="s">
        <v>1209</v>
      </c>
    </row>
    <row r="3389" spans="1:15">
      <c r="A3389" t="s">
        <v>4870</v>
      </c>
      <c r="B3389" s="2">
        <v>38801.909479166665</v>
      </c>
      <c r="C3389" s="2">
        <v>38801.919895833336</v>
      </c>
      <c r="D3389" t="s">
        <v>641</v>
      </c>
      <c r="E3389" t="s">
        <v>4871</v>
      </c>
      <c r="F3389" t="s">
        <v>4872</v>
      </c>
      <c r="G3389" t="s">
        <v>1093</v>
      </c>
      <c r="H3389" t="s">
        <v>1031</v>
      </c>
      <c r="I3389">
        <v>185347001</v>
      </c>
      <c r="J3389" t="s">
        <v>1124</v>
      </c>
      <c r="K3389">
        <v>85.55</v>
      </c>
      <c r="L3389">
        <v>85.55</v>
      </c>
      <c r="M3389">
        <v>35.549999999999997</v>
      </c>
      <c r="N3389">
        <v>412071004</v>
      </c>
      <c r="O3389" t="s">
        <v>4873</v>
      </c>
    </row>
    <row r="3390" spans="1:15">
      <c r="A3390" t="s">
        <v>4874</v>
      </c>
      <c r="B3390" s="2">
        <v>38816.492812500001</v>
      </c>
      <c r="C3390" s="2">
        <v>38816.517141203702</v>
      </c>
      <c r="D3390" t="s">
        <v>641</v>
      </c>
      <c r="E3390" t="s">
        <v>4871</v>
      </c>
      <c r="F3390" t="s">
        <v>4872</v>
      </c>
      <c r="G3390" t="s">
        <v>1093</v>
      </c>
      <c r="H3390" t="s">
        <v>1031</v>
      </c>
      <c r="I3390">
        <v>185347001</v>
      </c>
      <c r="J3390" t="s">
        <v>1124</v>
      </c>
      <c r="K3390">
        <v>85.55</v>
      </c>
      <c r="L3390">
        <v>516.95000000000005</v>
      </c>
      <c r="M3390">
        <v>466.95</v>
      </c>
      <c r="N3390">
        <v>609328004</v>
      </c>
      <c r="O3390" t="s">
        <v>1137</v>
      </c>
    </row>
    <row r="3391" spans="1:15">
      <c r="A3391" t="s">
        <v>4875</v>
      </c>
      <c r="B3391" s="2">
        <v>40235.451145833336</v>
      </c>
      <c r="C3391" s="2">
        <v>40235.461562500001</v>
      </c>
      <c r="D3391" t="s">
        <v>641</v>
      </c>
      <c r="E3391" t="s">
        <v>4871</v>
      </c>
      <c r="F3391" t="s">
        <v>4872</v>
      </c>
      <c r="G3391" t="s">
        <v>1093</v>
      </c>
      <c r="H3391" t="s">
        <v>1031</v>
      </c>
      <c r="I3391">
        <v>185345009</v>
      </c>
      <c r="J3391" t="s">
        <v>1032</v>
      </c>
      <c r="K3391">
        <v>85.55</v>
      </c>
      <c r="L3391">
        <v>85.55</v>
      </c>
      <c r="M3391">
        <v>0</v>
      </c>
      <c r="N3391">
        <v>232353008</v>
      </c>
      <c r="O3391" t="s">
        <v>1196</v>
      </c>
    </row>
    <row r="3392" spans="1:15">
      <c r="A3392" t="s">
        <v>4876</v>
      </c>
      <c r="B3392" s="2">
        <v>42080.324537037035</v>
      </c>
      <c r="C3392" s="2">
        <v>42080.339699074073</v>
      </c>
      <c r="D3392" t="s">
        <v>641</v>
      </c>
      <c r="E3392" t="s">
        <v>4871</v>
      </c>
      <c r="F3392" t="s">
        <v>4872</v>
      </c>
      <c r="G3392" t="s">
        <v>1093</v>
      </c>
      <c r="H3392" t="s">
        <v>1031</v>
      </c>
      <c r="I3392">
        <v>390906007</v>
      </c>
      <c r="J3392" t="s">
        <v>1255</v>
      </c>
      <c r="K3392">
        <v>85.55</v>
      </c>
      <c r="L3392">
        <v>948.35</v>
      </c>
      <c r="M3392">
        <v>898.35</v>
      </c>
      <c r="N3392">
        <v>203646004</v>
      </c>
      <c r="O3392" t="s">
        <v>3475</v>
      </c>
    </row>
    <row r="3393" spans="1:15">
      <c r="A3393" t="s">
        <v>4877</v>
      </c>
      <c r="B3393" s="2">
        <v>42374.451145833336</v>
      </c>
      <c r="C3393" s="2">
        <v>42374.461562500001</v>
      </c>
      <c r="D3393" t="s">
        <v>641</v>
      </c>
      <c r="E3393" t="s">
        <v>4878</v>
      </c>
      <c r="F3393" t="s">
        <v>4879</v>
      </c>
      <c r="G3393" t="s">
        <v>1093</v>
      </c>
      <c r="H3393" t="s">
        <v>1020</v>
      </c>
      <c r="I3393">
        <v>410620009</v>
      </c>
      <c r="J3393" t="s">
        <v>1054</v>
      </c>
      <c r="K3393">
        <v>136.80000000000001</v>
      </c>
      <c r="L3393">
        <v>755.38</v>
      </c>
      <c r="M3393">
        <v>655.38</v>
      </c>
      <c r="O3393" t="s">
        <v>34</v>
      </c>
    </row>
    <row r="3394" spans="1:15">
      <c r="A3394" t="s">
        <v>4880</v>
      </c>
      <c r="B3394" s="2">
        <v>42745.451145833336</v>
      </c>
      <c r="C3394" s="2">
        <v>42745.461562500001</v>
      </c>
      <c r="D3394" t="s">
        <v>641</v>
      </c>
      <c r="E3394" t="s">
        <v>4878</v>
      </c>
      <c r="F3394" t="s">
        <v>4879</v>
      </c>
      <c r="G3394" t="s">
        <v>1093</v>
      </c>
      <c r="H3394" t="s">
        <v>1020</v>
      </c>
      <c r="I3394">
        <v>410620009</v>
      </c>
      <c r="J3394" t="s">
        <v>1054</v>
      </c>
      <c r="K3394">
        <v>136.80000000000001</v>
      </c>
      <c r="L3394">
        <v>840.2</v>
      </c>
      <c r="M3394">
        <v>740.2</v>
      </c>
      <c r="O3394" t="s">
        <v>34</v>
      </c>
    </row>
    <row r="3395" spans="1:15">
      <c r="A3395" t="s">
        <v>4881</v>
      </c>
      <c r="B3395" s="2">
        <v>43102.451145833336</v>
      </c>
      <c r="C3395" s="2">
        <v>43102.478020833332</v>
      </c>
      <c r="D3395" t="s">
        <v>641</v>
      </c>
      <c r="E3395" t="s">
        <v>4871</v>
      </c>
      <c r="F3395" t="s">
        <v>4872</v>
      </c>
      <c r="G3395" t="s">
        <v>1093</v>
      </c>
      <c r="H3395" t="s">
        <v>1031</v>
      </c>
      <c r="I3395">
        <v>170837001</v>
      </c>
      <c r="J3395" t="s">
        <v>3611</v>
      </c>
      <c r="K3395">
        <v>142.58000000000001</v>
      </c>
      <c r="L3395">
        <v>573.98</v>
      </c>
      <c r="M3395">
        <v>423.98</v>
      </c>
      <c r="N3395">
        <v>609328004</v>
      </c>
      <c r="O3395" t="s">
        <v>1137</v>
      </c>
    </row>
    <row r="3396" spans="1:15">
      <c r="A3396" t="s">
        <v>4882</v>
      </c>
      <c r="B3396" s="2">
        <v>43116.451145833336</v>
      </c>
      <c r="C3396" s="2">
        <v>43116.47179398148</v>
      </c>
      <c r="D3396" t="s">
        <v>641</v>
      </c>
      <c r="E3396" t="s">
        <v>4878</v>
      </c>
      <c r="F3396" t="s">
        <v>4879</v>
      </c>
      <c r="G3396" t="s">
        <v>1093</v>
      </c>
      <c r="H3396" t="s">
        <v>1020</v>
      </c>
      <c r="I3396">
        <v>410620009</v>
      </c>
      <c r="J3396" t="s">
        <v>1054</v>
      </c>
      <c r="K3396">
        <v>136.80000000000001</v>
      </c>
      <c r="L3396">
        <v>840.2</v>
      </c>
      <c r="M3396">
        <v>840.2</v>
      </c>
      <c r="O3396" t="s">
        <v>34</v>
      </c>
    </row>
    <row r="3397" spans="1:15">
      <c r="A3397" t="s">
        <v>4883</v>
      </c>
      <c r="B3397" s="2">
        <v>43126.478020833332</v>
      </c>
      <c r="C3397" s="2">
        <v>43126.507314814815</v>
      </c>
      <c r="D3397" t="s">
        <v>641</v>
      </c>
      <c r="E3397" t="s">
        <v>4871</v>
      </c>
      <c r="F3397" t="s">
        <v>4872</v>
      </c>
      <c r="G3397" t="s">
        <v>1093</v>
      </c>
      <c r="H3397" t="s">
        <v>1031</v>
      </c>
      <c r="I3397">
        <v>371883000</v>
      </c>
      <c r="J3397" t="s">
        <v>3614</v>
      </c>
      <c r="K3397">
        <v>142.58000000000001</v>
      </c>
      <c r="L3397">
        <v>5263.67</v>
      </c>
      <c r="M3397">
        <v>5213.67</v>
      </c>
      <c r="N3397">
        <v>609328004</v>
      </c>
      <c r="O3397" t="s">
        <v>1137</v>
      </c>
    </row>
    <row r="3398" spans="1:15">
      <c r="A3398" t="s">
        <v>4884</v>
      </c>
      <c r="B3398" s="2">
        <v>43130.451145833336</v>
      </c>
      <c r="C3398" s="2">
        <v>43130.642048611109</v>
      </c>
      <c r="D3398" t="s">
        <v>641</v>
      </c>
      <c r="E3398" t="s">
        <v>4871</v>
      </c>
      <c r="F3398" t="s">
        <v>4872</v>
      </c>
      <c r="G3398" t="s">
        <v>1093</v>
      </c>
      <c r="H3398" t="s">
        <v>1031</v>
      </c>
      <c r="I3398">
        <v>185349003</v>
      </c>
      <c r="J3398" t="s">
        <v>1038</v>
      </c>
      <c r="K3398">
        <v>85.55</v>
      </c>
      <c r="L3398">
        <v>3536.75</v>
      </c>
      <c r="M3398">
        <v>3486.75</v>
      </c>
      <c r="N3398">
        <v>103697008</v>
      </c>
      <c r="O3398" t="s">
        <v>1039</v>
      </c>
    </row>
    <row r="3399" spans="1:15">
      <c r="A3399" t="s">
        <v>4885</v>
      </c>
      <c r="B3399" s="2">
        <v>43153.507314814815</v>
      </c>
      <c r="C3399" s="2">
        <v>43153.545694444445</v>
      </c>
      <c r="D3399" t="s">
        <v>641</v>
      </c>
      <c r="E3399" t="s">
        <v>4871</v>
      </c>
      <c r="F3399" t="s">
        <v>4872</v>
      </c>
      <c r="G3399" t="s">
        <v>1093</v>
      </c>
      <c r="H3399" t="s">
        <v>1031</v>
      </c>
      <c r="I3399">
        <v>371883000</v>
      </c>
      <c r="J3399" t="s">
        <v>3614</v>
      </c>
      <c r="K3399">
        <v>142.58000000000001</v>
      </c>
      <c r="L3399">
        <v>5263.67</v>
      </c>
      <c r="M3399">
        <v>5213.67</v>
      </c>
      <c r="N3399">
        <v>609328004</v>
      </c>
      <c r="O3399" t="s">
        <v>1137</v>
      </c>
    </row>
    <row r="3400" spans="1:15">
      <c r="A3400" t="s">
        <v>4886</v>
      </c>
      <c r="B3400" s="2">
        <v>43179.587361111109</v>
      </c>
      <c r="C3400" s="2">
        <v>43179.600428240738</v>
      </c>
      <c r="D3400" t="s">
        <v>641</v>
      </c>
      <c r="E3400" t="s">
        <v>4871</v>
      </c>
      <c r="F3400" t="s">
        <v>4872</v>
      </c>
      <c r="G3400" t="s">
        <v>1093</v>
      </c>
      <c r="H3400" t="s">
        <v>1031</v>
      </c>
      <c r="I3400">
        <v>371883000</v>
      </c>
      <c r="J3400" t="s">
        <v>3614</v>
      </c>
      <c r="K3400">
        <v>142.58000000000001</v>
      </c>
      <c r="L3400">
        <v>10428.31</v>
      </c>
      <c r="M3400">
        <v>10378.31</v>
      </c>
      <c r="N3400">
        <v>609328004</v>
      </c>
      <c r="O3400" t="s">
        <v>1137</v>
      </c>
    </row>
    <row r="3401" spans="1:15">
      <c r="A3401" t="s">
        <v>4887</v>
      </c>
      <c r="B3401" s="2">
        <v>43206.600428240738</v>
      </c>
      <c r="C3401" s="2">
        <v>43206.615798611114</v>
      </c>
      <c r="D3401" t="s">
        <v>641</v>
      </c>
      <c r="E3401" t="s">
        <v>4871</v>
      </c>
      <c r="F3401" t="s">
        <v>4872</v>
      </c>
      <c r="G3401" t="s">
        <v>1093</v>
      </c>
      <c r="H3401" t="s">
        <v>1031</v>
      </c>
      <c r="I3401">
        <v>371883000</v>
      </c>
      <c r="J3401" t="s">
        <v>3614</v>
      </c>
      <c r="K3401">
        <v>142.58000000000001</v>
      </c>
      <c r="L3401">
        <v>5263.67</v>
      </c>
      <c r="M3401">
        <v>5213.67</v>
      </c>
      <c r="N3401">
        <v>609328004</v>
      </c>
      <c r="O3401" t="s">
        <v>1137</v>
      </c>
    </row>
    <row r="3402" spans="1:15">
      <c r="A3402" t="s">
        <v>4888</v>
      </c>
      <c r="B3402" s="2">
        <v>43229.615798611114</v>
      </c>
      <c r="C3402" s="2">
        <v>43229.640138888892</v>
      </c>
      <c r="D3402" t="s">
        <v>641</v>
      </c>
      <c r="E3402" t="s">
        <v>4871</v>
      </c>
      <c r="F3402" t="s">
        <v>4872</v>
      </c>
      <c r="G3402" t="s">
        <v>1093</v>
      </c>
      <c r="H3402" t="s">
        <v>1031</v>
      </c>
      <c r="I3402">
        <v>371883000</v>
      </c>
      <c r="J3402" t="s">
        <v>3614</v>
      </c>
      <c r="K3402">
        <v>142.58000000000001</v>
      </c>
      <c r="L3402">
        <v>20060.43</v>
      </c>
      <c r="M3402">
        <v>20010.43</v>
      </c>
      <c r="N3402">
        <v>609328004</v>
      </c>
      <c r="O3402" t="s">
        <v>1137</v>
      </c>
    </row>
    <row r="3403" spans="1:15">
      <c r="A3403" t="s">
        <v>4889</v>
      </c>
      <c r="B3403" s="2">
        <v>43254.640138888892</v>
      </c>
      <c r="C3403" s="2">
        <v>43254.654166666667</v>
      </c>
      <c r="D3403" t="s">
        <v>641</v>
      </c>
      <c r="E3403" t="s">
        <v>4871</v>
      </c>
      <c r="F3403" t="s">
        <v>4872</v>
      </c>
      <c r="G3403" t="s">
        <v>1093</v>
      </c>
      <c r="H3403" t="s">
        <v>1031</v>
      </c>
      <c r="I3403">
        <v>371883000</v>
      </c>
      <c r="J3403" t="s">
        <v>3614</v>
      </c>
      <c r="K3403">
        <v>142.58000000000001</v>
      </c>
      <c r="L3403">
        <v>5263.67</v>
      </c>
      <c r="M3403">
        <v>5213.67</v>
      </c>
      <c r="N3403">
        <v>609328004</v>
      </c>
      <c r="O3403" t="s">
        <v>1137</v>
      </c>
    </row>
    <row r="3404" spans="1:15">
      <c r="A3404" t="s">
        <v>4890</v>
      </c>
      <c r="B3404" s="2">
        <v>43279.654166666667</v>
      </c>
      <c r="C3404" s="2">
        <v>43279.691608796296</v>
      </c>
      <c r="D3404" t="s">
        <v>641</v>
      </c>
      <c r="E3404" t="s">
        <v>4871</v>
      </c>
      <c r="F3404" t="s">
        <v>4872</v>
      </c>
      <c r="G3404" t="s">
        <v>1093</v>
      </c>
      <c r="H3404" t="s">
        <v>1031</v>
      </c>
      <c r="I3404">
        <v>371883000</v>
      </c>
      <c r="J3404" t="s">
        <v>3614</v>
      </c>
      <c r="K3404">
        <v>142.58000000000001</v>
      </c>
      <c r="L3404">
        <v>20626.96</v>
      </c>
      <c r="M3404">
        <v>20576.96</v>
      </c>
      <c r="N3404">
        <v>609328004</v>
      </c>
      <c r="O3404" t="s">
        <v>1137</v>
      </c>
    </row>
    <row r="3405" spans="1:15">
      <c r="A3405" t="s">
        <v>4891</v>
      </c>
      <c r="B3405" s="2">
        <v>43300.691608796296</v>
      </c>
      <c r="C3405" s="2">
        <v>43300.714375000003</v>
      </c>
      <c r="D3405" t="s">
        <v>641</v>
      </c>
      <c r="E3405" t="s">
        <v>4871</v>
      </c>
      <c r="F3405" t="s">
        <v>4872</v>
      </c>
      <c r="G3405" t="s">
        <v>1093</v>
      </c>
      <c r="H3405" t="s">
        <v>1031</v>
      </c>
      <c r="I3405">
        <v>371883000</v>
      </c>
      <c r="J3405" t="s">
        <v>3614</v>
      </c>
      <c r="K3405">
        <v>142.58000000000001</v>
      </c>
      <c r="L3405">
        <v>5263.67</v>
      </c>
      <c r="M3405">
        <v>5213.67</v>
      </c>
      <c r="N3405">
        <v>609328004</v>
      </c>
      <c r="O3405" t="s">
        <v>1137</v>
      </c>
    </row>
    <row r="3406" spans="1:15">
      <c r="A3406" t="s">
        <v>4892</v>
      </c>
      <c r="B3406" s="2">
        <v>43321.714375000003</v>
      </c>
      <c r="C3406" s="2">
        <v>43321.745648148149</v>
      </c>
      <c r="D3406" t="s">
        <v>641</v>
      </c>
      <c r="E3406" t="s">
        <v>4871</v>
      </c>
      <c r="F3406" t="s">
        <v>4872</v>
      </c>
      <c r="G3406" t="s">
        <v>1093</v>
      </c>
      <c r="H3406" t="s">
        <v>1031</v>
      </c>
      <c r="I3406">
        <v>371883000</v>
      </c>
      <c r="J3406" t="s">
        <v>3614</v>
      </c>
      <c r="K3406">
        <v>142.58000000000001</v>
      </c>
      <c r="L3406">
        <v>13883.02</v>
      </c>
      <c r="M3406">
        <v>13833.02</v>
      </c>
      <c r="N3406">
        <v>609328004</v>
      </c>
      <c r="O3406" t="s">
        <v>1137</v>
      </c>
    </row>
    <row r="3407" spans="1:15">
      <c r="A3407" t="s">
        <v>4893</v>
      </c>
      <c r="B3407" s="2">
        <v>43346.745648148149</v>
      </c>
      <c r="C3407" s="2">
        <v>43346.777060185188</v>
      </c>
      <c r="D3407" t="s">
        <v>641</v>
      </c>
      <c r="E3407" t="s">
        <v>4871</v>
      </c>
      <c r="F3407" t="s">
        <v>4872</v>
      </c>
      <c r="G3407" t="s">
        <v>1093</v>
      </c>
      <c r="H3407" t="s">
        <v>1031</v>
      </c>
      <c r="I3407">
        <v>371883000</v>
      </c>
      <c r="J3407" t="s">
        <v>3614</v>
      </c>
      <c r="K3407">
        <v>142.58000000000001</v>
      </c>
      <c r="L3407">
        <v>5263.67</v>
      </c>
      <c r="M3407">
        <v>5213.67</v>
      </c>
      <c r="N3407">
        <v>609328004</v>
      </c>
      <c r="O3407" t="s">
        <v>1137</v>
      </c>
    </row>
    <row r="3408" spans="1:15">
      <c r="A3408" t="s">
        <v>4894</v>
      </c>
      <c r="B3408" s="2">
        <v>43373.777060185188</v>
      </c>
      <c r="C3408" s="2">
        <v>43373.800358796296</v>
      </c>
      <c r="D3408" t="s">
        <v>641</v>
      </c>
      <c r="E3408" t="s">
        <v>4871</v>
      </c>
      <c r="F3408" t="s">
        <v>4872</v>
      </c>
      <c r="G3408" t="s">
        <v>1093</v>
      </c>
      <c r="H3408" t="s">
        <v>1031</v>
      </c>
      <c r="I3408">
        <v>371883000</v>
      </c>
      <c r="J3408" t="s">
        <v>3614</v>
      </c>
      <c r="K3408">
        <v>142.58000000000001</v>
      </c>
      <c r="L3408">
        <v>20626.96</v>
      </c>
      <c r="M3408">
        <v>20576.96</v>
      </c>
      <c r="N3408">
        <v>609328004</v>
      </c>
      <c r="O3408" t="s">
        <v>1137</v>
      </c>
    </row>
    <row r="3409" spans="1:15">
      <c r="A3409" t="s">
        <v>4895</v>
      </c>
      <c r="B3409" s="2">
        <v>15671.655798611111</v>
      </c>
      <c r="C3409" s="2">
        <v>15671.672777777778</v>
      </c>
      <c r="D3409" t="s">
        <v>650</v>
      </c>
      <c r="E3409" t="s">
        <v>4896</v>
      </c>
      <c r="F3409" t="s">
        <v>4897</v>
      </c>
      <c r="G3409" t="s">
        <v>1325</v>
      </c>
      <c r="H3409" t="s">
        <v>1020</v>
      </c>
      <c r="I3409">
        <v>410620009</v>
      </c>
      <c r="J3409" t="s">
        <v>1054</v>
      </c>
      <c r="K3409">
        <v>136.80000000000001</v>
      </c>
      <c r="L3409">
        <v>568.20000000000005</v>
      </c>
      <c r="M3409">
        <v>0</v>
      </c>
      <c r="O3409" t="s">
        <v>34</v>
      </c>
    </row>
    <row r="3410" spans="1:15">
      <c r="A3410" t="s">
        <v>4898</v>
      </c>
      <c r="B3410" s="2">
        <v>17897.655798611111</v>
      </c>
      <c r="C3410" s="2">
        <v>17897.696006944443</v>
      </c>
      <c r="D3410" t="s">
        <v>650</v>
      </c>
      <c r="E3410" t="s">
        <v>4896</v>
      </c>
      <c r="F3410" t="s">
        <v>4897</v>
      </c>
      <c r="G3410" t="s">
        <v>1325</v>
      </c>
      <c r="H3410" t="s">
        <v>1020</v>
      </c>
      <c r="I3410">
        <v>162673000</v>
      </c>
      <c r="J3410" t="s">
        <v>1021</v>
      </c>
      <c r="K3410">
        <v>136.80000000000001</v>
      </c>
      <c r="L3410">
        <v>704.2</v>
      </c>
      <c r="M3410">
        <v>0</v>
      </c>
      <c r="O3410" t="s">
        <v>34</v>
      </c>
    </row>
    <row r="3411" spans="1:15">
      <c r="A3411" t="s">
        <v>4899</v>
      </c>
      <c r="B3411" s="2">
        <v>18268.655798611111</v>
      </c>
      <c r="C3411" s="2">
        <v>18268.694826388888</v>
      </c>
      <c r="D3411" t="s">
        <v>650</v>
      </c>
      <c r="E3411" t="s">
        <v>4896</v>
      </c>
      <c r="F3411" t="s">
        <v>4897</v>
      </c>
      <c r="G3411" t="s">
        <v>1325</v>
      </c>
      <c r="H3411" t="s">
        <v>1020</v>
      </c>
      <c r="I3411">
        <v>162673000</v>
      </c>
      <c r="J3411" t="s">
        <v>1021</v>
      </c>
      <c r="K3411">
        <v>136.80000000000001</v>
      </c>
      <c r="L3411">
        <v>704.2</v>
      </c>
      <c r="M3411">
        <v>0</v>
      </c>
      <c r="O3411" t="s">
        <v>34</v>
      </c>
    </row>
    <row r="3412" spans="1:15">
      <c r="A3412" t="s">
        <v>4900</v>
      </c>
      <c r="B3412" s="2">
        <v>19367.655798611111</v>
      </c>
      <c r="C3412" s="2">
        <v>19367.681643518517</v>
      </c>
      <c r="D3412" t="s">
        <v>650</v>
      </c>
      <c r="E3412" t="s">
        <v>4896</v>
      </c>
      <c r="F3412" t="s">
        <v>4897</v>
      </c>
      <c r="G3412" t="s">
        <v>1325</v>
      </c>
      <c r="H3412" t="s">
        <v>1020</v>
      </c>
      <c r="I3412">
        <v>162673000</v>
      </c>
      <c r="J3412" t="s">
        <v>1021</v>
      </c>
      <c r="K3412">
        <v>136.80000000000001</v>
      </c>
      <c r="L3412">
        <v>778.78</v>
      </c>
      <c r="M3412">
        <v>0</v>
      </c>
      <c r="O3412" t="s">
        <v>34</v>
      </c>
    </row>
    <row r="3413" spans="1:15">
      <c r="A3413" t="s">
        <v>4901</v>
      </c>
      <c r="B3413" s="2">
        <v>29531.655798611111</v>
      </c>
      <c r="C3413" s="2">
        <v>29531.686898148149</v>
      </c>
      <c r="D3413" t="s">
        <v>650</v>
      </c>
      <c r="E3413" t="s">
        <v>4896</v>
      </c>
      <c r="F3413" t="s">
        <v>4897</v>
      </c>
      <c r="G3413" t="s">
        <v>1325</v>
      </c>
      <c r="H3413" t="s">
        <v>1020</v>
      </c>
      <c r="I3413">
        <v>162673000</v>
      </c>
      <c r="J3413" t="s">
        <v>1021</v>
      </c>
      <c r="K3413">
        <v>136.80000000000001</v>
      </c>
      <c r="L3413">
        <v>923.8</v>
      </c>
      <c r="M3413">
        <v>0</v>
      </c>
      <c r="O3413" t="s">
        <v>34</v>
      </c>
    </row>
    <row r="3414" spans="1:15">
      <c r="A3414" t="s">
        <v>4902</v>
      </c>
      <c r="B3414" s="2">
        <v>29902.655798611111</v>
      </c>
      <c r="C3414" s="2">
        <v>29902.688715277778</v>
      </c>
      <c r="D3414" t="s">
        <v>650</v>
      </c>
      <c r="E3414" t="s">
        <v>4896</v>
      </c>
      <c r="F3414" t="s">
        <v>4897</v>
      </c>
      <c r="G3414" t="s">
        <v>1325</v>
      </c>
      <c r="H3414" t="s">
        <v>1020</v>
      </c>
      <c r="I3414">
        <v>162673000</v>
      </c>
      <c r="J3414" t="s">
        <v>1021</v>
      </c>
      <c r="K3414">
        <v>136.80000000000001</v>
      </c>
      <c r="L3414">
        <v>778.78</v>
      </c>
      <c r="M3414">
        <v>0</v>
      </c>
      <c r="O3414" t="s">
        <v>34</v>
      </c>
    </row>
    <row r="3415" spans="1:15">
      <c r="A3415" t="s">
        <v>4903</v>
      </c>
      <c r="B3415" s="2">
        <v>36958.655798611115</v>
      </c>
      <c r="C3415" s="2">
        <v>36958.697465277779</v>
      </c>
      <c r="D3415" t="s">
        <v>650</v>
      </c>
      <c r="E3415" t="s">
        <v>1226</v>
      </c>
      <c r="F3415" t="s">
        <v>1227</v>
      </c>
      <c r="G3415" t="s">
        <v>1122</v>
      </c>
      <c r="H3415" t="s">
        <v>1076</v>
      </c>
      <c r="I3415">
        <v>50849002</v>
      </c>
      <c r="J3415" t="s">
        <v>1163</v>
      </c>
      <c r="K3415">
        <v>146.18</v>
      </c>
      <c r="L3415">
        <v>9057.44</v>
      </c>
      <c r="M3415">
        <v>7245.94</v>
      </c>
      <c r="N3415">
        <v>22298006</v>
      </c>
      <c r="O3415" t="s">
        <v>2648</v>
      </c>
    </row>
    <row r="3416" spans="1:15">
      <c r="A3416" t="s">
        <v>4904</v>
      </c>
      <c r="B3416" s="2">
        <v>36958.69636574074</v>
      </c>
      <c r="C3416" s="2">
        <v>36960.503530092596</v>
      </c>
      <c r="D3416" t="s">
        <v>650</v>
      </c>
      <c r="E3416" t="s">
        <v>1226</v>
      </c>
      <c r="F3416" t="s">
        <v>1227</v>
      </c>
      <c r="G3416" t="s">
        <v>1122</v>
      </c>
      <c r="H3416" t="s">
        <v>1431</v>
      </c>
      <c r="I3416">
        <v>32485007</v>
      </c>
      <c r="J3416" t="s">
        <v>1837</v>
      </c>
      <c r="K3416">
        <v>146.18</v>
      </c>
      <c r="L3416">
        <v>38462.78</v>
      </c>
      <c r="M3416">
        <v>30770.22</v>
      </c>
      <c r="N3416">
        <v>401314000</v>
      </c>
      <c r="O3416" t="s">
        <v>2650</v>
      </c>
    </row>
    <row r="3417" spans="1:15">
      <c r="A3417" t="s">
        <v>4905</v>
      </c>
      <c r="B3417" s="2">
        <v>38064.655798611115</v>
      </c>
      <c r="C3417" s="2">
        <v>38064.685694444444</v>
      </c>
      <c r="D3417" t="s">
        <v>650</v>
      </c>
      <c r="E3417" t="s">
        <v>4896</v>
      </c>
      <c r="F3417" t="s">
        <v>4897</v>
      </c>
      <c r="G3417" t="s">
        <v>1122</v>
      </c>
      <c r="H3417" t="s">
        <v>1020</v>
      </c>
      <c r="I3417">
        <v>162673000</v>
      </c>
      <c r="J3417" t="s">
        <v>1021</v>
      </c>
      <c r="K3417">
        <v>136.80000000000001</v>
      </c>
      <c r="L3417">
        <v>1596.25</v>
      </c>
      <c r="M3417">
        <v>1277</v>
      </c>
      <c r="O3417" t="s">
        <v>34</v>
      </c>
    </row>
    <row r="3418" spans="1:15">
      <c r="A3418" t="s">
        <v>4906</v>
      </c>
      <c r="B3418" s="2">
        <v>38076.139120370368</v>
      </c>
      <c r="C3418" s="2">
        <v>38076.37395833333</v>
      </c>
      <c r="D3418" t="s">
        <v>650</v>
      </c>
      <c r="E3418" t="s">
        <v>1226</v>
      </c>
      <c r="F3418" t="s">
        <v>1227</v>
      </c>
      <c r="G3418" t="s">
        <v>1122</v>
      </c>
      <c r="H3418" t="s">
        <v>1031</v>
      </c>
      <c r="I3418">
        <v>185347001</v>
      </c>
      <c r="J3418" t="s">
        <v>1124</v>
      </c>
      <c r="K3418">
        <v>85.55</v>
      </c>
      <c r="L3418">
        <v>1875.86</v>
      </c>
      <c r="M3418">
        <v>1500.69</v>
      </c>
      <c r="N3418">
        <v>414545008</v>
      </c>
      <c r="O3418" t="s">
        <v>1228</v>
      </c>
    </row>
    <row r="3419" spans="1:15">
      <c r="A3419" t="s">
        <v>4907</v>
      </c>
      <c r="B3419" s="2">
        <v>43396.800358796296</v>
      </c>
      <c r="C3419" s="2">
        <v>43396.812326388892</v>
      </c>
      <c r="D3419" t="s">
        <v>641</v>
      </c>
      <c r="E3419" t="s">
        <v>4871</v>
      </c>
      <c r="F3419" t="s">
        <v>4872</v>
      </c>
      <c r="G3419" t="s">
        <v>1093</v>
      </c>
      <c r="H3419" t="s">
        <v>1031</v>
      </c>
      <c r="I3419">
        <v>371883000</v>
      </c>
      <c r="J3419" t="s">
        <v>3614</v>
      </c>
      <c r="K3419">
        <v>142.58000000000001</v>
      </c>
      <c r="L3419">
        <v>5263.67</v>
      </c>
      <c r="M3419">
        <v>5213.67</v>
      </c>
      <c r="N3419">
        <v>609328004</v>
      </c>
      <c r="O3419" t="s">
        <v>1137</v>
      </c>
    </row>
    <row r="3420" spans="1:15">
      <c r="A3420" t="s">
        <v>4908</v>
      </c>
      <c r="B3420" s="2">
        <v>43419.77065972222</v>
      </c>
      <c r="C3420" s="2">
        <v>43419.788981481484</v>
      </c>
      <c r="D3420" t="s">
        <v>641</v>
      </c>
      <c r="E3420" t="s">
        <v>4871</v>
      </c>
      <c r="F3420" t="s">
        <v>4872</v>
      </c>
      <c r="G3420" t="s">
        <v>1093</v>
      </c>
      <c r="H3420" t="s">
        <v>1031</v>
      </c>
      <c r="I3420">
        <v>371883000</v>
      </c>
      <c r="J3420" t="s">
        <v>3614</v>
      </c>
      <c r="K3420">
        <v>142.58000000000001</v>
      </c>
      <c r="L3420">
        <v>5263.67</v>
      </c>
      <c r="M3420">
        <v>5213.67</v>
      </c>
      <c r="N3420">
        <v>609328004</v>
      </c>
      <c r="O3420" t="s">
        <v>1137</v>
      </c>
    </row>
    <row r="3421" spans="1:15">
      <c r="A3421" t="s">
        <v>4909</v>
      </c>
      <c r="B3421" s="2">
        <v>43442.788981481484</v>
      </c>
      <c r="C3421" s="2">
        <v>43442.805717592593</v>
      </c>
      <c r="D3421" t="s">
        <v>641</v>
      </c>
      <c r="E3421" t="s">
        <v>4871</v>
      </c>
      <c r="F3421" t="s">
        <v>4872</v>
      </c>
      <c r="G3421" t="s">
        <v>1093</v>
      </c>
      <c r="H3421" t="s">
        <v>1031</v>
      </c>
      <c r="I3421">
        <v>371883000</v>
      </c>
      <c r="J3421" t="s">
        <v>3614</v>
      </c>
      <c r="K3421">
        <v>142.58000000000001</v>
      </c>
      <c r="L3421">
        <v>7898.63</v>
      </c>
      <c r="M3421">
        <v>7848.63</v>
      </c>
      <c r="N3421">
        <v>609328004</v>
      </c>
      <c r="O3421" t="s">
        <v>1137</v>
      </c>
    </row>
    <row r="3422" spans="1:15">
      <c r="A3422" t="s">
        <v>4910</v>
      </c>
      <c r="B3422" s="2">
        <v>43466.805717592593</v>
      </c>
      <c r="C3422" s="2">
        <v>43466.842534722222</v>
      </c>
      <c r="D3422" t="s">
        <v>641</v>
      </c>
      <c r="E3422" t="s">
        <v>4871</v>
      </c>
      <c r="F3422" t="s">
        <v>4872</v>
      </c>
      <c r="G3422" t="s">
        <v>1093</v>
      </c>
      <c r="H3422" t="s">
        <v>1031</v>
      </c>
      <c r="I3422">
        <v>371883000</v>
      </c>
      <c r="J3422" t="s">
        <v>3614</v>
      </c>
      <c r="K3422">
        <v>142.58000000000001</v>
      </c>
      <c r="L3422">
        <v>5263.67</v>
      </c>
      <c r="M3422">
        <v>5113.67</v>
      </c>
      <c r="N3422">
        <v>609328004</v>
      </c>
      <c r="O3422" t="s">
        <v>1137</v>
      </c>
    </row>
    <row r="3423" spans="1:15">
      <c r="A3423" t="s">
        <v>4911</v>
      </c>
      <c r="B3423" s="2">
        <v>43487.451145833336</v>
      </c>
      <c r="C3423" s="2">
        <v>43487.461562500001</v>
      </c>
      <c r="D3423" t="s">
        <v>641</v>
      </c>
      <c r="E3423" t="s">
        <v>4878</v>
      </c>
      <c r="F3423" t="s">
        <v>4879</v>
      </c>
      <c r="G3423" t="s">
        <v>1093</v>
      </c>
      <c r="H3423" t="s">
        <v>1020</v>
      </c>
      <c r="I3423">
        <v>410620009</v>
      </c>
      <c r="J3423" t="s">
        <v>1054</v>
      </c>
      <c r="K3423">
        <v>136.80000000000001</v>
      </c>
      <c r="L3423">
        <v>704.2</v>
      </c>
      <c r="M3423">
        <v>704.2</v>
      </c>
      <c r="O3423" t="s">
        <v>34</v>
      </c>
    </row>
    <row r="3424" spans="1:15">
      <c r="A3424" t="s">
        <v>4912</v>
      </c>
      <c r="B3424" s="2">
        <v>43489.842534722222</v>
      </c>
      <c r="C3424" s="2">
        <v>43489.865590277775</v>
      </c>
      <c r="D3424" t="s">
        <v>641</v>
      </c>
      <c r="E3424" t="s">
        <v>4871</v>
      </c>
      <c r="F3424" t="s">
        <v>4872</v>
      </c>
      <c r="G3424" t="s">
        <v>1093</v>
      </c>
      <c r="H3424" t="s">
        <v>1031</v>
      </c>
      <c r="I3424">
        <v>371883000</v>
      </c>
      <c r="J3424" t="s">
        <v>3614</v>
      </c>
      <c r="K3424">
        <v>142.58000000000001</v>
      </c>
      <c r="L3424">
        <v>20626.96</v>
      </c>
      <c r="M3424">
        <v>20576.96</v>
      </c>
      <c r="N3424">
        <v>609328004</v>
      </c>
      <c r="O3424" t="s">
        <v>1137</v>
      </c>
    </row>
    <row r="3425" spans="1:15">
      <c r="A3425" t="s">
        <v>4913</v>
      </c>
      <c r="B3425" s="2">
        <v>43501.451145833336</v>
      </c>
      <c r="C3425" s="2">
        <v>43501.61577546296</v>
      </c>
      <c r="D3425" t="s">
        <v>641</v>
      </c>
      <c r="E3425" t="s">
        <v>4871</v>
      </c>
      <c r="F3425" t="s">
        <v>4872</v>
      </c>
      <c r="G3425" t="s">
        <v>1093</v>
      </c>
      <c r="H3425" t="s">
        <v>1031</v>
      </c>
      <c r="I3425">
        <v>185349003</v>
      </c>
      <c r="J3425" t="s">
        <v>1038</v>
      </c>
      <c r="K3425">
        <v>85.55</v>
      </c>
      <c r="L3425">
        <v>3536.75</v>
      </c>
      <c r="M3425">
        <v>3486.75</v>
      </c>
      <c r="N3425">
        <v>103697008</v>
      </c>
      <c r="O3425" t="s">
        <v>1039</v>
      </c>
    </row>
    <row r="3426" spans="1:15">
      <c r="A3426" t="s">
        <v>4914</v>
      </c>
      <c r="B3426" s="2">
        <v>43512.865590277775</v>
      </c>
      <c r="C3426" s="2">
        <v>43512.891458333332</v>
      </c>
      <c r="D3426" t="s">
        <v>641</v>
      </c>
      <c r="E3426" t="s">
        <v>4871</v>
      </c>
      <c r="F3426" t="s">
        <v>4872</v>
      </c>
      <c r="G3426" t="s">
        <v>1093</v>
      </c>
      <c r="H3426" t="s">
        <v>1031</v>
      </c>
      <c r="I3426">
        <v>371883000</v>
      </c>
      <c r="J3426" t="s">
        <v>3614</v>
      </c>
      <c r="K3426">
        <v>142.58000000000001</v>
      </c>
      <c r="L3426">
        <v>5263.67</v>
      </c>
      <c r="M3426">
        <v>5213.67</v>
      </c>
      <c r="N3426">
        <v>609328004</v>
      </c>
      <c r="O3426" t="s">
        <v>1137</v>
      </c>
    </row>
    <row r="3427" spans="1:15">
      <c r="A3427" t="s">
        <v>4915</v>
      </c>
      <c r="B3427" s="2">
        <v>43539.933125000003</v>
      </c>
      <c r="C3427" s="2">
        <v>43539.958958333336</v>
      </c>
      <c r="D3427" t="s">
        <v>641</v>
      </c>
      <c r="E3427" t="s">
        <v>4871</v>
      </c>
      <c r="F3427" t="s">
        <v>4872</v>
      </c>
      <c r="G3427" t="s">
        <v>1093</v>
      </c>
      <c r="H3427" t="s">
        <v>1031</v>
      </c>
      <c r="I3427">
        <v>371883000</v>
      </c>
      <c r="J3427" t="s">
        <v>3614</v>
      </c>
      <c r="K3427">
        <v>142.58000000000001</v>
      </c>
      <c r="L3427">
        <v>5705.03</v>
      </c>
      <c r="M3427">
        <v>5655.03</v>
      </c>
      <c r="N3427">
        <v>609328004</v>
      </c>
      <c r="O3427" t="s">
        <v>1137</v>
      </c>
    </row>
    <row r="3428" spans="1:15">
      <c r="A3428" t="s">
        <v>4916</v>
      </c>
      <c r="B3428" s="2">
        <v>43566.958958333336</v>
      </c>
      <c r="C3428" s="2">
        <v>43566.973553240743</v>
      </c>
      <c r="D3428" t="s">
        <v>641</v>
      </c>
      <c r="E3428" t="s">
        <v>4871</v>
      </c>
      <c r="F3428" t="s">
        <v>4872</v>
      </c>
      <c r="G3428" t="s">
        <v>1093</v>
      </c>
      <c r="H3428" t="s">
        <v>1031</v>
      </c>
      <c r="I3428">
        <v>371883000</v>
      </c>
      <c r="J3428" t="s">
        <v>3614</v>
      </c>
      <c r="K3428">
        <v>142.58000000000001</v>
      </c>
      <c r="L3428">
        <v>5263.67</v>
      </c>
      <c r="M3428">
        <v>5213.67</v>
      </c>
      <c r="N3428">
        <v>609328004</v>
      </c>
      <c r="O3428" t="s">
        <v>1137</v>
      </c>
    </row>
    <row r="3429" spans="1:15">
      <c r="A3429" t="s">
        <v>4917</v>
      </c>
      <c r="B3429" s="2">
        <v>43587.973553240743</v>
      </c>
      <c r="C3429" s="2">
        <v>43588.009131944447</v>
      </c>
      <c r="D3429" t="s">
        <v>641</v>
      </c>
      <c r="E3429" t="s">
        <v>4871</v>
      </c>
      <c r="F3429" t="s">
        <v>4872</v>
      </c>
      <c r="G3429" t="s">
        <v>1093</v>
      </c>
      <c r="H3429" t="s">
        <v>1031</v>
      </c>
      <c r="I3429">
        <v>371883000</v>
      </c>
      <c r="J3429" t="s">
        <v>3614</v>
      </c>
      <c r="K3429">
        <v>142.58000000000001</v>
      </c>
      <c r="L3429">
        <v>5263.67</v>
      </c>
      <c r="M3429">
        <v>5213.67</v>
      </c>
      <c r="N3429">
        <v>609328004</v>
      </c>
      <c r="O3429" t="s">
        <v>1137</v>
      </c>
    </row>
    <row r="3430" spans="1:15">
      <c r="A3430" t="s">
        <v>4918</v>
      </c>
      <c r="B3430" s="2">
        <v>43615.009131944447</v>
      </c>
      <c r="C3430" s="2">
        <v>43615.025925925926</v>
      </c>
      <c r="D3430" t="s">
        <v>641</v>
      </c>
      <c r="E3430" t="s">
        <v>4871</v>
      </c>
      <c r="F3430" t="s">
        <v>4872</v>
      </c>
      <c r="G3430" t="s">
        <v>1093</v>
      </c>
      <c r="H3430" t="s">
        <v>1031</v>
      </c>
      <c r="I3430">
        <v>371883000</v>
      </c>
      <c r="J3430" t="s">
        <v>3614</v>
      </c>
      <c r="K3430">
        <v>142.58000000000001</v>
      </c>
      <c r="L3430">
        <v>20626.96</v>
      </c>
      <c r="M3430">
        <v>20576.96</v>
      </c>
      <c r="N3430">
        <v>609328004</v>
      </c>
      <c r="O3430" t="s">
        <v>1137</v>
      </c>
    </row>
    <row r="3431" spans="1:15">
      <c r="A3431" t="s">
        <v>4919</v>
      </c>
      <c r="B3431" s="2">
        <v>43641.025925925926</v>
      </c>
      <c r="C3431" s="2">
        <v>43641.057592592595</v>
      </c>
      <c r="D3431" t="s">
        <v>641</v>
      </c>
      <c r="E3431" t="s">
        <v>4871</v>
      </c>
      <c r="F3431" t="s">
        <v>4872</v>
      </c>
      <c r="G3431" t="s">
        <v>1093</v>
      </c>
      <c r="H3431" t="s">
        <v>1031</v>
      </c>
      <c r="I3431">
        <v>371883000</v>
      </c>
      <c r="J3431" t="s">
        <v>3614</v>
      </c>
      <c r="K3431">
        <v>142.58000000000001</v>
      </c>
      <c r="L3431">
        <v>16477.8</v>
      </c>
      <c r="M3431">
        <v>16427.8</v>
      </c>
      <c r="N3431">
        <v>609328004</v>
      </c>
      <c r="O3431" t="s">
        <v>1137</v>
      </c>
    </row>
    <row r="3432" spans="1:15">
      <c r="A3432" t="s">
        <v>4920</v>
      </c>
      <c r="B3432" s="2">
        <v>43666.057592592595</v>
      </c>
      <c r="C3432" s="2">
        <v>43666.090717592589</v>
      </c>
      <c r="D3432" t="s">
        <v>641</v>
      </c>
      <c r="E3432" t="s">
        <v>4871</v>
      </c>
      <c r="F3432" t="s">
        <v>4872</v>
      </c>
      <c r="G3432" t="s">
        <v>1093</v>
      </c>
      <c r="H3432" t="s">
        <v>1031</v>
      </c>
      <c r="I3432">
        <v>371883000</v>
      </c>
      <c r="J3432" t="s">
        <v>3614</v>
      </c>
      <c r="K3432">
        <v>142.58000000000001</v>
      </c>
      <c r="L3432">
        <v>5263.67</v>
      </c>
      <c r="M3432">
        <v>5213.67</v>
      </c>
      <c r="N3432">
        <v>609328004</v>
      </c>
      <c r="O3432" t="s">
        <v>1137</v>
      </c>
    </row>
    <row r="3433" spans="1:15">
      <c r="A3433" t="s">
        <v>4921</v>
      </c>
      <c r="B3433" s="2">
        <v>43689.090717592589</v>
      </c>
      <c r="C3433" s="2">
        <v>43689.116412037038</v>
      </c>
      <c r="D3433" t="s">
        <v>641</v>
      </c>
      <c r="E3433" t="s">
        <v>4871</v>
      </c>
      <c r="F3433" t="s">
        <v>4872</v>
      </c>
      <c r="G3433" t="s">
        <v>1093</v>
      </c>
      <c r="H3433" t="s">
        <v>1031</v>
      </c>
      <c r="I3433">
        <v>371883000</v>
      </c>
      <c r="J3433" t="s">
        <v>3614</v>
      </c>
      <c r="K3433">
        <v>142.58000000000001</v>
      </c>
      <c r="L3433">
        <v>20626.96</v>
      </c>
      <c r="M3433">
        <v>20576.96</v>
      </c>
      <c r="N3433">
        <v>609328004</v>
      </c>
      <c r="O3433" t="s">
        <v>1137</v>
      </c>
    </row>
    <row r="3434" spans="1:15">
      <c r="A3434" t="s">
        <v>4922</v>
      </c>
      <c r="B3434" s="2">
        <v>43716.116412037038</v>
      </c>
      <c r="C3434" s="2">
        <v>43716.151273148149</v>
      </c>
      <c r="D3434" t="s">
        <v>641</v>
      </c>
      <c r="E3434" t="s">
        <v>4871</v>
      </c>
      <c r="F3434" t="s">
        <v>4872</v>
      </c>
      <c r="G3434" t="s">
        <v>1093</v>
      </c>
      <c r="H3434" t="s">
        <v>1031</v>
      </c>
      <c r="I3434">
        <v>371883000</v>
      </c>
      <c r="J3434" t="s">
        <v>3614</v>
      </c>
      <c r="K3434">
        <v>142.58000000000001</v>
      </c>
      <c r="L3434">
        <v>5263.67</v>
      </c>
      <c r="M3434">
        <v>5213.67</v>
      </c>
      <c r="N3434">
        <v>609328004</v>
      </c>
      <c r="O3434" t="s">
        <v>1137</v>
      </c>
    </row>
    <row r="3435" spans="1:15">
      <c r="A3435" t="s">
        <v>4923</v>
      </c>
      <c r="B3435" s="2">
        <v>43739.151273148149</v>
      </c>
      <c r="C3435" s="2">
        <v>43739.163761574076</v>
      </c>
      <c r="D3435" t="s">
        <v>641</v>
      </c>
      <c r="E3435" t="s">
        <v>4871</v>
      </c>
      <c r="F3435" t="s">
        <v>4872</v>
      </c>
      <c r="G3435" t="s">
        <v>1093</v>
      </c>
      <c r="H3435" t="s">
        <v>1031</v>
      </c>
      <c r="I3435">
        <v>371883000</v>
      </c>
      <c r="J3435" t="s">
        <v>3614</v>
      </c>
      <c r="K3435">
        <v>142.58000000000001</v>
      </c>
      <c r="L3435">
        <v>5263.67</v>
      </c>
      <c r="M3435">
        <v>5213.67</v>
      </c>
      <c r="N3435">
        <v>609328004</v>
      </c>
      <c r="O3435" t="s">
        <v>1137</v>
      </c>
    </row>
    <row r="3436" spans="1:15">
      <c r="A3436" t="s">
        <v>4924</v>
      </c>
      <c r="B3436" s="2">
        <v>43765.163761574076</v>
      </c>
      <c r="C3436" s="2">
        <v>43765.194907407407</v>
      </c>
      <c r="D3436" t="s">
        <v>641</v>
      </c>
      <c r="E3436" t="s">
        <v>4871</v>
      </c>
      <c r="F3436" t="s">
        <v>4872</v>
      </c>
      <c r="G3436" t="s">
        <v>1093</v>
      </c>
      <c r="H3436" t="s">
        <v>1031</v>
      </c>
      <c r="I3436">
        <v>371883000</v>
      </c>
      <c r="J3436" t="s">
        <v>3614</v>
      </c>
      <c r="K3436">
        <v>142.58000000000001</v>
      </c>
      <c r="L3436">
        <v>20626.96</v>
      </c>
      <c r="M3436">
        <v>20576.96</v>
      </c>
      <c r="N3436">
        <v>609328004</v>
      </c>
      <c r="O3436" t="s">
        <v>1137</v>
      </c>
    </row>
    <row r="3437" spans="1:15">
      <c r="A3437" t="s">
        <v>4925</v>
      </c>
      <c r="B3437" s="2">
        <v>43792.153240740743</v>
      </c>
      <c r="C3437" s="2">
        <v>43792.167662037034</v>
      </c>
      <c r="D3437" t="s">
        <v>641</v>
      </c>
      <c r="E3437" t="s">
        <v>4871</v>
      </c>
      <c r="F3437" t="s">
        <v>4872</v>
      </c>
      <c r="G3437" t="s">
        <v>1093</v>
      </c>
      <c r="H3437" t="s">
        <v>1031</v>
      </c>
      <c r="I3437">
        <v>371883000</v>
      </c>
      <c r="J3437" t="s">
        <v>3614</v>
      </c>
      <c r="K3437">
        <v>142.58000000000001</v>
      </c>
      <c r="L3437">
        <v>20626.96</v>
      </c>
      <c r="M3437">
        <v>20576.96</v>
      </c>
      <c r="N3437">
        <v>609328004</v>
      </c>
      <c r="O3437" t="s">
        <v>1137</v>
      </c>
    </row>
    <row r="3438" spans="1:15">
      <c r="A3438" t="s">
        <v>4926</v>
      </c>
      <c r="B3438" s="2">
        <v>43819.167662037034</v>
      </c>
      <c r="C3438" s="2">
        <v>43819.207997685182</v>
      </c>
      <c r="D3438" t="s">
        <v>641</v>
      </c>
      <c r="E3438" t="s">
        <v>4871</v>
      </c>
      <c r="F3438" t="s">
        <v>4872</v>
      </c>
      <c r="G3438" t="s">
        <v>1093</v>
      </c>
      <c r="H3438" t="s">
        <v>1031</v>
      </c>
      <c r="I3438">
        <v>371883000</v>
      </c>
      <c r="J3438" t="s">
        <v>3614</v>
      </c>
      <c r="K3438">
        <v>142.58000000000001</v>
      </c>
      <c r="L3438">
        <v>11938.72</v>
      </c>
      <c r="M3438">
        <v>11888.72</v>
      </c>
      <c r="N3438">
        <v>609328004</v>
      </c>
      <c r="O3438" t="s">
        <v>1137</v>
      </c>
    </row>
    <row r="3439" spans="1:15">
      <c r="A3439" t="s">
        <v>4927</v>
      </c>
      <c r="B3439" s="2">
        <v>43840.207997685182</v>
      </c>
      <c r="C3439" s="2">
        <v>43840.232766203706</v>
      </c>
      <c r="D3439" t="s">
        <v>641</v>
      </c>
      <c r="E3439" t="s">
        <v>4871</v>
      </c>
      <c r="F3439" t="s">
        <v>4872</v>
      </c>
      <c r="G3439" t="s">
        <v>1093</v>
      </c>
      <c r="H3439" t="s">
        <v>1031</v>
      </c>
      <c r="I3439">
        <v>371883000</v>
      </c>
      <c r="J3439" t="s">
        <v>3614</v>
      </c>
      <c r="K3439">
        <v>142.58000000000001</v>
      </c>
      <c r="L3439">
        <v>5263.67</v>
      </c>
      <c r="M3439">
        <v>5113.67</v>
      </c>
      <c r="N3439">
        <v>609328004</v>
      </c>
      <c r="O3439" t="s">
        <v>1137</v>
      </c>
    </row>
    <row r="3440" spans="1:15">
      <c r="A3440" t="s">
        <v>4928</v>
      </c>
      <c r="B3440" s="2">
        <v>43858.451145833336</v>
      </c>
      <c r="C3440" s="2">
        <v>43858.467037037037</v>
      </c>
      <c r="D3440" t="s">
        <v>641</v>
      </c>
      <c r="E3440" t="s">
        <v>4878</v>
      </c>
      <c r="F3440" t="s">
        <v>4879</v>
      </c>
      <c r="G3440" t="s">
        <v>1093</v>
      </c>
      <c r="H3440" t="s">
        <v>1020</v>
      </c>
      <c r="I3440">
        <v>410620009</v>
      </c>
      <c r="J3440" t="s">
        <v>1054</v>
      </c>
      <c r="K3440">
        <v>136.80000000000001</v>
      </c>
      <c r="L3440">
        <v>704.2</v>
      </c>
      <c r="M3440">
        <v>704.2</v>
      </c>
      <c r="O3440" t="s">
        <v>34</v>
      </c>
    </row>
    <row r="3441" spans="1:15">
      <c r="A3441" t="s">
        <v>4929</v>
      </c>
      <c r="B3441" s="2">
        <v>43865.232766203706</v>
      </c>
      <c r="C3441" s="2">
        <v>43865.247800925928</v>
      </c>
      <c r="D3441" t="s">
        <v>641</v>
      </c>
      <c r="E3441" t="s">
        <v>4871</v>
      </c>
      <c r="F3441" t="s">
        <v>4872</v>
      </c>
      <c r="G3441" t="s">
        <v>1093</v>
      </c>
      <c r="H3441" t="s">
        <v>1031</v>
      </c>
      <c r="I3441">
        <v>371883000</v>
      </c>
      <c r="J3441" t="s">
        <v>3614</v>
      </c>
      <c r="K3441">
        <v>142.58000000000001</v>
      </c>
      <c r="L3441">
        <v>11142.74</v>
      </c>
      <c r="M3441">
        <v>11092.74</v>
      </c>
      <c r="N3441">
        <v>609328004</v>
      </c>
      <c r="O3441" t="s">
        <v>1137</v>
      </c>
    </row>
    <row r="3442" spans="1:15">
      <c r="A3442" t="s">
        <v>4930</v>
      </c>
      <c r="B3442" s="2">
        <v>43872.451145833336</v>
      </c>
      <c r="C3442" s="2">
        <v>43872.577141203707</v>
      </c>
      <c r="D3442" t="s">
        <v>641</v>
      </c>
      <c r="E3442" t="s">
        <v>4871</v>
      </c>
      <c r="F3442" t="s">
        <v>4872</v>
      </c>
      <c r="G3442" t="s">
        <v>1093</v>
      </c>
      <c r="H3442" t="s">
        <v>1031</v>
      </c>
      <c r="I3442">
        <v>185349003</v>
      </c>
      <c r="J3442" t="s">
        <v>1038</v>
      </c>
      <c r="K3442">
        <v>85.55</v>
      </c>
      <c r="L3442">
        <v>3105.35</v>
      </c>
      <c r="M3442">
        <v>3055.35</v>
      </c>
      <c r="N3442">
        <v>66383009</v>
      </c>
      <c r="O3442" t="s">
        <v>1209</v>
      </c>
    </row>
    <row r="3443" spans="1:15">
      <c r="A3443" t="s">
        <v>4931</v>
      </c>
      <c r="B3443" s="2">
        <v>38278.697465277779</v>
      </c>
      <c r="C3443" s="2">
        <v>38278.722233796296</v>
      </c>
      <c r="D3443" t="s">
        <v>650</v>
      </c>
      <c r="E3443" t="s">
        <v>1226</v>
      </c>
      <c r="F3443" t="s">
        <v>1227</v>
      </c>
      <c r="G3443" t="s">
        <v>1122</v>
      </c>
      <c r="H3443" t="s">
        <v>1031</v>
      </c>
      <c r="I3443">
        <v>185347001</v>
      </c>
      <c r="J3443" t="s">
        <v>1124</v>
      </c>
      <c r="K3443">
        <v>85.55</v>
      </c>
      <c r="L3443">
        <v>948.35</v>
      </c>
      <c r="M3443">
        <v>758.68</v>
      </c>
      <c r="N3443">
        <v>60573004</v>
      </c>
      <c r="O3443" t="s">
        <v>4932</v>
      </c>
    </row>
    <row r="3444" spans="1:15">
      <c r="A3444" t="s">
        <v>4933</v>
      </c>
      <c r="B3444" s="2">
        <v>38469.740983796299</v>
      </c>
      <c r="C3444" s="2">
        <v>38469.751400462963</v>
      </c>
      <c r="D3444" t="s">
        <v>650</v>
      </c>
      <c r="E3444" t="s">
        <v>1226</v>
      </c>
      <c r="F3444" t="s">
        <v>1227</v>
      </c>
      <c r="G3444" t="s">
        <v>1122</v>
      </c>
      <c r="H3444" t="s">
        <v>1031</v>
      </c>
      <c r="I3444">
        <v>185347001</v>
      </c>
      <c r="J3444" t="s">
        <v>1124</v>
      </c>
      <c r="K3444">
        <v>85.55</v>
      </c>
      <c r="L3444">
        <v>1379.75</v>
      </c>
      <c r="M3444">
        <v>1103.8</v>
      </c>
      <c r="N3444">
        <v>60573004</v>
      </c>
      <c r="O3444" t="s">
        <v>4932</v>
      </c>
    </row>
    <row r="3445" spans="1:15">
      <c r="A3445" t="s">
        <v>4934</v>
      </c>
      <c r="B3445" s="2">
        <v>38527.896990740737</v>
      </c>
      <c r="C3445" s="2">
        <v>38528.896990740737</v>
      </c>
      <c r="D3445" t="s">
        <v>650</v>
      </c>
      <c r="E3445" t="s">
        <v>1226</v>
      </c>
      <c r="F3445" t="s">
        <v>1227</v>
      </c>
      <c r="G3445" t="s">
        <v>1122</v>
      </c>
      <c r="H3445" t="s">
        <v>1431</v>
      </c>
      <c r="I3445">
        <v>32485007</v>
      </c>
      <c r="J3445" t="s">
        <v>1837</v>
      </c>
      <c r="K3445">
        <v>146.18</v>
      </c>
      <c r="L3445">
        <v>2734.58</v>
      </c>
      <c r="M3445">
        <v>2187.66</v>
      </c>
      <c r="N3445">
        <v>60573004</v>
      </c>
      <c r="O3445" t="s">
        <v>4932</v>
      </c>
    </row>
    <row r="3446" spans="1:15">
      <c r="A3446" t="s">
        <v>4935</v>
      </c>
      <c r="B3446" s="2">
        <v>41774.697465277779</v>
      </c>
      <c r="C3446" s="2">
        <v>41774.732453703706</v>
      </c>
      <c r="D3446" t="s">
        <v>650</v>
      </c>
      <c r="E3446" t="s">
        <v>4896</v>
      </c>
      <c r="F3446" t="s">
        <v>4897</v>
      </c>
      <c r="G3446" t="s">
        <v>1122</v>
      </c>
      <c r="H3446" t="s">
        <v>1020</v>
      </c>
      <c r="I3446">
        <v>162673000</v>
      </c>
      <c r="J3446" t="s">
        <v>1021</v>
      </c>
      <c r="K3446">
        <v>136.80000000000001</v>
      </c>
      <c r="L3446">
        <v>860.16</v>
      </c>
      <c r="M3446">
        <v>605.66999999999996</v>
      </c>
      <c r="O3446" t="s">
        <v>34</v>
      </c>
    </row>
    <row r="3447" spans="1:15">
      <c r="A3447" t="s">
        <v>4936</v>
      </c>
      <c r="B3447" s="2">
        <v>42516.697465277779</v>
      </c>
      <c r="C3447" s="2">
        <v>42516.727581018517</v>
      </c>
      <c r="D3447" t="s">
        <v>650</v>
      </c>
      <c r="E3447" t="s">
        <v>4896</v>
      </c>
      <c r="F3447" t="s">
        <v>4897</v>
      </c>
      <c r="G3447" t="s">
        <v>1122</v>
      </c>
      <c r="H3447" t="s">
        <v>1020</v>
      </c>
      <c r="I3447">
        <v>162673000</v>
      </c>
      <c r="J3447" t="s">
        <v>1021</v>
      </c>
      <c r="K3447">
        <v>136.80000000000001</v>
      </c>
      <c r="L3447">
        <v>1008.08</v>
      </c>
      <c r="M3447">
        <v>792.45</v>
      </c>
      <c r="O3447" t="s">
        <v>34</v>
      </c>
    </row>
    <row r="3448" spans="1:15">
      <c r="A3448" t="s">
        <v>4937</v>
      </c>
      <c r="B3448" s="2">
        <v>42887.697465277779</v>
      </c>
      <c r="C3448" s="2">
        <v>42887.722407407404</v>
      </c>
      <c r="D3448" t="s">
        <v>650</v>
      </c>
      <c r="E3448" t="s">
        <v>4896</v>
      </c>
      <c r="F3448" t="s">
        <v>4897</v>
      </c>
      <c r="G3448" t="s">
        <v>1122</v>
      </c>
      <c r="H3448" t="s">
        <v>1020</v>
      </c>
      <c r="I3448">
        <v>162673000</v>
      </c>
      <c r="J3448" t="s">
        <v>1021</v>
      </c>
      <c r="K3448">
        <v>136.80000000000001</v>
      </c>
      <c r="L3448">
        <v>1234.8399999999999</v>
      </c>
      <c r="M3448">
        <v>905.41</v>
      </c>
      <c r="O3448" t="s">
        <v>34</v>
      </c>
    </row>
    <row r="3449" spans="1:15">
      <c r="A3449" t="s">
        <v>4938</v>
      </c>
      <c r="B3449" s="2">
        <v>43258.697465277779</v>
      </c>
      <c r="C3449" s="2">
        <v>43258.722361111111</v>
      </c>
      <c r="D3449" t="s">
        <v>650</v>
      </c>
      <c r="E3449" t="s">
        <v>4896</v>
      </c>
      <c r="F3449" t="s">
        <v>4897</v>
      </c>
      <c r="G3449" t="s">
        <v>1122</v>
      </c>
      <c r="H3449" t="s">
        <v>1020</v>
      </c>
      <c r="I3449">
        <v>162673000</v>
      </c>
      <c r="J3449" t="s">
        <v>1021</v>
      </c>
      <c r="K3449">
        <v>136.80000000000001</v>
      </c>
      <c r="L3449">
        <v>860.16</v>
      </c>
      <c r="M3449">
        <v>605.66999999999996</v>
      </c>
      <c r="O3449" t="s">
        <v>34</v>
      </c>
    </row>
    <row r="3450" spans="1:15">
      <c r="A3450" t="s">
        <v>4939</v>
      </c>
      <c r="B3450" s="2">
        <v>43272.697465277779</v>
      </c>
      <c r="C3450" s="2">
        <v>43272.957326388889</v>
      </c>
      <c r="D3450" t="s">
        <v>650</v>
      </c>
      <c r="E3450" t="s">
        <v>4940</v>
      </c>
      <c r="F3450" t="s">
        <v>4941</v>
      </c>
      <c r="G3450" t="s">
        <v>1122</v>
      </c>
      <c r="H3450" t="s">
        <v>1031</v>
      </c>
      <c r="I3450">
        <v>185349003</v>
      </c>
      <c r="J3450" t="s">
        <v>1038</v>
      </c>
      <c r="K3450">
        <v>85.55</v>
      </c>
      <c r="L3450">
        <v>4830.95</v>
      </c>
      <c r="M3450">
        <v>3864.76</v>
      </c>
      <c r="N3450">
        <v>103697008</v>
      </c>
      <c r="O3450" t="s">
        <v>1039</v>
      </c>
    </row>
    <row r="3451" spans="1:15">
      <c r="A3451" t="s">
        <v>4942</v>
      </c>
      <c r="B3451" s="2">
        <v>43887.247800925928</v>
      </c>
      <c r="C3451" s="2">
        <v>43887.261817129627</v>
      </c>
      <c r="D3451" t="s">
        <v>641</v>
      </c>
      <c r="E3451" t="s">
        <v>4871</v>
      </c>
      <c r="F3451" t="s">
        <v>4872</v>
      </c>
      <c r="G3451" t="s">
        <v>1093</v>
      </c>
      <c r="H3451" t="s">
        <v>1031</v>
      </c>
      <c r="I3451">
        <v>371883000</v>
      </c>
      <c r="J3451" t="s">
        <v>3614</v>
      </c>
      <c r="K3451">
        <v>142.58000000000001</v>
      </c>
      <c r="L3451">
        <v>13949.6</v>
      </c>
      <c r="M3451">
        <v>13899.6</v>
      </c>
      <c r="N3451">
        <v>609328004</v>
      </c>
      <c r="O3451" t="s">
        <v>1137</v>
      </c>
    </row>
    <row r="3452" spans="1:15">
      <c r="A3452" t="s">
        <v>4943</v>
      </c>
      <c r="B3452" s="2">
        <v>43913.303483796299</v>
      </c>
      <c r="C3452" s="2">
        <v>43913.340891203705</v>
      </c>
      <c r="D3452" t="s">
        <v>641</v>
      </c>
      <c r="E3452" t="s">
        <v>4871</v>
      </c>
      <c r="F3452" t="s">
        <v>4872</v>
      </c>
      <c r="G3452" t="s">
        <v>1093</v>
      </c>
      <c r="H3452" t="s">
        <v>1031</v>
      </c>
      <c r="I3452">
        <v>371883000</v>
      </c>
      <c r="J3452" t="s">
        <v>3614</v>
      </c>
      <c r="K3452">
        <v>142.58000000000001</v>
      </c>
      <c r="L3452">
        <v>5525.19</v>
      </c>
      <c r="M3452">
        <v>5475.19</v>
      </c>
      <c r="N3452">
        <v>609328004</v>
      </c>
      <c r="O3452" t="s">
        <v>1137</v>
      </c>
    </row>
    <row r="3453" spans="1:15">
      <c r="A3453" t="s">
        <v>4944</v>
      </c>
      <c r="B3453" s="2">
        <v>43934.340891203705</v>
      </c>
      <c r="C3453" s="2">
        <v>43934.352175925924</v>
      </c>
      <c r="D3453" t="s">
        <v>641</v>
      </c>
      <c r="E3453" t="s">
        <v>4871</v>
      </c>
      <c r="F3453" t="s">
        <v>4872</v>
      </c>
      <c r="G3453" t="s">
        <v>1093</v>
      </c>
      <c r="H3453" t="s">
        <v>1031</v>
      </c>
      <c r="I3453">
        <v>371883000</v>
      </c>
      <c r="J3453" t="s">
        <v>3614</v>
      </c>
      <c r="K3453">
        <v>142.58000000000001</v>
      </c>
      <c r="L3453">
        <v>5794.63</v>
      </c>
      <c r="M3453">
        <v>5744.63</v>
      </c>
      <c r="N3453">
        <v>609328004</v>
      </c>
      <c r="O3453" t="s">
        <v>1137</v>
      </c>
    </row>
    <row r="3454" spans="1:15">
      <c r="A3454" t="s">
        <v>4945</v>
      </c>
      <c r="B3454" s="2">
        <v>43961.352175925924</v>
      </c>
      <c r="C3454" s="2">
        <v>43961.368043981478</v>
      </c>
      <c r="D3454" t="s">
        <v>641</v>
      </c>
      <c r="E3454" t="s">
        <v>4871</v>
      </c>
      <c r="F3454" t="s">
        <v>4872</v>
      </c>
      <c r="G3454" t="s">
        <v>1093</v>
      </c>
      <c r="H3454" t="s">
        <v>1031</v>
      </c>
      <c r="I3454">
        <v>371883000</v>
      </c>
      <c r="J3454" t="s">
        <v>3614</v>
      </c>
      <c r="K3454">
        <v>142.58000000000001</v>
      </c>
      <c r="L3454">
        <v>5263.67</v>
      </c>
      <c r="M3454">
        <v>5213.67</v>
      </c>
      <c r="N3454">
        <v>609328004</v>
      </c>
      <c r="O3454" t="s">
        <v>1137</v>
      </c>
    </row>
    <row r="3455" spans="1:15">
      <c r="A3455" t="s">
        <v>4946</v>
      </c>
      <c r="B3455" s="2">
        <v>43987.368043981478</v>
      </c>
      <c r="C3455" s="2">
        <v>43987.403692129628</v>
      </c>
      <c r="D3455" t="s">
        <v>641</v>
      </c>
      <c r="E3455" t="s">
        <v>4871</v>
      </c>
      <c r="F3455" t="s">
        <v>4872</v>
      </c>
      <c r="G3455" t="s">
        <v>1093</v>
      </c>
      <c r="H3455" t="s">
        <v>1031</v>
      </c>
      <c r="I3455">
        <v>371883000</v>
      </c>
      <c r="J3455" t="s">
        <v>3614</v>
      </c>
      <c r="K3455">
        <v>142.58000000000001</v>
      </c>
      <c r="L3455">
        <v>12896.7</v>
      </c>
      <c r="M3455">
        <v>12846.7</v>
      </c>
      <c r="N3455">
        <v>609328004</v>
      </c>
      <c r="O3455" t="s">
        <v>1137</v>
      </c>
    </row>
    <row r="3456" spans="1:15">
      <c r="A3456" t="s">
        <v>4947</v>
      </c>
      <c r="B3456" s="2">
        <v>44014.403692129628</v>
      </c>
      <c r="C3456" s="2">
        <v>44014.440960648149</v>
      </c>
      <c r="D3456" t="s">
        <v>641</v>
      </c>
      <c r="E3456" t="s">
        <v>4871</v>
      </c>
      <c r="F3456" t="s">
        <v>4872</v>
      </c>
      <c r="G3456" t="s">
        <v>1093</v>
      </c>
      <c r="H3456" t="s">
        <v>1031</v>
      </c>
      <c r="I3456">
        <v>371883000</v>
      </c>
      <c r="J3456" t="s">
        <v>3614</v>
      </c>
      <c r="K3456">
        <v>142.58000000000001</v>
      </c>
      <c r="L3456">
        <v>5263.67</v>
      </c>
      <c r="M3456">
        <v>5213.67</v>
      </c>
      <c r="N3456">
        <v>609328004</v>
      </c>
      <c r="O3456" t="s">
        <v>1137</v>
      </c>
    </row>
    <row r="3457" spans="1:15">
      <c r="A3457" t="s">
        <v>4948</v>
      </c>
      <c r="B3457" s="2">
        <v>44037.440960648149</v>
      </c>
      <c r="C3457" s="2">
        <v>44037.472118055557</v>
      </c>
      <c r="D3457" t="s">
        <v>641</v>
      </c>
      <c r="E3457" t="s">
        <v>4871</v>
      </c>
      <c r="F3457" t="s">
        <v>4872</v>
      </c>
      <c r="G3457" t="s">
        <v>1093</v>
      </c>
      <c r="H3457" t="s">
        <v>1031</v>
      </c>
      <c r="I3457">
        <v>371883000</v>
      </c>
      <c r="J3457" t="s">
        <v>3614</v>
      </c>
      <c r="K3457">
        <v>142.58000000000001</v>
      </c>
      <c r="L3457">
        <v>5263.67</v>
      </c>
      <c r="M3457">
        <v>5213.67</v>
      </c>
      <c r="N3457">
        <v>609328004</v>
      </c>
      <c r="O3457" t="s">
        <v>1137</v>
      </c>
    </row>
    <row r="3458" spans="1:15">
      <c r="A3458" t="s">
        <v>4949</v>
      </c>
      <c r="B3458" s="2">
        <v>44064.472118055557</v>
      </c>
      <c r="C3458" s="2">
        <v>44064.49827546296</v>
      </c>
      <c r="D3458" t="s">
        <v>641</v>
      </c>
      <c r="E3458" t="s">
        <v>4871</v>
      </c>
      <c r="F3458" t="s">
        <v>4872</v>
      </c>
      <c r="G3458" t="s">
        <v>1093</v>
      </c>
      <c r="H3458" t="s">
        <v>1031</v>
      </c>
      <c r="I3458">
        <v>371883000</v>
      </c>
      <c r="J3458" t="s">
        <v>3614</v>
      </c>
      <c r="K3458">
        <v>142.58000000000001</v>
      </c>
      <c r="L3458">
        <v>5263.67</v>
      </c>
      <c r="M3458">
        <v>5213.67</v>
      </c>
      <c r="N3458">
        <v>609328004</v>
      </c>
      <c r="O3458" t="s">
        <v>1137</v>
      </c>
    </row>
    <row r="3459" spans="1:15">
      <c r="A3459" t="s">
        <v>4950</v>
      </c>
      <c r="B3459" s="2">
        <v>44087.49827546296</v>
      </c>
      <c r="C3459" s="2">
        <v>44087.508958333332</v>
      </c>
      <c r="D3459" t="s">
        <v>641</v>
      </c>
      <c r="E3459" t="s">
        <v>4871</v>
      </c>
      <c r="F3459" t="s">
        <v>4872</v>
      </c>
      <c r="G3459" t="s">
        <v>1093</v>
      </c>
      <c r="H3459" t="s">
        <v>1031</v>
      </c>
      <c r="I3459">
        <v>371883000</v>
      </c>
      <c r="J3459" t="s">
        <v>3614</v>
      </c>
      <c r="K3459">
        <v>142.58000000000001</v>
      </c>
      <c r="L3459">
        <v>5263.67</v>
      </c>
      <c r="M3459">
        <v>5213.67</v>
      </c>
      <c r="N3459">
        <v>609328004</v>
      </c>
      <c r="O3459" t="s">
        <v>1137</v>
      </c>
    </row>
    <row r="3460" spans="1:15">
      <c r="A3460" t="s">
        <v>4951</v>
      </c>
      <c r="B3460" s="2">
        <v>44095.951145833336</v>
      </c>
      <c r="C3460" s="2">
        <v>44095.961562500001</v>
      </c>
      <c r="D3460" t="s">
        <v>641</v>
      </c>
      <c r="E3460" t="s">
        <v>4871</v>
      </c>
      <c r="F3460" t="s">
        <v>4872</v>
      </c>
      <c r="G3460" t="s">
        <v>1093</v>
      </c>
      <c r="H3460" t="s">
        <v>1031</v>
      </c>
      <c r="I3460">
        <v>185347001</v>
      </c>
      <c r="J3460" t="s">
        <v>1124</v>
      </c>
      <c r="K3460">
        <v>85.55</v>
      </c>
      <c r="L3460">
        <v>85.55</v>
      </c>
      <c r="M3460">
        <v>35.549999999999997</v>
      </c>
      <c r="N3460">
        <v>735029006</v>
      </c>
      <c r="O3460" t="s">
        <v>2130</v>
      </c>
    </row>
    <row r="3461" spans="1:15">
      <c r="A3461" t="s">
        <v>4952</v>
      </c>
      <c r="B3461" s="2">
        <v>44113.508958333332</v>
      </c>
      <c r="C3461" s="2">
        <v>44113.548310185186</v>
      </c>
      <c r="D3461" t="s">
        <v>641</v>
      </c>
      <c r="E3461" t="s">
        <v>4871</v>
      </c>
      <c r="F3461" t="s">
        <v>4872</v>
      </c>
      <c r="G3461" t="s">
        <v>1093</v>
      </c>
      <c r="H3461" t="s">
        <v>1031</v>
      </c>
      <c r="I3461">
        <v>371883000</v>
      </c>
      <c r="J3461" t="s">
        <v>3614</v>
      </c>
      <c r="K3461">
        <v>142.58000000000001</v>
      </c>
      <c r="L3461">
        <v>20626.96</v>
      </c>
      <c r="M3461">
        <v>20576.96</v>
      </c>
      <c r="N3461">
        <v>609328004</v>
      </c>
      <c r="O3461" t="s">
        <v>1137</v>
      </c>
    </row>
    <row r="3462" spans="1:15">
      <c r="A3462" t="s">
        <v>4953</v>
      </c>
      <c r="B3462" s="2">
        <v>44135.548310185186</v>
      </c>
      <c r="C3462" s="2">
        <v>44135.574155092596</v>
      </c>
      <c r="D3462" t="s">
        <v>641</v>
      </c>
      <c r="E3462" t="s">
        <v>4871</v>
      </c>
      <c r="F3462" t="s">
        <v>4872</v>
      </c>
      <c r="G3462" t="s">
        <v>1093</v>
      </c>
      <c r="H3462" t="s">
        <v>1031</v>
      </c>
      <c r="I3462">
        <v>371883000</v>
      </c>
      <c r="J3462" t="s">
        <v>3614</v>
      </c>
      <c r="K3462">
        <v>142.58000000000001</v>
      </c>
      <c r="L3462">
        <v>5263.67</v>
      </c>
      <c r="M3462">
        <v>5213.67</v>
      </c>
      <c r="N3462">
        <v>609328004</v>
      </c>
      <c r="O3462" t="s">
        <v>1137</v>
      </c>
    </row>
    <row r="3463" spans="1:15">
      <c r="A3463" t="s">
        <v>4954</v>
      </c>
      <c r="B3463" s="2">
        <v>44161.532488425924</v>
      </c>
      <c r="C3463" s="2">
        <v>44161.570324074077</v>
      </c>
      <c r="D3463" t="s">
        <v>641</v>
      </c>
      <c r="E3463" t="s">
        <v>4871</v>
      </c>
      <c r="F3463" t="s">
        <v>4872</v>
      </c>
      <c r="G3463" t="s">
        <v>1093</v>
      </c>
      <c r="H3463" t="s">
        <v>1031</v>
      </c>
      <c r="I3463">
        <v>371883000</v>
      </c>
      <c r="J3463" t="s">
        <v>3614</v>
      </c>
      <c r="K3463">
        <v>142.58000000000001</v>
      </c>
      <c r="L3463">
        <v>5263.67</v>
      </c>
      <c r="M3463">
        <v>5213.67</v>
      </c>
      <c r="N3463">
        <v>609328004</v>
      </c>
      <c r="O3463" t="s">
        <v>1137</v>
      </c>
    </row>
    <row r="3464" spans="1:15">
      <c r="A3464" t="s">
        <v>4955</v>
      </c>
      <c r="B3464" s="2">
        <v>44186.570324074077</v>
      </c>
      <c r="C3464" s="2">
        <v>44186.58421296296</v>
      </c>
      <c r="D3464" t="s">
        <v>641</v>
      </c>
      <c r="E3464" t="s">
        <v>4871</v>
      </c>
      <c r="F3464" t="s">
        <v>4872</v>
      </c>
      <c r="G3464" t="s">
        <v>1093</v>
      </c>
      <c r="H3464" t="s">
        <v>1031</v>
      </c>
      <c r="I3464">
        <v>371883000</v>
      </c>
      <c r="J3464" t="s">
        <v>3614</v>
      </c>
      <c r="K3464">
        <v>142.58000000000001</v>
      </c>
      <c r="L3464">
        <v>7334.8</v>
      </c>
      <c r="M3464">
        <v>7284.8</v>
      </c>
      <c r="N3464">
        <v>609328004</v>
      </c>
      <c r="O3464" t="s">
        <v>1137</v>
      </c>
    </row>
    <row r="3465" spans="1:15">
      <c r="A3465" t="s">
        <v>4956</v>
      </c>
      <c r="B3465" s="2">
        <v>44209.58421296296</v>
      </c>
      <c r="C3465" s="2">
        <v>44209.612407407411</v>
      </c>
      <c r="D3465" t="s">
        <v>641</v>
      </c>
      <c r="E3465" t="s">
        <v>4871</v>
      </c>
      <c r="F3465" t="s">
        <v>4872</v>
      </c>
      <c r="G3465" t="s">
        <v>1093</v>
      </c>
      <c r="H3465" t="s">
        <v>1031</v>
      </c>
      <c r="I3465">
        <v>371883000</v>
      </c>
      <c r="J3465" t="s">
        <v>3614</v>
      </c>
      <c r="K3465">
        <v>142.58000000000001</v>
      </c>
      <c r="L3465">
        <v>8755.82</v>
      </c>
      <c r="M3465">
        <v>8605.82</v>
      </c>
      <c r="N3465">
        <v>609328004</v>
      </c>
      <c r="O3465" t="s">
        <v>1137</v>
      </c>
    </row>
    <row r="3466" spans="1:15">
      <c r="A3466" t="s">
        <v>4957</v>
      </c>
      <c r="B3466" s="2">
        <v>44229.451145833336</v>
      </c>
      <c r="C3466" s="2">
        <v>44229.461562500001</v>
      </c>
      <c r="D3466" t="s">
        <v>641</v>
      </c>
      <c r="E3466" t="s">
        <v>4878</v>
      </c>
      <c r="F3466" t="s">
        <v>4879</v>
      </c>
      <c r="G3466" t="s">
        <v>1093</v>
      </c>
      <c r="H3466" t="s">
        <v>1020</v>
      </c>
      <c r="I3466">
        <v>410620009</v>
      </c>
      <c r="J3466" t="s">
        <v>1054</v>
      </c>
      <c r="K3466">
        <v>136.80000000000001</v>
      </c>
      <c r="L3466">
        <v>1653.4</v>
      </c>
      <c r="M3466">
        <v>1653.4</v>
      </c>
      <c r="O3466" t="s">
        <v>34</v>
      </c>
    </row>
    <row r="3467" spans="1:15">
      <c r="A3467" t="s">
        <v>4958</v>
      </c>
      <c r="B3467" s="2">
        <v>44235.612407407411</v>
      </c>
      <c r="C3467" s="2">
        <v>44235.653657407405</v>
      </c>
      <c r="D3467" t="s">
        <v>641</v>
      </c>
      <c r="E3467" t="s">
        <v>4871</v>
      </c>
      <c r="F3467" t="s">
        <v>4872</v>
      </c>
      <c r="G3467" t="s">
        <v>1093</v>
      </c>
      <c r="H3467" t="s">
        <v>1031</v>
      </c>
      <c r="I3467">
        <v>371883000</v>
      </c>
      <c r="J3467" t="s">
        <v>3614</v>
      </c>
      <c r="K3467">
        <v>142.58000000000001</v>
      </c>
      <c r="L3467">
        <v>19526.54</v>
      </c>
      <c r="M3467">
        <v>19476.54</v>
      </c>
      <c r="N3467">
        <v>609328004</v>
      </c>
      <c r="O3467" t="s">
        <v>1137</v>
      </c>
    </row>
    <row r="3468" spans="1:15">
      <c r="A3468" t="s">
        <v>4959</v>
      </c>
      <c r="B3468" s="2">
        <v>44243.451145833336</v>
      </c>
      <c r="C3468" s="2">
        <v>44243.600972222222</v>
      </c>
      <c r="D3468" t="s">
        <v>641</v>
      </c>
      <c r="E3468" t="s">
        <v>4871</v>
      </c>
      <c r="F3468" t="s">
        <v>4872</v>
      </c>
      <c r="G3468" t="s">
        <v>1093</v>
      </c>
      <c r="H3468" t="s">
        <v>1031</v>
      </c>
      <c r="I3468">
        <v>185349003</v>
      </c>
      <c r="J3468" t="s">
        <v>1038</v>
      </c>
      <c r="K3468">
        <v>85.55</v>
      </c>
      <c r="L3468">
        <v>3105.35</v>
      </c>
      <c r="M3468">
        <v>3055.35</v>
      </c>
      <c r="N3468">
        <v>103697008</v>
      </c>
      <c r="O3468" t="s">
        <v>1039</v>
      </c>
    </row>
    <row r="3469" spans="1:15">
      <c r="A3469" t="s">
        <v>4960</v>
      </c>
      <c r="B3469" s="2">
        <v>44261.653657407405</v>
      </c>
      <c r="C3469" s="2">
        <v>44261.676226851851</v>
      </c>
      <c r="D3469" t="s">
        <v>641</v>
      </c>
      <c r="E3469" t="s">
        <v>4871</v>
      </c>
      <c r="F3469" t="s">
        <v>4872</v>
      </c>
      <c r="G3469" t="s">
        <v>1093</v>
      </c>
      <c r="H3469" t="s">
        <v>1031</v>
      </c>
      <c r="I3469">
        <v>371883000</v>
      </c>
      <c r="J3469" t="s">
        <v>3614</v>
      </c>
      <c r="K3469">
        <v>142.58000000000001</v>
      </c>
      <c r="L3469">
        <v>7964</v>
      </c>
      <c r="M3469">
        <v>7914</v>
      </c>
      <c r="N3469">
        <v>609328004</v>
      </c>
      <c r="O3469" t="s">
        <v>1137</v>
      </c>
    </row>
    <row r="3470" spans="1:15">
      <c r="A3470" t="s">
        <v>4961</v>
      </c>
      <c r="B3470" s="2">
        <v>44283.717893518522</v>
      </c>
      <c r="C3470" s="2">
        <v>44283.754571759258</v>
      </c>
      <c r="D3470" t="s">
        <v>641</v>
      </c>
      <c r="E3470" t="s">
        <v>4871</v>
      </c>
      <c r="F3470" t="s">
        <v>4872</v>
      </c>
      <c r="G3470" t="s">
        <v>1093</v>
      </c>
      <c r="H3470" t="s">
        <v>1031</v>
      </c>
      <c r="I3470">
        <v>371883000</v>
      </c>
      <c r="J3470" t="s">
        <v>3614</v>
      </c>
      <c r="K3470">
        <v>142.58000000000001</v>
      </c>
      <c r="L3470">
        <v>6861.82</v>
      </c>
      <c r="M3470">
        <v>6811.82</v>
      </c>
      <c r="N3470">
        <v>609328004</v>
      </c>
      <c r="O3470" t="s">
        <v>1137</v>
      </c>
    </row>
    <row r="3471" spans="1:15">
      <c r="A3471" t="s">
        <v>4962</v>
      </c>
      <c r="B3471" s="2">
        <v>43629.697465277779</v>
      </c>
      <c r="C3471" s="2">
        <v>43629.726990740739</v>
      </c>
      <c r="D3471" t="s">
        <v>650</v>
      </c>
      <c r="E3471" t="s">
        <v>4896</v>
      </c>
      <c r="F3471" t="s">
        <v>4897</v>
      </c>
      <c r="G3471" t="s">
        <v>1122</v>
      </c>
      <c r="H3471" t="s">
        <v>1020</v>
      </c>
      <c r="I3471">
        <v>162673000</v>
      </c>
      <c r="J3471" t="s">
        <v>1021</v>
      </c>
      <c r="K3471">
        <v>136.80000000000001</v>
      </c>
      <c r="L3471">
        <v>1012.9</v>
      </c>
      <c r="M3471">
        <v>727.87</v>
      </c>
      <c r="O3471" t="s">
        <v>34</v>
      </c>
    </row>
    <row r="3472" spans="1:15">
      <c r="A3472" t="s">
        <v>4963</v>
      </c>
      <c r="B3472" s="2">
        <v>43916.697465277779</v>
      </c>
      <c r="C3472" s="2">
        <v>43916.707881944443</v>
      </c>
      <c r="D3472" t="s">
        <v>650</v>
      </c>
      <c r="E3472" t="s">
        <v>2799</v>
      </c>
      <c r="F3472" t="s">
        <v>2800</v>
      </c>
      <c r="G3472" t="s">
        <v>1122</v>
      </c>
      <c r="H3472" t="s">
        <v>1159</v>
      </c>
      <c r="I3472">
        <v>308335008</v>
      </c>
      <c r="J3472" t="s">
        <v>1194</v>
      </c>
      <c r="K3472">
        <v>142.58000000000001</v>
      </c>
      <c r="L3472">
        <v>573.98</v>
      </c>
      <c r="M3472">
        <v>272.77999999999997</v>
      </c>
      <c r="N3472">
        <v>1871000124103</v>
      </c>
      <c r="O3472" t="s">
        <v>2839</v>
      </c>
    </row>
    <row r="3473" spans="1:15">
      <c r="A3473" t="s">
        <v>4964</v>
      </c>
      <c r="B3473" s="2">
        <v>43917.501631944448</v>
      </c>
      <c r="C3473" s="2">
        <v>43917.512048611112</v>
      </c>
      <c r="D3473" t="s">
        <v>650</v>
      </c>
      <c r="E3473" t="s">
        <v>4965</v>
      </c>
      <c r="F3473" t="s">
        <v>4966</v>
      </c>
      <c r="G3473" t="s">
        <v>1122</v>
      </c>
      <c r="H3473" t="s">
        <v>2843</v>
      </c>
      <c r="I3473">
        <v>439708006</v>
      </c>
      <c r="J3473" t="s">
        <v>2844</v>
      </c>
      <c r="K3473">
        <v>128.53</v>
      </c>
      <c r="L3473">
        <v>1854.13</v>
      </c>
      <c r="M3473">
        <v>1483.3</v>
      </c>
      <c r="N3473">
        <v>1871000124103</v>
      </c>
      <c r="O3473" t="s">
        <v>2839</v>
      </c>
    </row>
    <row r="3474" spans="1:15">
      <c r="A3474" t="s">
        <v>4967</v>
      </c>
      <c r="B3474" s="2">
        <v>43918.501631944448</v>
      </c>
      <c r="C3474" s="2">
        <v>43918.512048611112</v>
      </c>
      <c r="D3474" t="s">
        <v>650</v>
      </c>
      <c r="E3474" t="s">
        <v>4965</v>
      </c>
      <c r="F3474" t="s">
        <v>4966</v>
      </c>
      <c r="G3474" t="s">
        <v>1122</v>
      </c>
      <c r="H3474" t="s">
        <v>2843</v>
      </c>
      <c r="I3474">
        <v>439708006</v>
      </c>
      <c r="J3474" t="s">
        <v>2844</v>
      </c>
      <c r="K3474">
        <v>128.53</v>
      </c>
      <c r="L3474">
        <v>559.92999999999995</v>
      </c>
      <c r="M3474">
        <v>447.94</v>
      </c>
      <c r="N3474">
        <v>1871000124103</v>
      </c>
      <c r="O3474" t="s">
        <v>2839</v>
      </c>
    </row>
    <row r="3475" spans="1:15">
      <c r="A3475" t="s">
        <v>4968</v>
      </c>
      <c r="B3475" s="2">
        <v>43919.501631944448</v>
      </c>
      <c r="C3475" s="2">
        <v>43919.512048611112</v>
      </c>
      <c r="D3475" t="s">
        <v>650</v>
      </c>
      <c r="E3475" t="s">
        <v>4965</v>
      </c>
      <c r="F3475" t="s">
        <v>4966</v>
      </c>
      <c r="G3475" t="s">
        <v>1122</v>
      </c>
      <c r="H3475" t="s">
        <v>2843</v>
      </c>
      <c r="I3475">
        <v>439708006</v>
      </c>
      <c r="J3475" t="s">
        <v>2844</v>
      </c>
      <c r="K3475">
        <v>128.53</v>
      </c>
      <c r="L3475">
        <v>991.33</v>
      </c>
      <c r="M3475">
        <v>793.06</v>
      </c>
      <c r="N3475">
        <v>1871000124103</v>
      </c>
      <c r="O3475" t="s">
        <v>2839</v>
      </c>
    </row>
    <row r="3476" spans="1:15">
      <c r="A3476" t="s">
        <v>4969</v>
      </c>
      <c r="B3476" s="2">
        <v>43920.501631944448</v>
      </c>
      <c r="C3476" s="2">
        <v>43920.512048611112</v>
      </c>
      <c r="D3476" t="s">
        <v>650</v>
      </c>
      <c r="E3476" t="s">
        <v>4965</v>
      </c>
      <c r="F3476" t="s">
        <v>4966</v>
      </c>
      <c r="G3476" t="s">
        <v>1122</v>
      </c>
      <c r="H3476" t="s">
        <v>2843</v>
      </c>
      <c r="I3476">
        <v>439708006</v>
      </c>
      <c r="J3476" t="s">
        <v>2844</v>
      </c>
      <c r="K3476">
        <v>128.53</v>
      </c>
      <c r="L3476">
        <v>344.23</v>
      </c>
      <c r="M3476">
        <v>275.38</v>
      </c>
      <c r="N3476">
        <v>1871000124103</v>
      </c>
      <c r="O3476" t="s">
        <v>2839</v>
      </c>
    </row>
    <row r="3477" spans="1:15">
      <c r="A3477" t="s">
        <v>4970</v>
      </c>
      <c r="B3477" s="2">
        <v>43921.501631944448</v>
      </c>
      <c r="C3477" s="2">
        <v>43921.512048611112</v>
      </c>
      <c r="D3477" t="s">
        <v>650</v>
      </c>
      <c r="E3477" t="s">
        <v>4965</v>
      </c>
      <c r="F3477" t="s">
        <v>4966</v>
      </c>
      <c r="G3477" t="s">
        <v>1122</v>
      </c>
      <c r="H3477" t="s">
        <v>2843</v>
      </c>
      <c r="I3477">
        <v>439708006</v>
      </c>
      <c r="J3477" t="s">
        <v>2844</v>
      </c>
      <c r="K3477">
        <v>128.53</v>
      </c>
      <c r="L3477">
        <v>344.23</v>
      </c>
      <c r="M3477">
        <v>275.38</v>
      </c>
      <c r="N3477">
        <v>1871000124103</v>
      </c>
      <c r="O3477" t="s">
        <v>2839</v>
      </c>
    </row>
    <row r="3478" spans="1:15">
      <c r="A3478" t="s">
        <v>4971</v>
      </c>
      <c r="B3478" s="2">
        <v>43922.501631944448</v>
      </c>
      <c r="C3478" s="2">
        <v>43922.512048611112</v>
      </c>
      <c r="D3478" t="s">
        <v>650</v>
      </c>
      <c r="E3478" t="s">
        <v>4965</v>
      </c>
      <c r="F3478" t="s">
        <v>4966</v>
      </c>
      <c r="G3478" t="s">
        <v>1122</v>
      </c>
      <c r="H3478" t="s">
        <v>2843</v>
      </c>
      <c r="I3478">
        <v>439708006</v>
      </c>
      <c r="J3478" t="s">
        <v>2844</v>
      </c>
      <c r="K3478">
        <v>128.53</v>
      </c>
      <c r="L3478">
        <v>559.92999999999995</v>
      </c>
      <c r="M3478">
        <v>447.94</v>
      </c>
      <c r="N3478">
        <v>1871000124103</v>
      </c>
      <c r="O3478" t="s">
        <v>2839</v>
      </c>
    </row>
    <row r="3479" spans="1:15">
      <c r="A3479" t="s">
        <v>4972</v>
      </c>
      <c r="B3479" s="2">
        <v>43923.501631944448</v>
      </c>
      <c r="C3479" s="2">
        <v>43923.512048611112</v>
      </c>
      <c r="D3479" t="s">
        <v>650</v>
      </c>
      <c r="E3479" t="s">
        <v>4965</v>
      </c>
      <c r="F3479" t="s">
        <v>4966</v>
      </c>
      <c r="G3479" t="s">
        <v>1122</v>
      </c>
      <c r="H3479" t="s">
        <v>2843</v>
      </c>
      <c r="I3479">
        <v>439708006</v>
      </c>
      <c r="J3479" t="s">
        <v>2844</v>
      </c>
      <c r="K3479">
        <v>128.53</v>
      </c>
      <c r="L3479">
        <v>991.33</v>
      </c>
      <c r="M3479">
        <v>793.06</v>
      </c>
      <c r="N3479">
        <v>1871000124103</v>
      </c>
      <c r="O3479" t="s">
        <v>2839</v>
      </c>
    </row>
    <row r="3480" spans="1:15">
      <c r="A3480" t="s">
        <v>4973</v>
      </c>
      <c r="B3480" s="2">
        <v>43924.501631944448</v>
      </c>
      <c r="C3480" s="2">
        <v>43924.512048611112</v>
      </c>
      <c r="D3480" t="s">
        <v>650</v>
      </c>
      <c r="E3480" t="s">
        <v>4965</v>
      </c>
      <c r="F3480" t="s">
        <v>4966</v>
      </c>
      <c r="G3480" t="s">
        <v>1122</v>
      </c>
      <c r="H3480" t="s">
        <v>2843</v>
      </c>
      <c r="I3480">
        <v>439708006</v>
      </c>
      <c r="J3480" t="s">
        <v>2844</v>
      </c>
      <c r="K3480">
        <v>128.53</v>
      </c>
      <c r="L3480">
        <v>491.08</v>
      </c>
      <c r="M3480">
        <v>392.86</v>
      </c>
      <c r="N3480">
        <v>1871000124103</v>
      </c>
      <c r="O3480" t="s">
        <v>2839</v>
      </c>
    </row>
    <row r="3481" spans="1:15">
      <c r="A3481" t="s">
        <v>4974</v>
      </c>
      <c r="B3481" s="2">
        <v>43925.501631944448</v>
      </c>
      <c r="C3481" s="2">
        <v>43925.512048611112</v>
      </c>
      <c r="D3481" t="s">
        <v>650</v>
      </c>
      <c r="E3481" t="s">
        <v>4965</v>
      </c>
      <c r="F3481" t="s">
        <v>4966</v>
      </c>
      <c r="G3481" t="s">
        <v>1122</v>
      </c>
      <c r="H3481" t="s">
        <v>2843</v>
      </c>
      <c r="I3481">
        <v>439708006</v>
      </c>
      <c r="J3481" t="s">
        <v>2844</v>
      </c>
      <c r="K3481">
        <v>128.53</v>
      </c>
      <c r="L3481">
        <v>559.92999999999995</v>
      </c>
      <c r="M3481">
        <v>447.94</v>
      </c>
      <c r="N3481">
        <v>1871000124103</v>
      </c>
      <c r="O3481" t="s">
        <v>2839</v>
      </c>
    </row>
    <row r="3482" spans="1:15">
      <c r="A3482" t="s">
        <v>4975</v>
      </c>
      <c r="B3482" s="2">
        <v>43926.501631944448</v>
      </c>
      <c r="C3482" s="2">
        <v>43926.512048611112</v>
      </c>
      <c r="D3482" t="s">
        <v>650</v>
      </c>
      <c r="E3482" t="s">
        <v>4965</v>
      </c>
      <c r="F3482" t="s">
        <v>4966</v>
      </c>
      <c r="G3482" t="s">
        <v>1122</v>
      </c>
      <c r="H3482" t="s">
        <v>2843</v>
      </c>
      <c r="I3482">
        <v>439708006</v>
      </c>
      <c r="J3482" t="s">
        <v>2844</v>
      </c>
      <c r="K3482">
        <v>128.53</v>
      </c>
      <c r="L3482">
        <v>559.92999999999995</v>
      </c>
      <c r="M3482">
        <v>447.94</v>
      </c>
      <c r="N3482">
        <v>1871000124103</v>
      </c>
      <c r="O3482" t="s">
        <v>2839</v>
      </c>
    </row>
    <row r="3483" spans="1:15">
      <c r="A3483" t="s">
        <v>4976</v>
      </c>
      <c r="B3483" s="2">
        <v>43927.501631944448</v>
      </c>
      <c r="C3483" s="2">
        <v>43927.512048611112</v>
      </c>
      <c r="D3483" t="s">
        <v>650</v>
      </c>
      <c r="E3483" t="s">
        <v>4965</v>
      </c>
      <c r="F3483" t="s">
        <v>4966</v>
      </c>
      <c r="G3483" t="s">
        <v>1122</v>
      </c>
      <c r="H3483" t="s">
        <v>2843</v>
      </c>
      <c r="I3483">
        <v>439708006</v>
      </c>
      <c r="J3483" t="s">
        <v>2844</v>
      </c>
      <c r="K3483">
        <v>128.53</v>
      </c>
      <c r="L3483">
        <v>559.92999999999995</v>
      </c>
      <c r="M3483">
        <v>447.94</v>
      </c>
      <c r="N3483">
        <v>1871000124103</v>
      </c>
      <c r="O3483" t="s">
        <v>2839</v>
      </c>
    </row>
    <row r="3484" spans="1:15">
      <c r="A3484" t="s">
        <v>4977</v>
      </c>
      <c r="B3484" s="2">
        <v>43928.501631944448</v>
      </c>
      <c r="C3484" s="2">
        <v>43928.512048611112</v>
      </c>
      <c r="D3484" t="s">
        <v>650</v>
      </c>
      <c r="E3484" t="s">
        <v>4965</v>
      </c>
      <c r="F3484" t="s">
        <v>4966</v>
      </c>
      <c r="G3484" t="s">
        <v>1122</v>
      </c>
      <c r="H3484" t="s">
        <v>2843</v>
      </c>
      <c r="I3484">
        <v>439708006</v>
      </c>
      <c r="J3484" t="s">
        <v>2844</v>
      </c>
      <c r="K3484">
        <v>128.53</v>
      </c>
      <c r="L3484">
        <v>559.92999999999995</v>
      </c>
      <c r="M3484">
        <v>447.94</v>
      </c>
      <c r="N3484">
        <v>1871000124103</v>
      </c>
      <c r="O3484" t="s">
        <v>2839</v>
      </c>
    </row>
    <row r="3485" spans="1:15">
      <c r="A3485" t="s">
        <v>4978</v>
      </c>
      <c r="B3485" s="2">
        <v>43929.501631944448</v>
      </c>
      <c r="C3485" s="2">
        <v>43929.512048611112</v>
      </c>
      <c r="D3485" t="s">
        <v>650</v>
      </c>
      <c r="E3485" t="s">
        <v>4965</v>
      </c>
      <c r="F3485" t="s">
        <v>4966</v>
      </c>
      <c r="G3485" t="s">
        <v>1122</v>
      </c>
      <c r="H3485" t="s">
        <v>2843</v>
      </c>
      <c r="I3485">
        <v>439708006</v>
      </c>
      <c r="J3485" t="s">
        <v>2844</v>
      </c>
      <c r="K3485">
        <v>128.53</v>
      </c>
      <c r="L3485">
        <v>344.23</v>
      </c>
      <c r="M3485">
        <v>275.38</v>
      </c>
      <c r="N3485">
        <v>1871000124103</v>
      </c>
      <c r="O3485" t="s">
        <v>2839</v>
      </c>
    </row>
    <row r="3486" spans="1:15">
      <c r="A3486" t="s">
        <v>4979</v>
      </c>
      <c r="B3486" s="2">
        <v>43930.501631944448</v>
      </c>
      <c r="C3486" s="2">
        <v>43930.512048611112</v>
      </c>
      <c r="D3486" t="s">
        <v>650</v>
      </c>
      <c r="E3486" t="s">
        <v>4965</v>
      </c>
      <c r="F3486" t="s">
        <v>4966</v>
      </c>
      <c r="G3486" t="s">
        <v>1122</v>
      </c>
      <c r="H3486" t="s">
        <v>2843</v>
      </c>
      <c r="I3486">
        <v>439708006</v>
      </c>
      <c r="J3486" t="s">
        <v>2844</v>
      </c>
      <c r="K3486">
        <v>128.53</v>
      </c>
      <c r="L3486">
        <v>513.66</v>
      </c>
      <c r="M3486">
        <v>410.92</v>
      </c>
      <c r="N3486">
        <v>1871000124103</v>
      </c>
      <c r="O3486" t="s">
        <v>2839</v>
      </c>
    </row>
    <row r="3487" spans="1:15">
      <c r="A3487" t="s">
        <v>4980</v>
      </c>
      <c r="B3487" s="2">
        <v>44310.754571759258</v>
      </c>
      <c r="C3487" s="2">
        <v>44310.777048611111</v>
      </c>
      <c r="D3487" t="s">
        <v>641</v>
      </c>
      <c r="E3487" t="s">
        <v>4871</v>
      </c>
      <c r="F3487" t="s">
        <v>4872</v>
      </c>
      <c r="G3487" t="s">
        <v>1093</v>
      </c>
      <c r="H3487" t="s">
        <v>1031</v>
      </c>
      <c r="I3487">
        <v>371883000</v>
      </c>
      <c r="J3487" t="s">
        <v>3614</v>
      </c>
      <c r="K3487">
        <v>142.58000000000001</v>
      </c>
      <c r="L3487">
        <v>5263.67</v>
      </c>
      <c r="M3487">
        <v>5213.67</v>
      </c>
      <c r="N3487">
        <v>609328004</v>
      </c>
      <c r="O3487" t="s">
        <v>1137</v>
      </c>
    </row>
    <row r="3488" spans="1:15">
      <c r="A3488" t="s">
        <v>4981</v>
      </c>
      <c r="B3488" s="2">
        <v>44335.777048611111</v>
      </c>
      <c r="C3488" s="2">
        <v>44335.816608796296</v>
      </c>
      <c r="D3488" t="s">
        <v>641</v>
      </c>
      <c r="E3488" t="s">
        <v>4871</v>
      </c>
      <c r="F3488" t="s">
        <v>4872</v>
      </c>
      <c r="G3488" t="s">
        <v>1093</v>
      </c>
      <c r="H3488" t="s">
        <v>1031</v>
      </c>
      <c r="I3488">
        <v>371883000</v>
      </c>
      <c r="J3488" t="s">
        <v>3614</v>
      </c>
      <c r="K3488">
        <v>142.58000000000001</v>
      </c>
      <c r="L3488">
        <v>14154.43</v>
      </c>
      <c r="M3488">
        <v>14104.43</v>
      </c>
      <c r="N3488">
        <v>609328004</v>
      </c>
      <c r="O3488" t="s">
        <v>1137</v>
      </c>
    </row>
    <row r="3489" spans="1:15">
      <c r="A3489" t="s">
        <v>4982</v>
      </c>
      <c r="B3489" s="2">
        <v>44356.816608796296</v>
      </c>
      <c r="C3489" s="2">
        <v>44356.85229166667</v>
      </c>
      <c r="D3489" t="s">
        <v>641</v>
      </c>
      <c r="E3489" t="s">
        <v>4871</v>
      </c>
      <c r="F3489" t="s">
        <v>4872</v>
      </c>
      <c r="G3489" t="s">
        <v>1093</v>
      </c>
      <c r="H3489" t="s">
        <v>1031</v>
      </c>
      <c r="I3489">
        <v>371883000</v>
      </c>
      <c r="J3489" t="s">
        <v>3614</v>
      </c>
      <c r="K3489">
        <v>142.58000000000001</v>
      </c>
      <c r="L3489">
        <v>5263.67</v>
      </c>
      <c r="M3489">
        <v>5213.67</v>
      </c>
      <c r="N3489">
        <v>609328004</v>
      </c>
      <c r="O3489" t="s">
        <v>1137</v>
      </c>
    </row>
    <row r="3490" spans="1:15">
      <c r="A3490" t="s">
        <v>4983</v>
      </c>
      <c r="B3490" s="2">
        <v>44377.85229166667</v>
      </c>
      <c r="C3490" s="2">
        <v>44377.887025462966</v>
      </c>
      <c r="D3490" t="s">
        <v>641</v>
      </c>
      <c r="E3490" t="s">
        <v>4871</v>
      </c>
      <c r="F3490" t="s">
        <v>4872</v>
      </c>
      <c r="G3490" t="s">
        <v>1093</v>
      </c>
      <c r="H3490" t="s">
        <v>1031</v>
      </c>
      <c r="I3490">
        <v>371883000</v>
      </c>
      <c r="J3490" t="s">
        <v>3614</v>
      </c>
      <c r="K3490">
        <v>142.58000000000001</v>
      </c>
      <c r="L3490">
        <v>6712</v>
      </c>
      <c r="M3490">
        <v>6662</v>
      </c>
      <c r="N3490">
        <v>609328004</v>
      </c>
      <c r="O3490" t="s">
        <v>1137</v>
      </c>
    </row>
    <row r="3491" spans="1:15">
      <c r="A3491" t="s">
        <v>4984</v>
      </c>
      <c r="B3491" s="2">
        <v>44397.492812500001</v>
      </c>
      <c r="C3491" s="2">
        <v>44397.503229166665</v>
      </c>
      <c r="D3491" t="s">
        <v>641</v>
      </c>
      <c r="E3491" t="s">
        <v>4871</v>
      </c>
      <c r="F3491" t="s">
        <v>4872</v>
      </c>
      <c r="G3491" t="s">
        <v>1093</v>
      </c>
      <c r="H3491" t="s">
        <v>1043</v>
      </c>
      <c r="I3491">
        <v>33879002</v>
      </c>
      <c r="J3491" t="s">
        <v>1044</v>
      </c>
      <c r="K3491">
        <v>142.58000000000001</v>
      </c>
      <c r="L3491">
        <v>278.58</v>
      </c>
      <c r="M3491">
        <v>228.58</v>
      </c>
      <c r="O3491" t="s">
        <v>34</v>
      </c>
    </row>
    <row r="3492" spans="1:15">
      <c r="A3492" t="s">
        <v>4985</v>
      </c>
      <c r="B3492" s="2">
        <v>44403.887025462966</v>
      </c>
      <c r="C3492" s="2">
        <v>44403.927673611113</v>
      </c>
      <c r="D3492" t="s">
        <v>641</v>
      </c>
      <c r="E3492" t="s">
        <v>4871</v>
      </c>
      <c r="F3492" t="s">
        <v>4872</v>
      </c>
      <c r="G3492" t="s">
        <v>1093</v>
      </c>
      <c r="H3492" t="s">
        <v>1031</v>
      </c>
      <c r="I3492">
        <v>371883000</v>
      </c>
      <c r="J3492" t="s">
        <v>3614</v>
      </c>
      <c r="K3492">
        <v>142.58000000000001</v>
      </c>
      <c r="L3492">
        <v>8850.74</v>
      </c>
      <c r="M3492">
        <v>8800.74</v>
      </c>
      <c r="N3492">
        <v>609328004</v>
      </c>
      <c r="O3492" t="s">
        <v>1137</v>
      </c>
    </row>
    <row r="3493" spans="1:15">
      <c r="A3493" t="s">
        <v>4986</v>
      </c>
      <c r="B3493" s="2">
        <v>44418.492812500001</v>
      </c>
      <c r="C3493" s="2">
        <v>44418.503229166665</v>
      </c>
      <c r="D3493" t="s">
        <v>641</v>
      </c>
      <c r="E3493" t="s">
        <v>4871</v>
      </c>
      <c r="F3493" t="s">
        <v>4872</v>
      </c>
      <c r="G3493" t="s">
        <v>1093</v>
      </c>
      <c r="H3493" t="s">
        <v>1043</v>
      </c>
      <c r="I3493">
        <v>33879002</v>
      </c>
      <c r="J3493" t="s">
        <v>1044</v>
      </c>
      <c r="K3493">
        <v>142.58000000000001</v>
      </c>
      <c r="L3493">
        <v>278.58</v>
      </c>
      <c r="M3493">
        <v>228.58</v>
      </c>
      <c r="O3493" t="s">
        <v>34</v>
      </c>
    </row>
    <row r="3494" spans="1:15">
      <c r="A3494" t="s">
        <v>4987</v>
      </c>
      <c r="B3494" s="2">
        <v>44428.927673611113</v>
      </c>
      <c r="C3494" s="2">
        <v>44428.968668981484</v>
      </c>
      <c r="D3494" t="s">
        <v>641</v>
      </c>
      <c r="E3494" t="s">
        <v>4871</v>
      </c>
      <c r="F3494" t="s">
        <v>4872</v>
      </c>
      <c r="G3494" t="s">
        <v>1093</v>
      </c>
      <c r="H3494" t="s">
        <v>1031</v>
      </c>
      <c r="I3494">
        <v>371883000</v>
      </c>
      <c r="J3494" t="s">
        <v>3614</v>
      </c>
      <c r="K3494">
        <v>142.58000000000001</v>
      </c>
      <c r="L3494">
        <v>5263.67</v>
      </c>
      <c r="M3494">
        <v>5213.67</v>
      </c>
      <c r="N3494">
        <v>609328004</v>
      </c>
      <c r="O3494" t="s">
        <v>1137</v>
      </c>
    </row>
    <row r="3495" spans="1:15">
      <c r="A3495" t="s">
        <v>4988</v>
      </c>
      <c r="B3495" s="2">
        <v>44451.968668981484</v>
      </c>
      <c r="C3495" s="2">
        <v>44452.000787037039</v>
      </c>
      <c r="D3495" t="s">
        <v>641</v>
      </c>
      <c r="E3495" t="s">
        <v>4871</v>
      </c>
      <c r="F3495" t="s">
        <v>4872</v>
      </c>
      <c r="G3495" t="s">
        <v>1093</v>
      </c>
      <c r="H3495" t="s">
        <v>1031</v>
      </c>
      <c r="I3495">
        <v>371883000</v>
      </c>
      <c r="J3495" t="s">
        <v>3614</v>
      </c>
      <c r="K3495">
        <v>142.58000000000001</v>
      </c>
      <c r="L3495">
        <v>7718.11</v>
      </c>
      <c r="M3495">
        <v>7668.11</v>
      </c>
      <c r="N3495">
        <v>609328004</v>
      </c>
      <c r="O3495" t="s">
        <v>1137</v>
      </c>
    </row>
    <row r="3496" spans="1:15">
      <c r="A3496" t="s">
        <v>4989</v>
      </c>
      <c r="B3496" s="2">
        <v>44473.000787037039</v>
      </c>
      <c r="C3496" s="2">
        <v>44473.036851851852</v>
      </c>
      <c r="D3496" t="s">
        <v>641</v>
      </c>
      <c r="E3496" t="s">
        <v>4871</v>
      </c>
      <c r="F3496" t="s">
        <v>4872</v>
      </c>
      <c r="G3496" t="s">
        <v>1093</v>
      </c>
      <c r="H3496" t="s">
        <v>1031</v>
      </c>
      <c r="I3496">
        <v>371883000</v>
      </c>
      <c r="J3496" t="s">
        <v>3614</v>
      </c>
      <c r="K3496">
        <v>142.58000000000001</v>
      </c>
      <c r="L3496">
        <v>16790.599999999999</v>
      </c>
      <c r="M3496">
        <v>16740.599999999999</v>
      </c>
      <c r="N3496">
        <v>609328004</v>
      </c>
      <c r="O3496" t="s">
        <v>1137</v>
      </c>
    </row>
    <row r="3497" spans="1:15">
      <c r="A3497" t="s">
        <v>4990</v>
      </c>
      <c r="B3497" s="2">
        <v>44496.036851851852</v>
      </c>
      <c r="C3497" s="2">
        <v>44496.074999999997</v>
      </c>
      <c r="D3497" t="s">
        <v>641</v>
      </c>
      <c r="E3497" t="s">
        <v>4871</v>
      </c>
      <c r="F3497" t="s">
        <v>4872</v>
      </c>
      <c r="G3497" t="s">
        <v>1093</v>
      </c>
      <c r="H3497" t="s">
        <v>1031</v>
      </c>
      <c r="I3497">
        <v>371883000</v>
      </c>
      <c r="J3497" t="s">
        <v>3614</v>
      </c>
      <c r="K3497">
        <v>142.58000000000001</v>
      </c>
      <c r="L3497">
        <v>5263.67</v>
      </c>
      <c r="M3497">
        <v>5213.67</v>
      </c>
      <c r="N3497">
        <v>609328004</v>
      </c>
      <c r="O3497" t="s">
        <v>1137</v>
      </c>
    </row>
    <row r="3498" spans="1:15">
      <c r="A3498" t="s">
        <v>4991</v>
      </c>
      <c r="B3498" s="2">
        <v>44520.033333333333</v>
      </c>
      <c r="C3498" s="2">
        <v>44520.069525462961</v>
      </c>
      <c r="D3498" t="s">
        <v>641</v>
      </c>
      <c r="E3498" t="s">
        <v>4871</v>
      </c>
      <c r="F3498" t="s">
        <v>4872</v>
      </c>
      <c r="G3498" t="s">
        <v>1093</v>
      </c>
      <c r="H3498" t="s">
        <v>1031</v>
      </c>
      <c r="I3498">
        <v>371883000</v>
      </c>
      <c r="J3498" t="s">
        <v>3614</v>
      </c>
      <c r="K3498">
        <v>142.58000000000001</v>
      </c>
      <c r="L3498">
        <v>5263.67</v>
      </c>
      <c r="M3498">
        <v>5213.67</v>
      </c>
      <c r="N3498">
        <v>609328004</v>
      </c>
      <c r="O3498" t="s">
        <v>1137</v>
      </c>
    </row>
    <row r="3499" spans="1:15">
      <c r="A3499" t="s">
        <v>4992</v>
      </c>
      <c r="B3499" s="2">
        <v>44543.069525462961</v>
      </c>
      <c r="C3499" s="2">
        <v>44543.108738425923</v>
      </c>
      <c r="D3499" t="s">
        <v>641</v>
      </c>
      <c r="E3499" t="s">
        <v>4871</v>
      </c>
      <c r="F3499" t="s">
        <v>4872</v>
      </c>
      <c r="G3499" t="s">
        <v>1093</v>
      </c>
      <c r="H3499" t="s">
        <v>1031</v>
      </c>
      <c r="I3499">
        <v>371883000</v>
      </c>
      <c r="J3499" t="s">
        <v>3614</v>
      </c>
      <c r="K3499">
        <v>142.58000000000001</v>
      </c>
      <c r="L3499">
        <v>10254.790000000001</v>
      </c>
      <c r="M3499">
        <v>10204.790000000001</v>
      </c>
      <c r="N3499">
        <v>609328004</v>
      </c>
      <c r="O3499" t="s">
        <v>1137</v>
      </c>
    </row>
    <row r="3500" spans="1:15">
      <c r="A3500" t="s">
        <v>4993</v>
      </c>
      <c r="B3500" s="2">
        <v>44565.108738425923</v>
      </c>
      <c r="C3500" s="2">
        <v>44565.130347222221</v>
      </c>
      <c r="D3500" t="s">
        <v>641</v>
      </c>
      <c r="E3500" t="s">
        <v>4871</v>
      </c>
      <c r="F3500" t="s">
        <v>4872</v>
      </c>
      <c r="G3500" t="s">
        <v>1093</v>
      </c>
      <c r="H3500" t="s">
        <v>1031</v>
      </c>
      <c r="I3500">
        <v>371883000</v>
      </c>
      <c r="J3500" t="s">
        <v>3614</v>
      </c>
      <c r="K3500">
        <v>142.58000000000001</v>
      </c>
      <c r="L3500">
        <v>10360.32</v>
      </c>
      <c r="M3500">
        <v>10210.32</v>
      </c>
      <c r="N3500">
        <v>609328004</v>
      </c>
      <c r="O3500" t="s">
        <v>1137</v>
      </c>
    </row>
    <row r="3501" spans="1:15">
      <c r="A3501" t="s">
        <v>4994</v>
      </c>
      <c r="B3501" s="2">
        <v>44579.451145833336</v>
      </c>
      <c r="C3501" s="2">
        <v>44579.463125000002</v>
      </c>
      <c r="D3501" t="s">
        <v>641</v>
      </c>
      <c r="E3501" t="s">
        <v>4871</v>
      </c>
      <c r="F3501" t="s">
        <v>4872</v>
      </c>
      <c r="G3501" t="s">
        <v>1093</v>
      </c>
      <c r="H3501" t="s">
        <v>1043</v>
      </c>
      <c r="I3501">
        <v>185349003</v>
      </c>
      <c r="J3501" t="s">
        <v>1038</v>
      </c>
      <c r="K3501">
        <v>85.55</v>
      </c>
      <c r="L3501">
        <v>652.95000000000005</v>
      </c>
      <c r="M3501">
        <v>602.95000000000005</v>
      </c>
      <c r="O3501" t="s">
        <v>34</v>
      </c>
    </row>
    <row r="3502" spans="1:15">
      <c r="A3502" t="s">
        <v>4995</v>
      </c>
      <c r="B3502" s="2">
        <v>44586.451145833336</v>
      </c>
      <c r="C3502" s="2">
        <v>44586.461562500001</v>
      </c>
      <c r="D3502" t="s">
        <v>641</v>
      </c>
      <c r="E3502" t="s">
        <v>4871</v>
      </c>
      <c r="F3502" t="s">
        <v>4872</v>
      </c>
      <c r="G3502" t="s">
        <v>1093</v>
      </c>
      <c r="H3502" t="s">
        <v>1031</v>
      </c>
      <c r="I3502">
        <v>185345009</v>
      </c>
      <c r="J3502" t="s">
        <v>1032</v>
      </c>
      <c r="K3502">
        <v>85.55</v>
      </c>
      <c r="L3502">
        <v>85.55</v>
      </c>
      <c r="M3502">
        <v>35.549999999999997</v>
      </c>
      <c r="N3502">
        <v>195662009</v>
      </c>
      <c r="O3502" t="s">
        <v>1130</v>
      </c>
    </row>
    <row r="3503" spans="1:15">
      <c r="A3503" t="s">
        <v>4996</v>
      </c>
      <c r="B3503" s="2">
        <v>44587.130347222221</v>
      </c>
      <c r="C3503" s="2">
        <v>44587.152824074074</v>
      </c>
      <c r="D3503" t="s">
        <v>641</v>
      </c>
      <c r="E3503" t="s">
        <v>4871</v>
      </c>
      <c r="F3503" t="s">
        <v>4872</v>
      </c>
      <c r="G3503" t="s">
        <v>1093</v>
      </c>
      <c r="H3503" t="s">
        <v>1031</v>
      </c>
      <c r="I3503">
        <v>170838006</v>
      </c>
      <c r="J3503" t="s">
        <v>3682</v>
      </c>
      <c r="K3503">
        <v>142.58000000000001</v>
      </c>
      <c r="L3503">
        <v>573.98</v>
      </c>
      <c r="M3503">
        <v>523.98</v>
      </c>
      <c r="N3503">
        <v>609328004</v>
      </c>
      <c r="O3503" t="s">
        <v>1137</v>
      </c>
    </row>
    <row r="3504" spans="1:15">
      <c r="A3504" t="s">
        <v>4997</v>
      </c>
      <c r="B3504" s="2">
        <v>44600.451145833336</v>
      </c>
      <c r="C3504" s="2">
        <v>44600.461562500001</v>
      </c>
      <c r="D3504" t="s">
        <v>641</v>
      </c>
      <c r="E3504" t="s">
        <v>4878</v>
      </c>
      <c r="F3504" t="s">
        <v>4879</v>
      </c>
      <c r="G3504" t="s">
        <v>1093</v>
      </c>
      <c r="H3504" t="s">
        <v>1020</v>
      </c>
      <c r="I3504">
        <v>410620009</v>
      </c>
      <c r="J3504" t="s">
        <v>1054</v>
      </c>
      <c r="K3504">
        <v>136.80000000000001</v>
      </c>
      <c r="L3504">
        <v>783.9</v>
      </c>
      <c r="M3504">
        <v>783.9</v>
      </c>
      <c r="O3504" t="s">
        <v>34</v>
      </c>
    </row>
    <row r="3505" spans="1:15">
      <c r="A3505" t="s">
        <v>4998</v>
      </c>
      <c r="B3505" s="2">
        <v>44971.451145833336</v>
      </c>
      <c r="C3505" s="2">
        <v>44971.48537037037</v>
      </c>
      <c r="D3505" t="s">
        <v>641</v>
      </c>
      <c r="E3505" t="s">
        <v>4878</v>
      </c>
      <c r="F3505" t="s">
        <v>4879</v>
      </c>
      <c r="G3505" t="s">
        <v>1093</v>
      </c>
      <c r="H3505" t="s">
        <v>1020</v>
      </c>
      <c r="I3505">
        <v>162673000</v>
      </c>
      <c r="J3505" t="s">
        <v>1021</v>
      </c>
      <c r="K3505">
        <v>136.80000000000001</v>
      </c>
      <c r="L3505">
        <v>919.9</v>
      </c>
      <c r="M3505">
        <v>819.9</v>
      </c>
      <c r="O3505" t="s">
        <v>34</v>
      </c>
    </row>
    <row r="3506" spans="1:15">
      <c r="A3506" t="s">
        <v>4999</v>
      </c>
      <c r="B3506" s="2">
        <v>44985.451145833336</v>
      </c>
      <c r="C3506" s="2">
        <v>44985.604062500002</v>
      </c>
      <c r="D3506" t="s">
        <v>641</v>
      </c>
      <c r="E3506" t="s">
        <v>4871</v>
      </c>
      <c r="F3506" t="s">
        <v>4872</v>
      </c>
      <c r="G3506" t="s">
        <v>1093</v>
      </c>
      <c r="H3506" t="s">
        <v>1031</v>
      </c>
      <c r="I3506">
        <v>185349003</v>
      </c>
      <c r="J3506" t="s">
        <v>1038</v>
      </c>
      <c r="K3506">
        <v>85.55</v>
      </c>
      <c r="L3506">
        <v>3105.35</v>
      </c>
      <c r="M3506">
        <v>3055.35</v>
      </c>
      <c r="N3506">
        <v>66383009</v>
      </c>
      <c r="O3506" t="s">
        <v>1209</v>
      </c>
    </row>
    <row r="3507" spans="1:15">
      <c r="A3507" t="s">
        <v>5000</v>
      </c>
      <c r="B3507" s="2">
        <v>45342.451145833336</v>
      </c>
      <c r="C3507" s="2">
        <v>45342.490115740744</v>
      </c>
      <c r="D3507" t="s">
        <v>641</v>
      </c>
      <c r="E3507" t="s">
        <v>4878</v>
      </c>
      <c r="F3507" t="s">
        <v>4879</v>
      </c>
      <c r="G3507" t="s">
        <v>1093</v>
      </c>
      <c r="H3507" t="s">
        <v>1020</v>
      </c>
      <c r="I3507">
        <v>162673000</v>
      </c>
      <c r="J3507" t="s">
        <v>1021</v>
      </c>
      <c r="K3507">
        <v>136.80000000000001</v>
      </c>
      <c r="L3507">
        <v>1567</v>
      </c>
      <c r="M3507">
        <v>1467</v>
      </c>
      <c r="O3507" t="s">
        <v>34</v>
      </c>
    </row>
    <row r="3508" spans="1:15">
      <c r="A3508" t="s">
        <v>5001</v>
      </c>
      <c r="B3508" s="2">
        <v>43931.501631944448</v>
      </c>
      <c r="C3508" s="2">
        <v>43931.512048611112</v>
      </c>
      <c r="D3508" t="s">
        <v>650</v>
      </c>
      <c r="E3508" t="s">
        <v>4965</v>
      </c>
      <c r="F3508" t="s">
        <v>4966</v>
      </c>
      <c r="G3508" t="s">
        <v>1122</v>
      </c>
      <c r="H3508" t="s">
        <v>2843</v>
      </c>
      <c r="I3508">
        <v>439708006</v>
      </c>
      <c r="J3508" t="s">
        <v>2844</v>
      </c>
      <c r="K3508">
        <v>128.53</v>
      </c>
      <c r="L3508">
        <v>559.92999999999995</v>
      </c>
      <c r="M3508">
        <v>447.94</v>
      </c>
      <c r="N3508">
        <v>1871000124103</v>
      </c>
      <c r="O3508" t="s">
        <v>2839</v>
      </c>
    </row>
    <row r="3509" spans="1:15">
      <c r="A3509" t="s">
        <v>5002</v>
      </c>
      <c r="B3509" s="2">
        <v>43932.501631944448</v>
      </c>
      <c r="C3509" s="2">
        <v>43932.512048611112</v>
      </c>
      <c r="D3509" t="s">
        <v>650</v>
      </c>
      <c r="E3509" t="s">
        <v>4965</v>
      </c>
      <c r="F3509" t="s">
        <v>4966</v>
      </c>
      <c r="G3509" t="s">
        <v>1122</v>
      </c>
      <c r="H3509" t="s">
        <v>2843</v>
      </c>
      <c r="I3509">
        <v>439708006</v>
      </c>
      <c r="J3509" t="s">
        <v>2844</v>
      </c>
      <c r="K3509">
        <v>128.53</v>
      </c>
      <c r="L3509">
        <v>344.23</v>
      </c>
      <c r="M3509">
        <v>275.38</v>
      </c>
      <c r="N3509">
        <v>1871000124103</v>
      </c>
      <c r="O3509" t="s">
        <v>2839</v>
      </c>
    </row>
    <row r="3510" spans="1:15">
      <c r="A3510" t="s">
        <v>5003</v>
      </c>
      <c r="B3510" s="2">
        <v>43933.501631944448</v>
      </c>
      <c r="C3510" s="2">
        <v>43933.512048611112</v>
      </c>
      <c r="D3510" t="s">
        <v>650</v>
      </c>
      <c r="E3510" t="s">
        <v>4965</v>
      </c>
      <c r="F3510" t="s">
        <v>4966</v>
      </c>
      <c r="G3510" t="s">
        <v>1122</v>
      </c>
      <c r="H3510" t="s">
        <v>2843</v>
      </c>
      <c r="I3510">
        <v>439708006</v>
      </c>
      <c r="J3510" t="s">
        <v>2844</v>
      </c>
      <c r="K3510">
        <v>128.53</v>
      </c>
      <c r="L3510">
        <v>403.19</v>
      </c>
      <c r="M3510">
        <v>322.55</v>
      </c>
      <c r="N3510">
        <v>1871000124103</v>
      </c>
      <c r="O3510" t="s">
        <v>2839</v>
      </c>
    </row>
    <row r="3511" spans="1:15">
      <c r="A3511" t="s">
        <v>5004</v>
      </c>
      <c r="B3511" s="2">
        <v>43934.501631944448</v>
      </c>
      <c r="C3511" s="2">
        <v>43934.512048611112</v>
      </c>
      <c r="D3511" t="s">
        <v>650</v>
      </c>
      <c r="E3511" t="s">
        <v>4965</v>
      </c>
      <c r="F3511" t="s">
        <v>4966</v>
      </c>
      <c r="G3511" t="s">
        <v>1122</v>
      </c>
      <c r="H3511" t="s">
        <v>2843</v>
      </c>
      <c r="I3511">
        <v>439708006</v>
      </c>
      <c r="J3511" t="s">
        <v>2844</v>
      </c>
      <c r="K3511">
        <v>128.53</v>
      </c>
      <c r="L3511">
        <v>559.92999999999995</v>
      </c>
      <c r="M3511">
        <v>447.94</v>
      </c>
      <c r="N3511">
        <v>1871000124103</v>
      </c>
      <c r="O3511" t="s">
        <v>2839</v>
      </c>
    </row>
    <row r="3512" spans="1:15">
      <c r="A3512" t="s">
        <v>5005</v>
      </c>
      <c r="B3512" s="2">
        <v>43935.501631944448</v>
      </c>
      <c r="C3512" s="2">
        <v>43935.512048611112</v>
      </c>
      <c r="D3512" t="s">
        <v>650</v>
      </c>
      <c r="E3512" t="s">
        <v>4965</v>
      </c>
      <c r="F3512" t="s">
        <v>4966</v>
      </c>
      <c r="G3512" t="s">
        <v>1122</v>
      </c>
      <c r="H3512" t="s">
        <v>2843</v>
      </c>
      <c r="I3512">
        <v>439708006</v>
      </c>
      <c r="J3512" t="s">
        <v>2844</v>
      </c>
      <c r="K3512">
        <v>128.53</v>
      </c>
      <c r="L3512">
        <v>559.92999999999995</v>
      </c>
      <c r="M3512">
        <v>447.94</v>
      </c>
      <c r="N3512">
        <v>1871000124103</v>
      </c>
      <c r="O3512" t="s">
        <v>2839</v>
      </c>
    </row>
    <row r="3513" spans="1:15">
      <c r="A3513" t="s">
        <v>5006</v>
      </c>
      <c r="B3513" s="2">
        <v>43936.501631944448</v>
      </c>
      <c r="C3513" s="2">
        <v>43936.512048611112</v>
      </c>
      <c r="D3513" t="s">
        <v>650</v>
      </c>
      <c r="E3513" t="s">
        <v>4965</v>
      </c>
      <c r="F3513" t="s">
        <v>4966</v>
      </c>
      <c r="G3513" t="s">
        <v>1122</v>
      </c>
      <c r="H3513" t="s">
        <v>2843</v>
      </c>
      <c r="I3513">
        <v>439708006</v>
      </c>
      <c r="J3513" t="s">
        <v>2844</v>
      </c>
      <c r="K3513">
        <v>128.53</v>
      </c>
      <c r="L3513">
        <v>440.46</v>
      </c>
      <c r="M3513">
        <v>352.36</v>
      </c>
      <c r="N3513">
        <v>1871000124103</v>
      </c>
      <c r="O3513" t="s">
        <v>2839</v>
      </c>
    </row>
    <row r="3514" spans="1:15">
      <c r="A3514" t="s">
        <v>5007</v>
      </c>
      <c r="B3514" s="2">
        <v>43937.501631944448</v>
      </c>
      <c r="C3514" s="2">
        <v>43937.512048611112</v>
      </c>
      <c r="D3514" t="s">
        <v>650</v>
      </c>
      <c r="E3514" t="s">
        <v>4965</v>
      </c>
      <c r="F3514" t="s">
        <v>4966</v>
      </c>
      <c r="G3514" t="s">
        <v>1122</v>
      </c>
      <c r="H3514" t="s">
        <v>2843</v>
      </c>
      <c r="I3514">
        <v>439708006</v>
      </c>
      <c r="J3514" t="s">
        <v>2844</v>
      </c>
      <c r="K3514">
        <v>128.53</v>
      </c>
      <c r="L3514">
        <v>374.32</v>
      </c>
      <c r="M3514">
        <v>299.45</v>
      </c>
      <c r="N3514">
        <v>1871000124103</v>
      </c>
      <c r="O3514" t="s">
        <v>2839</v>
      </c>
    </row>
    <row r="3515" spans="1:15">
      <c r="A3515" t="s">
        <v>5008</v>
      </c>
      <c r="B3515" s="2">
        <v>43938.501631944448</v>
      </c>
      <c r="C3515" s="2">
        <v>43938.512048611112</v>
      </c>
      <c r="D3515" t="s">
        <v>650</v>
      </c>
      <c r="E3515" t="s">
        <v>4965</v>
      </c>
      <c r="F3515" t="s">
        <v>4966</v>
      </c>
      <c r="G3515" t="s">
        <v>1122</v>
      </c>
      <c r="H3515" t="s">
        <v>2843</v>
      </c>
      <c r="I3515">
        <v>439708006</v>
      </c>
      <c r="J3515" t="s">
        <v>2844</v>
      </c>
      <c r="K3515">
        <v>128.53</v>
      </c>
      <c r="L3515">
        <v>559.92999999999995</v>
      </c>
      <c r="M3515">
        <v>447.94</v>
      </c>
      <c r="N3515">
        <v>1871000124103</v>
      </c>
      <c r="O3515" t="s">
        <v>2839</v>
      </c>
    </row>
    <row r="3516" spans="1:15">
      <c r="A3516" t="s">
        <v>5009</v>
      </c>
      <c r="B3516" s="2">
        <v>43939.501631944448</v>
      </c>
      <c r="C3516" s="2">
        <v>43939.512048611112</v>
      </c>
      <c r="D3516" t="s">
        <v>650</v>
      </c>
      <c r="E3516" t="s">
        <v>4965</v>
      </c>
      <c r="F3516" t="s">
        <v>4966</v>
      </c>
      <c r="G3516" t="s">
        <v>1122</v>
      </c>
      <c r="H3516" t="s">
        <v>2843</v>
      </c>
      <c r="I3516">
        <v>439708006</v>
      </c>
      <c r="J3516" t="s">
        <v>2844</v>
      </c>
      <c r="K3516">
        <v>128.53</v>
      </c>
      <c r="L3516">
        <v>559.92999999999995</v>
      </c>
      <c r="M3516">
        <v>447.94</v>
      </c>
      <c r="N3516">
        <v>1871000124103</v>
      </c>
      <c r="O3516" t="s">
        <v>2839</v>
      </c>
    </row>
    <row r="3517" spans="1:15">
      <c r="A3517" t="s">
        <v>5010</v>
      </c>
      <c r="B3517" s="2">
        <v>43940.501631944448</v>
      </c>
      <c r="C3517" s="2">
        <v>43940.512048611112</v>
      </c>
      <c r="D3517" t="s">
        <v>650</v>
      </c>
      <c r="E3517" t="s">
        <v>4965</v>
      </c>
      <c r="F3517" t="s">
        <v>4966</v>
      </c>
      <c r="G3517" t="s">
        <v>1122</v>
      </c>
      <c r="H3517" t="s">
        <v>2843</v>
      </c>
      <c r="I3517">
        <v>439708006</v>
      </c>
      <c r="J3517" t="s">
        <v>2844</v>
      </c>
      <c r="K3517">
        <v>128.53</v>
      </c>
      <c r="L3517">
        <v>559.92999999999995</v>
      </c>
      <c r="M3517">
        <v>447.94</v>
      </c>
      <c r="N3517">
        <v>1871000124103</v>
      </c>
      <c r="O3517" t="s">
        <v>2839</v>
      </c>
    </row>
    <row r="3518" spans="1:15">
      <c r="A3518" t="s">
        <v>5011</v>
      </c>
      <c r="B3518" s="2">
        <v>43941.501631944448</v>
      </c>
      <c r="C3518" s="2">
        <v>43941.512048611112</v>
      </c>
      <c r="D3518" t="s">
        <v>650</v>
      </c>
      <c r="E3518" t="s">
        <v>4965</v>
      </c>
      <c r="F3518" t="s">
        <v>4966</v>
      </c>
      <c r="G3518" t="s">
        <v>1122</v>
      </c>
      <c r="H3518" t="s">
        <v>2843</v>
      </c>
      <c r="I3518">
        <v>439708006</v>
      </c>
      <c r="J3518" t="s">
        <v>2844</v>
      </c>
      <c r="K3518">
        <v>128.53</v>
      </c>
      <c r="L3518">
        <v>591.19000000000005</v>
      </c>
      <c r="M3518">
        <v>472.95</v>
      </c>
      <c r="N3518">
        <v>1871000124103</v>
      </c>
      <c r="O3518" t="s">
        <v>2839</v>
      </c>
    </row>
    <row r="3519" spans="1:15">
      <c r="A3519" t="s">
        <v>5012</v>
      </c>
      <c r="B3519" s="2">
        <v>43942.501631944448</v>
      </c>
      <c r="C3519" s="2">
        <v>43942.512048611112</v>
      </c>
      <c r="D3519" t="s">
        <v>650</v>
      </c>
      <c r="E3519" t="s">
        <v>4965</v>
      </c>
      <c r="F3519" t="s">
        <v>4966</v>
      </c>
      <c r="G3519" t="s">
        <v>1122</v>
      </c>
      <c r="H3519" t="s">
        <v>2843</v>
      </c>
      <c r="I3519">
        <v>439708006</v>
      </c>
      <c r="J3519" t="s">
        <v>2844</v>
      </c>
      <c r="K3519">
        <v>128.53</v>
      </c>
      <c r="L3519">
        <v>559.92999999999995</v>
      </c>
      <c r="M3519">
        <v>447.94</v>
      </c>
      <c r="N3519">
        <v>1871000124103</v>
      </c>
      <c r="O3519" t="s">
        <v>2839</v>
      </c>
    </row>
    <row r="3520" spans="1:15">
      <c r="A3520" t="s">
        <v>5013</v>
      </c>
      <c r="B3520" s="2">
        <v>43943.501631944448</v>
      </c>
      <c r="C3520" s="2">
        <v>43943.512048611112</v>
      </c>
      <c r="D3520" t="s">
        <v>650</v>
      </c>
      <c r="E3520" t="s">
        <v>4965</v>
      </c>
      <c r="F3520" t="s">
        <v>4966</v>
      </c>
      <c r="G3520" t="s">
        <v>1122</v>
      </c>
      <c r="H3520" t="s">
        <v>2843</v>
      </c>
      <c r="I3520">
        <v>439708006</v>
      </c>
      <c r="J3520" t="s">
        <v>2844</v>
      </c>
      <c r="K3520">
        <v>128.53</v>
      </c>
      <c r="L3520">
        <v>559.92999999999995</v>
      </c>
      <c r="M3520">
        <v>447.94</v>
      </c>
      <c r="N3520">
        <v>1871000124103</v>
      </c>
      <c r="O3520" t="s">
        <v>2839</v>
      </c>
    </row>
    <row r="3521" spans="1:15">
      <c r="A3521" t="s">
        <v>5014</v>
      </c>
      <c r="B3521" s="2">
        <v>43944.501631944448</v>
      </c>
      <c r="C3521" s="2">
        <v>43944.512048611112</v>
      </c>
      <c r="D3521" t="s">
        <v>650</v>
      </c>
      <c r="E3521" t="s">
        <v>4965</v>
      </c>
      <c r="F3521" t="s">
        <v>4966</v>
      </c>
      <c r="G3521" t="s">
        <v>1122</v>
      </c>
      <c r="H3521" t="s">
        <v>2843</v>
      </c>
      <c r="I3521">
        <v>439708006</v>
      </c>
      <c r="J3521" t="s">
        <v>2844</v>
      </c>
      <c r="K3521">
        <v>128.53</v>
      </c>
      <c r="L3521">
        <v>559.92999999999995</v>
      </c>
      <c r="M3521">
        <v>447.94</v>
      </c>
      <c r="N3521">
        <v>1871000124103</v>
      </c>
      <c r="O3521" t="s">
        <v>2839</v>
      </c>
    </row>
    <row r="3522" spans="1:15">
      <c r="A3522" t="s">
        <v>5015</v>
      </c>
      <c r="B3522" s="2">
        <v>43945.501631944448</v>
      </c>
      <c r="C3522" s="2">
        <v>43945.512048611112</v>
      </c>
      <c r="D3522" t="s">
        <v>650</v>
      </c>
      <c r="E3522" t="s">
        <v>4965</v>
      </c>
      <c r="F3522" t="s">
        <v>4966</v>
      </c>
      <c r="G3522" t="s">
        <v>1122</v>
      </c>
      <c r="H3522" t="s">
        <v>2843</v>
      </c>
      <c r="I3522">
        <v>439708006</v>
      </c>
      <c r="J3522" t="s">
        <v>2844</v>
      </c>
      <c r="K3522">
        <v>128.53</v>
      </c>
      <c r="L3522">
        <v>559.92999999999995</v>
      </c>
      <c r="M3522">
        <v>447.94</v>
      </c>
      <c r="N3522">
        <v>1871000124103</v>
      </c>
      <c r="O3522" t="s">
        <v>2839</v>
      </c>
    </row>
    <row r="3523" spans="1:15">
      <c r="A3523" t="s">
        <v>5016</v>
      </c>
      <c r="B3523" s="2">
        <v>43946.501631944448</v>
      </c>
      <c r="C3523" s="2">
        <v>43946.512048611112</v>
      </c>
      <c r="D3523" t="s">
        <v>650</v>
      </c>
      <c r="E3523" t="s">
        <v>4965</v>
      </c>
      <c r="F3523" t="s">
        <v>4966</v>
      </c>
      <c r="G3523" t="s">
        <v>1122</v>
      </c>
      <c r="H3523" t="s">
        <v>2843</v>
      </c>
      <c r="I3523">
        <v>439708006</v>
      </c>
      <c r="J3523" t="s">
        <v>2844</v>
      </c>
      <c r="K3523">
        <v>128.53</v>
      </c>
      <c r="L3523">
        <v>559.92999999999995</v>
      </c>
      <c r="M3523">
        <v>447.94</v>
      </c>
      <c r="N3523">
        <v>1871000124103</v>
      </c>
      <c r="O3523" t="s">
        <v>2839</v>
      </c>
    </row>
    <row r="3524" spans="1:15">
      <c r="A3524" t="s">
        <v>5017</v>
      </c>
      <c r="B3524" s="2">
        <v>43947.501631944448</v>
      </c>
      <c r="C3524" s="2">
        <v>43947.512048611112</v>
      </c>
      <c r="D3524" t="s">
        <v>650</v>
      </c>
      <c r="E3524" t="s">
        <v>4965</v>
      </c>
      <c r="F3524" t="s">
        <v>4966</v>
      </c>
      <c r="G3524" t="s">
        <v>1122</v>
      </c>
      <c r="H3524" t="s">
        <v>2843</v>
      </c>
      <c r="I3524">
        <v>439708006</v>
      </c>
      <c r="J3524" t="s">
        <v>2844</v>
      </c>
      <c r="K3524">
        <v>128.53</v>
      </c>
      <c r="L3524">
        <v>991.33</v>
      </c>
      <c r="M3524">
        <v>793.06</v>
      </c>
      <c r="N3524">
        <v>1871000124103</v>
      </c>
      <c r="O3524" t="s">
        <v>2839</v>
      </c>
    </row>
    <row r="3525" spans="1:15">
      <c r="A3525" t="s">
        <v>5018</v>
      </c>
      <c r="B3525" s="2">
        <v>44000.697465277779</v>
      </c>
      <c r="C3525" s="2">
        <v>44000.727858796294</v>
      </c>
      <c r="D3525" t="s">
        <v>650</v>
      </c>
      <c r="E3525" t="s">
        <v>4896</v>
      </c>
      <c r="F3525" t="s">
        <v>4897</v>
      </c>
      <c r="G3525" t="s">
        <v>1122</v>
      </c>
      <c r="H3525" t="s">
        <v>1020</v>
      </c>
      <c r="I3525">
        <v>162673000</v>
      </c>
      <c r="J3525" t="s">
        <v>1021</v>
      </c>
      <c r="K3525">
        <v>136.80000000000001</v>
      </c>
      <c r="L3525">
        <v>853.36</v>
      </c>
      <c r="M3525">
        <v>682.68</v>
      </c>
      <c r="O3525" t="s">
        <v>34</v>
      </c>
    </row>
    <row r="3526" spans="1:15">
      <c r="A3526" t="s">
        <v>5019</v>
      </c>
      <c r="B3526" s="2">
        <v>45888.492812500001</v>
      </c>
      <c r="C3526" s="2">
        <v>45888.526423611111</v>
      </c>
      <c r="D3526" t="s">
        <v>641</v>
      </c>
      <c r="E3526" t="s">
        <v>4871</v>
      </c>
      <c r="F3526" t="s">
        <v>4872</v>
      </c>
      <c r="G3526" t="s">
        <v>1093</v>
      </c>
      <c r="H3526" t="s">
        <v>1043</v>
      </c>
      <c r="I3526">
        <v>185349003</v>
      </c>
      <c r="J3526" t="s">
        <v>1038</v>
      </c>
      <c r="K3526">
        <v>85.55</v>
      </c>
      <c r="L3526">
        <v>1528.74</v>
      </c>
      <c r="M3526">
        <v>1378.74</v>
      </c>
      <c r="O3526" t="s">
        <v>34</v>
      </c>
    </row>
    <row r="3527" spans="1:15">
      <c r="A3527" t="s">
        <v>5020</v>
      </c>
      <c r="B3527" s="2">
        <v>45895.492812500001</v>
      </c>
      <c r="C3527" s="2">
        <v>45895.503229166665</v>
      </c>
      <c r="D3527" t="s">
        <v>641</v>
      </c>
      <c r="E3527" t="s">
        <v>4871</v>
      </c>
      <c r="F3527" t="s">
        <v>4872</v>
      </c>
      <c r="G3527" t="s">
        <v>1093</v>
      </c>
      <c r="H3527" t="s">
        <v>1031</v>
      </c>
      <c r="I3527">
        <v>185345009</v>
      </c>
      <c r="J3527" t="s">
        <v>1032</v>
      </c>
      <c r="K3527">
        <v>85.55</v>
      </c>
      <c r="L3527">
        <v>2715.8</v>
      </c>
      <c r="M3527">
        <v>2665.8</v>
      </c>
      <c r="N3527">
        <v>10509002</v>
      </c>
      <c r="O3527" t="s">
        <v>1033</v>
      </c>
    </row>
    <row r="3528" spans="1:15">
      <c r="A3528" t="s">
        <v>5021</v>
      </c>
      <c r="B3528" s="2">
        <v>46056.451145833336</v>
      </c>
      <c r="C3528" s="2">
        <v>46056.492812500001</v>
      </c>
      <c r="D3528" t="s">
        <v>641</v>
      </c>
      <c r="E3528" t="s">
        <v>4871</v>
      </c>
      <c r="F3528" t="s">
        <v>4872</v>
      </c>
      <c r="G3528" t="s">
        <v>1093</v>
      </c>
      <c r="H3528" t="s">
        <v>1076</v>
      </c>
      <c r="I3528">
        <v>50849002</v>
      </c>
      <c r="J3528" t="s">
        <v>1163</v>
      </c>
      <c r="K3528">
        <v>146.18</v>
      </c>
      <c r="L3528">
        <v>146.18</v>
      </c>
      <c r="M3528">
        <v>0</v>
      </c>
      <c r="N3528">
        <v>384709000</v>
      </c>
      <c r="O3528" t="s">
        <v>1164</v>
      </c>
    </row>
    <row r="3529" spans="1:15">
      <c r="A3529" t="s">
        <v>5022</v>
      </c>
      <c r="B3529" s="2">
        <v>44014.697465277779</v>
      </c>
      <c r="C3529" s="2">
        <v>44014.96297453704</v>
      </c>
      <c r="D3529" t="s">
        <v>650</v>
      </c>
      <c r="E3529" t="s">
        <v>4940</v>
      </c>
      <c r="F3529" t="s">
        <v>4941</v>
      </c>
      <c r="G3529" t="s">
        <v>1122</v>
      </c>
      <c r="H3529" t="s">
        <v>1031</v>
      </c>
      <c r="I3529">
        <v>185349003</v>
      </c>
      <c r="J3529" t="s">
        <v>1038</v>
      </c>
      <c r="K3529">
        <v>85.55</v>
      </c>
      <c r="L3529">
        <v>4830.95</v>
      </c>
      <c r="M3529">
        <v>3864.76</v>
      </c>
      <c r="N3529">
        <v>103697008</v>
      </c>
      <c r="O3529" t="s">
        <v>1039</v>
      </c>
    </row>
    <row r="3530" spans="1:15">
      <c r="A3530" t="s">
        <v>5023</v>
      </c>
      <c r="B3530" s="2">
        <v>44231.655798611115</v>
      </c>
      <c r="C3530" s="2">
        <v>44231.666215277779</v>
      </c>
      <c r="D3530" t="s">
        <v>650</v>
      </c>
      <c r="E3530" t="s">
        <v>4940</v>
      </c>
      <c r="F3530" t="s">
        <v>4941</v>
      </c>
      <c r="G3530" t="s">
        <v>1122</v>
      </c>
      <c r="H3530" t="s">
        <v>1043</v>
      </c>
      <c r="I3530">
        <v>33879002</v>
      </c>
      <c r="J3530" t="s">
        <v>1044</v>
      </c>
      <c r="K3530">
        <v>142.58000000000001</v>
      </c>
      <c r="L3530">
        <v>278.58</v>
      </c>
      <c r="M3530">
        <v>36.46</v>
      </c>
      <c r="O3530" t="s">
        <v>34</v>
      </c>
    </row>
    <row r="3531" spans="1:15">
      <c r="A3531" t="s">
        <v>5024</v>
      </c>
      <c r="B3531" s="2">
        <v>44231.685983796298</v>
      </c>
      <c r="C3531" s="2">
        <v>44231.727650462963</v>
      </c>
      <c r="D3531" t="s">
        <v>650</v>
      </c>
      <c r="E3531" t="s">
        <v>5025</v>
      </c>
      <c r="F3531" t="s">
        <v>5026</v>
      </c>
      <c r="G3531" t="s">
        <v>1122</v>
      </c>
      <c r="H3531" t="s">
        <v>1076</v>
      </c>
      <c r="I3531">
        <v>50849002</v>
      </c>
      <c r="J3531" t="s">
        <v>1163</v>
      </c>
      <c r="K3531">
        <v>146.18</v>
      </c>
      <c r="L3531">
        <v>17391.75</v>
      </c>
      <c r="M3531">
        <v>13913.4</v>
      </c>
      <c r="N3531">
        <v>125605004</v>
      </c>
      <c r="O3531" t="s">
        <v>1644</v>
      </c>
    </row>
    <row r="3532" spans="1:15">
      <c r="A3532" t="s">
        <v>5027</v>
      </c>
      <c r="B3532" s="2">
        <v>44231.709062499998</v>
      </c>
      <c r="C3532" s="2">
        <v>44240.71947916667</v>
      </c>
      <c r="D3532" t="s">
        <v>650</v>
      </c>
      <c r="E3532" t="s">
        <v>5025</v>
      </c>
      <c r="F3532" t="s">
        <v>5026</v>
      </c>
      <c r="G3532" t="s">
        <v>1122</v>
      </c>
      <c r="H3532" t="s">
        <v>1836</v>
      </c>
      <c r="I3532">
        <v>32485007</v>
      </c>
      <c r="J3532" t="s">
        <v>1837</v>
      </c>
      <c r="K3532">
        <v>110.92</v>
      </c>
      <c r="L3532">
        <v>7660.42</v>
      </c>
      <c r="M3532">
        <v>6128.34</v>
      </c>
      <c r="N3532">
        <v>25675004</v>
      </c>
      <c r="O3532" t="s">
        <v>1838</v>
      </c>
    </row>
    <row r="3533" spans="1:15">
      <c r="A3533" t="s">
        <v>5028</v>
      </c>
      <c r="B3533" s="2">
        <v>44259.655798611115</v>
      </c>
      <c r="C3533" s="2">
        <v>44259.666215277779</v>
      </c>
      <c r="D3533" t="s">
        <v>650</v>
      </c>
      <c r="E3533" t="s">
        <v>4940</v>
      </c>
      <c r="F3533" t="s">
        <v>4941</v>
      </c>
      <c r="G3533" t="s">
        <v>1122</v>
      </c>
      <c r="H3533" t="s">
        <v>1043</v>
      </c>
      <c r="I3533">
        <v>33879002</v>
      </c>
      <c r="J3533" t="s">
        <v>1044</v>
      </c>
      <c r="K3533">
        <v>142.58000000000001</v>
      </c>
      <c r="L3533">
        <v>278.58</v>
      </c>
      <c r="M3533">
        <v>222.86</v>
      </c>
      <c r="O3533" t="s">
        <v>34</v>
      </c>
    </row>
    <row r="3534" spans="1:15">
      <c r="A3534" t="s">
        <v>5029</v>
      </c>
      <c r="B3534" s="2">
        <v>44275.75072916667</v>
      </c>
      <c r="C3534" s="2">
        <v>44275.761145833334</v>
      </c>
      <c r="D3534" t="s">
        <v>650</v>
      </c>
      <c r="E3534" t="s">
        <v>4940</v>
      </c>
      <c r="F3534" t="s">
        <v>4941</v>
      </c>
      <c r="G3534" t="s">
        <v>1122</v>
      </c>
      <c r="H3534" t="s">
        <v>1031</v>
      </c>
      <c r="I3534">
        <v>185349003</v>
      </c>
      <c r="J3534" t="s">
        <v>1038</v>
      </c>
      <c r="K3534">
        <v>85.55</v>
      </c>
      <c r="L3534">
        <v>85.55</v>
      </c>
      <c r="M3534">
        <v>68.44</v>
      </c>
      <c r="N3534">
        <v>65966004</v>
      </c>
      <c r="O3534" t="s">
        <v>1647</v>
      </c>
    </row>
    <row r="3535" spans="1:15">
      <c r="A3535" t="s">
        <v>5030</v>
      </c>
      <c r="B3535" s="2">
        <v>44328.697465277779</v>
      </c>
      <c r="C3535" s="2">
        <v>44328.739131944443</v>
      </c>
      <c r="D3535" t="s">
        <v>650</v>
      </c>
      <c r="E3535" t="s">
        <v>1226</v>
      </c>
      <c r="F3535" t="s">
        <v>1227</v>
      </c>
      <c r="G3535" t="s">
        <v>1122</v>
      </c>
      <c r="H3535" t="s">
        <v>1076</v>
      </c>
      <c r="I3535">
        <v>50849002</v>
      </c>
      <c r="J3535" t="s">
        <v>1163</v>
      </c>
      <c r="K3535">
        <v>146.18</v>
      </c>
      <c r="L3535">
        <v>23486.560000000001</v>
      </c>
      <c r="M3535">
        <v>18789.240000000002</v>
      </c>
      <c r="N3535">
        <v>230690007</v>
      </c>
      <c r="O3535" t="s">
        <v>5031</v>
      </c>
    </row>
    <row r="3536" spans="1:15">
      <c r="A3536" t="s">
        <v>5032</v>
      </c>
      <c r="B3536" s="2">
        <v>44371.697465277779</v>
      </c>
      <c r="C3536" s="2">
        <v>44371.735451388886</v>
      </c>
      <c r="D3536" t="s">
        <v>650</v>
      </c>
      <c r="E3536" t="s">
        <v>4896</v>
      </c>
      <c r="F3536" t="s">
        <v>4897</v>
      </c>
      <c r="G3536" t="s">
        <v>1122</v>
      </c>
      <c r="H3536" t="s">
        <v>1020</v>
      </c>
      <c r="I3536">
        <v>162673000</v>
      </c>
      <c r="J3536" t="s">
        <v>1021</v>
      </c>
      <c r="K3536">
        <v>136.80000000000001</v>
      </c>
      <c r="L3536">
        <v>1648.38</v>
      </c>
      <c r="M3536">
        <v>1318.7</v>
      </c>
      <c r="O3536" t="s">
        <v>34</v>
      </c>
    </row>
    <row r="3537" spans="1:15">
      <c r="A3537" t="s">
        <v>5033</v>
      </c>
      <c r="B3537" s="2">
        <v>44742.697465277779</v>
      </c>
      <c r="C3537" s="2">
        <v>44742.734386574077</v>
      </c>
      <c r="D3537" t="s">
        <v>650</v>
      </c>
      <c r="E3537" t="s">
        <v>4896</v>
      </c>
      <c r="F3537" t="s">
        <v>4897</v>
      </c>
      <c r="G3537" t="s">
        <v>1122</v>
      </c>
      <c r="H3537" t="s">
        <v>1020</v>
      </c>
      <c r="I3537">
        <v>162673000</v>
      </c>
      <c r="J3537" t="s">
        <v>1021</v>
      </c>
      <c r="K3537">
        <v>136.80000000000001</v>
      </c>
      <c r="L3537">
        <v>1137.28</v>
      </c>
      <c r="M3537">
        <v>829.5</v>
      </c>
      <c r="O3537" t="s">
        <v>34</v>
      </c>
    </row>
    <row r="3538" spans="1:15">
      <c r="A3538" t="s">
        <v>5034</v>
      </c>
      <c r="B3538" s="2">
        <v>44756.697465277779</v>
      </c>
      <c r="C3538" s="2">
        <v>44756.841099537036</v>
      </c>
      <c r="D3538" t="s">
        <v>650</v>
      </c>
      <c r="E3538" t="s">
        <v>4940</v>
      </c>
      <c r="F3538" t="s">
        <v>4941</v>
      </c>
      <c r="G3538" t="s">
        <v>1122</v>
      </c>
      <c r="H3538" t="s">
        <v>1031</v>
      </c>
      <c r="I3538">
        <v>185349003</v>
      </c>
      <c r="J3538" t="s">
        <v>1038</v>
      </c>
      <c r="K3538">
        <v>85.55</v>
      </c>
      <c r="L3538">
        <v>2673.95</v>
      </c>
      <c r="M3538">
        <v>2139.16</v>
      </c>
      <c r="N3538">
        <v>103697008</v>
      </c>
      <c r="O3538" t="s">
        <v>1039</v>
      </c>
    </row>
    <row r="3539" spans="1:15">
      <c r="A3539" t="s">
        <v>5035</v>
      </c>
      <c r="B3539" s="2">
        <v>44899.947465277779</v>
      </c>
      <c r="C3539" s="2">
        <v>44899.957881944443</v>
      </c>
      <c r="D3539" t="s">
        <v>650</v>
      </c>
      <c r="E3539" t="s">
        <v>4940</v>
      </c>
      <c r="F3539" t="s">
        <v>4941</v>
      </c>
      <c r="G3539" t="s">
        <v>1122</v>
      </c>
      <c r="H3539" t="s">
        <v>1031</v>
      </c>
      <c r="I3539">
        <v>185345009</v>
      </c>
      <c r="J3539" t="s">
        <v>1032</v>
      </c>
      <c r="K3539">
        <v>85.55</v>
      </c>
      <c r="L3539">
        <v>703.7</v>
      </c>
      <c r="M3539">
        <v>523.32000000000005</v>
      </c>
      <c r="N3539">
        <v>10509002</v>
      </c>
      <c r="O3539" t="s">
        <v>1033</v>
      </c>
    </row>
    <row r="3540" spans="1:15">
      <c r="A3540" t="s">
        <v>5036</v>
      </c>
      <c r="B3540" s="2">
        <v>44910.655798611115</v>
      </c>
      <c r="C3540" s="2">
        <v>44910.684675925928</v>
      </c>
      <c r="D3540" t="s">
        <v>650</v>
      </c>
      <c r="E3540" t="s">
        <v>4940</v>
      </c>
      <c r="F3540" t="s">
        <v>4941</v>
      </c>
      <c r="G3540" t="s">
        <v>1122</v>
      </c>
      <c r="H3540" t="s">
        <v>1043</v>
      </c>
      <c r="I3540">
        <v>185349003</v>
      </c>
      <c r="J3540" t="s">
        <v>1038</v>
      </c>
      <c r="K3540">
        <v>85.55</v>
      </c>
      <c r="L3540">
        <v>591.53</v>
      </c>
      <c r="M3540">
        <v>473.22</v>
      </c>
      <c r="O3540" t="s">
        <v>34</v>
      </c>
    </row>
    <row r="3541" spans="1:15">
      <c r="A3541" t="s">
        <v>5037</v>
      </c>
      <c r="B3541" s="2">
        <v>44924.655798611115</v>
      </c>
      <c r="C3541" s="2">
        <v>44924.811342592591</v>
      </c>
      <c r="D3541" t="s">
        <v>650</v>
      </c>
      <c r="E3541" t="s">
        <v>4940</v>
      </c>
      <c r="F3541" t="s">
        <v>4941</v>
      </c>
      <c r="G3541" t="s">
        <v>1122</v>
      </c>
      <c r="H3541" t="s">
        <v>1031</v>
      </c>
      <c r="I3541">
        <v>185349003</v>
      </c>
      <c r="J3541" t="s">
        <v>1038</v>
      </c>
      <c r="K3541">
        <v>85.55</v>
      </c>
      <c r="L3541">
        <v>3536.75</v>
      </c>
      <c r="M3541">
        <v>2829.4</v>
      </c>
      <c r="N3541">
        <v>103697008</v>
      </c>
      <c r="O3541" t="s">
        <v>1039</v>
      </c>
    </row>
    <row r="3542" spans="1:15">
      <c r="A3542" t="s">
        <v>5038</v>
      </c>
      <c r="B3542" s="2">
        <v>45074.75072916667</v>
      </c>
      <c r="C3542" s="2">
        <v>45074.792395833334</v>
      </c>
      <c r="D3542" t="s">
        <v>650</v>
      </c>
      <c r="E3542" t="s">
        <v>5025</v>
      </c>
      <c r="F3542" t="s">
        <v>5026</v>
      </c>
      <c r="G3542" t="s">
        <v>1122</v>
      </c>
      <c r="H3542" t="s">
        <v>1076</v>
      </c>
      <c r="I3542">
        <v>50849002</v>
      </c>
      <c r="J3542" t="s">
        <v>1163</v>
      </c>
      <c r="K3542">
        <v>146.18</v>
      </c>
      <c r="L3542">
        <v>1008.98</v>
      </c>
      <c r="M3542">
        <v>807.18</v>
      </c>
      <c r="N3542">
        <v>125605004</v>
      </c>
      <c r="O3542" t="s">
        <v>1644</v>
      </c>
    </row>
    <row r="3543" spans="1:15">
      <c r="A3543" t="s">
        <v>5039</v>
      </c>
      <c r="B3543" s="2">
        <v>45074.768125000002</v>
      </c>
      <c r="C3543" s="2">
        <v>45095.778541666667</v>
      </c>
      <c r="D3543" t="s">
        <v>650</v>
      </c>
      <c r="E3543" t="s">
        <v>5025</v>
      </c>
      <c r="F3543" t="s">
        <v>5026</v>
      </c>
      <c r="G3543" t="s">
        <v>1122</v>
      </c>
      <c r="H3543" t="s">
        <v>1836</v>
      </c>
      <c r="I3543">
        <v>32485007</v>
      </c>
      <c r="J3543" t="s">
        <v>1837</v>
      </c>
      <c r="K3543">
        <v>110.92</v>
      </c>
      <c r="L3543">
        <v>15468.63</v>
      </c>
      <c r="M3543">
        <v>12374.91</v>
      </c>
      <c r="N3543">
        <v>25675004</v>
      </c>
      <c r="O3543" t="s">
        <v>1838</v>
      </c>
    </row>
    <row r="3544" spans="1:15">
      <c r="A3544" t="s">
        <v>5040</v>
      </c>
      <c r="B3544" s="2">
        <v>45113.697465277779</v>
      </c>
      <c r="C3544" s="2">
        <v>45113.735821759263</v>
      </c>
      <c r="D3544" t="s">
        <v>650</v>
      </c>
      <c r="E3544" t="s">
        <v>4896</v>
      </c>
      <c r="F3544" t="s">
        <v>4897</v>
      </c>
      <c r="G3544" t="s">
        <v>1122</v>
      </c>
      <c r="H3544" t="s">
        <v>1020</v>
      </c>
      <c r="I3544">
        <v>162673000</v>
      </c>
      <c r="J3544" t="s">
        <v>1021</v>
      </c>
      <c r="K3544">
        <v>136.80000000000001</v>
      </c>
      <c r="L3544">
        <v>934.74</v>
      </c>
      <c r="M3544">
        <v>747.78</v>
      </c>
      <c r="O3544" t="s">
        <v>34</v>
      </c>
    </row>
    <row r="3545" spans="1:15">
      <c r="A3545" t="s">
        <v>5041</v>
      </c>
      <c r="B3545" s="2">
        <v>45127.697465277779</v>
      </c>
      <c r="C3545" s="2">
        <v>45127.825983796298</v>
      </c>
      <c r="D3545" t="s">
        <v>650</v>
      </c>
      <c r="E3545" t="s">
        <v>4940</v>
      </c>
      <c r="F3545" t="s">
        <v>4941</v>
      </c>
      <c r="G3545" t="s">
        <v>1122</v>
      </c>
      <c r="H3545" t="s">
        <v>1031</v>
      </c>
      <c r="I3545">
        <v>185349003</v>
      </c>
      <c r="J3545" t="s">
        <v>1038</v>
      </c>
      <c r="K3545">
        <v>85.55</v>
      </c>
      <c r="L3545">
        <v>3105.35</v>
      </c>
      <c r="M3545">
        <v>2484.2800000000002</v>
      </c>
      <c r="N3545">
        <v>103697008</v>
      </c>
      <c r="O3545" t="s">
        <v>1039</v>
      </c>
    </row>
    <row r="3546" spans="1:15">
      <c r="A3546" t="s">
        <v>5042</v>
      </c>
      <c r="B3546" s="2">
        <v>45146.768125000002</v>
      </c>
      <c r="C3546" s="2">
        <v>45146.778541666667</v>
      </c>
      <c r="D3546" t="s">
        <v>650</v>
      </c>
      <c r="E3546" t="s">
        <v>4940</v>
      </c>
      <c r="F3546" t="s">
        <v>4941</v>
      </c>
      <c r="G3546" t="s">
        <v>1122</v>
      </c>
      <c r="H3546" t="s">
        <v>1031</v>
      </c>
      <c r="I3546">
        <v>185349003</v>
      </c>
      <c r="J3546" t="s">
        <v>1038</v>
      </c>
      <c r="K3546">
        <v>85.55</v>
      </c>
      <c r="L3546">
        <v>85.55</v>
      </c>
      <c r="M3546">
        <v>68.44</v>
      </c>
      <c r="N3546">
        <v>65966004</v>
      </c>
      <c r="O3546" t="s">
        <v>1647</v>
      </c>
    </row>
    <row r="3547" spans="1:15">
      <c r="A3547" t="s">
        <v>5043</v>
      </c>
      <c r="B3547" s="2">
        <v>45265.822465277779</v>
      </c>
      <c r="C3547" s="2">
        <v>45265.832881944443</v>
      </c>
      <c r="D3547" t="s">
        <v>650</v>
      </c>
      <c r="E3547" t="s">
        <v>4940</v>
      </c>
      <c r="F3547" t="s">
        <v>4941</v>
      </c>
      <c r="G3547" t="s">
        <v>1122</v>
      </c>
      <c r="H3547" t="s">
        <v>1031</v>
      </c>
      <c r="I3547">
        <v>185345009</v>
      </c>
      <c r="J3547" t="s">
        <v>1032</v>
      </c>
      <c r="K3547">
        <v>85.55</v>
      </c>
      <c r="L3547">
        <v>4550.51</v>
      </c>
      <c r="M3547">
        <v>3549.22</v>
      </c>
      <c r="N3547">
        <v>10509002</v>
      </c>
      <c r="O3547" t="s">
        <v>1033</v>
      </c>
    </row>
    <row r="3548" spans="1:15">
      <c r="A3548" t="s">
        <v>5044</v>
      </c>
      <c r="B3548" s="2">
        <v>45274.655798611115</v>
      </c>
      <c r="C3548" s="2">
        <v>45274.689039351855</v>
      </c>
      <c r="D3548" t="s">
        <v>650</v>
      </c>
      <c r="E3548" t="s">
        <v>2799</v>
      </c>
      <c r="F3548" t="s">
        <v>2800</v>
      </c>
      <c r="G3548" t="s">
        <v>1122</v>
      </c>
      <c r="H3548" t="s">
        <v>1159</v>
      </c>
      <c r="I3548">
        <v>702927004</v>
      </c>
      <c r="J3548" t="s">
        <v>1160</v>
      </c>
      <c r="K3548">
        <v>142.58000000000001</v>
      </c>
      <c r="L3548">
        <v>655.36</v>
      </c>
      <c r="M3548">
        <v>524.28</v>
      </c>
      <c r="O3548" t="s">
        <v>34</v>
      </c>
    </row>
    <row r="3549" spans="1:15">
      <c r="A3549" t="s">
        <v>5045</v>
      </c>
      <c r="B3549" s="2">
        <v>45281.655798611115</v>
      </c>
      <c r="C3549" s="2">
        <v>45281.666215277779</v>
      </c>
      <c r="D3549" t="s">
        <v>650</v>
      </c>
      <c r="E3549" t="s">
        <v>4940</v>
      </c>
      <c r="F3549" t="s">
        <v>4941</v>
      </c>
      <c r="G3549" t="s">
        <v>1122</v>
      </c>
      <c r="H3549" t="s">
        <v>1043</v>
      </c>
      <c r="I3549">
        <v>185349003</v>
      </c>
      <c r="J3549" t="s">
        <v>1038</v>
      </c>
      <c r="K3549">
        <v>85.55</v>
      </c>
      <c r="L3549">
        <v>92.35</v>
      </c>
      <c r="M3549">
        <v>73.88</v>
      </c>
      <c r="O3549" t="s">
        <v>34</v>
      </c>
    </row>
    <row r="3550" spans="1:15">
      <c r="A3550" t="s">
        <v>5046</v>
      </c>
      <c r="B3550" s="2">
        <v>45288.655798611115</v>
      </c>
      <c r="C3550" s="2">
        <v>45288.792511574073</v>
      </c>
      <c r="D3550" t="s">
        <v>650</v>
      </c>
      <c r="E3550" t="s">
        <v>4940</v>
      </c>
      <c r="F3550" t="s">
        <v>4941</v>
      </c>
      <c r="G3550" t="s">
        <v>1122</v>
      </c>
      <c r="H3550" t="s">
        <v>1031</v>
      </c>
      <c r="I3550">
        <v>185349003</v>
      </c>
      <c r="J3550" t="s">
        <v>1038</v>
      </c>
      <c r="K3550">
        <v>85.55</v>
      </c>
      <c r="L3550">
        <v>3105.35</v>
      </c>
      <c r="M3550">
        <v>2484.2800000000002</v>
      </c>
      <c r="N3550">
        <v>103697008</v>
      </c>
      <c r="O3550" t="s">
        <v>1039</v>
      </c>
    </row>
    <row r="3551" spans="1:15">
      <c r="A3551" t="s">
        <v>5047</v>
      </c>
      <c r="B3551" s="2">
        <v>45484.697465277779</v>
      </c>
      <c r="C3551" s="2">
        <v>45484.719467592593</v>
      </c>
      <c r="D3551" t="s">
        <v>650</v>
      </c>
      <c r="E3551" t="s">
        <v>4896</v>
      </c>
      <c r="F3551" t="s">
        <v>4897</v>
      </c>
      <c r="G3551" t="s">
        <v>1122</v>
      </c>
      <c r="H3551" t="s">
        <v>1020</v>
      </c>
      <c r="I3551">
        <v>162673000</v>
      </c>
      <c r="J3551" t="s">
        <v>1021</v>
      </c>
      <c r="K3551">
        <v>136.80000000000001</v>
      </c>
      <c r="L3551">
        <v>785.58</v>
      </c>
      <c r="M3551">
        <v>628.46</v>
      </c>
      <c r="O3551" t="s">
        <v>34</v>
      </c>
    </row>
    <row r="3552" spans="1:15">
      <c r="A3552" t="s">
        <v>5048</v>
      </c>
      <c r="B3552" s="2">
        <v>45855.697465277779</v>
      </c>
      <c r="C3552" s="2">
        <v>45855.733368055553</v>
      </c>
      <c r="D3552" t="s">
        <v>650</v>
      </c>
      <c r="E3552" t="s">
        <v>4896</v>
      </c>
      <c r="F3552" t="s">
        <v>4897</v>
      </c>
      <c r="G3552" t="s">
        <v>1122</v>
      </c>
      <c r="H3552" t="s">
        <v>1020</v>
      </c>
      <c r="I3552">
        <v>162673000</v>
      </c>
      <c r="J3552" t="s">
        <v>1021</v>
      </c>
      <c r="K3552">
        <v>136.80000000000001</v>
      </c>
      <c r="L3552">
        <v>778.78</v>
      </c>
      <c r="M3552">
        <v>542.44000000000005</v>
      </c>
      <c r="O3552" t="s">
        <v>34</v>
      </c>
    </row>
    <row r="3553" spans="1:15">
      <c r="A3553" t="s">
        <v>5049</v>
      </c>
      <c r="B3553" s="2">
        <v>45869.697465277779</v>
      </c>
      <c r="C3553" s="2">
        <v>45869.81486111111</v>
      </c>
      <c r="D3553" t="s">
        <v>650</v>
      </c>
      <c r="E3553" t="s">
        <v>4940</v>
      </c>
      <c r="F3553" t="s">
        <v>4941</v>
      </c>
      <c r="G3553" t="s">
        <v>1122</v>
      </c>
      <c r="H3553" t="s">
        <v>1031</v>
      </c>
      <c r="I3553">
        <v>185349003</v>
      </c>
      <c r="J3553" t="s">
        <v>1038</v>
      </c>
      <c r="K3553">
        <v>85.55</v>
      </c>
      <c r="L3553">
        <v>3536.75</v>
      </c>
      <c r="M3553">
        <v>2829.4</v>
      </c>
      <c r="N3553">
        <v>66383009</v>
      </c>
      <c r="O3553" t="s">
        <v>1209</v>
      </c>
    </row>
    <row r="3554" spans="1:15">
      <c r="A3554" t="s">
        <v>5050</v>
      </c>
      <c r="B3554" s="2">
        <v>46037.655798611115</v>
      </c>
      <c r="C3554" s="2">
        <v>46037.680752314816</v>
      </c>
      <c r="D3554" t="s">
        <v>650</v>
      </c>
      <c r="E3554" t="s">
        <v>4940</v>
      </c>
      <c r="F3554" t="s">
        <v>4941</v>
      </c>
      <c r="G3554" t="s">
        <v>1122</v>
      </c>
      <c r="H3554" t="s">
        <v>1043</v>
      </c>
      <c r="I3554">
        <v>185349003</v>
      </c>
      <c r="J3554" t="s">
        <v>1038</v>
      </c>
      <c r="K3554">
        <v>85.55</v>
      </c>
      <c r="L3554">
        <v>598.33000000000004</v>
      </c>
      <c r="M3554">
        <v>396.84</v>
      </c>
      <c r="O3554" t="s">
        <v>34</v>
      </c>
    </row>
    <row r="3555" spans="1:15">
      <c r="A3555" t="s">
        <v>5051</v>
      </c>
      <c r="B3555" s="2">
        <v>46044.655798611115</v>
      </c>
      <c r="C3555" s="2">
        <v>46044.667696759258</v>
      </c>
      <c r="D3555" t="s">
        <v>650</v>
      </c>
      <c r="E3555" t="s">
        <v>4940</v>
      </c>
      <c r="F3555" t="s">
        <v>4941</v>
      </c>
      <c r="G3555" t="s">
        <v>1122</v>
      </c>
      <c r="H3555" t="s">
        <v>1031</v>
      </c>
      <c r="I3555">
        <v>185345009</v>
      </c>
      <c r="J3555" t="s">
        <v>1032</v>
      </c>
      <c r="K3555">
        <v>85.55</v>
      </c>
      <c r="L3555">
        <v>120.06</v>
      </c>
      <c r="M3555">
        <v>96.05</v>
      </c>
      <c r="N3555">
        <v>10509002</v>
      </c>
      <c r="O3555" t="s">
        <v>1033</v>
      </c>
    </row>
    <row r="3556" spans="1:15">
      <c r="A3556" t="s">
        <v>5052</v>
      </c>
      <c r="B3556" s="2">
        <v>46051.655798611115</v>
      </c>
      <c r="C3556" s="2">
        <v>46051.82371527778</v>
      </c>
      <c r="D3556" t="s">
        <v>650</v>
      </c>
      <c r="E3556" t="s">
        <v>4940</v>
      </c>
      <c r="F3556" t="s">
        <v>4941</v>
      </c>
      <c r="G3556" t="s">
        <v>1122</v>
      </c>
      <c r="H3556" t="s">
        <v>1031</v>
      </c>
      <c r="I3556">
        <v>185349003</v>
      </c>
      <c r="J3556" t="s">
        <v>1038</v>
      </c>
      <c r="K3556">
        <v>85.55</v>
      </c>
      <c r="L3556">
        <v>3968.15</v>
      </c>
      <c r="M3556">
        <v>3174.52</v>
      </c>
      <c r="N3556">
        <v>103697008</v>
      </c>
      <c r="O3556" t="s">
        <v>1039</v>
      </c>
    </row>
    <row r="3557" spans="1:15">
      <c r="A3557" t="s">
        <v>5053</v>
      </c>
      <c r="B3557" s="2">
        <v>46226.697465277779</v>
      </c>
      <c r="C3557" s="2">
        <v>46226.735185185185</v>
      </c>
      <c r="D3557" t="s">
        <v>650</v>
      </c>
      <c r="E3557" t="s">
        <v>4896</v>
      </c>
      <c r="F3557" t="s">
        <v>4897</v>
      </c>
      <c r="G3557" t="s">
        <v>1122</v>
      </c>
      <c r="H3557" t="s">
        <v>1020</v>
      </c>
      <c r="I3557">
        <v>162673000</v>
      </c>
      <c r="J3557" t="s">
        <v>1021</v>
      </c>
      <c r="K3557">
        <v>136.80000000000001</v>
      </c>
      <c r="L3557">
        <v>1716.16</v>
      </c>
      <c r="M3557">
        <v>1372.92</v>
      </c>
      <c r="O3557" t="s">
        <v>34</v>
      </c>
    </row>
    <row r="3558" spans="1:15">
      <c r="A3558" t="s">
        <v>5054</v>
      </c>
      <c r="B3558" s="2">
        <v>46240.697465277779</v>
      </c>
      <c r="C3558" s="2">
        <v>46240.810613425929</v>
      </c>
      <c r="D3558" t="s">
        <v>650</v>
      </c>
      <c r="E3558" t="s">
        <v>4940</v>
      </c>
      <c r="F3558" t="s">
        <v>4941</v>
      </c>
      <c r="G3558" t="s">
        <v>1122</v>
      </c>
      <c r="H3558" t="s">
        <v>1031</v>
      </c>
      <c r="I3558">
        <v>185349003</v>
      </c>
      <c r="J3558" t="s">
        <v>1038</v>
      </c>
      <c r="K3558">
        <v>85.55</v>
      </c>
      <c r="L3558">
        <v>2673.95</v>
      </c>
      <c r="M3558">
        <v>2139.16</v>
      </c>
      <c r="N3558">
        <v>66383009</v>
      </c>
      <c r="O3558" t="s">
        <v>1209</v>
      </c>
    </row>
    <row r="3559" spans="1:15">
      <c r="A3559" t="s">
        <v>5055</v>
      </c>
      <c r="B3559" s="2">
        <v>35490.89744212963</v>
      </c>
      <c r="C3559" s="2">
        <v>35490.909895833334</v>
      </c>
      <c r="D3559" t="s">
        <v>659</v>
      </c>
      <c r="E3559" t="s">
        <v>5056</v>
      </c>
      <c r="F3559" t="s">
        <v>5057</v>
      </c>
      <c r="G3559" t="s">
        <v>1019</v>
      </c>
      <c r="H3559" t="s">
        <v>1020</v>
      </c>
      <c r="I3559">
        <v>410620009</v>
      </c>
      <c r="J3559" t="s">
        <v>1054</v>
      </c>
      <c r="K3559">
        <v>136.80000000000001</v>
      </c>
      <c r="L3559">
        <v>919.9</v>
      </c>
      <c r="M3559">
        <v>0</v>
      </c>
      <c r="O3559" t="s">
        <v>34</v>
      </c>
    </row>
    <row r="3560" spans="1:15">
      <c r="A3560" t="s">
        <v>5058</v>
      </c>
      <c r="B3560" s="2">
        <v>35861.89744212963</v>
      </c>
      <c r="C3560" s="2">
        <v>35861.934884259259</v>
      </c>
      <c r="D3560" t="s">
        <v>659</v>
      </c>
      <c r="E3560" t="s">
        <v>5056</v>
      </c>
      <c r="F3560" t="s">
        <v>5057</v>
      </c>
      <c r="G3560" t="s">
        <v>1019</v>
      </c>
      <c r="H3560" t="s">
        <v>1020</v>
      </c>
      <c r="I3560">
        <v>162673000</v>
      </c>
      <c r="J3560" t="s">
        <v>1021</v>
      </c>
      <c r="K3560">
        <v>136.80000000000001</v>
      </c>
      <c r="L3560">
        <v>704.2</v>
      </c>
      <c r="M3560">
        <v>0</v>
      </c>
      <c r="O3560" t="s">
        <v>34</v>
      </c>
    </row>
    <row r="3561" spans="1:15">
      <c r="A3561" t="s">
        <v>5059</v>
      </c>
      <c r="B3561" s="2">
        <v>37331.89744212963</v>
      </c>
      <c r="C3561" s="2">
        <v>37331.933657407404</v>
      </c>
      <c r="D3561" t="s">
        <v>659</v>
      </c>
      <c r="E3561" t="s">
        <v>5056</v>
      </c>
      <c r="F3561" t="s">
        <v>5057</v>
      </c>
      <c r="G3561" t="s">
        <v>1019</v>
      </c>
      <c r="H3561" t="s">
        <v>1020</v>
      </c>
      <c r="I3561">
        <v>162673000</v>
      </c>
      <c r="J3561" t="s">
        <v>1021</v>
      </c>
      <c r="K3561">
        <v>136.80000000000001</v>
      </c>
      <c r="L3561">
        <v>1266.48</v>
      </c>
      <c r="M3561">
        <v>0</v>
      </c>
      <c r="O3561" t="s">
        <v>34</v>
      </c>
    </row>
    <row r="3562" spans="1:15">
      <c r="A3562" t="s">
        <v>5060</v>
      </c>
      <c r="B3562" s="2">
        <v>39529.939108796294</v>
      </c>
      <c r="C3562" s="2">
        <v>39529.972141203703</v>
      </c>
      <c r="D3562" t="s">
        <v>659</v>
      </c>
      <c r="E3562" t="s">
        <v>5056</v>
      </c>
      <c r="F3562" t="s">
        <v>5057</v>
      </c>
      <c r="G3562" t="s">
        <v>1026</v>
      </c>
      <c r="H3562" t="s">
        <v>1020</v>
      </c>
      <c r="I3562">
        <v>162673000</v>
      </c>
      <c r="J3562" t="s">
        <v>1021</v>
      </c>
      <c r="K3562">
        <v>136.80000000000001</v>
      </c>
      <c r="L3562">
        <v>778.78</v>
      </c>
      <c r="M3562">
        <v>0</v>
      </c>
      <c r="O3562" t="s">
        <v>34</v>
      </c>
    </row>
    <row r="3563" spans="1:15">
      <c r="A3563" t="s">
        <v>5061</v>
      </c>
      <c r="B3563" s="2">
        <v>42170.939108796294</v>
      </c>
      <c r="C3563" s="2">
        <v>42170.949525462966</v>
      </c>
      <c r="D3563" t="s">
        <v>659</v>
      </c>
      <c r="E3563" t="s">
        <v>5062</v>
      </c>
      <c r="F3563" t="s">
        <v>5063</v>
      </c>
      <c r="G3563" t="s">
        <v>1023</v>
      </c>
      <c r="H3563" t="s">
        <v>1031</v>
      </c>
      <c r="I3563">
        <v>185345009</v>
      </c>
      <c r="J3563" t="s">
        <v>1032</v>
      </c>
      <c r="K3563">
        <v>85.55</v>
      </c>
      <c r="L3563">
        <v>516.95000000000005</v>
      </c>
      <c r="M3563">
        <v>0</v>
      </c>
      <c r="N3563">
        <v>195967001</v>
      </c>
      <c r="O3563" t="s">
        <v>1676</v>
      </c>
    </row>
    <row r="3564" spans="1:15">
      <c r="A3564" t="s">
        <v>5064</v>
      </c>
      <c r="B3564" s="2">
        <v>42182.939108796294</v>
      </c>
      <c r="C3564" s="2">
        <v>42182.96497685185</v>
      </c>
      <c r="D3564" t="s">
        <v>659</v>
      </c>
      <c r="E3564" t="s">
        <v>5056</v>
      </c>
      <c r="F3564" t="s">
        <v>5057</v>
      </c>
      <c r="G3564" t="s">
        <v>1023</v>
      </c>
      <c r="H3564" t="s">
        <v>1020</v>
      </c>
      <c r="I3564">
        <v>162673000</v>
      </c>
      <c r="J3564" t="s">
        <v>1021</v>
      </c>
      <c r="K3564">
        <v>136.80000000000001</v>
      </c>
      <c r="L3564">
        <v>919.9</v>
      </c>
      <c r="M3564">
        <v>400.3</v>
      </c>
      <c r="O3564" t="s">
        <v>34</v>
      </c>
    </row>
    <row r="3565" spans="1:15">
      <c r="A3565" t="s">
        <v>5065</v>
      </c>
      <c r="B3565" s="2">
        <v>42553.939108796294</v>
      </c>
      <c r="C3565" s="2">
        <v>42553.969317129631</v>
      </c>
      <c r="D3565" t="s">
        <v>659</v>
      </c>
      <c r="E3565" t="s">
        <v>5056</v>
      </c>
      <c r="F3565" t="s">
        <v>5057</v>
      </c>
      <c r="G3565" t="s">
        <v>1023</v>
      </c>
      <c r="H3565" t="s">
        <v>1020</v>
      </c>
      <c r="I3565">
        <v>162673000</v>
      </c>
      <c r="J3565" t="s">
        <v>1021</v>
      </c>
      <c r="K3565">
        <v>136.80000000000001</v>
      </c>
      <c r="L3565">
        <v>568.20000000000005</v>
      </c>
      <c r="M3565">
        <v>0</v>
      </c>
      <c r="O3565" t="s">
        <v>34</v>
      </c>
    </row>
    <row r="3566" spans="1:15">
      <c r="A3566" t="s">
        <v>5066</v>
      </c>
      <c r="B3566" s="2">
        <v>42924.939108796294</v>
      </c>
      <c r="C3566" s="2">
        <v>42924.977951388886</v>
      </c>
      <c r="D3566" t="s">
        <v>659</v>
      </c>
      <c r="E3566" t="s">
        <v>5056</v>
      </c>
      <c r="F3566" t="s">
        <v>5057</v>
      </c>
      <c r="G3566" t="s">
        <v>1023</v>
      </c>
      <c r="H3566" t="s">
        <v>1020</v>
      </c>
      <c r="I3566">
        <v>162673000</v>
      </c>
      <c r="J3566" t="s">
        <v>1021</v>
      </c>
      <c r="K3566">
        <v>136.80000000000001</v>
      </c>
      <c r="L3566">
        <v>778.78</v>
      </c>
      <c r="M3566">
        <v>0</v>
      </c>
      <c r="O3566" t="s">
        <v>34</v>
      </c>
    </row>
    <row r="3567" spans="1:15">
      <c r="A3567" t="s">
        <v>5067</v>
      </c>
      <c r="B3567" s="2">
        <v>42938.939108796294</v>
      </c>
      <c r="C3567" s="2">
        <v>42939.057141203702</v>
      </c>
      <c r="D3567" t="s">
        <v>659</v>
      </c>
      <c r="E3567" t="s">
        <v>5062</v>
      </c>
      <c r="F3567" t="s">
        <v>5063</v>
      </c>
      <c r="G3567" t="s">
        <v>1023</v>
      </c>
      <c r="H3567" t="s">
        <v>1031</v>
      </c>
      <c r="I3567">
        <v>185349003</v>
      </c>
      <c r="J3567" t="s">
        <v>1038</v>
      </c>
      <c r="K3567">
        <v>85.55</v>
      </c>
      <c r="L3567">
        <v>3105.35</v>
      </c>
      <c r="M3567">
        <v>2254.58</v>
      </c>
      <c r="N3567">
        <v>66383009</v>
      </c>
      <c r="O3567" t="s">
        <v>1209</v>
      </c>
    </row>
    <row r="3568" spans="1:15">
      <c r="A3568" t="s">
        <v>5068</v>
      </c>
      <c r="B3568" s="2">
        <v>43295.939108796294</v>
      </c>
      <c r="C3568" s="2">
        <v>43295.971250000002</v>
      </c>
      <c r="D3568" t="s">
        <v>659</v>
      </c>
      <c r="E3568" t="s">
        <v>5056</v>
      </c>
      <c r="F3568" t="s">
        <v>5057</v>
      </c>
      <c r="G3568" t="s">
        <v>1023</v>
      </c>
      <c r="H3568" t="s">
        <v>1020</v>
      </c>
      <c r="I3568">
        <v>162673000</v>
      </c>
      <c r="J3568" t="s">
        <v>1021</v>
      </c>
      <c r="K3568">
        <v>136.80000000000001</v>
      </c>
      <c r="L3568">
        <v>704.2</v>
      </c>
      <c r="M3568">
        <v>0</v>
      </c>
      <c r="O3568" t="s">
        <v>34</v>
      </c>
    </row>
    <row r="3569" spans="1:15">
      <c r="A3569" t="s">
        <v>5069</v>
      </c>
      <c r="B3569" s="2">
        <v>43610.939108796294</v>
      </c>
      <c r="C3569" s="2">
        <v>43610.949525462966</v>
      </c>
      <c r="D3569" t="s">
        <v>659</v>
      </c>
      <c r="E3569" t="s">
        <v>5062</v>
      </c>
      <c r="F3569" t="s">
        <v>5063</v>
      </c>
      <c r="G3569" t="s">
        <v>1023</v>
      </c>
      <c r="H3569" t="s">
        <v>1031</v>
      </c>
      <c r="I3569">
        <v>394701000</v>
      </c>
      <c r="J3569" t="s">
        <v>1154</v>
      </c>
      <c r="K3569">
        <v>142.58000000000001</v>
      </c>
      <c r="L3569">
        <v>142.58000000000001</v>
      </c>
      <c r="M3569">
        <v>0</v>
      </c>
      <c r="N3569">
        <v>195967001</v>
      </c>
      <c r="O3569" t="s">
        <v>1676</v>
      </c>
    </row>
    <row r="3570" spans="1:15">
      <c r="A3570" t="s">
        <v>5070</v>
      </c>
      <c r="B3570" s="2">
        <v>43666.939108796294</v>
      </c>
      <c r="C3570" s="2">
        <v>43666.975601851853</v>
      </c>
      <c r="D3570" t="s">
        <v>659</v>
      </c>
      <c r="E3570" t="s">
        <v>5056</v>
      </c>
      <c r="F3570" t="s">
        <v>5057</v>
      </c>
      <c r="G3570" t="s">
        <v>1023</v>
      </c>
      <c r="H3570" t="s">
        <v>1020</v>
      </c>
      <c r="I3570">
        <v>162673000</v>
      </c>
      <c r="J3570" t="s">
        <v>1021</v>
      </c>
      <c r="K3570">
        <v>136.80000000000001</v>
      </c>
      <c r="L3570">
        <v>994.48</v>
      </c>
      <c r="M3570">
        <v>0</v>
      </c>
      <c r="O3570" t="s">
        <v>34</v>
      </c>
    </row>
    <row r="3571" spans="1:15">
      <c r="A3571" t="s">
        <v>5071</v>
      </c>
      <c r="B3571" s="2">
        <v>43790.89744212963</v>
      </c>
      <c r="C3571" s="2">
        <v>43790.939108796294</v>
      </c>
      <c r="D3571" t="s">
        <v>659</v>
      </c>
      <c r="E3571" t="s">
        <v>5072</v>
      </c>
      <c r="F3571" t="s">
        <v>5073</v>
      </c>
      <c r="G3571" t="s">
        <v>1023</v>
      </c>
      <c r="H3571" t="s">
        <v>1076</v>
      </c>
      <c r="I3571">
        <v>183478001</v>
      </c>
      <c r="J3571" t="s">
        <v>1267</v>
      </c>
      <c r="K3571">
        <v>146.18</v>
      </c>
      <c r="L3571">
        <v>146.18</v>
      </c>
      <c r="M3571">
        <v>70.459999999999994</v>
      </c>
      <c r="N3571">
        <v>195967001</v>
      </c>
      <c r="O3571" t="s">
        <v>1676</v>
      </c>
    </row>
    <row r="3572" spans="1:15">
      <c r="A3572" t="s">
        <v>5074</v>
      </c>
      <c r="B3572" s="2">
        <v>43792.855775462966</v>
      </c>
      <c r="C3572" s="2">
        <v>43792.86619212963</v>
      </c>
      <c r="D3572" t="s">
        <v>659</v>
      </c>
      <c r="E3572" t="s">
        <v>5062</v>
      </c>
      <c r="F3572" t="s">
        <v>5063</v>
      </c>
      <c r="G3572" t="s">
        <v>1023</v>
      </c>
      <c r="H3572" t="s">
        <v>1031</v>
      </c>
      <c r="I3572">
        <v>394701000</v>
      </c>
      <c r="J3572" t="s">
        <v>1154</v>
      </c>
      <c r="K3572">
        <v>142.58000000000001</v>
      </c>
      <c r="L3572">
        <v>142.58000000000001</v>
      </c>
      <c r="M3572">
        <v>114.06</v>
      </c>
      <c r="N3572">
        <v>195967001</v>
      </c>
      <c r="O3572" t="s">
        <v>1676</v>
      </c>
    </row>
    <row r="3573" spans="1:15">
      <c r="A3573" t="s">
        <v>5075</v>
      </c>
      <c r="B3573" s="2">
        <v>43902.939108796294</v>
      </c>
      <c r="C3573" s="2">
        <v>43902.980775462966</v>
      </c>
      <c r="D3573" t="s">
        <v>659</v>
      </c>
      <c r="E3573" t="s">
        <v>1226</v>
      </c>
      <c r="F3573" t="s">
        <v>1227</v>
      </c>
      <c r="G3573" t="s">
        <v>1023</v>
      </c>
      <c r="H3573" t="s">
        <v>1076</v>
      </c>
      <c r="I3573">
        <v>50849002</v>
      </c>
      <c r="J3573" t="s">
        <v>1163</v>
      </c>
      <c r="K3573">
        <v>146.18</v>
      </c>
      <c r="L3573">
        <v>15659.73</v>
      </c>
      <c r="M3573">
        <v>11673.23</v>
      </c>
      <c r="N3573">
        <v>22298006</v>
      </c>
      <c r="O3573" t="s">
        <v>2648</v>
      </c>
    </row>
    <row r="3574" spans="1:15">
      <c r="A3574" t="s">
        <v>5076</v>
      </c>
      <c r="B3574" s="2">
        <v>43902.980104166665</v>
      </c>
      <c r="C3574" s="2">
        <v>43904.286041666666</v>
      </c>
      <c r="D3574" t="s">
        <v>659</v>
      </c>
      <c r="E3574" t="s">
        <v>1226</v>
      </c>
      <c r="F3574" t="s">
        <v>1227</v>
      </c>
      <c r="G3574" t="s">
        <v>1023</v>
      </c>
      <c r="H3574" t="s">
        <v>1431</v>
      </c>
      <c r="I3574">
        <v>32485007</v>
      </c>
      <c r="J3574" t="s">
        <v>1837</v>
      </c>
      <c r="K3574">
        <v>146.18</v>
      </c>
      <c r="L3574">
        <v>10695.98</v>
      </c>
      <c r="M3574">
        <v>8556.7800000000007</v>
      </c>
      <c r="N3574">
        <v>401314000</v>
      </c>
      <c r="O3574" t="s">
        <v>2650</v>
      </c>
    </row>
    <row r="3575" spans="1:15">
      <c r="A3575" t="s">
        <v>5077</v>
      </c>
      <c r="B3575" s="2">
        <v>43972.89744212963</v>
      </c>
      <c r="C3575" s="2">
        <v>43972.907858796294</v>
      </c>
      <c r="D3575" t="s">
        <v>659</v>
      </c>
      <c r="E3575" t="s">
        <v>5062</v>
      </c>
      <c r="F3575" t="s">
        <v>5063</v>
      </c>
      <c r="G3575" t="s">
        <v>1023</v>
      </c>
      <c r="H3575" t="s">
        <v>1031</v>
      </c>
      <c r="I3575">
        <v>394701000</v>
      </c>
      <c r="J3575" t="s">
        <v>1154</v>
      </c>
      <c r="K3575">
        <v>142.58000000000001</v>
      </c>
      <c r="L3575">
        <v>142.58000000000001</v>
      </c>
      <c r="M3575">
        <v>114.06</v>
      </c>
      <c r="N3575">
        <v>195967001</v>
      </c>
      <c r="O3575" t="s">
        <v>1676</v>
      </c>
    </row>
    <row r="3576" spans="1:15">
      <c r="A3576" t="s">
        <v>5078</v>
      </c>
      <c r="B3576" s="2">
        <v>44037.939108796294</v>
      </c>
      <c r="C3576" s="2">
        <v>44037.968819444446</v>
      </c>
      <c r="D3576" t="s">
        <v>659</v>
      </c>
      <c r="E3576" t="s">
        <v>5056</v>
      </c>
      <c r="F3576" t="s">
        <v>5057</v>
      </c>
      <c r="G3576" t="s">
        <v>1023</v>
      </c>
      <c r="H3576" t="s">
        <v>1020</v>
      </c>
      <c r="I3576">
        <v>162673000</v>
      </c>
      <c r="J3576" t="s">
        <v>1021</v>
      </c>
      <c r="K3576">
        <v>136.80000000000001</v>
      </c>
      <c r="L3576">
        <v>1130.48</v>
      </c>
      <c r="M3576">
        <v>904.38</v>
      </c>
      <c r="O3576" t="s">
        <v>34</v>
      </c>
    </row>
    <row r="3577" spans="1:15">
      <c r="A3577" t="s">
        <v>5079</v>
      </c>
      <c r="B3577" s="2">
        <v>44289.939108796294</v>
      </c>
      <c r="C3577" s="2">
        <v>44289.949525462966</v>
      </c>
      <c r="D3577" t="s">
        <v>659</v>
      </c>
      <c r="E3577" t="s">
        <v>5062</v>
      </c>
      <c r="F3577" t="s">
        <v>5063</v>
      </c>
      <c r="G3577" t="s">
        <v>1023</v>
      </c>
      <c r="H3577" t="s">
        <v>1043</v>
      </c>
      <c r="I3577">
        <v>33879002</v>
      </c>
      <c r="J3577" t="s">
        <v>1044</v>
      </c>
      <c r="K3577">
        <v>142.58000000000001</v>
      </c>
      <c r="L3577">
        <v>278.58</v>
      </c>
      <c r="M3577">
        <v>0</v>
      </c>
      <c r="O3577" t="s">
        <v>34</v>
      </c>
    </row>
    <row r="3578" spans="1:15">
      <c r="A3578" t="s">
        <v>5080</v>
      </c>
      <c r="B3578" s="2">
        <v>44310.939108796294</v>
      </c>
      <c r="C3578" s="2">
        <v>44310.949525462966</v>
      </c>
      <c r="D3578" t="s">
        <v>659</v>
      </c>
      <c r="E3578" t="s">
        <v>5062</v>
      </c>
      <c r="F3578" t="s">
        <v>5063</v>
      </c>
      <c r="G3578" t="s">
        <v>1023</v>
      </c>
      <c r="H3578" t="s">
        <v>1043</v>
      </c>
      <c r="I3578">
        <v>33879002</v>
      </c>
      <c r="J3578" t="s">
        <v>1044</v>
      </c>
      <c r="K3578">
        <v>142.58000000000001</v>
      </c>
      <c r="L3578">
        <v>278.58</v>
      </c>
      <c r="M3578">
        <v>0</v>
      </c>
      <c r="O3578" t="s">
        <v>34</v>
      </c>
    </row>
    <row r="3579" spans="1:15">
      <c r="A3579" t="s">
        <v>5081</v>
      </c>
      <c r="B3579" s="2">
        <v>44408.939108796294</v>
      </c>
      <c r="C3579" s="2">
        <v>44408.977986111109</v>
      </c>
      <c r="D3579" t="s">
        <v>659</v>
      </c>
      <c r="E3579" t="s">
        <v>5056</v>
      </c>
      <c r="F3579" t="s">
        <v>5057</v>
      </c>
      <c r="G3579" t="s">
        <v>1023</v>
      </c>
      <c r="H3579" t="s">
        <v>1020</v>
      </c>
      <c r="I3579">
        <v>162673000</v>
      </c>
      <c r="J3579" t="s">
        <v>1021</v>
      </c>
      <c r="K3579">
        <v>136.80000000000001</v>
      </c>
      <c r="L3579">
        <v>1551.6</v>
      </c>
      <c r="M3579">
        <v>729.84</v>
      </c>
      <c r="O3579" t="s">
        <v>34</v>
      </c>
    </row>
    <row r="3580" spans="1:15">
      <c r="A3580" t="s">
        <v>5082</v>
      </c>
      <c r="B3580" s="2">
        <v>44692.89744212963</v>
      </c>
      <c r="C3580" s="2">
        <v>44692.939108796294</v>
      </c>
      <c r="D3580" t="s">
        <v>659</v>
      </c>
      <c r="E3580" t="s">
        <v>5072</v>
      </c>
      <c r="F3580" t="s">
        <v>5073</v>
      </c>
      <c r="G3580" t="s">
        <v>1023</v>
      </c>
      <c r="H3580" t="s">
        <v>1076</v>
      </c>
      <c r="I3580">
        <v>183478001</v>
      </c>
      <c r="J3580" t="s">
        <v>1267</v>
      </c>
      <c r="K3580">
        <v>146.18</v>
      </c>
      <c r="L3580">
        <v>146.18</v>
      </c>
      <c r="M3580">
        <v>0</v>
      </c>
      <c r="N3580">
        <v>195967001</v>
      </c>
      <c r="O3580" t="s">
        <v>1676</v>
      </c>
    </row>
    <row r="3581" spans="1:15">
      <c r="A3581" t="s">
        <v>5083</v>
      </c>
      <c r="B3581" s="2">
        <v>44695.105775462966</v>
      </c>
      <c r="C3581" s="2">
        <v>44695.11619212963</v>
      </c>
      <c r="D3581" t="s">
        <v>659</v>
      </c>
      <c r="E3581" t="s">
        <v>5062</v>
      </c>
      <c r="F3581" t="s">
        <v>5063</v>
      </c>
      <c r="G3581" t="s">
        <v>1023</v>
      </c>
      <c r="H3581" t="s">
        <v>1031</v>
      </c>
      <c r="I3581">
        <v>394701000</v>
      </c>
      <c r="J3581" t="s">
        <v>1154</v>
      </c>
      <c r="K3581">
        <v>142.58000000000001</v>
      </c>
      <c r="L3581">
        <v>142.58000000000001</v>
      </c>
      <c r="M3581">
        <v>0</v>
      </c>
      <c r="N3581">
        <v>195967001</v>
      </c>
      <c r="O3581" t="s">
        <v>1676</v>
      </c>
    </row>
    <row r="3582" spans="1:15">
      <c r="A3582" t="s">
        <v>5084</v>
      </c>
      <c r="B3582" s="2">
        <v>44779.939108796294</v>
      </c>
      <c r="C3582" s="2">
        <v>44779.967395833337</v>
      </c>
      <c r="D3582" t="s">
        <v>659</v>
      </c>
      <c r="E3582" t="s">
        <v>5056</v>
      </c>
      <c r="F3582" t="s">
        <v>5057</v>
      </c>
      <c r="G3582" t="s">
        <v>1023</v>
      </c>
      <c r="H3582" t="s">
        <v>1020</v>
      </c>
      <c r="I3582">
        <v>162673000</v>
      </c>
      <c r="J3582" t="s">
        <v>1021</v>
      </c>
      <c r="K3582">
        <v>136.80000000000001</v>
      </c>
      <c r="L3582">
        <v>704.2</v>
      </c>
      <c r="M3582">
        <v>0</v>
      </c>
      <c r="O3582" t="s">
        <v>34</v>
      </c>
    </row>
    <row r="3583" spans="1:15">
      <c r="A3583" t="s">
        <v>5085</v>
      </c>
      <c r="B3583" s="2">
        <v>44793.939108796294</v>
      </c>
      <c r="C3583" s="2">
        <v>44794.040451388886</v>
      </c>
      <c r="D3583" t="s">
        <v>659</v>
      </c>
      <c r="E3583" t="s">
        <v>5062</v>
      </c>
      <c r="F3583" t="s">
        <v>5063</v>
      </c>
      <c r="G3583" t="s">
        <v>1023</v>
      </c>
      <c r="H3583" t="s">
        <v>1031</v>
      </c>
      <c r="I3583">
        <v>185349003</v>
      </c>
      <c r="J3583" t="s">
        <v>1038</v>
      </c>
      <c r="K3583">
        <v>85.55</v>
      </c>
      <c r="L3583">
        <v>3105.35</v>
      </c>
      <c r="M3583">
        <v>2321.54</v>
      </c>
      <c r="N3583">
        <v>66383009</v>
      </c>
      <c r="O3583" t="s">
        <v>1209</v>
      </c>
    </row>
    <row r="3584" spans="1:15">
      <c r="A3584" t="s">
        <v>5086</v>
      </c>
      <c r="B3584" s="2">
        <v>44883.89744212963</v>
      </c>
      <c r="C3584" s="2">
        <v>44884.007569444446</v>
      </c>
      <c r="D3584" t="s">
        <v>659</v>
      </c>
      <c r="E3584" t="s">
        <v>5072</v>
      </c>
      <c r="F3584" t="s">
        <v>5073</v>
      </c>
      <c r="G3584" t="s">
        <v>1023</v>
      </c>
      <c r="H3584" t="s">
        <v>1076</v>
      </c>
      <c r="I3584">
        <v>185345009</v>
      </c>
      <c r="J3584" t="s">
        <v>1032</v>
      </c>
      <c r="K3584">
        <v>87.71</v>
      </c>
      <c r="L3584">
        <v>5488.25</v>
      </c>
      <c r="M3584">
        <v>4390.59</v>
      </c>
      <c r="N3584">
        <v>307426000</v>
      </c>
      <c r="O3584" t="s">
        <v>1097</v>
      </c>
    </row>
    <row r="3585" spans="1:15">
      <c r="A3585" t="s">
        <v>5087</v>
      </c>
      <c r="B3585" s="2">
        <v>44885.715902777774</v>
      </c>
      <c r="C3585" s="2">
        <v>44885.777430555558</v>
      </c>
      <c r="D3585" t="s">
        <v>659</v>
      </c>
      <c r="E3585" t="s">
        <v>5062</v>
      </c>
      <c r="F3585" t="s">
        <v>5063</v>
      </c>
      <c r="G3585" t="s">
        <v>1023</v>
      </c>
      <c r="H3585" t="s">
        <v>1031</v>
      </c>
      <c r="I3585">
        <v>185345009</v>
      </c>
      <c r="J3585" t="s">
        <v>1032</v>
      </c>
      <c r="K3585">
        <v>85.55</v>
      </c>
      <c r="L3585">
        <v>3611.33</v>
      </c>
      <c r="M3585">
        <v>2889.06</v>
      </c>
      <c r="N3585">
        <v>307426000</v>
      </c>
      <c r="O3585" t="s">
        <v>1097</v>
      </c>
    </row>
    <row r="3586" spans="1:15">
      <c r="A3586" t="s">
        <v>5088</v>
      </c>
      <c r="B3586" s="2">
        <v>45150.939108796294</v>
      </c>
      <c r="C3586" s="2">
        <v>45150.965590277781</v>
      </c>
      <c r="D3586" t="s">
        <v>659</v>
      </c>
      <c r="E3586" t="s">
        <v>5056</v>
      </c>
      <c r="F3586" t="s">
        <v>5057</v>
      </c>
      <c r="G3586" t="s">
        <v>1325</v>
      </c>
      <c r="H3586" t="s">
        <v>1020</v>
      </c>
      <c r="I3586">
        <v>162673000</v>
      </c>
      <c r="J3586" t="s">
        <v>1021</v>
      </c>
      <c r="K3586">
        <v>136.80000000000001</v>
      </c>
      <c r="L3586">
        <v>1190.1300000000001</v>
      </c>
      <c r="M3586">
        <v>0</v>
      </c>
      <c r="O3586" t="s">
        <v>34</v>
      </c>
    </row>
    <row r="3587" spans="1:15">
      <c r="A3587" t="s">
        <v>5089</v>
      </c>
      <c r="B3587" s="2">
        <v>45157.939108796294</v>
      </c>
      <c r="C3587" s="2">
        <v>45157.994930555556</v>
      </c>
      <c r="D3587" t="s">
        <v>659</v>
      </c>
      <c r="E3587" t="s">
        <v>5062</v>
      </c>
      <c r="F3587" t="s">
        <v>5063</v>
      </c>
      <c r="G3587" t="s">
        <v>1325</v>
      </c>
      <c r="H3587" t="s">
        <v>1031</v>
      </c>
      <c r="I3587">
        <v>185347001</v>
      </c>
      <c r="J3587" t="s">
        <v>1124</v>
      </c>
      <c r="K3587">
        <v>85.55</v>
      </c>
      <c r="L3587">
        <v>1067.79</v>
      </c>
      <c r="M3587">
        <v>0</v>
      </c>
      <c r="N3587">
        <v>271737000</v>
      </c>
      <c r="O3587" t="s">
        <v>1479</v>
      </c>
    </row>
    <row r="3588" spans="1:15">
      <c r="A3588" t="s">
        <v>5090</v>
      </c>
      <c r="B3588" s="2">
        <v>45455.992210648146</v>
      </c>
      <c r="C3588" s="2">
        <v>45456.033877314818</v>
      </c>
      <c r="D3588" t="s">
        <v>659</v>
      </c>
      <c r="E3588" t="s">
        <v>5072</v>
      </c>
      <c r="F3588" t="s">
        <v>5073</v>
      </c>
      <c r="G3588" t="s">
        <v>1325</v>
      </c>
      <c r="H3588" t="s">
        <v>1076</v>
      </c>
      <c r="I3588">
        <v>50849002</v>
      </c>
      <c r="J3588" t="s">
        <v>1163</v>
      </c>
      <c r="K3588">
        <v>146.18</v>
      </c>
      <c r="L3588">
        <v>146.18</v>
      </c>
      <c r="M3588">
        <v>0</v>
      </c>
      <c r="N3588">
        <v>90460009</v>
      </c>
      <c r="O3588" t="s">
        <v>1832</v>
      </c>
    </row>
    <row r="3589" spans="1:15">
      <c r="A3589" t="s">
        <v>5091</v>
      </c>
      <c r="B3589" s="2">
        <v>45455.992210648146</v>
      </c>
      <c r="C3589" s="2">
        <v>45493.002627314818</v>
      </c>
      <c r="D3589" t="s">
        <v>659</v>
      </c>
      <c r="E3589" t="s">
        <v>5092</v>
      </c>
      <c r="F3589" t="s">
        <v>5093</v>
      </c>
      <c r="G3589" t="s">
        <v>1325</v>
      </c>
      <c r="H3589" t="s">
        <v>1836</v>
      </c>
      <c r="I3589">
        <v>32485007</v>
      </c>
      <c r="J3589" t="s">
        <v>1837</v>
      </c>
      <c r="K3589">
        <v>110.92</v>
      </c>
      <c r="L3589">
        <v>23577.119999999999</v>
      </c>
      <c r="M3589">
        <v>10636.12</v>
      </c>
      <c r="N3589">
        <v>25675004</v>
      </c>
      <c r="O3589" t="s">
        <v>1838</v>
      </c>
    </row>
    <row r="3590" spans="1:15">
      <c r="A3590" t="s">
        <v>5094</v>
      </c>
      <c r="B3590" s="2">
        <v>45521.939108796294</v>
      </c>
      <c r="C3590" s="2">
        <v>45521.975752314815</v>
      </c>
      <c r="D3590" t="s">
        <v>659</v>
      </c>
      <c r="E3590" t="s">
        <v>5056</v>
      </c>
      <c r="F3590" t="s">
        <v>5057</v>
      </c>
      <c r="G3590" t="s">
        <v>1325</v>
      </c>
      <c r="H3590" t="s">
        <v>1020</v>
      </c>
      <c r="I3590">
        <v>162673000</v>
      </c>
      <c r="J3590" t="s">
        <v>1021</v>
      </c>
      <c r="K3590">
        <v>136.80000000000001</v>
      </c>
      <c r="L3590">
        <v>860.16</v>
      </c>
      <c r="M3590">
        <v>860.16</v>
      </c>
      <c r="O3590" t="s">
        <v>34</v>
      </c>
    </row>
    <row r="3591" spans="1:15">
      <c r="A3591" t="s">
        <v>5095</v>
      </c>
      <c r="B3591" s="2">
        <v>45595.105775462966</v>
      </c>
      <c r="C3591" s="2">
        <v>45595.11619212963</v>
      </c>
      <c r="D3591" t="s">
        <v>659</v>
      </c>
      <c r="E3591" t="s">
        <v>5062</v>
      </c>
      <c r="F3591" t="s">
        <v>5063</v>
      </c>
      <c r="G3591" t="s">
        <v>1325</v>
      </c>
      <c r="H3591" t="s">
        <v>1031</v>
      </c>
      <c r="I3591">
        <v>394701000</v>
      </c>
      <c r="J3591" t="s">
        <v>1154</v>
      </c>
      <c r="K3591">
        <v>142.58000000000001</v>
      </c>
      <c r="L3591">
        <v>142.58000000000001</v>
      </c>
      <c r="M3591">
        <v>142.58000000000001</v>
      </c>
      <c r="N3591">
        <v>195967001</v>
      </c>
      <c r="O3591" t="s">
        <v>1676</v>
      </c>
    </row>
    <row r="3592" spans="1:15">
      <c r="A3592" t="s">
        <v>5096</v>
      </c>
      <c r="B3592" s="2">
        <v>45775.105775462966</v>
      </c>
      <c r="C3592" s="2">
        <v>45775.11619212963</v>
      </c>
      <c r="D3592" t="s">
        <v>659</v>
      </c>
      <c r="E3592" t="s">
        <v>5062</v>
      </c>
      <c r="F3592" t="s">
        <v>5063</v>
      </c>
      <c r="G3592" t="s">
        <v>1325</v>
      </c>
      <c r="H3592" t="s">
        <v>1031</v>
      </c>
      <c r="I3592">
        <v>394701000</v>
      </c>
      <c r="J3592" t="s">
        <v>1154</v>
      </c>
      <c r="K3592">
        <v>142.58000000000001</v>
      </c>
      <c r="L3592">
        <v>142.58000000000001</v>
      </c>
      <c r="M3592">
        <v>0</v>
      </c>
      <c r="N3592">
        <v>195967001</v>
      </c>
      <c r="O3592" t="s">
        <v>1676</v>
      </c>
    </row>
    <row r="3593" spans="1:15">
      <c r="A3593" t="s">
        <v>5097</v>
      </c>
      <c r="B3593" s="2">
        <v>45892.939108796294</v>
      </c>
      <c r="C3593" s="2">
        <v>45892.980219907404</v>
      </c>
      <c r="D3593" t="s">
        <v>659</v>
      </c>
      <c r="E3593" t="s">
        <v>5056</v>
      </c>
      <c r="F3593" t="s">
        <v>5057</v>
      </c>
      <c r="G3593" t="s">
        <v>1325</v>
      </c>
      <c r="H3593" t="s">
        <v>1020</v>
      </c>
      <c r="I3593">
        <v>162673000</v>
      </c>
      <c r="J3593" t="s">
        <v>1021</v>
      </c>
      <c r="K3593">
        <v>136.80000000000001</v>
      </c>
      <c r="L3593">
        <v>1250.71</v>
      </c>
      <c r="M3593">
        <v>0</v>
      </c>
      <c r="O3593" t="s">
        <v>34</v>
      </c>
    </row>
    <row r="3594" spans="1:15">
      <c r="A3594" t="s">
        <v>5098</v>
      </c>
      <c r="B3594" s="2">
        <v>46135.105775462966</v>
      </c>
      <c r="C3594" s="2">
        <v>46135.11619212963</v>
      </c>
      <c r="D3594" t="s">
        <v>659</v>
      </c>
      <c r="E3594" t="s">
        <v>5062</v>
      </c>
      <c r="F3594" t="s">
        <v>5063</v>
      </c>
      <c r="G3594" t="s">
        <v>1325</v>
      </c>
      <c r="H3594" t="s">
        <v>1031</v>
      </c>
      <c r="I3594">
        <v>394701000</v>
      </c>
      <c r="J3594" t="s">
        <v>1154</v>
      </c>
      <c r="K3594">
        <v>142.58000000000001</v>
      </c>
      <c r="L3594">
        <v>142.58000000000001</v>
      </c>
      <c r="M3594">
        <v>0</v>
      </c>
      <c r="N3594">
        <v>195967001</v>
      </c>
      <c r="O3594" t="s">
        <v>1676</v>
      </c>
    </row>
    <row r="3595" spans="1:15">
      <c r="A3595" t="s">
        <v>5099</v>
      </c>
      <c r="B3595" s="2">
        <v>42318.370034722226</v>
      </c>
      <c r="C3595" s="2">
        <v>42318.38045138889</v>
      </c>
      <c r="D3595" t="s">
        <v>669</v>
      </c>
      <c r="E3595" t="s">
        <v>5100</v>
      </c>
      <c r="F3595" t="s">
        <v>5101</v>
      </c>
      <c r="G3595" t="s">
        <v>1093</v>
      </c>
      <c r="H3595" t="s">
        <v>1043</v>
      </c>
      <c r="I3595">
        <v>698314001</v>
      </c>
      <c r="J3595" t="s">
        <v>1190</v>
      </c>
      <c r="K3595">
        <v>142.58000000000001</v>
      </c>
      <c r="L3595">
        <v>142.58000000000001</v>
      </c>
      <c r="M3595">
        <v>92.58</v>
      </c>
      <c r="N3595">
        <v>389095005</v>
      </c>
      <c r="O3595" t="s">
        <v>1191</v>
      </c>
    </row>
    <row r="3596" spans="1:15">
      <c r="A3596" t="s">
        <v>5102</v>
      </c>
      <c r="B3596" s="2">
        <v>42587.453368055554</v>
      </c>
      <c r="C3596" s="2">
        <v>42587.463784722226</v>
      </c>
      <c r="D3596" t="s">
        <v>669</v>
      </c>
      <c r="E3596" t="s">
        <v>5100</v>
      </c>
      <c r="F3596" t="s">
        <v>5101</v>
      </c>
      <c r="G3596" t="s">
        <v>1093</v>
      </c>
      <c r="H3596" t="s">
        <v>1031</v>
      </c>
      <c r="I3596">
        <v>185345009</v>
      </c>
      <c r="J3596" t="s">
        <v>1032</v>
      </c>
      <c r="K3596">
        <v>85.55</v>
      </c>
      <c r="L3596">
        <v>85.55</v>
      </c>
      <c r="M3596">
        <v>35.549999999999997</v>
      </c>
      <c r="N3596">
        <v>444814009</v>
      </c>
      <c r="O3596" t="s">
        <v>1035</v>
      </c>
    </row>
    <row r="3597" spans="1:15">
      <c r="A3597" t="s">
        <v>5103</v>
      </c>
      <c r="B3597" s="2">
        <v>42686.370034722226</v>
      </c>
      <c r="C3597" s="2">
        <v>42686.429768518516</v>
      </c>
      <c r="D3597" t="s">
        <v>669</v>
      </c>
      <c r="E3597" t="s">
        <v>5100</v>
      </c>
      <c r="F3597" t="s">
        <v>5101</v>
      </c>
      <c r="G3597" t="s">
        <v>1093</v>
      </c>
      <c r="H3597" t="s">
        <v>1031</v>
      </c>
      <c r="I3597">
        <v>185345009</v>
      </c>
      <c r="J3597" t="s">
        <v>1032</v>
      </c>
      <c r="K3597">
        <v>85.55</v>
      </c>
      <c r="L3597">
        <v>3611.33</v>
      </c>
      <c r="M3597">
        <v>3541.27</v>
      </c>
      <c r="N3597">
        <v>307426000</v>
      </c>
      <c r="O3597" t="s">
        <v>1097</v>
      </c>
    </row>
    <row r="3598" spans="1:15">
      <c r="A3598" t="s">
        <v>5104</v>
      </c>
      <c r="B3598" s="2">
        <v>42721.370034722226</v>
      </c>
      <c r="C3598" s="2">
        <v>42721.387962962966</v>
      </c>
      <c r="D3598" t="s">
        <v>669</v>
      </c>
      <c r="E3598" t="s">
        <v>5105</v>
      </c>
      <c r="F3598" t="s">
        <v>5106</v>
      </c>
      <c r="G3598" t="s">
        <v>1093</v>
      </c>
      <c r="H3598" t="s">
        <v>1020</v>
      </c>
      <c r="I3598">
        <v>410620009</v>
      </c>
      <c r="J3598" t="s">
        <v>1054</v>
      </c>
      <c r="K3598">
        <v>136.80000000000001</v>
      </c>
      <c r="L3598">
        <v>704.2</v>
      </c>
      <c r="M3598">
        <v>704.2</v>
      </c>
      <c r="O3598" t="s">
        <v>34</v>
      </c>
    </row>
    <row r="3599" spans="1:15">
      <c r="A3599" t="s">
        <v>5107</v>
      </c>
      <c r="B3599" s="2">
        <v>42735.370034722226</v>
      </c>
      <c r="C3599" s="2">
        <v>42735.556261574071</v>
      </c>
      <c r="D3599" t="s">
        <v>669</v>
      </c>
      <c r="E3599" t="s">
        <v>5100</v>
      </c>
      <c r="F3599" t="s">
        <v>5101</v>
      </c>
      <c r="G3599" t="s">
        <v>1093</v>
      </c>
      <c r="H3599" t="s">
        <v>1031</v>
      </c>
      <c r="I3599">
        <v>185349003</v>
      </c>
      <c r="J3599" t="s">
        <v>1038</v>
      </c>
      <c r="K3599">
        <v>85.55</v>
      </c>
      <c r="L3599">
        <v>3105.35</v>
      </c>
      <c r="M3599">
        <v>3055.35</v>
      </c>
      <c r="N3599">
        <v>66383009</v>
      </c>
      <c r="O3599" t="s">
        <v>1209</v>
      </c>
    </row>
    <row r="3600" spans="1:15">
      <c r="A3600" t="s">
        <v>5108</v>
      </c>
      <c r="B3600" s="2">
        <v>43023.328368055554</v>
      </c>
      <c r="C3600" s="2">
        <v>43023.338784722226</v>
      </c>
      <c r="D3600" t="s">
        <v>669</v>
      </c>
      <c r="E3600" t="s">
        <v>5100</v>
      </c>
      <c r="F3600" t="s">
        <v>5101</v>
      </c>
      <c r="G3600" t="s">
        <v>1093</v>
      </c>
      <c r="H3600" t="s">
        <v>1031</v>
      </c>
      <c r="I3600">
        <v>185345009</v>
      </c>
      <c r="J3600" t="s">
        <v>1032</v>
      </c>
      <c r="K3600">
        <v>85.55</v>
      </c>
      <c r="L3600">
        <v>85.55</v>
      </c>
      <c r="M3600">
        <v>35.549999999999997</v>
      </c>
      <c r="N3600">
        <v>444814009</v>
      </c>
      <c r="O3600" t="s">
        <v>1035</v>
      </c>
    </row>
    <row r="3601" spans="1:15">
      <c r="A3601" t="s">
        <v>5109</v>
      </c>
      <c r="B3601" s="2">
        <v>43092.370034722226</v>
      </c>
      <c r="C3601" s="2">
        <v>43092.389004629629</v>
      </c>
      <c r="D3601" t="s">
        <v>669</v>
      </c>
      <c r="E3601" t="s">
        <v>5105</v>
      </c>
      <c r="F3601" t="s">
        <v>5106</v>
      </c>
      <c r="G3601" t="s">
        <v>1093</v>
      </c>
      <c r="H3601" t="s">
        <v>1020</v>
      </c>
      <c r="I3601">
        <v>410620009</v>
      </c>
      <c r="J3601" t="s">
        <v>1054</v>
      </c>
      <c r="K3601">
        <v>136.80000000000001</v>
      </c>
      <c r="L3601">
        <v>1244.75</v>
      </c>
      <c r="M3601">
        <v>1144.75</v>
      </c>
      <c r="O3601" t="s">
        <v>34</v>
      </c>
    </row>
    <row r="3602" spans="1:15">
      <c r="A3602" t="s">
        <v>5110</v>
      </c>
      <c r="B3602" s="2">
        <v>43129.03670138889</v>
      </c>
      <c r="C3602" s="2">
        <v>43129.047118055554</v>
      </c>
      <c r="D3602" t="s">
        <v>669</v>
      </c>
      <c r="E3602" t="s">
        <v>5100</v>
      </c>
      <c r="F3602" t="s">
        <v>5101</v>
      </c>
      <c r="G3602" t="s">
        <v>1093</v>
      </c>
      <c r="H3602" t="s">
        <v>1031</v>
      </c>
      <c r="I3602">
        <v>185345009</v>
      </c>
      <c r="J3602" t="s">
        <v>1032</v>
      </c>
      <c r="K3602">
        <v>85.55</v>
      </c>
      <c r="L3602">
        <v>85.55</v>
      </c>
      <c r="M3602">
        <v>35.549999999999997</v>
      </c>
      <c r="N3602">
        <v>444814009</v>
      </c>
      <c r="O3602" t="s">
        <v>1035</v>
      </c>
    </row>
    <row r="3603" spans="1:15">
      <c r="A3603" t="s">
        <v>5111</v>
      </c>
      <c r="B3603" s="2">
        <v>43463.370034722226</v>
      </c>
      <c r="C3603" s="2">
        <v>43463.387974537036</v>
      </c>
      <c r="D3603" t="s">
        <v>669</v>
      </c>
      <c r="E3603" t="s">
        <v>5105</v>
      </c>
      <c r="F3603" t="s">
        <v>5106</v>
      </c>
      <c r="G3603" t="s">
        <v>1093</v>
      </c>
      <c r="H3603" t="s">
        <v>1020</v>
      </c>
      <c r="I3603">
        <v>410620009</v>
      </c>
      <c r="J3603" t="s">
        <v>1054</v>
      </c>
      <c r="K3603">
        <v>136.80000000000001</v>
      </c>
      <c r="L3603">
        <v>704.2</v>
      </c>
      <c r="M3603">
        <v>604.20000000000005</v>
      </c>
      <c r="O3603" t="s">
        <v>34</v>
      </c>
    </row>
    <row r="3604" spans="1:15">
      <c r="A3604" t="s">
        <v>5112</v>
      </c>
      <c r="B3604" s="2">
        <v>43834.370034722226</v>
      </c>
      <c r="C3604" s="2">
        <v>43834.394745370373</v>
      </c>
      <c r="D3604" t="s">
        <v>669</v>
      </c>
      <c r="E3604" t="s">
        <v>5105</v>
      </c>
      <c r="F3604" t="s">
        <v>5106</v>
      </c>
      <c r="G3604" t="s">
        <v>1093</v>
      </c>
      <c r="H3604" t="s">
        <v>1020</v>
      </c>
      <c r="I3604">
        <v>162673000</v>
      </c>
      <c r="J3604" t="s">
        <v>1021</v>
      </c>
      <c r="K3604">
        <v>136.80000000000001</v>
      </c>
      <c r="L3604">
        <v>704.2</v>
      </c>
      <c r="M3604">
        <v>604.20000000000005</v>
      </c>
      <c r="O3604" t="s">
        <v>34</v>
      </c>
    </row>
    <row r="3605" spans="1:15">
      <c r="A3605" t="s">
        <v>5113</v>
      </c>
      <c r="B3605" s="2">
        <v>43848.370034722226</v>
      </c>
      <c r="C3605" s="2">
        <v>43848.490300925929</v>
      </c>
      <c r="D3605" t="s">
        <v>669</v>
      </c>
      <c r="E3605" t="s">
        <v>5100</v>
      </c>
      <c r="F3605" t="s">
        <v>5101</v>
      </c>
      <c r="G3605" t="s">
        <v>1093</v>
      </c>
      <c r="H3605" t="s">
        <v>1031</v>
      </c>
      <c r="I3605">
        <v>185349003</v>
      </c>
      <c r="J3605" t="s">
        <v>1038</v>
      </c>
      <c r="K3605">
        <v>85.55</v>
      </c>
      <c r="L3605">
        <v>2673.95</v>
      </c>
      <c r="M3605">
        <v>2623.95</v>
      </c>
      <c r="N3605">
        <v>103697008</v>
      </c>
      <c r="O3605" t="s">
        <v>1039</v>
      </c>
    </row>
    <row r="3606" spans="1:15">
      <c r="A3606" t="s">
        <v>5114</v>
      </c>
      <c r="B3606" s="2">
        <v>44107.41170138889</v>
      </c>
      <c r="C3606" s="2">
        <v>44107.45045138889</v>
      </c>
      <c r="D3606" t="s">
        <v>669</v>
      </c>
      <c r="E3606" t="s">
        <v>5100</v>
      </c>
      <c r="F3606" t="s">
        <v>5101</v>
      </c>
      <c r="G3606" t="s">
        <v>1093</v>
      </c>
      <c r="H3606" t="s">
        <v>1043</v>
      </c>
      <c r="I3606">
        <v>185349003</v>
      </c>
      <c r="J3606" t="s">
        <v>1038</v>
      </c>
      <c r="K3606">
        <v>85.55</v>
      </c>
      <c r="L3606">
        <v>1443.67</v>
      </c>
      <c r="M3606">
        <v>1393.67</v>
      </c>
      <c r="O3606" t="s">
        <v>34</v>
      </c>
    </row>
    <row r="3607" spans="1:15">
      <c r="A3607" t="s">
        <v>5115</v>
      </c>
      <c r="B3607" s="2">
        <v>44114.41170138889</v>
      </c>
      <c r="C3607" s="2">
        <v>44114.422118055554</v>
      </c>
      <c r="D3607" t="s">
        <v>669</v>
      </c>
      <c r="E3607" t="s">
        <v>5100</v>
      </c>
      <c r="F3607" t="s">
        <v>5101</v>
      </c>
      <c r="G3607" t="s">
        <v>1093</v>
      </c>
      <c r="H3607" t="s">
        <v>1031</v>
      </c>
      <c r="I3607">
        <v>185345009</v>
      </c>
      <c r="J3607" t="s">
        <v>1032</v>
      </c>
      <c r="K3607">
        <v>85.55</v>
      </c>
      <c r="L3607">
        <v>85.55</v>
      </c>
      <c r="M3607">
        <v>35.549999999999997</v>
      </c>
      <c r="N3607">
        <v>444814009</v>
      </c>
      <c r="O3607" t="s">
        <v>1035</v>
      </c>
    </row>
    <row r="3608" spans="1:15">
      <c r="A3608" t="s">
        <v>5116</v>
      </c>
      <c r="B3608" s="2">
        <v>44205.370034722226</v>
      </c>
      <c r="C3608" s="2">
        <v>44205.40252314815</v>
      </c>
      <c r="D3608" t="s">
        <v>669</v>
      </c>
      <c r="E3608" t="s">
        <v>5105</v>
      </c>
      <c r="F3608" t="s">
        <v>5106</v>
      </c>
      <c r="G3608" t="s">
        <v>1093</v>
      </c>
      <c r="H3608" t="s">
        <v>1020</v>
      </c>
      <c r="I3608">
        <v>162673000</v>
      </c>
      <c r="J3608" t="s">
        <v>1021</v>
      </c>
      <c r="K3608">
        <v>136.80000000000001</v>
      </c>
      <c r="L3608">
        <v>568.20000000000005</v>
      </c>
      <c r="M3608">
        <v>468.2</v>
      </c>
      <c r="O3608" t="s">
        <v>34</v>
      </c>
    </row>
    <row r="3609" spans="1:15">
      <c r="A3609" t="s">
        <v>5117</v>
      </c>
      <c r="B3609" s="2">
        <v>44303.41170138889</v>
      </c>
      <c r="C3609" s="2">
        <v>44303.422118055554</v>
      </c>
      <c r="D3609" t="s">
        <v>669</v>
      </c>
      <c r="E3609" t="s">
        <v>5100</v>
      </c>
      <c r="F3609" t="s">
        <v>5101</v>
      </c>
      <c r="G3609" t="s">
        <v>1093</v>
      </c>
      <c r="H3609" t="s">
        <v>1043</v>
      </c>
      <c r="I3609">
        <v>33879002</v>
      </c>
      <c r="J3609" t="s">
        <v>1044</v>
      </c>
      <c r="K3609">
        <v>142.58000000000001</v>
      </c>
      <c r="L3609">
        <v>278.58</v>
      </c>
      <c r="M3609">
        <v>228.58</v>
      </c>
      <c r="O3609" t="s">
        <v>34</v>
      </c>
    </row>
    <row r="3610" spans="1:15">
      <c r="A3610" t="s">
        <v>5118</v>
      </c>
      <c r="B3610" s="2">
        <v>44324.41170138889</v>
      </c>
      <c r="C3610" s="2">
        <v>44324.422118055554</v>
      </c>
      <c r="D3610" t="s">
        <v>669</v>
      </c>
      <c r="E3610" t="s">
        <v>5100</v>
      </c>
      <c r="F3610" t="s">
        <v>5101</v>
      </c>
      <c r="G3610" t="s">
        <v>1093</v>
      </c>
      <c r="H3610" t="s">
        <v>1043</v>
      </c>
      <c r="I3610">
        <v>33879002</v>
      </c>
      <c r="J3610" t="s">
        <v>1044</v>
      </c>
      <c r="K3610">
        <v>142.58000000000001</v>
      </c>
      <c r="L3610">
        <v>278.58</v>
      </c>
      <c r="M3610">
        <v>228.58</v>
      </c>
      <c r="O3610" t="s">
        <v>34</v>
      </c>
    </row>
    <row r="3611" spans="1:15">
      <c r="A3611" t="s">
        <v>5119</v>
      </c>
      <c r="B3611" s="2">
        <v>44478.41170138889</v>
      </c>
      <c r="C3611" s="2">
        <v>44478.422118055554</v>
      </c>
      <c r="D3611" t="s">
        <v>669</v>
      </c>
      <c r="E3611" t="s">
        <v>5100</v>
      </c>
      <c r="F3611" t="s">
        <v>5101</v>
      </c>
      <c r="G3611" t="s">
        <v>1093</v>
      </c>
      <c r="H3611" t="s">
        <v>1043</v>
      </c>
      <c r="I3611">
        <v>698314001</v>
      </c>
      <c r="J3611" t="s">
        <v>1190</v>
      </c>
      <c r="K3611">
        <v>142.58000000000001</v>
      </c>
      <c r="L3611">
        <v>142.58000000000001</v>
      </c>
      <c r="M3611">
        <v>92.58</v>
      </c>
      <c r="N3611">
        <v>389095005</v>
      </c>
      <c r="O3611" t="s">
        <v>1191</v>
      </c>
    </row>
    <row r="3612" spans="1:15">
      <c r="A3612" t="s">
        <v>5120</v>
      </c>
      <c r="B3612" s="2">
        <v>44838.41170138889</v>
      </c>
      <c r="C3612" s="2">
        <v>44838.422118055554</v>
      </c>
      <c r="D3612" t="s">
        <v>669</v>
      </c>
      <c r="E3612" t="s">
        <v>5100</v>
      </c>
      <c r="F3612" t="s">
        <v>5101</v>
      </c>
      <c r="G3612" t="s">
        <v>1093</v>
      </c>
      <c r="H3612" t="s">
        <v>1043</v>
      </c>
      <c r="I3612">
        <v>698314001</v>
      </c>
      <c r="J3612" t="s">
        <v>1190</v>
      </c>
      <c r="K3612">
        <v>142.58000000000001</v>
      </c>
      <c r="L3612">
        <v>142.58000000000001</v>
      </c>
      <c r="M3612">
        <v>92.58</v>
      </c>
      <c r="N3612">
        <v>389095005</v>
      </c>
      <c r="O3612" t="s">
        <v>1191</v>
      </c>
    </row>
    <row r="3613" spans="1:15">
      <c r="A3613" t="s">
        <v>5121</v>
      </c>
      <c r="B3613" s="2">
        <v>45108.41170138889</v>
      </c>
      <c r="C3613" s="2">
        <v>45108.422118055554</v>
      </c>
      <c r="D3613" t="s">
        <v>669</v>
      </c>
      <c r="E3613" t="s">
        <v>5100</v>
      </c>
      <c r="F3613" t="s">
        <v>5101</v>
      </c>
      <c r="G3613" t="s">
        <v>1093</v>
      </c>
      <c r="H3613" t="s">
        <v>1031</v>
      </c>
      <c r="I3613">
        <v>424441002</v>
      </c>
      <c r="J3613" t="s">
        <v>1059</v>
      </c>
      <c r="K3613">
        <v>142.58000000000001</v>
      </c>
      <c r="L3613">
        <v>35713.25</v>
      </c>
      <c r="M3613">
        <v>35563.25</v>
      </c>
      <c r="N3613">
        <v>72892002</v>
      </c>
      <c r="O3613" t="s">
        <v>1060</v>
      </c>
    </row>
    <row r="3614" spans="1:15">
      <c r="A3614" t="s">
        <v>5122</v>
      </c>
      <c r="B3614" s="2">
        <v>45136.41170138889</v>
      </c>
      <c r="C3614" s="2">
        <v>45136.422118055554</v>
      </c>
      <c r="D3614" t="s">
        <v>669</v>
      </c>
      <c r="E3614" t="s">
        <v>5100</v>
      </c>
      <c r="F3614" t="s">
        <v>5101</v>
      </c>
      <c r="G3614" t="s">
        <v>1093</v>
      </c>
      <c r="H3614" t="s">
        <v>1031</v>
      </c>
      <c r="I3614">
        <v>424619006</v>
      </c>
      <c r="J3614" t="s">
        <v>1062</v>
      </c>
      <c r="K3614">
        <v>142.58000000000001</v>
      </c>
      <c r="L3614">
        <v>5705.03</v>
      </c>
      <c r="M3614">
        <v>5655.03</v>
      </c>
      <c r="N3614">
        <v>72892002</v>
      </c>
      <c r="O3614" t="s">
        <v>1060</v>
      </c>
    </row>
    <row r="3615" spans="1:15">
      <c r="A3615" t="s">
        <v>5123</v>
      </c>
      <c r="B3615" s="2">
        <v>45164.41170138889</v>
      </c>
      <c r="C3615" s="2">
        <v>45164.422118055554</v>
      </c>
      <c r="D3615" t="s">
        <v>669</v>
      </c>
      <c r="E3615" t="s">
        <v>5100</v>
      </c>
      <c r="F3615" t="s">
        <v>5101</v>
      </c>
      <c r="G3615" t="s">
        <v>1093</v>
      </c>
      <c r="H3615" t="s">
        <v>1031</v>
      </c>
      <c r="I3615">
        <v>424619006</v>
      </c>
      <c r="J3615" t="s">
        <v>1062</v>
      </c>
      <c r="K3615">
        <v>142.58000000000001</v>
      </c>
      <c r="L3615">
        <v>15983.04</v>
      </c>
      <c r="M3615">
        <v>15933.04</v>
      </c>
      <c r="N3615">
        <v>72892002</v>
      </c>
      <c r="O3615" t="s">
        <v>1060</v>
      </c>
    </row>
    <row r="3616" spans="1:15">
      <c r="A3616" t="s">
        <v>5124</v>
      </c>
      <c r="B3616" s="2">
        <v>45192.41170138889</v>
      </c>
      <c r="C3616" s="2">
        <v>45192.422118055554</v>
      </c>
      <c r="D3616" t="s">
        <v>669</v>
      </c>
      <c r="E3616" t="s">
        <v>5100</v>
      </c>
      <c r="F3616" t="s">
        <v>5101</v>
      </c>
      <c r="G3616" t="s">
        <v>1093</v>
      </c>
      <c r="H3616" t="s">
        <v>1031</v>
      </c>
      <c r="I3616">
        <v>424619006</v>
      </c>
      <c r="J3616" t="s">
        <v>1062</v>
      </c>
      <c r="K3616">
        <v>142.58000000000001</v>
      </c>
      <c r="L3616">
        <v>5101.99</v>
      </c>
      <c r="M3616">
        <v>5051.99</v>
      </c>
      <c r="N3616">
        <v>72892002</v>
      </c>
      <c r="O3616" t="s">
        <v>1060</v>
      </c>
    </row>
    <row r="3617" spans="1:15">
      <c r="A3617" t="s">
        <v>5125</v>
      </c>
      <c r="B3617" s="2">
        <v>45220.41170138889</v>
      </c>
      <c r="C3617" s="2">
        <v>45220.422118055554</v>
      </c>
      <c r="D3617" t="s">
        <v>669</v>
      </c>
      <c r="E3617" t="s">
        <v>5100</v>
      </c>
      <c r="F3617" t="s">
        <v>5101</v>
      </c>
      <c r="G3617" t="s">
        <v>1093</v>
      </c>
      <c r="H3617" t="s">
        <v>1031</v>
      </c>
      <c r="I3617">
        <v>424619006</v>
      </c>
      <c r="J3617" t="s">
        <v>1062</v>
      </c>
      <c r="K3617">
        <v>142.58000000000001</v>
      </c>
      <c r="L3617">
        <v>15663.3</v>
      </c>
      <c r="M3617">
        <v>15613.3</v>
      </c>
      <c r="N3617">
        <v>72892002</v>
      </c>
      <c r="O3617" t="s">
        <v>1060</v>
      </c>
    </row>
    <row r="3618" spans="1:15">
      <c r="A3618" t="s">
        <v>5126</v>
      </c>
      <c r="B3618" s="2">
        <v>45248.370034722226</v>
      </c>
      <c r="C3618" s="2">
        <v>45248.38045138889</v>
      </c>
      <c r="D3618" t="s">
        <v>669</v>
      </c>
      <c r="E3618" t="s">
        <v>5100</v>
      </c>
      <c r="F3618" t="s">
        <v>5101</v>
      </c>
      <c r="G3618" t="s">
        <v>1093</v>
      </c>
      <c r="H3618" t="s">
        <v>1031</v>
      </c>
      <c r="I3618">
        <v>424619006</v>
      </c>
      <c r="J3618" t="s">
        <v>1062</v>
      </c>
      <c r="K3618">
        <v>142.58000000000001</v>
      </c>
      <c r="L3618">
        <v>17327.5</v>
      </c>
      <c r="M3618">
        <v>17177.5</v>
      </c>
      <c r="N3618">
        <v>72892002</v>
      </c>
      <c r="O3618" t="s">
        <v>1060</v>
      </c>
    </row>
    <row r="3619" spans="1:15">
      <c r="A3619" t="s">
        <v>5127</v>
      </c>
      <c r="B3619" s="2">
        <v>45276.370034722226</v>
      </c>
      <c r="C3619" s="2">
        <v>45276.38045138889</v>
      </c>
      <c r="D3619" t="s">
        <v>669</v>
      </c>
      <c r="E3619" t="s">
        <v>5100</v>
      </c>
      <c r="F3619" t="s">
        <v>5101</v>
      </c>
      <c r="G3619" t="s">
        <v>1093</v>
      </c>
      <c r="H3619" t="s">
        <v>1031</v>
      </c>
      <c r="I3619">
        <v>424619006</v>
      </c>
      <c r="J3619" t="s">
        <v>1062</v>
      </c>
      <c r="K3619">
        <v>142.58000000000001</v>
      </c>
      <c r="L3619">
        <v>9806.84</v>
      </c>
      <c r="M3619">
        <v>9756.84</v>
      </c>
      <c r="N3619">
        <v>72892002</v>
      </c>
      <c r="O3619" t="s">
        <v>1060</v>
      </c>
    </row>
    <row r="3620" spans="1:15">
      <c r="A3620" t="s">
        <v>5128</v>
      </c>
      <c r="B3620" s="2">
        <v>45304.370034722226</v>
      </c>
      <c r="C3620" s="2">
        <v>45304.405925925923</v>
      </c>
      <c r="D3620" t="s">
        <v>669</v>
      </c>
      <c r="E3620" t="s">
        <v>5105</v>
      </c>
      <c r="F3620" t="s">
        <v>5106</v>
      </c>
      <c r="G3620" t="s">
        <v>1093</v>
      </c>
      <c r="H3620" t="s">
        <v>1020</v>
      </c>
      <c r="I3620">
        <v>162673000</v>
      </c>
      <c r="J3620" t="s">
        <v>1021</v>
      </c>
      <c r="K3620">
        <v>136.80000000000001</v>
      </c>
      <c r="L3620">
        <v>1611.15</v>
      </c>
      <c r="M3620">
        <v>1611.15</v>
      </c>
      <c r="O3620" t="s">
        <v>34</v>
      </c>
    </row>
    <row r="3621" spans="1:15">
      <c r="A3621" t="s">
        <v>5129</v>
      </c>
      <c r="B3621" s="2">
        <v>45311.370034722226</v>
      </c>
      <c r="C3621" s="2">
        <v>45311.41170138889</v>
      </c>
      <c r="D3621" t="s">
        <v>669</v>
      </c>
      <c r="E3621" t="s">
        <v>5025</v>
      </c>
      <c r="F3621" t="s">
        <v>5026</v>
      </c>
      <c r="G3621" t="s">
        <v>1093</v>
      </c>
      <c r="H3621" t="s">
        <v>1076</v>
      </c>
      <c r="I3621">
        <v>183460006</v>
      </c>
      <c r="J3621" t="s">
        <v>1077</v>
      </c>
      <c r="K3621">
        <v>146.18</v>
      </c>
      <c r="L3621">
        <v>2925.6</v>
      </c>
      <c r="M3621">
        <v>2875.6</v>
      </c>
      <c r="N3621">
        <v>72892002</v>
      </c>
      <c r="O3621" t="s">
        <v>1060</v>
      </c>
    </row>
    <row r="3622" spans="1:15">
      <c r="A3622" t="s">
        <v>5130</v>
      </c>
      <c r="B3622" s="2">
        <v>45353.370034722226</v>
      </c>
      <c r="C3622" s="2">
        <v>45353.38045138889</v>
      </c>
      <c r="D3622" t="s">
        <v>669</v>
      </c>
      <c r="E3622" t="s">
        <v>5100</v>
      </c>
      <c r="F3622" t="s">
        <v>5101</v>
      </c>
      <c r="G3622" t="s">
        <v>1093</v>
      </c>
      <c r="H3622" t="s">
        <v>1031</v>
      </c>
      <c r="I3622">
        <v>169762003</v>
      </c>
      <c r="J3622" t="s">
        <v>1079</v>
      </c>
      <c r="K3622">
        <v>142.58000000000001</v>
      </c>
      <c r="L3622">
        <v>1005.38</v>
      </c>
      <c r="M3622">
        <v>955.38</v>
      </c>
      <c r="O3622" t="s">
        <v>34</v>
      </c>
    </row>
    <row r="3623" spans="1:15">
      <c r="A3623" t="s">
        <v>5131</v>
      </c>
      <c r="B3623" s="2">
        <v>45976.370034722226</v>
      </c>
      <c r="C3623" s="2">
        <v>45976.38045138889</v>
      </c>
      <c r="D3623" t="s">
        <v>669</v>
      </c>
      <c r="E3623" t="s">
        <v>5100</v>
      </c>
      <c r="F3623" t="s">
        <v>5101</v>
      </c>
      <c r="G3623" t="s">
        <v>1093</v>
      </c>
      <c r="H3623" t="s">
        <v>1031</v>
      </c>
      <c r="I3623">
        <v>424441002</v>
      </c>
      <c r="J3623" t="s">
        <v>1059</v>
      </c>
      <c r="K3623">
        <v>142.58000000000001</v>
      </c>
      <c r="L3623">
        <v>34128.379999999997</v>
      </c>
      <c r="M3623">
        <v>33978.379999999997</v>
      </c>
      <c r="N3623">
        <v>72892002</v>
      </c>
      <c r="O3623" t="s">
        <v>1060</v>
      </c>
    </row>
    <row r="3624" spans="1:15">
      <c r="A3624" t="s">
        <v>5132</v>
      </c>
      <c r="B3624" s="2">
        <v>46004.370034722226</v>
      </c>
      <c r="C3624" s="2">
        <v>46004.38045138889</v>
      </c>
      <c r="D3624" t="s">
        <v>669</v>
      </c>
      <c r="E3624" t="s">
        <v>5100</v>
      </c>
      <c r="F3624" t="s">
        <v>5101</v>
      </c>
      <c r="G3624" t="s">
        <v>1093</v>
      </c>
      <c r="H3624" t="s">
        <v>1031</v>
      </c>
      <c r="I3624">
        <v>424619006</v>
      </c>
      <c r="J3624" t="s">
        <v>1062</v>
      </c>
      <c r="K3624">
        <v>142.58000000000001</v>
      </c>
      <c r="L3624">
        <v>12798.66</v>
      </c>
      <c r="M3624">
        <v>12748.66</v>
      </c>
      <c r="N3624">
        <v>72892002</v>
      </c>
      <c r="O3624" t="s">
        <v>1060</v>
      </c>
    </row>
    <row r="3625" spans="1:15">
      <c r="A3625" t="s">
        <v>5133</v>
      </c>
      <c r="B3625" s="2">
        <v>46032.370034722226</v>
      </c>
      <c r="C3625" s="2">
        <v>46032.38045138889</v>
      </c>
      <c r="D3625" t="s">
        <v>669</v>
      </c>
      <c r="E3625" t="s">
        <v>5100</v>
      </c>
      <c r="F3625" t="s">
        <v>5101</v>
      </c>
      <c r="G3625" t="s">
        <v>1093</v>
      </c>
      <c r="H3625" t="s">
        <v>1031</v>
      </c>
      <c r="I3625">
        <v>424619006</v>
      </c>
      <c r="J3625" t="s">
        <v>1062</v>
      </c>
      <c r="K3625">
        <v>142.58000000000001</v>
      </c>
      <c r="L3625">
        <v>9858.5</v>
      </c>
      <c r="M3625">
        <v>9808.5</v>
      </c>
      <c r="N3625">
        <v>72892002</v>
      </c>
      <c r="O3625" t="s">
        <v>1060</v>
      </c>
    </row>
    <row r="3626" spans="1:15">
      <c r="A3626" t="s">
        <v>5134</v>
      </c>
      <c r="B3626" s="2">
        <v>46060.370034722226</v>
      </c>
      <c r="C3626" s="2">
        <v>46060.38045138889</v>
      </c>
      <c r="D3626" t="s">
        <v>669</v>
      </c>
      <c r="E3626" t="s">
        <v>5100</v>
      </c>
      <c r="F3626" t="s">
        <v>5101</v>
      </c>
      <c r="G3626" t="s">
        <v>1093</v>
      </c>
      <c r="H3626" t="s">
        <v>1031</v>
      </c>
      <c r="I3626">
        <v>424619006</v>
      </c>
      <c r="J3626" t="s">
        <v>1062</v>
      </c>
      <c r="K3626">
        <v>142.58000000000001</v>
      </c>
      <c r="L3626">
        <v>6535.63</v>
      </c>
      <c r="M3626">
        <v>6485.63</v>
      </c>
      <c r="N3626">
        <v>72892002</v>
      </c>
      <c r="O3626" t="s">
        <v>1060</v>
      </c>
    </row>
    <row r="3627" spans="1:15">
      <c r="A3627" t="s">
        <v>5135</v>
      </c>
      <c r="B3627" s="2">
        <v>46088.370034722226</v>
      </c>
      <c r="C3627" s="2">
        <v>46088.38045138889</v>
      </c>
      <c r="D3627" t="s">
        <v>669</v>
      </c>
      <c r="E3627" t="s">
        <v>5100</v>
      </c>
      <c r="F3627" t="s">
        <v>5101</v>
      </c>
      <c r="G3627" t="s">
        <v>1093</v>
      </c>
      <c r="H3627" t="s">
        <v>1031</v>
      </c>
      <c r="I3627">
        <v>424619006</v>
      </c>
      <c r="J3627" t="s">
        <v>1062</v>
      </c>
      <c r="K3627">
        <v>142.58000000000001</v>
      </c>
      <c r="L3627">
        <v>11451.02</v>
      </c>
      <c r="M3627">
        <v>11401.02</v>
      </c>
      <c r="N3627">
        <v>72892002</v>
      </c>
      <c r="O3627" t="s">
        <v>1060</v>
      </c>
    </row>
    <row r="3628" spans="1:15">
      <c r="A3628" t="s">
        <v>5136</v>
      </c>
      <c r="B3628" s="2">
        <v>46116.41170138889</v>
      </c>
      <c r="C3628" s="2">
        <v>46116.422118055554</v>
      </c>
      <c r="D3628" t="s">
        <v>669</v>
      </c>
      <c r="E3628" t="s">
        <v>5100</v>
      </c>
      <c r="F3628" t="s">
        <v>5101</v>
      </c>
      <c r="G3628" t="s">
        <v>1093</v>
      </c>
      <c r="H3628" t="s">
        <v>1031</v>
      </c>
      <c r="I3628">
        <v>424619006</v>
      </c>
      <c r="J3628" t="s">
        <v>1062</v>
      </c>
      <c r="K3628">
        <v>142.58000000000001</v>
      </c>
      <c r="L3628">
        <v>19059.759999999998</v>
      </c>
      <c r="M3628">
        <v>19009.759999999998</v>
      </c>
      <c r="N3628">
        <v>72892002</v>
      </c>
      <c r="O3628" t="s">
        <v>1060</v>
      </c>
    </row>
    <row r="3629" spans="1:15">
      <c r="A3629" t="s">
        <v>5137</v>
      </c>
      <c r="B3629" s="2">
        <v>46144.41170138889</v>
      </c>
      <c r="C3629" s="2">
        <v>46144.422118055554</v>
      </c>
      <c r="D3629" t="s">
        <v>669</v>
      </c>
      <c r="E3629" t="s">
        <v>5100</v>
      </c>
      <c r="F3629" t="s">
        <v>5101</v>
      </c>
      <c r="G3629" t="s">
        <v>1093</v>
      </c>
      <c r="H3629" t="s">
        <v>1031</v>
      </c>
      <c r="I3629">
        <v>424619006</v>
      </c>
      <c r="J3629" t="s">
        <v>1062</v>
      </c>
      <c r="K3629">
        <v>142.58000000000001</v>
      </c>
      <c r="L3629">
        <v>5696.08</v>
      </c>
      <c r="M3629">
        <v>5646.08</v>
      </c>
      <c r="N3629">
        <v>72892002</v>
      </c>
      <c r="O3629" t="s">
        <v>1060</v>
      </c>
    </row>
    <row r="3630" spans="1:15">
      <c r="A3630" t="s">
        <v>5138</v>
      </c>
      <c r="B3630" s="2">
        <v>46172.41170138889</v>
      </c>
      <c r="C3630" s="2">
        <v>46172.422118055554</v>
      </c>
      <c r="D3630" t="s">
        <v>669</v>
      </c>
      <c r="E3630" t="s">
        <v>5100</v>
      </c>
      <c r="F3630" t="s">
        <v>5101</v>
      </c>
      <c r="G3630" t="s">
        <v>1093</v>
      </c>
      <c r="H3630" t="s">
        <v>1031</v>
      </c>
      <c r="I3630">
        <v>424619006</v>
      </c>
      <c r="J3630" t="s">
        <v>1062</v>
      </c>
      <c r="K3630">
        <v>142.58000000000001</v>
      </c>
      <c r="L3630">
        <v>14902.22</v>
      </c>
      <c r="M3630">
        <v>14852.22</v>
      </c>
      <c r="N3630">
        <v>72892002</v>
      </c>
      <c r="O3630" t="s">
        <v>1060</v>
      </c>
    </row>
    <row r="3631" spans="1:15">
      <c r="A3631" t="s">
        <v>5139</v>
      </c>
      <c r="B3631" s="2">
        <v>46186.41170138889</v>
      </c>
      <c r="C3631" s="2">
        <v>46186.422118055554</v>
      </c>
      <c r="D3631" t="s">
        <v>669</v>
      </c>
      <c r="E3631" t="s">
        <v>5100</v>
      </c>
      <c r="F3631" t="s">
        <v>5101</v>
      </c>
      <c r="G3631" t="s">
        <v>1093</v>
      </c>
      <c r="H3631" t="s">
        <v>1031</v>
      </c>
      <c r="I3631">
        <v>424619006</v>
      </c>
      <c r="J3631" t="s">
        <v>1062</v>
      </c>
      <c r="K3631">
        <v>142.58000000000001</v>
      </c>
      <c r="L3631">
        <v>6397.43</v>
      </c>
      <c r="M3631">
        <v>6347.43</v>
      </c>
      <c r="N3631">
        <v>72892002</v>
      </c>
      <c r="O3631" t="s">
        <v>1060</v>
      </c>
    </row>
    <row r="3632" spans="1:15">
      <c r="A3632" t="s">
        <v>5140</v>
      </c>
      <c r="B3632" s="2">
        <v>46193.41170138889</v>
      </c>
      <c r="C3632" s="2">
        <v>46193.453368055554</v>
      </c>
      <c r="D3632" t="s">
        <v>669</v>
      </c>
      <c r="E3632" t="s">
        <v>5025</v>
      </c>
      <c r="F3632" t="s">
        <v>5026</v>
      </c>
      <c r="G3632" t="s">
        <v>1093</v>
      </c>
      <c r="H3632" t="s">
        <v>1076</v>
      </c>
      <c r="I3632">
        <v>183460006</v>
      </c>
      <c r="J3632" t="s">
        <v>1077</v>
      </c>
      <c r="K3632">
        <v>146.18</v>
      </c>
      <c r="L3632">
        <v>17351.97</v>
      </c>
      <c r="M3632">
        <v>17301.97</v>
      </c>
      <c r="N3632">
        <v>72892002</v>
      </c>
      <c r="O3632" t="s">
        <v>1060</v>
      </c>
    </row>
    <row r="3633" spans="1:15">
      <c r="A3633" t="s">
        <v>5141</v>
      </c>
      <c r="B3633" s="2">
        <v>46235.41170138889</v>
      </c>
      <c r="C3633" s="2">
        <v>46235.422118055554</v>
      </c>
      <c r="D3633" t="s">
        <v>669</v>
      </c>
      <c r="E3633" t="s">
        <v>5100</v>
      </c>
      <c r="F3633" t="s">
        <v>5101</v>
      </c>
      <c r="G3633" t="s">
        <v>1093</v>
      </c>
      <c r="H3633" t="s">
        <v>1031</v>
      </c>
      <c r="I3633">
        <v>169762003</v>
      </c>
      <c r="J3633" t="s">
        <v>1079</v>
      </c>
      <c r="K3633">
        <v>142.58000000000001</v>
      </c>
      <c r="L3633">
        <v>1005.38</v>
      </c>
      <c r="M3633">
        <v>955.38</v>
      </c>
      <c r="O3633" t="s">
        <v>34</v>
      </c>
    </row>
    <row r="3634" spans="1:15">
      <c r="A3634" t="s">
        <v>5142</v>
      </c>
      <c r="B3634" s="2">
        <v>32063.930937500001</v>
      </c>
      <c r="C3634" s="2">
        <v>32063.964351851853</v>
      </c>
      <c r="D3634" t="s">
        <v>676</v>
      </c>
      <c r="E3634" t="s">
        <v>5143</v>
      </c>
      <c r="F3634" t="s">
        <v>5144</v>
      </c>
      <c r="G3634" t="s">
        <v>1325</v>
      </c>
      <c r="H3634" t="s">
        <v>1020</v>
      </c>
      <c r="I3634">
        <v>162673000</v>
      </c>
      <c r="J3634" t="s">
        <v>1021</v>
      </c>
      <c r="K3634">
        <v>136.80000000000001</v>
      </c>
      <c r="L3634">
        <v>704.2</v>
      </c>
      <c r="M3634">
        <v>0</v>
      </c>
      <c r="O3634" t="s">
        <v>34</v>
      </c>
    </row>
    <row r="3635" spans="1:15">
      <c r="A3635" t="s">
        <v>5145</v>
      </c>
      <c r="B3635" s="2">
        <v>32434.930937500001</v>
      </c>
      <c r="C3635" s="2">
        <v>32434.967777777776</v>
      </c>
      <c r="D3635" t="s">
        <v>676</v>
      </c>
      <c r="E3635" t="s">
        <v>5143</v>
      </c>
      <c r="F3635" t="s">
        <v>5144</v>
      </c>
      <c r="G3635" t="s">
        <v>1325</v>
      </c>
      <c r="H3635" t="s">
        <v>1020</v>
      </c>
      <c r="I3635">
        <v>162673000</v>
      </c>
      <c r="J3635" t="s">
        <v>1021</v>
      </c>
      <c r="K3635">
        <v>136.80000000000001</v>
      </c>
      <c r="L3635">
        <v>1058.1199999999999</v>
      </c>
      <c r="M3635">
        <v>0</v>
      </c>
      <c r="O3635" t="s">
        <v>34</v>
      </c>
    </row>
    <row r="3636" spans="1:15">
      <c r="A3636" t="s">
        <v>5146</v>
      </c>
      <c r="B3636" s="2">
        <v>32497.889270833333</v>
      </c>
      <c r="C3636" s="2">
        <v>32497.918958333332</v>
      </c>
      <c r="D3636" t="s">
        <v>676</v>
      </c>
      <c r="E3636" t="s">
        <v>2799</v>
      </c>
      <c r="F3636" t="s">
        <v>2800</v>
      </c>
      <c r="G3636" t="s">
        <v>1325</v>
      </c>
      <c r="H3636" t="s">
        <v>1159</v>
      </c>
      <c r="I3636">
        <v>702927004</v>
      </c>
      <c r="J3636" t="s">
        <v>1160</v>
      </c>
      <c r="K3636">
        <v>142.58000000000001</v>
      </c>
      <c r="L3636">
        <v>655.36</v>
      </c>
      <c r="M3636">
        <v>0</v>
      </c>
      <c r="O3636" t="s">
        <v>34</v>
      </c>
    </row>
    <row r="3637" spans="1:15">
      <c r="A3637" t="s">
        <v>5147</v>
      </c>
      <c r="B3637" s="2">
        <v>32504.889270833333</v>
      </c>
      <c r="C3637" s="2">
        <v>32504.939467592594</v>
      </c>
      <c r="D3637" t="s">
        <v>676</v>
      </c>
      <c r="E3637" t="s">
        <v>5148</v>
      </c>
      <c r="F3637" t="s">
        <v>5149</v>
      </c>
      <c r="G3637" t="s">
        <v>1325</v>
      </c>
      <c r="H3637" t="s">
        <v>1031</v>
      </c>
      <c r="I3637">
        <v>185347001</v>
      </c>
      <c r="J3637" t="s">
        <v>1124</v>
      </c>
      <c r="K3637">
        <v>85.55</v>
      </c>
      <c r="L3637">
        <v>974.54</v>
      </c>
      <c r="M3637">
        <v>0</v>
      </c>
      <c r="N3637">
        <v>271737000</v>
      </c>
      <c r="O3637" t="s">
        <v>1479</v>
      </c>
    </row>
    <row r="3638" spans="1:15">
      <c r="A3638" t="s">
        <v>5150</v>
      </c>
      <c r="B3638" s="2">
        <v>40034.930937500001</v>
      </c>
      <c r="C3638" s="2">
        <v>40034.969305555554</v>
      </c>
      <c r="D3638" t="s">
        <v>676</v>
      </c>
      <c r="E3638" t="s">
        <v>5148</v>
      </c>
      <c r="F3638" t="s">
        <v>5149</v>
      </c>
      <c r="G3638" t="s">
        <v>1325</v>
      </c>
      <c r="H3638" t="s">
        <v>1031</v>
      </c>
      <c r="I3638">
        <v>185345009</v>
      </c>
      <c r="J3638" t="s">
        <v>1032</v>
      </c>
      <c r="K3638">
        <v>85.55</v>
      </c>
      <c r="L3638">
        <v>948.35</v>
      </c>
      <c r="M3638">
        <v>0</v>
      </c>
      <c r="N3638">
        <v>39898005</v>
      </c>
      <c r="O3638" t="s">
        <v>2157</v>
      </c>
    </row>
    <row r="3639" spans="1:15">
      <c r="A3639" t="s">
        <v>5151</v>
      </c>
      <c r="B3639" s="2">
        <v>40050.930937500001</v>
      </c>
      <c r="C3639" s="2">
        <v>40050.953344907408</v>
      </c>
      <c r="D3639" t="s">
        <v>676</v>
      </c>
      <c r="E3639" t="s">
        <v>5143</v>
      </c>
      <c r="F3639" t="s">
        <v>5144</v>
      </c>
      <c r="G3639" t="s">
        <v>1122</v>
      </c>
      <c r="H3639" t="s">
        <v>1020</v>
      </c>
      <c r="I3639">
        <v>162673000</v>
      </c>
      <c r="J3639" t="s">
        <v>1021</v>
      </c>
      <c r="K3639">
        <v>136.80000000000001</v>
      </c>
      <c r="L3639">
        <v>996.16</v>
      </c>
      <c r="M3639">
        <v>610.52</v>
      </c>
      <c r="O3639" t="s">
        <v>34</v>
      </c>
    </row>
    <row r="3640" spans="1:15">
      <c r="A3640" t="s">
        <v>5152</v>
      </c>
      <c r="B3640" s="2">
        <v>40065.001574074071</v>
      </c>
      <c r="C3640" s="2">
        <v>40066.001574074071</v>
      </c>
      <c r="D3640" t="s">
        <v>676</v>
      </c>
      <c r="E3640" t="s">
        <v>5148</v>
      </c>
      <c r="F3640" t="s">
        <v>5149</v>
      </c>
      <c r="G3640" t="s">
        <v>1122</v>
      </c>
      <c r="H3640" t="s">
        <v>1431</v>
      </c>
      <c r="I3640">
        <v>185389009</v>
      </c>
      <c r="J3640" t="s">
        <v>5153</v>
      </c>
      <c r="K3640">
        <v>87.71</v>
      </c>
      <c r="L3640">
        <v>997.08</v>
      </c>
      <c r="M3640">
        <v>797.67</v>
      </c>
      <c r="N3640">
        <v>39898005</v>
      </c>
      <c r="O3640" t="s">
        <v>2157</v>
      </c>
    </row>
    <row r="3641" spans="1:15">
      <c r="A3641" t="s">
        <v>5154</v>
      </c>
      <c r="B3641" s="2">
        <v>41520.930937500001</v>
      </c>
      <c r="C3641" s="2">
        <v>41520.962696759256</v>
      </c>
      <c r="D3641" t="s">
        <v>676</v>
      </c>
      <c r="E3641" t="s">
        <v>5143</v>
      </c>
      <c r="F3641" t="s">
        <v>5144</v>
      </c>
      <c r="G3641" t="s">
        <v>1122</v>
      </c>
      <c r="H3641" t="s">
        <v>1020</v>
      </c>
      <c r="I3641">
        <v>162673000</v>
      </c>
      <c r="J3641" t="s">
        <v>1021</v>
      </c>
      <c r="K3641">
        <v>136.80000000000001</v>
      </c>
      <c r="L3641">
        <v>1216.98</v>
      </c>
      <c r="M3641">
        <v>787.18</v>
      </c>
      <c r="O3641" t="s">
        <v>34</v>
      </c>
    </row>
    <row r="3642" spans="1:15">
      <c r="A3642" t="s">
        <v>5155</v>
      </c>
      <c r="B3642" s="2">
        <v>41529.78943287037</v>
      </c>
      <c r="C3642" s="2">
        <v>41529.986608796295</v>
      </c>
      <c r="D3642" t="s">
        <v>676</v>
      </c>
      <c r="E3642" t="s">
        <v>1226</v>
      </c>
      <c r="F3642" t="s">
        <v>1227</v>
      </c>
      <c r="G3642" t="s">
        <v>1122</v>
      </c>
      <c r="H3642" t="s">
        <v>1031</v>
      </c>
      <c r="I3642">
        <v>185347001</v>
      </c>
      <c r="J3642" t="s">
        <v>1124</v>
      </c>
      <c r="K3642">
        <v>85.55</v>
      </c>
      <c r="L3642">
        <v>1444.46</v>
      </c>
      <c r="M3642">
        <v>1155.57</v>
      </c>
      <c r="N3642">
        <v>414545008</v>
      </c>
      <c r="O3642" t="s">
        <v>1228</v>
      </c>
    </row>
    <row r="3643" spans="1:15">
      <c r="A3643" t="s">
        <v>5156</v>
      </c>
      <c r="B3643" s="2">
        <v>41669.889270833337</v>
      </c>
      <c r="C3643" s="2">
        <v>41669.899687500001</v>
      </c>
      <c r="D3643" t="s">
        <v>676</v>
      </c>
      <c r="E3643" t="s">
        <v>5148</v>
      </c>
      <c r="F3643" t="s">
        <v>5149</v>
      </c>
      <c r="G3643" t="s">
        <v>1122</v>
      </c>
      <c r="H3643" t="s">
        <v>1043</v>
      </c>
      <c r="I3643">
        <v>185347001</v>
      </c>
      <c r="J3643" t="s">
        <v>1124</v>
      </c>
      <c r="K3643">
        <v>85.55</v>
      </c>
      <c r="L3643">
        <v>85.55</v>
      </c>
      <c r="M3643">
        <v>68.44</v>
      </c>
      <c r="N3643">
        <v>82423001</v>
      </c>
      <c r="O3643" t="s">
        <v>1542</v>
      </c>
    </row>
    <row r="3644" spans="1:15">
      <c r="A3644" t="s">
        <v>5157</v>
      </c>
      <c r="B3644" s="2">
        <v>42255.930937500001</v>
      </c>
      <c r="C3644" s="2">
        <v>42255.955775462964</v>
      </c>
      <c r="D3644" t="s">
        <v>676</v>
      </c>
      <c r="E3644" t="s">
        <v>5143</v>
      </c>
      <c r="F3644" t="s">
        <v>5144</v>
      </c>
      <c r="G3644" t="s">
        <v>1122</v>
      </c>
      <c r="H3644" t="s">
        <v>1020</v>
      </c>
      <c r="I3644">
        <v>162673000</v>
      </c>
      <c r="J3644" t="s">
        <v>1021</v>
      </c>
      <c r="K3644">
        <v>136.80000000000001</v>
      </c>
      <c r="L3644">
        <v>1359.34</v>
      </c>
      <c r="M3644">
        <v>901.06</v>
      </c>
      <c r="O3644" t="s">
        <v>34</v>
      </c>
    </row>
    <row r="3645" spans="1:15">
      <c r="A3645" t="s">
        <v>5158</v>
      </c>
      <c r="B3645" s="2">
        <v>42990.930937500001</v>
      </c>
      <c r="C3645" s="2">
        <v>42990.956817129627</v>
      </c>
      <c r="D3645" t="s">
        <v>676</v>
      </c>
      <c r="E3645" t="s">
        <v>5143</v>
      </c>
      <c r="F3645" t="s">
        <v>5144</v>
      </c>
      <c r="G3645" t="s">
        <v>1122</v>
      </c>
      <c r="H3645" t="s">
        <v>1020</v>
      </c>
      <c r="I3645">
        <v>162673000</v>
      </c>
      <c r="J3645" t="s">
        <v>1021</v>
      </c>
      <c r="K3645">
        <v>136.80000000000001</v>
      </c>
      <c r="L3645">
        <v>1210.18</v>
      </c>
      <c r="M3645">
        <v>781.74</v>
      </c>
      <c r="O3645" t="s">
        <v>34</v>
      </c>
    </row>
    <row r="3646" spans="1:15">
      <c r="A3646" t="s">
        <v>5159</v>
      </c>
      <c r="B3646" s="2">
        <v>43592.222604166665</v>
      </c>
      <c r="C3646" s="2">
        <v>43592.233020833337</v>
      </c>
      <c r="D3646" t="s">
        <v>676</v>
      </c>
      <c r="E3646" t="s">
        <v>5148</v>
      </c>
      <c r="F3646" t="s">
        <v>5149</v>
      </c>
      <c r="G3646" t="s">
        <v>1122</v>
      </c>
      <c r="H3646" t="s">
        <v>1031</v>
      </c>
      <c r="I3646">
        <v>185345009</v>
      </c>
      <c r="J3646" t="s">
        <v>1032</v>
      </c>
      <c r="K3646">
        <v>85.55</v>
      </c>
      <c r="L3646">
        <v>85.55</v>
      </c>
      <c r="M3646">
        <v>0</v>
      </c>
      <c r="N3646">
        <v>195662009</v>
      </c>
      <c r="O3646" t="s">
        <v>1130</v>
      </c>
    </row>
    <row r="3647" spans="1:15">
      <c r="A3647" t="s">
        <v>5160</v>
      </c>
      <c r="B3647" s="2">
        <v>43662.972604166665</v>
      </c>
      <c r="C3647" s="2">
        <v>43662.983020833337</v>
      </c>
      <c r="D3647" t="s">
        <v>676</v>
      </c>
      <c r="E3647" t="s">
        <v>5148</v>
      </c>
      <c r="F3647" t="s">
        <v>5149</v>
      </c>
      <c r="G3647" t="s">
        <v>1122</v>
      </c>
      <c r="H3647" t="s">
        <v>1031</v>
      </c>
      <c r="I3647">
        <v>185345009</v>
      </c>
      <c r="J3647" t="s">
        <v>1032</v>
      </c>
      <c r="K3647">
        <v>85.55</v>
      </c>
      <c r="L3647">
        <v>85.55</v>
      </c>
      <c r="M3647">
        <v>14.71</v>
      </c>
      <c r="N3647">
        <v>444814009</v>
      </c>
      <c r="O3647" t="s">
        <v>1035</v>
      </c>
    </row>
    <row r="3648" spans="1:15">
      <c r="A3648" t="s">
        <v>5161</v>
      </c>
      <c r="B3648" s="2">
        <v>43697.930937500001</v>
      </c>
      <c r="C3648" s="2">
        <v>43697.955196759256</v>
      </c>
      <c r="D3648" t="s">
        <v>676</v>
      </c>
      <c r="E3648" t="s">
        <v>5143</v>
      </c>
      <c r="F3648" t="s">
        <v>5144</v>
      </c>
      <c r="G3648" t="s">
        <v>1122</v>
      </c>
      <c r="H3648" t="s">
        <v>1020</v>
      </c>
      <c r="I3648">
        <v>162673000</v>
      </c>
      <c r="J3648" t="s">
        <v>1021</v>
      </c>
      <c r="K3648">
        <v>136.80000000000001</v>
      </c>
      <c r="L3648">
        <v>1643.26</v>
      </c>
      <c r="M3648">
        <v>1128.2</v>
      </c>
      <c r="O3648" t="s">
        <v>34</v>
      </c>
    </row>
    <row r="3649" spans="1:15">
      <c r="A3649" t="s">
        <v>5162</v>
      </c>
      <c r="B3649" s="2">
        <v>43711.930937500001</v>
      </c>
      <c r="C3649" s="2">
        <v>43712.193761574075</v>
      </c>
      <c r="D3649" t="s">
        <v>676</v>
      </c>
      <c r="E3649" t="s">
        <v>5148</v>
      </c>
      <c r="F3649" t="s">
        <v>5149</v>
      </c>
      <c r="G3649" t="s">
        <v>1122</v>
      </c>
      <c r="H3649" t="s">
        <v>1031</v>
      </c>
      <c r="I3649">
        <v>185349003</v>
      </c>
      <c r="J3649" t="s">
        <v>1038</v>
      </c>
      <c r="K3649">
        <v>85.55</v>
      </c>
      <c r="L3649">
        <v>4830.95</v>
      </c>
      <c r="M3649">
        <v>3864.76</v>
      </c>
      <c r="N3649">
        <v>103697008</v>
      </c>
      <c r="O3649" t="s">
        <v>1039</v>
      </c>
    </row>
    <row r="3650" spans="1:15">
      <c r="A3650" t="s">
        <v>5163</v>
      </c>
      <c r="B3650" s="2">
        <v>44068.930937500001</v>
      </c>
      <c r="C3650" s="2">
        <v>44068.968877314815</v>
      </c>
      <c r="D3650" t="s">
        <v>676</v>
      </c>
      <c r="E3650" t="s">
        <v>5143</v>
      </c>
      <c r="F3650" t="s">
        <v>5144</v>
      </c>
      <c r="G3650" t="s">
        <v>1122</v>
      </c>
      <c r="H3650" t="s">
        <v>1020</v>
      </c>
      <c r="I3650">
        <v>162673000</v>
      </c>
      <c r="J3650" t="s">
        <v>1021</v>
      </c>
      <c r="K3650">
        <v>136.80000000000001</v>
      </c>
      <c r="L3650">
        <v>1638.14</v>
      </c>
      <c r="M3650">
        <v>1124.0999999999999</v>
      </c>
      <c r="O3650" t="s">
        <v>34</v>
      </c>
    </row>
    <row r="3651" spans="1:15">
      <c r="A3651" t="s">
        <v>5164</v>
      </c>
      <c r="B3651" s="2">
        <v>44089.930937500001</v>
      </c>
      <c r="C3651" s="2">
        <v>44089.941354166665</v>
      </c>
      <c r="D3651" t="s">
        <v>676</v>
      </c>
      <c r="E3651" t="s">
        <v>5148</v>
      </c>
      <c r="F3651" t="s">
        <v>5149</v>
      </c>
      <c r="G3651" t="s">
        <v>1122</v>
      </c>
      <c r="H3651" t="s">
        <v>1031</v>
      </c>
      <c r="I3651">
        <v>390906007</v>
      </c>
      <c r="J3651" t="s">
        <v>1255</v>
      </c>
      <c r="K3651">
        <v>85.55</v>
      </c>
      <c r="L3651">
        <v>85.55</v>
      </c>
      <c r="M3651">
        <v>68.44</v>
      </c>
      <c r="N3651">
        <v>55822004</v>
      </c>
      <c r="O3651" t="s">
        <v>2010</v>
      </c>
    </row>
    <row r="3652" spans="1:15">
      <c r="A3652" t="s">
        <v>5165</v>
      </c>
      <c r="B3652" s="2">
        <v>44271.930937500001</v>
      </c>
      <c r="C3652" s="2">
        <v>44271.941354166665</v>
      </c>
      <c r="D3652" t="s">
        <v>676</v>
      </c>
      <c r="E3652" t="s">
        <v>5148</v>
      </c>
      <c r="F3652" t="s">
        <v>5149</v>
      </c>
      <c r="G3652" t="s">
        <v>1122</v>
      </c>
      <c r="H3652" t="s">
        <v>1043</v>
      </c>
      <c r="I3652">
        <v>33879002</v>
      </c>
      <c r="J3652" t="s">
        <v>1044</v>
      </c>
      <c r="K3652">
        <v>142.58000000000001</v>
      </c>
      <c r="L3652">
        <v>278.58</v>
      </c>
      <c r="M3652">
        <v>222.86</v>
      </c>
      <c r="O3652" t="s">
        <v>34</v>
      </c>
    </row>
    <row r="3653" spans="1:15">
      <c r="A3653" t="s">
        <v>5166</v>
      </c>
      <c r="B3653" s="2">
        <v>44292.930937500001</v>
      </c>
      <c r="C3653" s="2">
        <v>44292.941354166665</v>
      </c>
      <c r="D3653" t="s">
        <v>676</v>
      </c>
      <c r="E3653" t="s">
        <v>5148</v>
      </c>
      <c r="F3653" t="s">
        <v>5149</v>
      </c>
      <c r="G3653" t="s">
        <v>1122</v>
      </c>
      <c r="H3653" t="s">
        <v>1043</v>
      </c>
      <c r="I3653">
        <v>33879002</v>
      </c>
      <c r="J3653" t="s">
        <v>1044</v>
      </c>
      <c r="K3653">
        <v>142.58000000000001</v>
      </c>
      <c r="L3653">
        <v>278.58</v>
      </c>
      <c r="M3653">
        <v>222.86</v>
      </c>
      <c r="O3653" t="s">
        <v>34</v>
      </c>
    </row>
    <row r="3654" spans="1:15">
      <c r="A3654" t="s">
        <v>5167</v>
      </c>
      <c r="B3654" s="2">
        <v>44432.930937500001</v>
      </c>
      <c r="C3654" s="2">
        <v>44432.965150462966</v>
      </c>
      <c r="D3654" t="s">
        <v>676</v>
      </c>
      <c r="E3654" t="s">
        <v>5148</v>
      </c>
      <c r="F3654" t="s">
        <v>5149</v>
      </c>
      <c r="G3654" t="s">
        <v>1122</v>
      </c>
      <c r="H3654" t="s">
        <v>1043</v>
      </c>
      <c r="I3654">
        <v>185349003</v>
      </c>
      <c r="J3654" t="s">
        <v>1038</v>
      </c>
      <c r="K3654">
        <v>85.55</v>
      </c>
      <c r="L3654">
        <v>1240.31</v>
      </c>
      <c r="M3654">
        <v>805.84</v>
      </c>
      <c r="O3654" t="s">
        <v>34</v>
      </c>
    </row>
    <row r="3655" spans="1:15">
      <c r="A3655" t="s">
        <v>5168</v>
      </c>
      <c r="B3655" s="2">
        <v>44439.930937500001</v>
      </c>
      <c r="C3655" s="2">
        <v>44439.941354166665</v>
      </c>
      <c r="D3655" t="s">
        <v>676</v>
      </c>
      <c r="E3655" t="s">
        <v>5143</v>
      </c>
      <c r="F3655" t="s">
        <v>5144</v>
      </c>
      <c r="G3655" t="s">
        <v>1122</v>
      </c>
      <c r="H3655" t="s">
        <v>1020</v>
      </c>
      <c r="I3655">
        <v>162673000</v>
      </c>
      <c r="J3655" t="s">
        <v>1021</v>
      </c>
      <c r="K3655">
        <v>136.80000000000001</v>
      </c>
      <c r="L3655">
        <v>272.8</v>
      </c>
      <c r="M3655">
        <v>218.24</v>
      </c>
      <c r="O3655" t="s">
        <v>34</v>
      </c>
    </row>
    <row r="3656" spans="1:15">
      <c r="A3656" t="s">
        <v>5169</v>
      </c>
      <c r="B3656" s="2">
        <v>44446.930937500001</v>
      </c>
      <c r="C3656" s="2">
        <v>44446.941354166665</v>
      </c>
      <c r="D3656" t="s">
        <v>676</v>
      </c>
      <c r="E3656" t="s">
        <v>5148</v>
      </c>
      <c r="F3656" t="s">
        <v>5149</v>
      </c>
      <c r="G3656" t="s">
        <v>1122</v>
      </c>
      <c r="H3656" t="s">
        <v>1031</v>
      </c>
      <c r="I3656">
        <v>185345009</v>
      </c>
      <c r="J3656" t="s">
        <v>1032</v>
      </c>
      <c r="K3656">
        <v>85.55</v>
      </c>
      <c r="L3656">
        <v>85.55</v>
      </c>
      <c r="M3656">
        <v>68.44</v>
      </c>
      <c r="N3656">
        <v>444814009</v>
      </c>
      <c r="O3656" t="s">
        <v>1035</v>
      </c>
    </row>
    <row r="3657" spans="1:15">
      <c r="A3657" t="s">
        <v>5170</v>
      </c>
      <c r="B3657" s="2">
        <v>44454.930937500001</v>
      </c>
      <c r="C3657" s="2">
        <v>44454.941354166665</v>
      </c>
      <c r="D3657" t="s">
        <v>676</v>
      </c>
      <c r="E3657" t="s">
        <v>5148</v>
      </c>
      <c r="F3657" t="s">
        <v>5149</v>
      </c>
      <c r="G3657" t="s">
        <v>1122</v>
      </c>
      <c r="H3657" t="s">
        <v>1031</v>
      </c>
      <c r="I3657">
        <v>390906007</v>
      </c>
      <c r="J3657" t="s">
        <v>1255</v>
      </c>
      <c r="K3657">
        <v>85.55</v>
      </c>
      <c r="L3657">
        <v>234.71</v>
      </c>
      <c r="M3657">
        <v>187.76</v>
      </c>
      <c r="N3657">
        <v>55822004</v>
      </c>
      <c r="O3657" t="s">
        <v>2010</v>
      </c>
    </row>
    <row r="3658" spans="1:15">
      <c r="A3658" t="s">
        <v>5171</v>
      </c>
      <c r="B3658" s="2">
        <v>44810.930937500001</v>
      </c>
      <c r="C3658" s="2">
        <v>44810.966215277775</v>
      </c>
      <c r="D3658" t="s">
        <v>676</v>
      </c>
      <c r="E3658" t="s">
        <v>5143</v>
      </c>
      <c r="F3658" t="s">
        <v>5144</v>
      </c>
      <c r="G3658" t="s">
        <v>1122</v>
      </c>
      <c r="H3658" t="s">
        <v>1020</v>
      </c>
      <c r="I3658">
        <v>162673000</v>
      </c>
      <c r="J3658" t="s">
        <v>1021</v>
      </c>
      <c r="K3658">
        <v>136.80000000000001</v>
      </c>
      <c r="L3658">
        <v>860.16</v>
      </c>
      <c r="M3658">
        <v>501.72</v>
      </c>
      <c r="O3658" t="s">
        <v>34</v>
      </c>
    </row>
    <row r="3659" spans="1:15">
      <c r="A3659" t="s">
        <v>5172</v>
      </c>
      <c r="B3659" s="2">
        <v>44819.930937500001</v>
      </c>
      <c r="C3659" s="2">
        <v>44819.941354166665</v>
      </c>
      <c r="D3659" t="s">
        <v>676</v>
      </c>
      <c r="E3659" t="s">
        <v>5148</v>
      </c>
      <c r="F3659" t="s">
        <v>5149</v>
      </c>
      <c r="G3659" t="s">
        <v>1122</v>
      </c>
      <c r="H3659" t="s">
        <v>1031</v>
      </c>
      <c r="I3659">
        <v>390906007</v>
      </c>
      <c r="J3659" t="s">
        <v>1255</v>
      </c>
      <c r="K3659">
        <v>85.55</v>
      </c>
      <c r="L3659">
        <v>234.71</v>
      </c>
      <c r="M3659">
        <v>187.76</v>
      </c>
      <c r="N3659">
        <v>55822004</v>
      </c>
      <c r="O3659" t="s">
        <v>2010</v>
      </c>
    </row>
    <row r="3660" spans="1:15">
      <c r="A3660" t="s">
        <v>5173</v>
      </c>
      <c r="B3660" s="2">
        <v>44957.680937500001</v>
      </c>
      <c r="C3660" s="2">
        <v>44957.691354166665</v>
      </c>
      <c r="D3660" t="s">
        <v>676</v>
      </c>
      <c r="E3660" t="s">
        <v>5148</v>
      </c>
      <c r="F3660" t="s">
        <v>5149</v>
      </c>
      <c r="G3660" t="s">
        <v>1122</v>
      </c>
      <c r="H3660" t="s">
        <v>1031</v>
      </c>
      <c r="I3660">
        <v>185345009</v>
      </c>
      <c r="J3660" t="s">
        <v>1032</v>
      </c>
      <c r="K3660">
        <v>85.55</v>
      </c>
      <c r="L3660">
        <v>948.35</v>
      </c>
      <c r="M3660">
        <v>758.68</v>
      </c>
      <c r="N3660">
        <v>195662009</v>
      </c>
      <c r="O3660" t="s">
        <v>1130</v>
      </c>
    </row>
    <row r="3661" spans="1:15">
      <c r="A3661" t="s">
        <v>5174</v>
      </c>
      <c r="B3661" s="2">
        <v>45181.930937500001</v>
      </c>
      <c r="C3661" s="2">
        <v>45181.958564814813</v>
      </c>
      <c r="D3661" t="s">
        <v>676</v>
      </c>
      <c r="E3661" t="s">
        <v>5143</v>
      </c>
      <c r="F3661" t="s">
        <v>5144</v>
      </c>
      <c r="G3661" t="s">
        <v>1122</v>
      </c>
      <c r="H3661" t="s">
        <v>1020</v>
      </c>
      <c r="I3661">
        <v>162673000</v>
      </c>
      <c r="J3661" t="s">
        <v>1021</v>
      </c>
      <c r="K3661">
        <v>136.80000000000001</v>
      </c>
      <c r="L3661">
        <v>785.58</v>
      </c>
      <c r="M3661">
        <v>442.06</v>
      </c>
      <c r="O3661" t="s">
        <v>34</v>
      </c>
    </row>
    <row r="3662" spans="1:15">
      <c r="A3662" t="s">
        <v>5175</v>
      </c>
      <c r="B3662" s="2">
        <v>45184.930937500001</v>
      </c>
      <c r="C3662" s="2">
        <v>45184.941354166665</v>
      </c>
      <c r="D3662" t="s">
        <v>676</v>
      </c>
      <c r="E3662" t="s">
        <v>5148</v>
      </c>
      <c r="F3662" t="s">
        <v>5149</v>
      </c>
      <c r="G3662" t="s">
        <v>1122</v>
      </c>
      <c r="H3662" t="s">
        <v>1031</v>
      </c>
      <c r="I3662">
        <v>390906007</v>
      </c>
      <c r="J3662" t="s">
        <v>1255</v>
      </c>
      <c r="K3662">
        <v>85.55</v>
      </c>
      <c r="L3662">
        <v>234.71</v>
      </c>
      <c r="M3662">
        <v>187.76</v>
      </c>
      <c r="N3662">
        <v>55822004</v>
      </c>
      <c r="O3662" t="s">
        <v>2010</v>
      </c>
    </row>
    <row r="3663" spans="1:15">
      <c r="A3663" t="s">
        <v>5176</v>
      </c>
      <c r="B3663" s="2">
        <v>45195.930937500001</v>
      </c>
      <c r="C3663" s="2">
        <v>45196.08699074074</v>
      </c>
      <c r="D3663" t="s">
        <v>676</v>
      </c>
      <c r="E3663" t="s">
        <v>5148</v>
      </c>
      <c r="F3663" t="s">
        <v>5149</v>
      </c>
      <c r="G3663" t="s">
        <v>1122</v>
      </c>
      <c r="H3663" t="s">
        <v>1031</v>
      </c>
      <c r="I3663">
        <v>185349003</v>
      </c>
      <c r="J3663" t="s">
        <v>1038</v>
      </c>
      <c r="K3663">
        <v>85.55</v>
      </c>
      <c r="L3663">
        <v>3105.35</v>
      </c>
      <c r="M3663">
        <v>2484.2800000000002</v>
      </c>
      <c r="N3663">
        <v>66383009</v>
      </c>
      <c r="O3663" t="s">
        <v>1209</v>
      </c>
    </row>
    <row r="3664" spans="1:15">
      <c r="A3664" t="s">
        <v>5177</v>
      </c>
      <c r="B3664" s="2">
        <v>45552.930937500001</v>
      </c>
      <c r="C3664" s="2">
        <v>45552.95684027778</v>
      </c>
      <c r="D3664" t="s">
        <v>676</v>
      </c>
      <c r="E3664" t="s">
        <v>5143</v>
      </c>
      <c r="F3664" t="s">
        <v>5144</v>
      </c>
      <c r="G3664" t="s">
        <v>1122</v>
      </c>
      <c r="H3664" t="s">
        <v>1020</v>
      </c>
      <c r="I3664">
        <v>162673000</v>
      </c>
      <c r="J3664" t="s">
        <v>1021</v>
      </c>
      <c r="K3664">
        <v>136.80000000000001</v>
      </c>
      <c r="L3664">
        <v>1216.98</v>
      </c>
      <c r="M3664">
        <v>787.18</v>
      </c>
      <c r="O3664" t="s">
        <v>34</v>
      </c>
    </row>
    <row r="3665" spans="1:15">
      <c r="A3665" t="s">
        <v>5178</v>
      </c>
      <c r="B3665" s="2">
        <v>45559.930937500001</v>
      </c>
      <c r="C3665" s="2">
        <v>45559.941354166665</v>
      </c>
      <c r="D3665" t="s">
        <v>676</v>
      </c>
      <c r="E3665" t="s">
        <v>5148</v>
      </c>
      <c r="F3665" t="s">
        <v>5149</v>
      </c>
      <c r="G3665" t="s">
        <v>1122</v>
      </c>
      <c r="H3665" t="s">
        <v>1031</v>
      </c>
      <c r="I3665">
        <v>390906007</v>
      </c>
      <c r="J3665" t="s">
        <v>1255</v>
      </c>
      <c r="K3665">
        <v>85.55</v>
      </c>
      <c r="L3665">
        <v>234.71</v>
      </c>
      <c r="M3665">
        <v>187.76</v>
      </c>
      <c r="N3665">
        <v>55822004</v>
      </c>
      <c r="O3665" t="s">
        <v>2010</v>
      </c>
    </row>
    <row r="3666" spans="1:15">
      <c r="A3666" t="s">
        <v>5179</v>
      </c>
      <c r="B3666" s="2">
        <v>45566.930937500001</v>
      </c>
      <c r="C3666" s="2">
        <v>45567.172581018516</v>
      </c>
      <c r="D3666" t="s">
        <v>676</v>
      </c>
      <c r="E3666" t="s">
        <v>5148</v>
      </c>
      <c r="F3666" t="s">
        <v>5149</v>
      </c>
      <c r="G3666" t="s">
        <v>1122</v>
      </c>
      <c r="H3666" t="s">
        <v>1031</v>
      </c>
      <c r="I3666">
        <v>185349003</v>
      </c>
      <c r="J3666" t="s">
        <v>1038</v>
      </c>
      <c r="K3666">
        <v>85.55</v>
      </c>
      <c r="L3666">
        <v>4399.55</v>
      </c>
      <c r="M3666">
        <v>3519.64</v>
      </c>
      <c r="N3666">
        <v>66383009</v>
      </c>
      <c r="O3666" t="s">
        <v>1209</v>
      </c>
    </row>
    <row r="3667" spans="1:15">
      <c r="A3667" t="s">
        <v>5180</v>
      </c>
      <c r="B3667" s="2">
        <v>45923.930937500001</v>
      </c>
      <c r="C3667" s="2">
        <v>45923.961956018517</v>
      </c>
      <c r="D3667" t="s">
        <v>676</v>
      </c>
      <c r="E3667" t="s">
        <v>5143</v>
      </c>
      <c r="F3667" t="s">
        <v>5144</v>
      </c>
      <c r="G3667" t="s">
        <v>1122</v>
      </c>
      <c r="H3667" t="s">
        <v>1020</v>
      </c>
      <c r="I3667">
        <v>162673000</v>
      </c>
      <c r="J3667" t="s">
        <v>1021</v>
      </c>
      <c r="K3667">
        <v>136.80000000000001</v>
      </c>
      <c r="L3667">
        <v>1913.16</v>
      </c>
      <c r="M3667">
        <v>1344.12</v>
      </c>
      <c r="O3667" t="s">
        <v>34</v>
      </c>
    </row>
    <row r="3668" spans="1:15">
      <c r="A3668" t="s">
        <v>5181</v>
      </c>
      <c r="B3668" s="2">
        <v>45924.930937500001</v>
      </c>
      <c r="C3668" s="2">
        <v>45924.941354166665</v>
      </c>
      <c r="D3668" t="s">
        <v>676</v>
      </c>
      <c r="E3668" t="s">
        <v>5148</v>
      </c>
      <c r="F3668" t="s">
        <v>5149</v>
      </c>
      <c r="G3668" t="s">
        <v>1122</v>
      </c>
      <c r="H3668" t="s">
        <v>1031</v>
      </c>
      <c r="I3668">
        <v>390906007</v>
      </c>
      <c r="J3668" t="s">
        <v>1255</v>
      </c>
      <c r="K3668">
        <v>85.55</v>
      </c>
      <c r="L3668">
        <v>234.71</v>
      </c>
      <c r="M3668">
        <v>187.76</v>
      </c>
      <c r="N3668">
        <v>55822004</v>
      </c>
      <c r="O3668" t="s">
        <v>2010</v>
      </c>
    </row>
    <row r="3669" spans="1:15">
      <c r="A3669" t="s">
        <v>5182</v>
      </c>
      <c r="B3669" s="2">
        <v>45937.930937500001</v>
      </c>
      <c r="C3669" s="2">
        <v>45938.038391203707</v>
      </c>
      <c r="D3669" t="s">
        <v>676</v>
      </c>
      <c r="E3669" t="s">
        <v>5148</v>
      </c>
      <c r="F3669" t="s">
        <v>5149</v>
      </c>
      <c r="G3669" t="s">
        <v>1122</v>
      </c>
      <c r="H3669" t="s">
        <v>1031</v>
      </c>
      <c r="I3669">
        <v>185349003</v>
      </c>
      <c r="J3669" t="s">
        <v>1038</v>
      </c>
      <c r="K3669">
        <v>85.55</v>
      </c>
      <c r="L3669">
        <v>2673.95</v>
      </c>
      <c r="M3669">
        <v>2139.16</v>
      </c>
      <c r="N3669">
        <v>66383009</v>
      </c>
      <c r="O3669" t="s">
        <v>1209</v>
      </c>
    </row>
    <row r="3670" spans="1:15">
      <c r="A3670" t="s">
        <v>5183</v>
      </c>
      <c r="B3670" s="2">
        <v>24003.082523148147</v>
      </c>
      <c r="C3670" s="2">
        <v>24003.092939814815</v>
      </c>
      <c r="D3670" t="s">
        <v>683</v>
      </c>
      <c r="E3670" t="s">
        <v>1303</v>
      </c>
      <c r="F3670" t="s">
        <v>1304</v>
      </c>
      <c r="G3670" t="s">
        <v>1019</v>
      </c>
      <c r="H3670" t="s">
        <v>1031</v>
      </c>
      <c r="I3670">
        <v>185345009</v>
      </c>
      <c r="J3670" t="s">
        <v>1032</v>
      </c>
      <c r="K3670">
        <v>85.55</v>
      </c>
      <c r="L3670">
        <v>85.55</v>
      </c>
      <c r="M3670">
        <v>0</v>
      </c>
      <c r="N3670">
        <v>232353008</v>
      </c>
      <c r="O3670" t="s">
        <v>1196</v>
      </c>
    </row>
    <row r="3671" spans="1:15">
      <c r="A3671" t="s">
        <v>5184</v>
      </c>
      <c r="B3671" s="2">
        <v>24009.790856481482</v>
      </c>
      <c r="C3671" s="2">
        <v>24009.801273148147</v>
      </c>
      <c r="D3671" t="s">
        <v>683</v>
      </c>
      <c r="E3671" t="s">
        <v>1303</v>
      </c>
      <c r="F3671" t="s">
        <v>1304</v>
      </c>
      <c r="G3671" t="s">
        <v>1019</v>
      </c>
      <c r="H3671" t="s">
        <v>1031</v>
      </c>
      <c r="I3671">
        <v>185347001</v>
      </c>
      <c r="J3671" t="s">
        <v>1124</v>
      </c>
      <c r="K3671">
        <v>85.55</v>
      </c>
      <c r="L3671">
        <v>85.55</v>
      </c>
      <c r="M3671">
        <v>0</v>
      </c>
      <c r="N3671">
        <v>609328004</v>
      </c>
      <c r="O3671" t="s">
        <v>1137</v>
      </c>
    </row>
    <row r="3672" spans="1:15">
      <c r="A3672" t="s">
        <v>5185</v>
      </c>
      <c r="B3672" s="2">
        <v>29262.040856481482</v>
      </c>
      <c r="C3672" s="2">
        <v>29262.061747685184</v>
      </c>
      <c r="D3672" t="s">
        <v>683</v>
      </c>
      <c r="E3672" t="s">
        <v>2149</v>
      </c>
      <c r="F3672" t="s">
        <v>2150</v>
      </c>
      <c r="G3672" t="s">
        <v>1019</v>
      </c>
      <c r="H3672" t="s">
        <v>1020</v>
      </c>
      <c r="I3672">
        <v>162673000</v>
      </c>
      <c r="J3672" t="s">
        <v>1021</v>
      </c>
      <c r="K3672">
        <v>136.80000000000001</v>
      </c>
      <c r="L3672">
        <v>1215.3499999999999</v>
      </c>
      <c r="M3672">
        <v>0</v>
      </c>
      <c r="O3672" t="s">
        <v>34</v>
      </c>
    </row>
    <row r="3673" spans="1:15">
      <c r="A3673" t="s">
        <v>5186</v>
      </c>
      <c r="B3673" s="2">
        <v>31250.082523148147</v>
      </c>
      <c r="C3673" s="2">
        <v>31250.105625</v>
      </c>
      <c r="D3673" t="s">
        <v>683</v>
      </c>
      <c r="E3673" t="s">
        <v>2176</v>
      </c>
      <c r="F3673" t="s">
        <v>2177</v>
      </c>
      <c r="G3673" t="s">
        <v>1019</v>
      </c>
      <c r="H3673" t="s">
        <v>1159</v>
      </c>
      <c r="I3673">
        <v>702927004</v>
      </c>
      <c r="J3673" t="s">
        <v>1160</v>
      </c>
      <c r="K3673">
        <v>142.58000000000001</v>
      </c>
      <c r="L3673">
        <v>1061.68</v>
      </c>
      <c r="M3673">
        <v>0</v>
      </c>
      <c r="O3673" t="s">
        <v>34</v>
      </c>
    </row>
    <row r="3674" spans="1:15">
      <c r="A3674" t="s">
        <v>5187</v>
      </c>
      <c r="B3674" s="2">
        <v>32930.040856481479</v>
      </c>
      <c r="C3674" s="2">
        <v>32930.073437500003</v>
      </c>
      <c r="D3674" t="s">
        <v>683</v>
      </c>
      <c r="E3674" t="s">
        <v>2149</v>
      </c>
      <c r="F3674" t="s">
        <v>2150</v>
      </c>
      <c r="G3674" t="s">
        <v>1019</v>
      </c>
      <c r="H3674" t="s">
        <v>1020</v>
      </c>
      <c r="I3674">
        <v>162673000</v>
      </c>
      <c r="J3674" t="s">
        <v>1021</v>
      </c>
      <c r="K3674">
        <v>136.80000000000001</v>
      </c>
      <c r="L3674">
        <v>1591.74</v>
      </c>
      <c r="M3674">
        <v>0</v>
      </c>
      <c r="O3674" t="s">
        <v>34</v>
      </c>
    </row>
    <row r="3675" spans="1:15">
      <c r="A3675" t="s">
        <v>5188</v>
      </c>
      <c r="B3675" s="2">
        <v>37725.08252314815</v>
      </c>
      <c r="C3675" s="2">
        <v>37732.749189814815</v>
      </c>
      <c r="D3675" t="s">
        <v>683</v>
      </c>
      <c r="E3675" t="s">
        <v>5189</v>
      </c>
      <c r="F3675" t="s">
        <v>5190</v>
      </c>
      <c r="G3675" t="s">
        <v>1019</v>
      </c>
      <c r="H3675" t="s">
        <v>1076</v>
      </c>
      <c r="I3675">
        <v>185347001</v>
      </c>
      <c r="J3675" t="s">
        <v>1124</v>
      </c>
      <c r="K3675">
        <v>87.71</v>
      </c>
      <c r="L3675">
        <v>1025.0899999999999</v>
      </c>
      <c r="M3675">
        <v>0</v>
      </c>
      <c r="N3675">
        <v>91302008</v>
      </c>
      <c r="O3675" t="s">
        <v>1951</v>
      </c>
    </row>
    <row r="3676" spans="1:15">
      <c r="A3676" t="s">
        <v>5191</v>
      </c>
      <c r="B3676" s="2">
        <v>40189.040856481479</v>
      </c>
      <c r="C3676" s="2">
        <v>40189.082002314812</v>
      </c>
      <c r="D3676" t="s">
        <v>683</v>
      </c>
      <c r="E3676" t="s">
        <v>2149</v>
      </c>
      <c r="F3676" t="s">
        <v>2150</v>
      </c>
      <c r="G3676" t="s">
        <v>1019</v>
      </c>
      <c r="H3676" t="s">
        <v>1020</v>
      </c>
      <c r="I3676">
        <v>162673000</v>
      </c>
      <c r="J3676" t="s">
        <v>1021</v>
      </c>
      <c r="K3676">
        <v>136.80000000000001</v>
      </c>
      <c r="L3676">
        <v>962.26</v>
      </c>
      <c r="M3676">
        <v>0</v>
      </c>
      <c r="O3676" t="s">
        <v>34</v>
      </c>
    </row>
    <row r="3677" spans="1:15">
      <c r="A3677" t="s">
        <v>5192</v>
      </c>
      <c r="B3677" s="2">
        <v>41675.040856481479</v>
      </c>
      <c r="C3677" s="2">
        <v>41675.05127314815</v>
      </c>
      <c r="D3677" t="s">
        <v>683</v>
      </c>
      <c r="E3677" t="s">
        <v>1303</v>
      </c>
      <c r="F3677" t="s">
        <v>1304</v>
      </c>
      <c r="G3677" t="s">
        <v>1019</v>
      </c>
      <c r="H3677" t="s">
        <v>1043</v>
      </c>
      <c r="I3677">
        <v>185347001</v>
      </c>
      <c r="J3677" t="s">
        <v>1124</v>
      </c>
      <c r="K3677">
        <v>85.55</v>
      </c>
      <c r="L3677">
        <v>85.55</v>
      </c>
      <c r="M3677">
        <v>0</v>
      </c>
      <c r="N3677">
        <v>82423001</v>
      </c>
      <c r="O3677" t="s">
        <v>1542</v>
      </c>
    </row>
    <row r="3678" spans="1:15">
      <c r="A3678" t="s">
        <v>5193</v>
      </c>
      <c r="B3678" s="2">
        <v>42044.040856481479</v>
      </c>
      <c r="C3678" s="2">
        <v>42044.062893518516</v>
      </c>
      <c r="D3678" t="s">
        <v>683</v>
      </c>
      <c r="E3678" t="s">
        <v>2149</v>
      </c>
      <c r="F3678" t="s">
        <v>2150</v>
      </c>
      <c r="G3678" t="s">
        <v>1122</v>
      </c>
      <c r="H3678" t="s">
        <v>1020</v>
      </c>
      <c r="I3678">
        <v>162673000</v>
      </c>
      <c r="J3678" t="s">
        <v>1021</v>
      </c>
      <c r="K3678">
        <v>136.80000000000001</v>
      </c>
      <c r="L3678">
        <v>919.9</v>
      </c>
      <c r="M3678">
        <v>570.20000000000005</v>
      </c>
      <c r="O3678" t="s">
        <v>34</v>
      </c>
    </row>
    <row r="3679" spans="1:15">
      <c r="A3679" t="s">
        <v>5194</v>
      </c>
      <c r="B3679" s="2">
        <v>42415.040856481479</v>
      </c>
      <c r="C3679" s="2">
        <v>42415.078136574077</v>
      </c>
      <c r="D3679" t="s">
        <v>683</v>
      </c>
      <c r="E3679" t="s">
        <v>2149</v>
      </c>
      <c r="F3679" t="s">
        <v>2150</v>
      </c>
      <c r="G3679" t="s">
        <v>1122</v>
      </c>
      <c r="H3679" t="s">
        <v>1020</v>
      </c>
      <c r="I3679">
        <v>162673000</v>
      </c>
      <c r="J3679" t="s">
        <v>1021</v>
      </c>
      <c r="K3679">
        <v>136.80000000000001</v>
      </c>
      <c r="L3679">
        <v>1057.56</v>
      </c>
      <c r="M3679">
        <v>688.14</v>
      </c>
      <c r="O3679" t="s">
        <v>34</v>
      </c>
    </row>
    <row r="3680" spans="1:15">
      <c r="A3680" t="s">
        <v>5195</v>
      </c>
      <c r="B3680" s="2">
        <v>42786.040856481479</v>
      </c>
      <c r="C3680" s="2">
        <v>42786.062199074076</v>
      </c>
      <c r="D3680" t="s">
        <v>683</v>
      </c>
      <c r="E3680" t="s">
        <v>2149</v>
      </c>
      <c r="F3680" t="s">
        <v>2150</v>
      </c>
      <c r="G3680" t="s">
        <v>1122</v>
      </c>
      <c r="H3680" t="s">
        <v>1020</v>
      </c>
      <c r="I3680">
        <v>162673000</v>
      </c>
      <c r="J3680" t="s">
        <v>1021</v>
      </c>
      <c r="K3680">
        <v>136.80000000000001</v>
      </c>
      <c r="L3680">
        <v>778.78</v>
      </c>
      <c r="M3680">
        <v>471.85</v>
      </c>
      <c r="O3680" t="s">
        <v>34</v>
      </c>
    </row>
    <row r="3681" spans="1:15">
      <c r="A3681" t="s">
        <v>5196</v>
      </c>
      <c r="B3681" s="2">
        <v>42990.499189814815</v>
      </c>
      <c r="C3681" s="2">
        <v>42990.509606481479</v>
      </c>
      <c r="D3681" t="s">
        <v>683</v>
      </c>
      <c r="E3681" t="s">
        <v>1303</v>
      </c>
      <c r="F3681" t="s">
        <v>1304</v>
      </c>
      <c r="G3681" t="s">
        <v>1122</v>
      </c>
      <c r="H3681" t="s">
        <v>1031</v>
      </c>
      <c r="I3681">
        <v>185345009</v>
      </c>
      <c r="J3681" t="s">
        <v>1032</v>
      </c>
      <c r="K3681">
        <v>85.55</v>
      </c>
      <c r="L3681">
        <v>85.55</v>
      </c>
      <c r="M3681">
        <v>68.44</v>
      </c>
      <c r="N3681">
        <v>444814009</v>
      </c>
      <c r="O3681" t="s">
        <v>1035</v>
      </c>
    </row>
    <row r="3682" spans="1:15">
      <c r="A3682" t="s">
        <v>5197</v>
      </c>
      <c r="B3682" s="2">
        <v>43157.040856481479</v>
      </c>
      <c r="C3682" s="2">
        <v>43157.064965277779</v>
      </c>
      <c r="D3682" t="s">
        <v>683</v>
      </c>
      <c r="E3682" t="s">
        <v>2149</v>
      </c>
      <c r="F3682" t="s">
        <v>2150</v>
      </c>
      <c r="G3682" t="s">
        <v>1122</v>
      </c>
      <c r="H3682" t="s">
        <v>1020</v>
      </c>
      <c r="I3682">
        <v>162673000</v>
      </c>
      <c r="J3682" t="s">
        <v>1021</v>
      </c>
      <c r="K3682">
        <v>136.80000000000001</v>
      </c>
      <c r="L3682">
        <v>778.78</v>
      </c>
      <c r="M3682">
        <v>490.24</v>
      </c>
      <c r="O3682" t="s">
        <v>34</v>
      </c>
    </row>
    <row r="3683" spans="1:15">
      <c r="A3683" t="s">
        <v>5198</v>
      </c>
      <c r="B3683" s="2">
        <v>43528.040856481479</v>
      </c>
      <c r="C3683" s="2">
        <v>43528.082349537035</v>
      </c>
      <c r="D3683" t="s">
        <v>683</v>
      </c>
      <c r="E3683" t="s">
        <v>2149</v>
      </c>
      <c r="F3683" t="s">
        <v>2150</v>
      </c>
      <c r="G3683" t="s">
        <v>1122</v>
      </c>
      <c r="H3683" t="s">
        <v>1020</v>
      </c>
      <c r="I3683">
        <v>162673000</v>
      </c>
      <c r="J3683" t="s">
        <v>1021</v>
      </c>
      <c r="K3683">
        <v>136.80000000000001</v>
      </c>
      <c r="L3683">
        <v>919.9</v>
      </c>
      <c r="M3683">
        <v>606.70000000000005</v>
      </c>
      <c r="O3683" t="s">
        <v>34</v>
      </c>
    </row>
    <row r="3684" spans="1:15">
      <c r="A3684" t="s">
        <v>5199</v>
      </c>
      <c r="B3684" s="2">
        <v>43542.08252314815</v>
      </c>
      <c r="C3684" s="2">
        <v>43542.238368055558</v>
      </c>
      <c r="D3684" t="s">
        <v>683</v>
      </c>
      <c r="E3684" t="s">
        <v>1303</v>
      </c>
      <c r="F3684" t="s">
        <v>1304</v>
      </c>
      <c r="G3684" t="s">
        <v>1122</v>
      </c>
      <c r="H3684" t="s">
        <v>1031</v>
      </c>
      <c r="I3684">
        <v>185349003</v>
      </c>
      <c r="J3684" t="s">
        <v>1038</v>
      </c>
      <c r="K3684">
        <v>85.55</v>
      </c>
      <c r="L3684">
        <v>3105.35</v>
      </c>
      <c r="M3684">
        <v>2484.2800000000002</v>
      </c>
      <c r="N3684">
        <v>66383009</v>
      </c>
      <c r="O3684" t="s">
        <v>1209</v>
      </c>
    </row>
    <row r="3685" spans="1:15">
      <c r="A3685" t="s">
        <v>5200</v>
      </c>
      <c r="B3685" s="2">
        <v>43899.08252314815</v>
      </c>
      <c r="C3685" s="2">
        <v>43899.11859953704</v>
      </c>
      <c r="D3685" t="s">
        <v>683</v>
      </c>
      <c r="E3685" t="s">
        <v>2149</v>
      </c>
      <c r="F3685" t="s">
        <v>2150</v>
      </c>
      <c r="G3685" t="s">
        <v>1122</v>
      </c>
      <c r="H3685" t="s">
        <v>1020</v>
      </c>
      <c r="I3685">
        <v>162673000</v>
      </c>
      <c r="J3685" t="s">
        <v>1021</v>
      </c>
      <c r="K3685">
        <v>136.80000000000001</v>
      </c>
      <c r="L3685">
        <v>778.78</v>
      </c>
      <c r="M3685">
        <v>481</v>
      </c>
      <c r="O3685" t="s">
        <v>34</v>
      </c>
    </row>
    <row r="3686" spans="1:15">
      <c r="A3686" t="s">
        <v>5201</v>
      </c>
      <c r="B3686" s="2">
        <v>43906.08252314815</v>
      </c>
      <c r="C3686" s="2">
        <v>43906.120995370373</v>
      </c>
      <c r="D3686" t="s">
        <v>683</v>
      </c>
      <c r="E3686" t="s">
        <v>1226</v>
      </c>
      <c r="F3686" t="s">
        <v>1227</v>
      </c>
      <c r="G3686" t="s">
        <v>1122</v>
      </c>
      <c r="H3686" t="s">
        <v>1031</v>
      </c>
      <c r="I3686">
        <v>185347001</v>
      </c>
      <c r="J3686" t="s">
        <v>1124</v>
      </c>
      <c r="K3686">
        <v>85.55</v>
      </c>
      <c r="L3686">
        <v>516.95000000000005</v>
      </c>
      <c r="M3686">
        <v>413.56</v>
      </c>
      <c r="N3686">
        <v>414545008</v>
      </c>
      <c r="O3686" t="s">
        <v>1228</v>
      </c>
    </row>
    <row r="3687" spans="1:15">
      <c r="A3687" t="s">
        <v>5202</v>
      </c>
      <c r="B3687" s="2">
        <v>43909.870995370373</v>
      </c>
      <c r="C3687" s="2">
        <v>43910.068229166667</v>
      </c>
      <c r="D3687" t="s">
        <v>683</v>
      </c>
      <c r="E3687" t="s">
        <v>1226</v>
      </c>
      <c r="F3687" t="s">
        <v>1227</v>
      </c>
      <c r="G3687" t="s">
        <v>1122</v>
      </c>
      <c r="H3687" t="s">
        <v>1031</v>
      </c>
      <c r="I3687">
        <v>185347001</v>
      </c>
      <c r="J3687" t="s">
        <v>1124</v>
      </c>
      <c r="K3687">
        <v>85.55</v>
      </c>
      <c r="L3687">
        <v>1444.46</v>
      </c>
      <c r="M3687">
        <v>1155.57</v>
      </c>
      <c r="N3687">
        <v>414545008</v>
      </c>
      <c r="O3687" t="s">
        <v>1228</v>
      </c>
    </row>
    <row r="3688" spans="1:15">
      <c r="A3688" t="s">
        <v>5203</v>
      </c>
      <c r="B3688" s="2">
        <v>43912.984895833331</v>
      </c>
      <c r="C3688" s="2">
        <v>43913.046724537038</v>
      </c>
      <c r="D3688" t="s">
        <v>683</v>
      </c>
      <c r="E3688" t="s">
        <v>1226</v>
      </c>
      <c r="F3688" t="s">
        <v>1227</v>
      </c>
      <c r="G3688" t="s">
        <v>1122</v>
      </c>
      <c r="H3688" t="s">
        <v>1031</v>
      </c>
      <c r="I3688">
        <v>185347001</v>
      </c>
      <c r="J3688" t="s">
        <v>1124</v>
      </c>
      <c r="K3688">
        <v>85.55</v>
      </c>
      <c r="L3688">
        <v>10706.16</v>
      </c>
      <c r="M3688">
        <v>8564.93</v>
      </c>
      <c r="N3688">
        <v>414545008</v>
      </c>
      <c r="O3688" t="s">
        <v>1228</v>
      </c>
    </row>
    <row r="3689" spans="1:15">
      <c r="A3689" t="s">
        <v>5204</v>
      </c>
      <c r="B3689" s="2">
        <v>44060.540856481479</v>
      </c>
      <c r="C3689" s="2">
        <v>44060.55127314815</v>
      </c>
      <c r="D3689" t="s">
        <v>683</v>
      </c>
      <c r="E3689" t="s">
        <v>1303</v>
      </c>
      <c r="F3689" t="s">
        <v>1304</v>
      </c>
      <c r="G3689" t="s">
        <v>1122</v>
      </c>
      <c r="H3689" t="s">
        <v>1031</v>
      </c>
      <c r="I3689">
        <v>185345009</v>
      </c>
      <c r="J3689" t="s">
        <v>1032</v>
      </c>
      <c r="K3689">
        <v>85.55</v>
      </c>
      <c r="L3689">
        <v>85.55</v>
      </c>
      <c r="M3689">
        <v>68.44</v>
      </c>
      <c r="N3689">
        <v>444814009</v>
      </c>
      <c r="O3689" t="s">
        <v>1035</v>
      </c>
    </row>
    <row r="3690" spans="1:15">
      <c r="A3690" t="s">
        <v>5205</v>
      </c>
      <c r="B3690" s="2">
        <v>44270.08252314815</v>
      </c>
      <c r="C3690" s="2">
        <v>44270.122789351852</v>
      </c>
      <c r="D3690" t="s">
        <v>683</v>
      </c>
      <c r="E3690" t="s">
        <v>2149</v>
      </c>
      <c r="F3690" t="s">
        <v>2150</v>
      </c>
      <c r="G3690" t="s">
        <v>1122</v>
      </c>
      <c r="H3690" t="s">
        <v>1020</v>
      </c>
      <c r="I3690">
        <v>162673000</v>
      </c>
      <c r="J3690" t="s">
        <v>1021</v>
      </c>
      <c r="K3690">
        <v>136.80000000000001</v>
      </c>
      <c r="L3690">
        <v>1101.6300000000001</v>
      </c>
      <c r="M3690">
        <v>700.51</v>
      </c>
      <c r="O3690" t="s">
        <v>34</v>
      </c>
    </row>
    <row r="3691" spans="1:15">
      <c r="A3691" t="s">
        <v>5206</v>
      </c>
      <c r="B3691" s="2">
        <v>44284.08252314815</v>
      </c>
      <c r="C3691" s="2">
        <v>44284.233842592592</v>
      </c>
      <c r="D3691" t="s">
        <v>683</v>
      </c>
      <c r="E3691" t="s">
        <v>1303</v>
      </c>
      <c r="F3691" t="s">
        <v>1304</v>
      </c>
      <c r="G3691" t="s">
        <v>1122</v>
      </c>
      <c r="H3691" t="s">
        <v>1031</v>
      </c>
      <c r="I3691">
        <v>185349003</v>
      </c>
      <c r="J3691" t="s">
        <v>1038</v>
      </c>
      <c r="K3691">
        <v>85.55</v>
      </c>
      <c r="L3691">
        <v>3105.35</v>
      </c>
      <c r="M3691">
        <v>2484.2800000000002</v>
      </c>
      <c r="N3691">
        <v>66383009</v>
      </c>
      <c r="O3691" t="s">
        <v>1209</v>
      </c>
    </row>
    <row r="3692" spans="1:15">
      <c r="A3692" t="s">
        <v>5207</v>
      </c>
      <c r="B3692" s="2">
        <v>44340.08252314815</v>
      </c>
      <c r="C3692" s="2">
        <v>44340.092939814815</v>
      </c>
      <c r="D3692" t="s">
        <v>683</v>
      </c>
      <c r="E3692" t="s">
        <v>1303</v>
      </c>
      <c r="F3692" t="s">
        <v>1304</v>
      </c>
      <c r="G3692" t="s">
        <v>1122</v>
      </c>
      <c r="H3692" t="s">
        <v>1043</v>
      </c>
      <c r="I3692">
        <v>33879002</v>
      </c>
      <c r="J3692" t="s">
        <v>1044</v>
      </c>
      <c r="K3692">
        <v>142.58000000000001</v>
      </c>
      <c r="L3692">
        <v>278.58</v>
      </c>
      <c r="M3692">
        <v>222.86</v>
      </c>
      <c r="O3692" t="s">
        <v>34</v>
      </c>
    </row>
    <row r="3693" spans="1:15">
      <c r="A3693" t="s">
        <v>5208</v>
      </c>
      <c r="B3693" s="2">
        <v>44368.08252314815</v>
      </c>
      <c r="C3693" s="2">
        <v>44368.092939814815</v>
      </c>
      <c r="D3693" t="s">
        <v>683</v>
      </c>
      <c r="E3693" t="s">
        <v>1303</v>
      </c>
      <c r="F3693" t="s">
        <v>1304</v>
      </c>
      <c r="G3693" t="s">
        <v>1122</v>
      </c>
      <c r="H3693" t="s">
        <v>1043</v>
      </c>
      <c r="I3693">
        <v>33879002</v>
      </c>
      <c r="J3693" t="s">
        <v>1044</v>
      </c>
      <c r="K3693">
        <v>142.58000000000001</v>
      </c>
      <c r="L3693">
        <v>278.58</v>
      </c>
      <c r="M3693">
        <v>222.86</v>
      </c>
      <c r="O3693" t="s">
        <v>34</v>
      </c>
    </row>
    <row r="3694" spans="1:15">
      <c r="A3694" t="s">
        <v>5209</v>
      </c>
      <c r="B3694" s="2">
        <v>44603.040856481479</v>
      </c>
      <c r="C3694" s="2">
        <v>44603.08252314815</v>
      </c>
      <c r="D3694" t="s">
        <v>683</v>
      </c>
      <c r="E3694" t="s">
        <v>5189</v>
      </c>
      <c r="F3694" t="s">
        <v>5190</v>
      </c>
      <c r="G3694" t="s">
        <v>1122</v>
      </c>
      <c r="H3694" t="s">
        <v>1076</v>
      </c>
      <c r="I3694">
        <v>50849002</v>
      </c>
      <c r="J3694" t="s">
        <v>1163</v>
      </c>
      <c r="K3694">
        <v>146.18</v>
      </c>
      <c r="L3694">
        <v>4140.8900000000003</v>
      </c>
      <c r="M3694">
        <v>3199.69</v>
      </c>
      <c r="N3694">
        <v>312608009</v>
      </c>
      <c r="O3694" t="s">
        <v>1249</v>
      </c>
    </row>
    <row r="3695" spans="1:15">
      <c r="A3695" t="s">
        <v>5210</v>
      </c>
      <c r="B3695" s="2">
        <v>44641.08252314815</v>
      </c>
      <c r="C3695" s="2">
        <v>44641.10869212963</v>
      </c>
      <c r="D3695" t="s">
        <v>683</v>
      </c>
      <c r="E3695" t="s">
        <v>2149</v>
      </c>
      <c r="F3695" t="s">
        <v>2150</v>
      </c>
      <c r="G3695" t="s">
        <v>1122</v>
      </c>
      <c r="H3695" t="s">
        <v>1020</v>
      </c>
      <c r="I3695">
        <v>162673000</v>
      </c>
      <c r="J3695" t="s">
        <v>1021</v>
      </c>
      <c r="K3695">
        <v>136.80000000000001</v>
      </c>
      <c r="L3695">
        <v>704.2</v>
      </c>
      <c r="M3695">
        <v>563.36</v>
      </c>
      <c r="O3695" t="s">
        <v>34</v>
      </c>
    </row>
    <row r="3696" spans="1:15">
      <c r="A3696" t="s">
        <v>5211</v>
      </c>
      <c r="B3696" s="2">
        <v>44975.051076388889</v>
      </c>
      <c r="C3696" s="2">
        <v>44975.092743055553</v>
      </c>
      <c r="D3696" t="s">
        <v>683</v>
      </c>
      <c r="E3696" t="s">
        <v>5189</v>
      </c>
      <c r="F3696" t="s">
        <v>5190</v>
      </c>
      <c r="G3696" t="s">
        <v>1019</v>
      </c>
      <c r="H3696" t="s">
        <v>1076</v>
      </c>
      <c r="I3696">
        <v>50849002</v>
      </c>
      <c r="J3696" t="s">
        <v>1163</v>
      </c>
      <c r="K3696">
        <v>146.18</v>
      </c>
      <c r="L3696">
        <v>4140.8900000000003</v>
      </c>
      <c r="M3696">
        <v>0</v>
      </c>
      <c r="N3696">
        <v>312608009</v>
      </c>
      <c r="O3696" t="s">
        <v>1249</v>
      </c>
    </row>
    <row r="3697" spans="1:15">
      <c r="A3697" t="s">
        <v>5212</v>
      </c>
      <c r="B3697" s="2">
        <v>45012.08252314815</v>
      </c>
      <c r="C3697" s="2">
        <v>45012.113912037035</v>
      </c>
      <c r="D3697" t="s">
        <v>683</v>
      </c>
      <c r="E3697" t="s">
        <v>2149</v>
      </c>
      <c r="F3697" t="s">
        <v>2150</v>
      </c>
      <c r="G3697" t="s">
        <v>1019</v>
      </c>
      <c r="H3697" t="s">
        <v>1020</v>
      </c>
      <c r="I3697">
        <v>162673000</v>
      </c>
      <c r="J3697" t="s">
        <v>1021</v>
      </c>
      <c r="K3697">
        <v>136.80000000000001</v>
      </c>
      <c r="L3697">
        <v>1205.06</v>
      </c>
      <c r="M3697">
        <v>0</v>
      </c>
      <c r="O3697" t="s">
        <v>34</v>
      </c>
    </row>
    <row r="3698" spans="1:15">
      <c r="A3698" t="s">
        <v>5213</v>
      </c>
      <c r="B3698" s="2">
        <v>45026.08252314815</v>
      </c>
      <c r="C3698" s="2">
        <v>45026.231192129628</v>
      </c>
      <c r="D3698" t="s">
        <v>683</v>
      </c>
      <c r="E3698" t="s">
        <v>1303</v>
      </c>
      <c r="F3698" t="s">
        <v>1304</v>
      </c>
      <c r="G3698" t="s">
        <v>1019</v>
      </c>
      <c r="H3698" t="s">
        <v>1031</v>
      </c>
      <c r="I3698">
        <v>185349003</v>
      </c>
      <c r="J3698" t="s">
        <v>1038</v>
      </c>
      <c r="K3698">
        <v>85.55</v>
      </c>
      <c r="L3698">
        <v>3536.75</v>
      </c>
      <c r="M3698">
        <v>0</v>
      </c>
      <c r="N3698">
        <v>66383009</v>
      </c>
      <c r="O3698" t="s">
        <v>1209</v>
      </c>
    </row>
    <row r="3699" spans="1:15">
      <c r="A3699" t="s">
        <v>5214</v>
      </c>
      <c r="B3699" s="2">
        <v>45304.749189814815</v>
      </c>
      <c r="C3699" s="2">
        <v>45304.759606481479</v>
      </c>
      <c r="D3699" t="s">
        <v>683</v>
      </c>
      <c r="E3699" t="s">
        <v>1303</v>
      </c>
      <c r="F3699" t="s">
        <v>1304</v>
      </c>
      <c r="G3699" t="s">
        <v>1122</v>
      </c>
      <c r="H3699" t="s">
        <v>1031</v>
      </c>
      <c r="I3699">
        <v>185345009</v>
      </c>
      <c r="J3699" t="s">
        <v>1032</v>
      </c>
      <c r="K3699">
        <v>85.55</v>
      </c>
      <c r="L3699">
        <v>85.55</v>
      </c>
      <c r="M3699">
        <v>0</v>
      </c>
      <c r="N3699">
        <v>195662009</v>
      </c>
      <c r="O3699" t="s">
        <v>1130</v>
      </c>
    </row>
    <row r="3700" spans="1:15">
      <c r="A3700" t="s">
        <v>5215</v>
      </c>
      <c r="B3700" s="2">
        <v>45383.08252314815</v>
      </c>
      <c r="C3700" s="2">
        <v>45383.106273148151</v>
      </c>
      <c r="D3700" t="s">
        <v>683</v>
      </c>
      <c r="E3700" t="s">
        <v>2149</v>
      </c>
      <c r="F3700" t="s">
        <v>2150</v>
      </c>
      <c r="G3700" t="s">
        <v>1122</v>
      </c>
      <c r="H3700" t="s">
        <v>1020</v>
      </c>
      <c r="I3700">
        <v>162673000</v>
      </c>
      <c r="J3700" t="s">
        <v>1021</v>
      </c>
      <c r="K3700">
        <v>136.80000000000001</v>
      </c>
      <c r="L3700">
        <v>704.2</v>
      </c>
      <c r="M3700">
        <v>453.06</v>
      </c>
      <c r="O3700" t="s">
        <v>34</v>
      </c>
    </row>
    <row r="3701" spans="1:15">
      <c r="A3701" t="s">
        <v>5216</v>
      </c>
      <c r="B3701" s="2">
        <v>45754.08252314815</v>
      </c>
      <c r="C3701" s="2">
        <v>45754.114918981482</v>
      </c>
      <c r="D3701" t="s">
        <v>683</v>
      </c>
      <c r="E3701" t="s">
        <v>2149</v>
      </c>
      <c r="F3701" t="s">
        <v>2150</v>
      </c>
      <c r="G3701" t="s">
        <v>1122</v>
      </c>
      <c r="H3701" t="s">
        <v>1020</v>
      </c>
      <c r="I3701">
        <v>162673000</v>
      </c>
      <c r="J3701" t="s">
        <v>1021</v>
      </c>
      <c r="K3701">
        <v>136.80000000000001</v>
      </c>
      <c r="L3701">
        <v>1129.78</v>
      </c>
      <c r="M3701">
        <v>731.25</v>
      </c>
      <c r="O3701" t="s">
        <v>34</v>
      </c>
    </row>
    <row r="3702" spans="1:15">
      <c r="A3702" t="s">
        <v>5217</v>
      </c>
      <c r="B3702" s="2">
        <v>45768.08252314815</v>
      </c>
      <c r="C3702" s="2">
        <v>45768.243217592593</v>
      </c>
      <c r="D3702" t="s">
        <v>683</v>
      </c>
      <c r="E3702" t="s">
        <v>1303</v>
      </c>
      <c r="F3702" t="s">
        <v>1304</v>
      </c>
      <c r="G3702" t="s">
        <v>1122</v>
      </c>
      <c r="H3702" t="s">
        <v>1031</v>
      </c>
      <c r="I3702">
        <v>185349003</v>
      </c>
      <c r="J3702" t="s">
        <v>1038</v>
      </c>
      <c r="K3702">
        <v>85.55</v>
      </c>
      <c r="L3702">
        <v>3536.75</v>
      </c>
      <c r="M3702">
        <v>2829.4</v>
      </c>
      <c r="N3702">
        <v>103697008</v>
      </c>
      <c r="O3702" t="s">
        <v>1039</v>
      </c>
    </row>
    <row r="3703" spans="1:15">
      <c r="A3703" t="s">
        <v>5218</v>
      </c>
      <c r="B3703" s="2">
        <v>46125.08252314815</v>
      </c>
      <c r="C3703" s="2">
        <v>46125.107766203706</v>
      </c>
      <c r="D3703" t="s">
        <v>683</v>
      </c>
      <c r="E3703" t="s">
        <v>2149</v>
      </c>
      <c r="F3703" t="s">
        <v>2150</v>
      </c>
      <c r="G3703" t="s">
        <v>1122</v>
      </c>
      <c r="H3703" t="s">
        <v>1020</v>
      </c>
      <c r="I3703">
        <v>162673000</v>
      </c>
      <c r="J3703" t="s">
        <v>1021</v>
      </c>
      <c r="K3703">
        <v>136.80000000000001</v>
      </c>
      <c r="L3703">
        <v>778.78</v>
      </c>
      <c r="M3703">
        <v>444.66</v>
      </c>
      <c r="O3703" t="s">
        <v>34</v>
      </c>
    </row>
    <row r="3704" spans="1:15">
      <c r="A3704" t="s">
        <v>5219</v>
      </c>
      <c r="B3704" s="2">
        <v>46139.08252314815</v>
      </c>
      <c r="C3704" s="2">
        <v>46139.316805555558</v>
      </c>
      <c r="D3704" t="s">
        <v>683</v>
      </c>
      <c r="E3704" t="s">
        <v>1303</v>
      </c>
      <c r="F3704" t="s">
        <v>1304</v>
      </c>
      <c r="G3704" t="s">
        <v>1122</v>
      </c>
      <c r="H3704" t="s">
        <v>1031</v>
      </c>
      <c r="I3704">
        <v>185349003</v>
      </c>
      <c r="J3704" t="s">
        <v>1038</v>
      </c>
      <c r="K3704">
        <v>85.55</v>
      </c>
      <c r="L3704">
        <v>4830.95</v>
      </c>
      <c r="M3704">
        <v>3864.76</v>
      </c>
      <c r="N3704">
        <v>103697008</v>
      </c>
      <c r="O3704" t="s">
        <v>1039</v>
      </c>
    </row>
    <row r="3705" spans="1:15">
      <c r="A3705" t="s">
        <v>5220</v>
      </c>
      <c r="B3705" s="2">
        <v>32609.721006944445</v>
      </c>
      <c r="C3705" s="2">
        <v>32609.75820601852</v>
      </c>
      <c r="D3705" t="s">
        <v>690</v>
      </c>
      <c r="E3705" t="s">
        <v>5221</v>
      </c>
      <c r="F3705" t="s">
        <v>5222</v>
      </c>
      <c r="G3705" t="s">
        <v>1019</v>
      </c>
      <c r="H3705" t="s">
        <v>1020</v>
      </c>
      <c r="I3705">
        <v>162673000</v>
      </c>
      <c r="J3705" t="s">
        <v>1021</v>
      </c>
      <c r="K3705">
        <v>136.80000000000001</v>
      </c>
      <c r="L3705">
        <v>919.9</v>
      </c>
      <c r="M3705">
        <v>0</v>
      </c>
      <c r="O3705" t="s">
        <v>34</v>
      </c>
    </row>
    <row r="3706" spans="1:15">
      <c r="A3706" t="s">
        <v>5223</v>
      </c>
      <c r="B3706" s="2">
        <v>34079.721006944441</v>
      </c>
      <c r="C3706" s="2">
        <v>34079.744317129633</v>
      </c>
      <c r="D3706" t="s">
        <v>690</v>
      </c>
      <c r="E3706" t="s">
        <v>5221</v>
      </c>
      <c r="F3706" t="s">
        <v>5222</v>
      </c>
      <c r="G3706" t="s">
        <v>1019</v>
      </c>
      <c r="H3706" t="s">
        <v>1020</v>
      </c>
      <c r="I3706">
        <v>162673000</v>
      </c>
      <c r="J3706" t="s">
        <v>1021</v>
      </c>
      <c r="K3706">
        <v>136.80000000000001</v>
      </c>
      <c r="L3706">
        <v>1701.84</v>
      </c>
      <c r="M3706">
        <v>0</v>
      </c>
      <c r="O3706" t="s">
        <v>34</v>
      </c>
    </row>
    <row r="3707" spans="1:15">
      <c r="A3707" t="s">
        <v>5224</v>
      </c>
      <c r="B3707" s="2">
        <v>35178.721006944441</v>
      </c>
      <c r="C3707" s="2">
        <v>35178.755613425928</v>
      </c>
      <c r="D3707" t="s">
        <v>690</v>
      </c>
      <c r="E3707" t="s">
        <v>5221</v>
      </c>
      <c r="F3707" t="s">
        <v>5222</v>
      </c>
      <c r="G3707" t="s">
        <v>1019</v>
      </c>
      <c r="H3707" t="s">
        <v>1020</v>
      </c>
      <c r="I3707">
        <v>162673000</v>
      </c>
      <c r="J3707" t="s">
        <v>1021</v>
      </c>
      <c r="K3707">
        <v>136.80000000000001</v>
      </c>
      <c r="L3707">
        <v>785.58</v>
      </c>
      <c r="M3707">
        <v>0</v>
      </c>
      <c r="O3707" t="s">
        <v>34</v>
      </c>
    </row>
    <row r="3708" spans="1:15">
      <c r="A3708" t="s">
        <v>5225</v>
      </c>
      <c r="B3708" s="2">
        <v>37376.721006944441</v>
      </c>
      <c r="C3708" s="2">
        <v>37376.755682870367</v>
      </c>
      <c r="D3708" t="s">
        <v>690</v>
      </c>
      <c r="E3708" t="s">
        <v>5221</v>
      </c>
      <c r="F3708" t="s">
        <v>5222</v>
      </c>
      <c r="G3708" t="s">
        <v>1019</v>
      </c>
      <c r="H3708" t="s">
        <v>1020</v>
      </c>
      <c r="I3708">
        <v>162673000</v>
      </c>
      <c r="J3708" t="s">
        <v>1021</v>
      </c>
      <c r="K3708">
        <v>136.80000000000001</v>
      </c>
      <c r="L3708">
        <v>996.16</v>
      </c>
      <c r="M3708">
        <v>0</v>
      </c>
      <c r="O3708" t="s">
        <v>34</v>
      </c>
    </row>
    <row r="3709" spans="1:15">
      <c r="A3709" t="s">
        <v>5226</v>
      </c>
      <c r="B3709" s="2">
        <v>39506.804340277777</v>
      </c>
      <c r="C3709" s="2">
        <v>39506.814756944441</v>
      </c>
      <c r="D3709" t="s">
        <v>690</v>
      </c>
      <c r="E3709" t="s">
        <v>1477</v>
      </c>
      <c r="F3709" t="s">
        <v>1478</v>
      </c>
      <c r="G3709" t="s">
        <v>1023</v>
      </c>
      <c r="H3709" t="s">
        <v>1031</v>
      </c>
      <c r="I3709">
        <v>185345009</v>
      </c>
      <c r="J3709" t="s">
        <v>1032</v>
      </c>
      <c r="K3709">
        <v>85.55</v>
      </c>
      <c r="L3709">
        <v>92.93</v>
      </c>
      <c r="M3709">
        <v>0</v>
      </c>
      <c r="N3709">
        <v>36971009</v>
      </c>
      <c r="O3709" t="s">
        <v>1278</v>
      </c>
    </row>
    <row r="3710" spans="1:15">
      <c r="A3710" t="s">
        <v>5227</v>
      </c>
      <c r="B3710" s="2">
        <v>39574.721006944441</v>
      </c>
      <c r="C3710" s="2">
        <v>39574.756238425929</v>
      </c>
      <c r="D3710" t="s">
        <v>690</v>
      </c>
      <c r="E3710" t="s">
        <v>5221</v>
      </c>
      <c r="F3710" t="s">
        <v>5222</v>
      </c>
      <c r="G3710" t="s">
        <v>1023</v>
      </c>
      <c r="H3710" t="s">
        <v>1020</v>
      </c>
      <c r="I3710">
        <v>162673000</v>
      </c>
      <c r="J3710" t="s">
        <v>1021</v>
      </c>
      <c r="K3710">
        <v>136.80000000000001</v>
      </c>
      <c r="L3710">
        <v>860.16</v>
      </c>
      <c r="M3710">
        <v>0</v>
      </c>
      <c r="O3710" t="s">
        <v>34</v>
      </c>
    </row>
    <row r="3711" spans="1:15">
      <c r="A3711" t="s">
        <v>5228</v>
      </c>
      <c r="B3711" s="2">
        <v>42066.679340277777</v>
      </c>
      <c r="C3711" s="2">
        <v>42066.719895833332</v>
      </c>
      <c r="D3711" t="s">
        <v>690</v>
      </c>
      <c r="E3711" t="s">
        <v>5221</v>
      </c>
      <c r="F3711" t="s">
        <v>5222</v>
      </c>
      <c r="G3711" t="s">
        <v>1026</v>
      </c>
      <c r="H3711" t="s">
        <v>1020</v>
      </c>
      <c r="I3711">
        <v>162673000</v>
      </c>
      <c r="J3711" t="s">
        <v>1021</v>
      </c>
      <c r="K3711">
        <v>136.80000000000001</v>
      </c>
      <c r="L3711">
        <v>778.78</v>
      </c>
      <c r="M3711">
        <v>0</v>
      </c>
      <c r="O3711" t="s">
        <v>34</v>
      </c>
    </row>
    <row r="3712" spans="1:15">
      <c r="A3712" t="s">
        <v>5229</v>
      </c>
      <c r="B3712" s="2">
        <v>42801.679340277777</v>
      </c>
      <c r="C3712" s="2">
        <v>42801.703356481485</v>
      </c>
      <c r="D3712" t="s">
        <v>690</v>
      </c>
      <c r="E3712" t="s">
        <v>5221</v>
      </c>
      <c r="F3712" t="s">
        <v>5222</v>
      </c>
      <c r="G3712" t="s">
        <v>1026</v>
      </c>
      <c r="H3712" t="s">
        <v>1020</v>
      </c>
      <c r="I3712">
        <v>162673000</v>
      </c>
      <c r="J3712" t="s">
        <v>1021</v>
      </c>
      <c r="K3712">
        <v>136.80000000000001</v>
      </c>
      <c r="L3712">
        <v>934.74</v>
      </c>
      <c r="M3712">
        <v>0</v>
      </c>
      <c r="O3712" t="s">
        <v>34</v>
      </c>
    </row>
    <row r="3713" spans="1:15">
      <c r="A3713" t="s">
        <v>5230</v>
      </c>
      <c r="B3713" s="2">
        <v>42815.721006944441</v>
      </c>
      <c r="C3713" s="2">
        <v>42815.857152777775</v>
      </c>
      <c r="D3713" t="s">
        <v>690</v>
      </c>
      <c r="E3713" t="s">
        <v>1477</v>
      </c>
      <c r="F3713" t="s">
        <v>1478</v>
      </c>
      <c r="G3713" t="s">
        <v>1026</v>
      </c>
      <c r="H3713" t="s">
        <v>1031</v>
      </c>
      <c r="I3713">
        <v>185349003</v>
      </c>
      <c r="J3713" t="s">
        <v>1038</v>
      </c>
      <c r="K3713">
        <v>85.55</v>
      </c>
      <c r="L3713">
        <v>3105.35</v>
      </c>
      <c r="M3713">
        <v>0</v>
      </c>
      <c r="N3713">
        <v>66383009</v>
      </c>
      <c r="O3713" t="s">
        <v>1209</v>
      </c>
    </row>
    <row r="3714" spans="1:15">
      <c r="A3714" t="s">
        <v>5231</v>
      </c>
      <c r="B3714" s="2">
        <v>43148.804340277777</v>
      </c>
      <c r="C3714" s="2">
        <v>43148.815694444442</v>
      </c>
      <c r="D3714" t="s">
        <v>690</v>
      </c>
      <c r="E3714" t="s">
        <v>1477</v>
      </c>
      <c r="F3714" t="s">
        <v>1478</v>
      </c>
      <c r="G3714" t="s">
        <v>1026</v>
      </c>
      <c r="H3714" t="s">
        <v>1031</v>
      </c>
      <c r="I3714">
        <v>185345009</v>
      </c>
      <c r="J3714" t="s">
        <v>1032</v>
      </c>
      <c r="K3714">
        <v>85.55</v>
      </c>
      <c r="L3714">
        <v>322.05</v>
      </c>
      <c r="M3714">
        <v>0</v>
      </c>
      <c r="N3714">
        <v>10509002</v>
      </c>
      <c r="O3714" t="s">
        <v>1033</v>
      </c>
    </row>
    <row r="3715" spans="1:15">
      <c r="A3715" t="s">
        <v>5232</v>
      </c>
      <c r="B3715" s="2">
        <v>43158.679340277777</v>
      </c>
      <c r="C3715" s="2">
        <v>43158.712476851855</v>
      </c>
      <c r="D3715" t="s">
        <v>690</v>
      </c>
      <c r="E3715" t="s">
        <v>1477</v>
      </c>
      <c r="F3715" t="s">
        <v>1478</v>
      </c>
      <c r="G3715" t="s">
        <v>1107</v>
      </c>
      <c r="H3715" t="s">
        <v>1043</v>
      </c>
      <c r="I3715">
        <v>185349003</v>
      </c>
      <c r="J3715" t="s">
        <v>1038</v>
      </c>
      <c r="K3715">
        <v>85.55</v>
      </c>
      <c r="L3715">
        <v>1432.88</v>
      </c>
      <c r="M3715">
        <v>0</v>
      </c>
      <c r="O3715" t="s">
        <v>34</v>
      </c>
    </row>
    <row r="3716" spans="1:15">
      <c r="A3716" t="s">
        <v>5233</v>
      </c>
      <c r="B3716" s="2">
        <v>43172.721006944441</v>
      </c>
      <c r="C3716" s="2">
        <v>43172.940763888888</v>
      </c>
      <c r="D3716" t="s">
        <v>690</v>
      </c>
      <c r="E3716" t="s">
        <v>1477</v>
      </c>
      <c r="F3716" t="s">
        <v>1478</v>
      </c>
      <c r="G3716" t="s">
        <v>1107</v>
      </c>
      <c r="H3716" t="s">
        <v>1031</v>
      </c>
      <c r="I3716">
        <v>185349003</v>
      </c>
      <c r="J3716" t="s">
        <v>1038</v>
      </c>
      <c r="K3716">
        <v>85.55</v>
      </c>
      <c r="L3716">
        <v>4399.55</v>
      </c>
      <c r="M3716">
        <v>932.7</v>
      </c>
      <c r="N3716">
        <v>66383009</v>
      </c>
      <c r="O3716" t="s">
        <v>1209</v>
      </c>
    </row>
    <row r="3717" spans="1:15">
      <c r="A3717" t="s">
        <v>5234</v>
      </c>
      <c r="B3717" s="2">
        <v>43177.940763888888</v>
      </c>
      <c r="C3717" s="2">
        <v>43178.034456018519</v>
      </c>
      <c r="D3717" t="s">
        <v>690</v>
      </c>
      <c r="E3717" t="s">
        <v>1477</v>
      </c>
      <c r="F3717" t="s">
        <v>1478</v>
      </c>
      <c r="G3717" t="s">
        <v>1107</v>
      </c>
      <c r="H3717" t="s">
        <v>1031</v>
      </c>
      <c r="I3717">
        <v>439740005</v>
      </c>
      <c r="J3717" t="s">
        <v>1908</v>
      </c>
      <c r="K3717">
        <v>142.58000000000001</v>
      </c>
      <c r="L3717">
        <v>2299.58</v>
      </c>
      <c r="M3717">
        <v>1609.71</v>
      </c>
      <c r="N3717">
        <v>61804006</v>
      </c>
      <c r="O3717" t="s">
        <v>1909</v>
      </c>
    </row>
    <row r="3718" spans="1:15">
      <c r="A3718" t="s">
        <v>5235</v>
      </c>
      <c r="B3718" s="2">
        <v>43179.721006944441</v>
      </c>
      <c r="C3718" s="2">
        <v>43179.780856481484</v>
      </c>
      <c r="D3718" t="s">
        <v>690</v>
      </c>
      <c r="E3718" t="s">
        <v>1477</v>
      </c>
      <c r="F3718" t="s">
        <v>1478</v>
      </c>
      <c r="G3718" t="s">
        <v>1107</v>
      </c>
      <c r="H3718" t="s">
        <v>1031</v>
      </c>
      <c r="I3718">
        <v>185347001</v>
      </c>
      <c r="J3718" t="s">
        <v>1124</v>
      </c>
      <c r="K3718">
        <v>85.55</v>
      </c>
      <c r="L3718">
        <v>1379.75</v>
      </c>
      <c r="M3718">
        <v>965.82</v>
      </c>
      <c r="N3718">
        <v>37320007</v>
      </c>
      <c r="O3718" t="s">
        <v>1125</v>
      </c>
    </row>
    <row r="3719" spans="1:15">
      <c r="A3719" t="s">
        <v>5236</v>
      </c>
      <c r="B3719" s="2">
        <v>43193.780856481484</v>
      </c>
      <c r="C3719" s="2">
        <v>43193.912974537037</v>
      </c>
      <c r="D3719" t="s">
        <v>690</v>
      </c>
      <c r="E3719" t="s">
        <v>1477</v>
      </c>
      <c r="F3719" t="s">
        <v>1478</v>
      </c>
      <c r="G3719" t="s">
        <v>1107</v>
      </c>
      <c r="H3719" t="s">
        <v>1031</v>
      </c>
      <c r="I3719">
        <v>390906007</v>
      </c>
      <c r="J3719" t="s">
        <v>1255</v>
      </c>
      <c r="K3719">
        <v>85.55</v>
      </c>
      <c r="L3719">
        <v>1811.15</v>
      </c>
      <c r="M3719">
        <v>1267.8</v>
      </c>
      <c r="N3719">
        <v>46752004</v>
      </c>
      <c r="O3719" t="s">
        <v>5237</v>
      </c>
    </row>
    <row r="3720" spans="1:15">
      <c r="A3720" t="s">
        <v>5238</v>
      </c>
      <c r="B3720" s="2">
        <v>43202.912974537037</v>
      </c>
      <c r="C3720" s="2">
        <v>43202.942835648151</v>
      </c>
      <c r="D3720" t="s">
        <v>690</v>
      </c>
      <c r="E3720" t="s">
        <v>1477</v>
      </c>
      <c r="F3720" t="s">
        <v>1478</v>
      </c>
      <c r="G3720" t="s">
        <v>1107</v>
      </c>
      <c r="H3720" t="s">
        <v>1031</v>
      </c>
      <c r="I3720">
        <v>390906007</v>
      </c>
      <c r="J3720" t="s">
        <v>1255</v>
      </c>
      <c r="K3720">
        <v>85.55</v>
      </c>
      <c r="L3720">
        <v>516.95000000000005</v>
      </c>
      <c r="M3720">
        <v>361.86</v>
      </c>
      <c r="N3720">
        <v>37320007</v>
      </c>
      <c r="O3720" t="s">
        <v>1125</v>
      </c>
    </row>
    <row r="3721" spans="1:15">
      <c r="A3721" t="s">
        <v>5239</v>
      </c>
      <c r="B3721" s="2">
        <v>43452.762673611112</v>
      </c>
      <c r="C3721" s="2">
        <v>43452.773090277777</v>
      </c>
      <c r="D3721" t="s">
        <v>690</v>
      </c>
      <c r="E3721" t="s">
        <v>1477</v>
      </c>
      <c r="F3721" t="s">
        <v>1478</v>
      </c>
      <c r="G3721" t="s">
        <v>1107</v>
      </c>
      <c r="H3721" t="s">
        <v>1031</v>
      </c>
      <c r="I3721">
        <v>185345009</v>
      </c>
      <c r="J3721" t="s">
        <v>1032</v>
      </c>
      <c r="K3721">
        <v>85.55</v>
      </c>
      <c r="L3721">
        <v>1688.96</v>
      </c>
      <c r="M3721">
        <v>1182.27</v>
      </c>
      <c r="N3721">
        <v>43878008</v>
      </c>
      <c r="O3721" t="s">
        <v>1217</v>
      </c>
    </row>
    <row r="3722" spans="1:15">
      <c r="A3722" t="s">
        <v>5240</v>
      </c>
      <c r="B3722" s="2">
        <v>43536.721006944441</v>
      </c>
      <c r="C3722" s="2">
        <v>43536.756863425922</v>
      </c>
      <c r="D3722" t="s">
        <v>690</v>
      </c>
      <c r="E3722" t="s">
        <v>5221</v>
      </c>
      <c r="F3722" t="s">
        <v>5222</v>
      </c>
      <c r="G3722" t="s">
        <v>1107</v>
      </c>
      <c r="H3722" t="s">
        <v>1020</v>
      </c>
      <c r="I3722">
        <v>162673000</v>
      </c>
      <c r="J3722" t="s">
        <v>1021</v>
      </c>
      <c r="K3722">
        <v>136.80000000000001</v>
      </c>
      <c r="L3722">
        <v>785.58</v>
      </c>
      <c r="M3722">
        <v>0</v>
      </c>
      <c r="O3722" t="s">
        <v>34</v>
      </c>
    </row>
    <row r="3723" spans="1:15">
      <c r="A3723" t="s">
        <v>5241</v>
      </c>
      <c r="B3723" s="2">
        <v>43550.721006944441</v>
      </c>
      <c r="C3723" s="2">
        <v>43550.871215277781</v>
      </c>
      <c r="D3723" t="s">
        <v>690</v>
      </c>
      <c r="E3723" t="s">
        <v>1477</v>
      </c>
      <c r="F3723" t="s">
        <v>1478</v>
      </c>
      <c r="G3723" t="s">
        <v>1107</v>
      </c>
      <c r="H3723" t="s">
        <v>1031</v>
      </c>
      <c r="I3723">
        <v>185349003</v>
      </c>
      <c r="J3723" t="s">
        <v>1038</v>
      </c>
      <c r="K3723">
        <v>85.55</v>
      </c>
      <c r="L3723">
        <v>3105.35</v>
      </c>
      <c r="M3723">
        <v>0</v>
      </c>
      <c r="N3723">
        <v>66383009</v>
      </c>
      <c r="O3723" t="s">
        <v>1209</v>
      </c>
    </row>
    <row r="3724" spans="1:15">
      <c r="A3724" t="s">
        <v>5242</v>
      </c>
      <c r="B3724" s="2">
        <v>44072.887673611112</v>
      </c>
      <c r="C3724" s="2">
        <v>44072.898090277777</v>
      </c>
      <c r="D3724" t="s">
        <v>690</v>
      </c>
      <c r="E3724" t="s">
        <v>1477</v>
      </c>
      <c r="F3724" t="s">
        <v>1478</v>
      </c>
      <c r="G3724" t="s">
        <v>1107</v>
      </c>
      <c r="H3724" t="s">
        <v>1031</v>
      </c>
      <c r="I3724">
        <v>185345009</v>
      </c>
      <c r="J3724" t="s">
        <v>1032</v>
      </c>
      <c r="K3724">
        <v>85.55</v>
      </c>
      <c r="L3724">
        <v>85.55</v>
      </c>
      <c r="M3724">
        <v>0</v>
      </c>
      <c r="N3724">
        <v>444814009</v>
      </c>
      <c r="O3724" t="s">
        <v>1035</v>
      </c>
    </row>
    <row r="3725" spans="1:15">
      <c r="A3725" t="s">
        <v>5243</v>
      </c>
      <c r="B3725" s="2">
        <v>44155.637673611112</v>
      </c>
      <c r="C3725" s="2">
        <v>44155.648090277777</v>
      </c>
      <c r="D3725" t="s">
        <v>690</v>
      </c>
      <c r="E3725" t="s">
        <v>1477</v>
      </c>
      <c r="F3725" t="s">
        <v>1478</v>
      </c>
      <c r="G3725" t="s">
        <v>1107</v>
      </c>
      <c r="H3725" t="s">
        <v>1031</v>
      </c>
      <c r="I3725">
        <v>185345009</v>
      </c>
      <c r="J3725" t="s">
        <v>1032</v>
      </c>
      <c r="K3725">
        <v>85.55</v>
      </c>
      <c r="L3725">
        <v>1122.25</v>
      </c>
      <c r="M3725">
        <v>0</v>
      </c>
      <c r="N3725">
        <v>195662009</v>
      </c>
      <c r="O3725" t="s">
        <v>1130</v>
      </c>
    </row>
    <row r="3726" spans="1:15">
      <c r="A3726" t="s">
        <v>5244</v>
      </c>
      <c r="B3726" s="2">
        <v>44243.679340277777</v>
      </c>
      <c r="C3726" s="2">
        <v>44243.700914351852</v>
      </c>
      <c r="D3726" t="s">
        <v>690</v>
      </c>
      <c r="E3726" t="s">
        <v>5221</v>
      </c>
      <c r="F3726" t="s">
        <v>5222</v>
      </c>
      <c r="G3726" t="s">
        <v>1107</v>
      </c>
      <c r="H3726" t="s">
        <v>1020</v>
      </c>
      <c r="I3726">
        <v>162673000</v>
      </c>
      <c r="J3726" t="s">
        <v>1021</v>
      </c>
      <c r="K3726">
        <v>136.80000000000001</v>
      </c>
      <c r="L3726">
        <v>1211.8599999999999</v>
      </c>
      <c r="M3726">
        <v>0</v>
      </c>
      <c r="O3726" t="s">
        <v>34</v>
      </c>
    </row>
    <row r="3727" spans="1:15">
      <c r="A3727" t="s">
        <v>5245</v>
      </c>
      <c r="B3727" s="2">
        <v>44250.679340277777</v>
      </c>
      <c r="C3727" s="2">
        <v>44250.701377314814</v>
      </c>
      <c r="D3727" t="s">
        <v>690</v>
      </c>
      <c r="E3727" t="s">
        <v>1477</v>
      </c>
      <c r="F3727" t="s">
        <v>1478</v>
      </c>
      <c r="G3727" t="s">
        <v>1107</v>
      </c>
      <c r="H3727" t="s">
        <v>1031</v>
      </c>
      <c r="I3727">
        <v>185349003</v>
      </c>
      <c r="J3727" t="s">
        <v>1038</v>
      </c>
      <c r="K3727">
        <v>85.55</v>
      </c>
      <c r="L3727">
        <v>5322.35</v>
      </c>
      <c r="M3727">
        <v>1423.95</v>
      </c>
      <c r="N3727">
        <v>275978004</v>
      </c>
      <c r="O3727" t="s">
        <v>1449</v>
      </c>
    </row>
    <row r="3728" spans="1:15">
      <c r="A3728" t="s">
        <v>5246</v>
      </c>
      <c r="B3728" s="2">
        <v>44614.679340277777</v>
      </c>
      <c r="C3728" s="2">
        <v>44614.718310185184</v>
      </c>
      <c r="D3728" t="s">
        <v>690</v>
      </c>
      <c r="E3728" t="s">
        <v>5221</v>
      </c>
      <c r="F3728" t="s">
        <v>5222</v>
      </c>
      <c r="G3728" t="s">
        <v>1107</v>
      </c>
      <c r="H3728" t="s">
        <v>1020</v>
      </c>
      <c r="I3728">
        <v>162673000</v>
      </c>
      <c r="J3728" t="s">
        <v>1021</v>
      </c>
      <c r="K3728">
        <v>136.80000000000001</v>
      </c>
      <c r="L3728">
        <v>1050.78</v>
      </c>
      <c r="M3728">
        <v>0</v>
      </c>
      <c r="O3728" t="s">
        <v>34</v>
      </c>
    </row>
    <row r="3729" spans="1:15">
      <c r="A3729" t="s">
        <v>5247</v>
      </c>
      <c r="B3729" s="2">
        <v>44628.679340277777</v>
      </c>
      <c r="C3729" s="2">
        <v>44628.791550925926</v>
      </c>
      <c r="D3729" t="s">
        <v>690</v>
      </c>
      <c r="E3729" t="s">
        <v>1477</v>
      </c>
      <c r="F3729" t="s">
        <v>1478</v>
      </c>
      <c r="G3729" t="s">
        <v>1107</v>
      </c>
      <c r="H3729" t="s">
        <v>1031</v>
      </c>
      <c r="I3729">
        <v>185349003</v>
      </c>
      <c r="J3729" t="s">
        <v>1038</v>
      </c>
      <c r="K3729">
        <v>85.55</v>
      </c>
      <c r="L3729">
        <v>2673.95</v>
      </c>
      <c r="M3729">
        <v>0</v>
      </c>
      <c r="N3729">
        <v>103697008</v>
      </c>
      <c r="O3729" t="s">
        <v>1039</v>
      </c>
    </row>
    <row r="3730" spans="1:15">
      <c r="A3730" t="s">
        <v>5248</v>
      </c>
      <c r="B3730" s="2">
        <v>44677.137673611112</v>
      </c>
      <c r="C3730" s="2">
        <v>44677.148090277777</v>
      </c>
      <c r="D3730" t="s">
        <v>690</v>
      </c>
      <c r="E3730" t="s">
        <v>1477</v>
      </c>
      <c r="F3730" t="s">
        <v>1478</v>
      </c>
      <c r="G3730" t="s">
        <v>1107</v>
      </c>
      <c r="H3730" t="s">
        <v>1031</v>
      </c>
      <c r="I3730">
        <v>185345009</v>
      </c>
      <c r="J3730" t="s">
        <v>1032</v>
      </c>
      <c r="K3730">
        <v>85.55</v>
      </c>
      <c r="L3730">
        <v>85.55</v>
      </c>
      <c r="M3730">
        <v>0</v>
      </c>
      <c r="N3730">
        <v>195662009</v>
      </c>
      <c r="O3730" t="s">
        <v>1130</v>
      </c>
    </row>
    <row r="3731" spans="1:15">
      <c r="A3731" t="s">
        <v>5249</v>
      </c>
      <c r="B3731" s="2">
        <v>44952.86451388889</v>
      </c>
      <c r="C3731" s="2">
        <v>44952.906180555554</v>
      </c>
      <c r="D3731" t="s">
        <v>690</v>
      </c>
      <c r="E3731" t="s">
        <v>1412</v>
      </c>
      <c r="F3731" t="s">
        <v>1413</v>
      </c>
      <c r="G3731" t="s">
        <v>1107</v>
      </c>
      <c r="H3731" t="s">
        <v>1076</v>
      </c>
      <c r="I3731">
        <v>50849002</v>
      </c>
      <c r="J3731" t="s">
        <v>1163</v>
      </c>
      <c r="K3731">
        <v>146.18</v>
      </c>
      <c r="L3731">
        <v>146.18</v>
      </c>
      <c r="M3731">
        <v>0</v>
      </c>
      <c r="N3731">
        <v>384709000</v>
      </c>
      <c r="O3731" t="s">
        <v>1164</v>
      </c>
    </row>
    <row r="3732" spans="1:15">
      <c r="A3732" t="s">
        <v>5250</v>
      </c>
      <c r="B3732" s="2">
        <v>44985.679340277777</v>
      </c>
      <c r="C3732" s="2">
        <v>44985.708275462966</v>
      </c>
      <c r="D3732" t="s">
        <v>690</v>
      </c>
      <c r="E3732" t="s">
        <v>5221</v>
      </c>
      <c r="F3732" t="s">
        <v>5222</v>
      </c>
      <c r="G3732" t="s">
        <v>1107</v>
      </c>
      <c r="H3732" t="s">
        <v>1020</v>
      </c>
      <c r="I3732">
        <v>162673000</v>
      </c>
      <c r="J3732" t="s">
        <v>1021</v>
      </c>
      <c r="K3732">
        <v>136.80000000000001</v>
      </c>
      <c r="L3732">
        <v>1075.8599999999999</v>
      </c>
      <c r="M3732">
        <v>0</v>
      </c>
      <c r="O3732" t="s">
        <v>34</v>
      </c>
    </row>
    <row r="3733" spans="1:15">
      <c r="A3733" t="s">
        <v>5251</v>
      </c>
      <c r="B3733" s="2">
        <v>45356.679340277777</v>
      </c>
      <c r="C3733" s="2">
        <v>45356.71539351852</v>
      </c>
      <c r="D3733" t="s">
        <v>690</v>
      </c>
      <c r="E3733" t="s">
        <v>5221</v>
      </c>
      <c r="F3733" t="s">
        <v>5222</v>
      </c>
      <c r="G3733" t="s">
        <v>1107</v>
      </c>
      <c r="H3733" t="s">
        <v>1020</v>
      </c>
      <c r="I3733">
        <v>162673000</v>
      </c>
      <c r="J3733" t="s">
        <v>1021</v>
      </c>
      <c r="K3733">
        <v>136.80000000000001</v>
      </c>
      <c r="L3733">
        <v>1116.5</v>
      </c>
      <c r="M3733">
        <v>0</v>
      </c>
      <c r="O3733" t="s">
        <v>34</v>
      </c>
    </row>
    <row r="3734" spans="1:15">
      <c r="A3734" t="s">
        <v>5252</v>
      </c>
      <c r="B3734" s="2">
        <v>45370.721006944441</v>
      </c>
      <c r="C3734" s="2">
        <v>45370.869780092595</v>
      </c>
      <c r="D3734" t="s">
        <v>690</v>
      </c>
      <c r="E3734" t="s">
        <v>1477</v>
      </c>
      <c r="F3734" t="s">
        <v>1478</v>
      </c>
      <c r="G3734" t="s">
        <v>1107</v>
      </c>
      <c r="H3734" t="s">
        <v>1031</v>
      </c>
      <c r="I3734">
        <v>185349003</v>
      </c>
      <c r="J3734" t="s">
        <v>1038</v>
      </c>
      <c r="K3734">
        <v>85.55</v>
      </c>
      <c r="L3734">
        <v>3105.35</v>
      </c>
      <c r="M3734">
        <v>0</v>
      </c>
      <c r="N3734">
        <v>66383009</v>
      </c>
      <c r="O3734" t="s">
        <v>1209</v>
      </c>
    </row>
    <row r="3735" spans="1:15">
      <c r="A3735" t="s">
        <v>5253</v>
      </c>
      <c r="B3735" s="2">
        <v>45727.721006944441</v>
      </c>
      <c r="C3735" s="2">
        <v>45727.744803240741</v>
      </c>
      <c r="D3735" t="s">
        <v>690</v>
      </c>
      <c r="E3735" t="s">
        <v>5221</v>
      </c>
      <c r="F3735" t="s">
        <v>5222</v>
      </c>
      <c r="G3735" t="s">
        <v>1107</v>
      </c>
      <c r="H3735" t="s">
        <v>1020</v>
      </c>
      <c r="I3735">
        <v>162673000</v>
      </c>
      <c r="J3735" t="s">
        <v>1021</v>
      </c>
      <c r="K3735">
        <v>136.80000000000001</v>
      </c>
      <c r="L3735">
        <v>785.58</v>
      </c>
      <c r="M3735">
        <v>0</v>
      </c>
      <c r="O3735" t="s">
        <v>34</v>
      </c>
    </row>
    <row r="3736" spans="1:15">
      <c r="A3736" t="s">
        <v>5254</v>
      </c>
      <c r="B3736" s="2">
        <v>45839.554340277777</v>
      </c>
      <c r="C3736" s="2">
        <v>45839.564756944441</v>
      </c>
      <c r="D3736" t="s">
        <v>690</v>
      </c>
      <c r="E3736" t="s">
        <v>1477</v>
      </c>
      <c r="F3736" t="s">
        <v>1478</v>
      </c>
      <c r="G3736" t="s">
        <v>1107</v>
      </c>
      <c r="H3736" t="s">
        <v>1031</v>
      </c>
      <c r="I3736">
        <v>185345009</v>
      </c>
      <c r="J3736" t="s">
        <v>1032</v>
      </c>
      <c r="K3736">
        <v>85.55</v>
      </c>
      <c r="L3736">
        <v>85.55</v>
      </c>
      <c r="M3736">
        <v>0</v>
      </c>
      <c r="N3736">
        <v>75498004</v>
      </c>
      <c r="O3736" t="s">
        <v>1174</v>
      </c>
    </row>
    <row r="3737" spans="1:15">
      <c r="A3737" t="s">
        <v>5255</v>
      </c>
      <c r="B3737" s="2">
        <v>45878.554340277777</v>
      </c>
      <c r="C3737" s="2">
        <v>45878.564756944441</v>
      </c>
      <c r="D3737" t="s">
        <v>690</v>
      </c>
      <c r="E3737" t="s">
        <v>1477</v>
      </c>
      <c r="F3737" t="s">
        <v>1478</v>
      </c>
      <c r="G3737" t="s">
        <v>1107</v>
      </c>
      <c r="H3737" t="s">
        <v>1031</v>
      </c>
      <c r="I3737">
        <v>185345009</v>
      </c>
      <c r="J3737" t="s">
        <v>1032</v>
      </c>
      <c r="K3737">
        <v>85.55</v>
      </c>
      <c r="L3737">
        <v>85.55</v>
      </c>
      <c r="M3737">
        <v>0</v>
      </c>
      <c r="N3737">
        <v>75498004</v>
      </c>
      <c r="O3737" t="s">
        <v>1174</v>
      </c>
    </row>
    <row r="3738" spans="1:15">
      <c r="A3738" t="s">
        <v>5256</v>
      </c>
      <c r="B3738" s="2">
        <v>45983.512673611112</v>
      </c>
      <c r="C3738" s="2">
        <v>45983.523090277777</v>
      </c>
      <c r="D3738" t="s">
        <v>690</v>
      </c>
      <c r="E3738" t="s">
        <v>1477</v>
      </c>
      <c r="F3738" t="s">
        <v>1478</v>
      </c>
      <c r="G3738" t="s">
        <v>1107</v>
      </c>
      <c r="H3738" t="s">
        <v>1031</v>
      </c>
      <c r="I3738">
        <v>185345009</v>
      </c>
      <c r="J3738" t="s">
        <v>1032</v>
      </c>
      <c r="K3738">
        <v>85.55</v>
      </c>
      <c r="L3738">
        <v>85.55</v>
      </c>
      <c r="M3738">
        <v>0</v>
      </c>
      <c r="N3738">
        <v>75498004</v>
      </c>
      <c r="O3738" t="s">
        <v>1174</v>
      </c>
    </row>
    <row r="3739" spans="1:15">
      <c r="A3739" t="s">
        <v>5257</v>
      </c>
      <c r="B3739" s="2">
        <v>45997.512673611112</v>
      </c>
      <c r="C3739" s="2">
        <v>45997.523090277777</v>
      </c>
      <c r="D3739" t="s">
        <v>690</v>
      </c>
      <c r="E3739" t="s">
        <v>1477</v>
      </c>
      <c r="F3739" t="s">
        <v>1478</v>
      </c>
      <c r="G3739" t="s">
        <v>1107</v>
      </c>
      <c r="H3739" t="s">
        <v>1031</v>
      </c>
      <c r="I3739">
        <v>185345009</v>
      </c>
      <c r="J3739" t="s">
        <v>1032</v>
      </c>
      <c r="K3739">
        <v>85.55</v>
      </c>
      <c r="L3739">
        <v>85.55</v>
      </c>
      <c r="M3739">
        <v>0</v>
      </c>
      <c r="N3739">
        <v>75498004</v>
      </c>
      <c r="O3739" t="s">
        <v>1174</v>
      </c>
    </row>
    <row r="3740" spans="1:15">
      <c r="A3740" t="s">
        <v>5258</v>
      </c>
      <c r="B3740" s="2">
        <v>46018.512673611112</v>
      </c>
      <c r="C3740" s="2">
        <v>46018.523090277777</v>
      </c>
      <c r="D3740" t="s">
        <v>690</v>
      </c>
      <c r="E3740" t="s">
        <v>1477</v>
      </c>
      <c r="F3740" t="s">
        <v>1478</v>
      </c>
      <c r="G3740" t="s">
        <v>1107</v>
      </c>
      <c r="H3740" t="s">
        <v>1031</v>
      </c>
      <c r="I3740">
        <v>185345009</v>
      </c>
      <c r="J3740" t="s">
        <v>1032</v>
      </c>
      <c r="K3740">
        <v>85.55</v>
      </c>
      <c r="L3740">
        <v>85.55</v>
      </c>
      <c r="M3740">
        <v>0</v>
      </c>
      <c r="N3740">
        <v>75498004</v>
      </c>
      <c r="O3740" t="s">
        <v>1174</v>
      </c>
    </row>
    <row r="3741" spans="1:15">
      <c r="A3741" t="s">
        <v>5259</v>
      </c>
      <c r="B3741" s="2">
        <v>46076.701377314814</v>
      </c>
      <c r="C3741" s="2">
        <v>46076.726898148147</v>
      </c>
      <c r="D3741" t="s">
        <v>690</v>
      </c>
      <c r="E3741" t="s">
        <v>1477</v>
      </c>
      <c r="F3741" t="s">
        <v>1478</v>
      </c>
      <c r="G3741" t="s">
        <v>1107</v>
      </c>
      <c r="H3741" t="s">
        <v>1031</v>
      </c>
      <c r="I3741">
        <v>185349003</v>
      </c>
      <c r="J3741" t="s">
        <v>1038</v>
      </c>
      <c r="K3741">
        <v>85.55</v>
      </c>
      <c r="L3741">
        <v>5138.45</v>
      </c>
      <c r="M3741">
        <v>446.92</v>
      </c>
      <c r="N3741">
        <v>275978004</v>
      </c>
      <c r="O3741" t="s">
        <v>1449</v>
      </c>
    </row>
    <row r="3742" spans="1:15">
      <c r="A3742" t="s">
        <v>5260</v>
      </c>
      <c r="B3742" s="2">
        <v>46088.512673611112</v>
      </c>
      <c r="C3742" s="2">
        <v>46088.523090277777</v>
      </c>
      <c r="D3742" t="s">
        <v>690</v>
      </c>
      <c r="E3742" t="s">
        <v>1477</v>
      </c>
      <c r="F3742" t="s">
        <v>1478</v>
      </c>
      <c r="G3742" t="s">
        <v>1107</v>
      </c>
      <c r="H3742" t="s">
        <v>1031</v>
      </c>
      <c r="I3742">
        <v>185345009</v>
      </c>
      <c r="J3742" t="s">
        <v>1032</v>
      </c>
      <c r="K3742">
        <v>85.55</v>
      </c>
      <c r="L3742">
        <v>85.55</v>
      </c>
      <c r="M3742">
        <v>59.88</v>
      </c>
      <c r="N3742">
        <v>75498004</v>
      </c>
      <c r="O3742" t="s">
        <v>1174</v>
      </c>
    </row>
    <row r="3743" spans="1:15">
      <c r="A3743" t="s">
        <v>5261</v>
      </c>
      <c r="B3743" s="2">
        <v>46098.721006944441</v>
      </c>
      <c r="C3743" s="2">
        <v>46098.755671296298</v>
      </c>
      <c r="D3743" t="s">
        <v>690</v>
      </c>
      <c r="E3743" t="s">
        <v>5221</v>
      </c>
      <c r="F3743" t="s">
        <v>5222</v>
      </c>
      <c r="G3743" t="s">
        <v>1107</v>
      </c>
      <c r="H3743" t="s">
        <v>1020</v>
      </c>
      <c r="I3743">
        <v>162673000</v>
      </c>
      <c r="J3743" t="s">
        <v>1021</v>
      </c>
      <c r="K3743">
        <v>136.80000000000001</v>
      </c>
      <c r="L3743">
        <v>785.58</v>
      </c>
      <c r="M3743">
        <v>549.91</v>
      </c>
      <c r="O3743" t="s">
        <v>34</v>
      </c>
    </row>
    <row r="3744" spans="1:15">
      <c r="A3744" t="s">
        <v>5262</v>
      </c>
      <c r="B3744" s="2">
        <v>46102.554340277777</v>
      </c>
      <c r="C3744" s="2">
        <v>46102.564756944441</v>
      </c>
      <c r="D3744" t="s">
        <v>690</v>
      </c>
      <c r="E3744" t="s">
        <v>1477</v>
      </c>
      <c r="F3744" t="s">
        <v>1478</v>
      </c>
      <c r="G3744" t="s">
        <v>1107</v>
      </c>
      <c r="H3744" t="s">
        <v>1031</v>
      </c>
      <c r="I3744">
        <v>185345009</v>
      </c>
      <c r="J3744" t="s">
        <v>1032</v>
      </c>
      <c r="K3744">
        <v>85.55</v>
      </c>
      <c r="L3744">
        <v>85.55</v>
      </c>
      <c r="M3744">
        <v>59.88</v>
      </c>
      <c r="N3744">
        <v>75498004</v>
      </c>
      <c r="O3744" t="s">
        <v>1174</v>
      </c>
    </row>
    <row r="3745" spans="1:15">
      <c r="A3745" t="s">
        <v>5263</v>
      </c>
      <c r="B3745" s="2">
        <v>46122.942835648151</v>
      </c>
      <c r="C3745" s="2">
        <v>46122.998067129629</v>
      </c>
      <c r="D3745" t="s">
        <v>690</v>
      </c>
      <c r="E3745" t="s">
        <v>1477</v>
      </c>
      <c r="F3745" t="s">
        <v>1478</v>
      </c>
      <c r="G3745" t="s">
        <v>1107</v>
      </c>
      <c r="H3745" t="s">
        <v>1031</v>
      </c>
      <c r="I3745">
        <v>185347001</v>
      </c>
      <c r="J3745" t="s">
        <v>1124</v>
      </c>
      <c r="K3745">
        <v>85.55</v>
      </c>
      <c r="L3745">
        <v>1379.75</v>
      </c>
      <c r="M3745">
        <v>965.82</v>
      </c>
      <c r="N3745">
        <v>37320007</v>
      </c>
      <c r="O3745" t="s">
        <v>1125</v>
      </c>
    </row>
    <row r="3746" spans="1:15">
      <c r="A3746" t="s">
        <v>5264</v>
      </c>
      <c r="B3746" s="2">
        <v>46136.998067129629</v>
      </c>
      <c r="C3746" s="2">
        <v>46137.039097222223</v>
      </c>
      <c r="D3746" t="s">
        <v>690</v>
      </c>
      <c r="E3746" t="s">
        <v>1477</v>
      </c>
      <c r="F3746" t="s">
        <v>1478</v>
      </c>
      <c r="G3746" t="s">
        <v>1107</v>
      </c>
      <c r="H3746" t="s">
        <v>1031</v>
      </c>
      <c r="I3746">
        <v>390906007</v>
      </c>
      <c r="J3746" t="s">
        <v>1255</v>
      </c>
      <c r="K3746">
        <v>85.55</v>
      </c>
      <c r="L3746">
        <v>516.95000000000005</v>
      </c>
      <c r="M3746">
        <v>361.86</v>
      </c>
      <c r="N3746">
        <v>37320007</v>
      </c>
      <c r="O3746" t="s">
        <v>1125</v>
      </c>
    </row>
    <row r="3747" spans="1:15">
      <c r="A3747" t="s">
        <v>5265</v>
      </c>
      <c r="B3747" s="2">
        <v>46137.554340277777</v>
      </c>
      <c r="C3747" s="2">
        <v>46137.564756944441</v>
      </c>
      <c r="D3747" t="s">
        <v>690</v>
      </c>
      <c r="E3747" t="s">
        <v>1477</v>
      </c>
      <c r="F3747" t="s">
        <v>1478</v>
      </c>
      <c r="G3747" t="s">
        <v>1107</v>
      </c>
      <c r="H3747" t="s">
        <v>1031</v>
      </c>
      <c r="I3747">
        <v>185345009</v>
      </c>
      <c r="J3747" t="s">
        <v>1032</v>
      </c>
      <c r="K3747">
        <v>85.55</v>
      </c>
      <c r="L3747">
        <v>85.55</v>
      </c>
      <c r="M3747">
        <v>59.88</v>
      </c>
      <c r="N3747">
        <v>75498004</v>
      </c>
      <c r="O3747" t="s">
        <v>1174</v>
      </c>
    </row>
    <row r="3748" spans="1:15">
      <c r="A3748" t="s">
        <v>5266</v>
      </c>
      <c r="B3748" s="2">
        <v>46144.554340277777</v>
      </c>
      <c r="C3748" s="2">
        <v>46144.564756944441</v>
      </c>
      <c r="D3748" t="s">
        <v>690</v>
      </c>
      <c r="E3748" t="s">
        <v>1477</v>
      </c>
      <c r="F3748" t="s">
        <v>1478</v>
      </c>
      <c r="G3748" t="s">
        <v>1107</v>
      </c>
      <c r="H3748" t="s">
        <v>1031</v>
      </c>
      <c r="I3748">
        <v>185345009</v>
      </c>
      <c r="J3748" t="s">
        <v>1032</v>
      </c>
      <c r="K3748">
        <v>85.55</v>
      </c>
      <c r="L3748">
        <v>85.55</v>
      </c>
      <c r="M3748">
        <v>59.88</v>
      </c>
      <c r="N3748">
        <v>75498004</v>
      </c>
      <c r="O3748" t="s">
        <v>1174</v>
      </c>
    </row>
    <row r="3749" spans="1:15">
      <c r="A3749" t="s">
        <v>5267</v>
      </c>
      <c r="B3749" s="2">
        <v>46154.721006944441</v>
      </c>
      <c r="C3749" s="2">
        <v>46154.74422453704</v>
      </c>
      <c r="D3749" t="s">
        <v>690</v>
      </c>
      <c r="E3749" t="s">
        <v>2799</v>
      </c>
      <c r="F3749" t="s">
        <v>2800</v>
      </c>
      <c r="G3749" t="s">
        <v>1107</v>
      </c>
      <c r="H3749" t="s">
        <v>1159</v>
      </c>
      <c r="I3749">
        <v>702927004</v>
      </c>
      <c r="J3749" t="s">
        <v>1160</v>
      </c>
      <c r="K3749">
        <v>142.58000000000001</v>
      </c>
      <c r="L3749">
        <v>864.26</v>
      </c>
      <c r="M3749">
        <v>604.99</v>
      </c>
      <c r="O3749" t="s">
        <v>34</v>
      </c>
    </row>
    <row r="3750" spans="1:15">
      <c r="A3750" t="s">
        <v>5268</v>
      </c>
      <c r="B3750" s="2">
        <v>46161.721006944441</v>
      </c>
      <c r="C3750" s="2">
        <v>46161.731423611112</v>
      </c>
      <c r="D3750" t="s">
        <v>690</v>
      </c>
      <c r="E3750" t="s">
        <v>2799</v>
      </c>
      <c r="F3750" t="s">
        <v>2800</v>
      </c>
      <c r="G3750" t="s">
        <v>1107</v>
      </c>
      <c r="H3750" t="s">
        <v>1159</v>
      </c>
      <c r="I3750">
        <v>702927004</v>
      </c>
      <c r="J3750" t="s">
        <v>1160</v>
      </c>
      <c r="K3750">
        <v>142.58000000000001</v>
      </c>
      <c r="L3750">
        <v>142.58000000000001</v>
      </c>
      <c r="M3750">
        <v>99.81</v>
      </c>
      <c r="O3750" t="s">
        <v>34</v>
      </c>
    </row>
    <row r="3751" spans="1:15">
      <c r="A3751" t="s">
        <v>5269</v>
      </c>
      <c r="B3751" s="2">
        <v>46168.721006944441</v>
      </c>
      <c r="C3751" s="2">
        <v>46168.749085648145</v>
      </c>
      <c r="D3751" t="s">
        <v>690</v>
      </c>
      <c r="E3751" t="s">
        <v>1477</v>
      </c>
      <c r="F3751" t="s">
        <v>1478</v>
      </c>
      <c r="G3751" t="s">
        <v>1107</v>
      </c>
      <c r="H3751" t="s">
        <v>1043</v>
      </c>
      <c r="I3751">
        <v>185349003</v>
      </c>
      <c r="J3751" t="s">
        <v>1038</v>
      </c>
      <c r="K3751">
        <v>85.55</v>
      </c>
      <c r="L3751">
        <v>598.33000000000004</v>
      </c>
      <c r="M3751">
        <v>418.83</v>
      </c>
      <c r="O3751" t="s">
        <v>34</v>
      </c>
    </row>
    <row r="3752" spans="1:15">
      <c r="A3752" t="s">
        <v>5270</v>
      </c>
      <c r="B3752" s="2">
        <v>46175.721006944441</v>
      </c>
      <c r="C3752" s="2">
        <v>46175.732847222222</v>
      </c>
      <c r="D3752" t="s">
        <v>690</v>
      </c>
      <c r="E3752" t="s">
        <v>1477</v>
      </c>
      <c r="F3752" t="s">
        <v>1478</v>
      </c>
      <c r="G3752" t="s">
        <v>1107</v>
      </c>
      <c r="H3752" t="s">
        <v>1031</v>
      </c>
      <c r="I3752">
        <v>185345009</v>
      </c>
      <c r="J3752" t="s">
        <v>1032</v>
      </c>
      <c r="K3752">
        <v>85.55</v>
      </c>
      <c r="L3752">
        <v>775.79</v>
      </c>
      <c r="M3752">
        <v>543.04999999999995</v>
      </c>
      <c r="N3752">
        <v>10509002</v>
      </c>
      <c r="O3752" t="s">
        <v>1033</v>
      </c>
    </row>
    <row r="3753" spans="1:15">
      <c r="A3753" t="s">
        <v>5271</v>
      </c>
      <c r="B3753" s="2">
        <v>46182.721006944441</v>
      </c>
      <c r="C3753" s="2">
        <v>46182.909699074073</v>
      </c>
      <c r="D3753" t="s">
        <v>690</v>
      </c>
      <c r="E3753" t="s">
        <v>1477</v>
      </c>
      <c r="F3753" t="s">
        <v>1478</v>
      </c>
      <c r="G3753" t="s">
        <v>1107</v>
      </c>
      <c r="H3753" t="s">
        <v>1031</v>
      </c>
      <c r="I3753">
        <v>185349003</v>
      </c>
      <c r="J3753" t="s">
        <v>1038</v>
      </c>
      <c r="K3753">
        <v>85.55</v>
      </c>
      <c r="L3753">
        <v>3968.15</v>
      </c>
      <c r="M3753">
        <v>2777.7</v>
      </c>
      <c r="N3753">
        <v>103697008</v>
      </c>
      <c r="O3753" t="s">
        <v>1039</v>
      </c>
    </row>
    <row r="3754" spans="1:15">
      <c r="A3754" t="s">
        <v>5272</v>
      </c>
      <c r="B3754" s="2">
        <v>46189.721006944441</v>
      </c>
      <c r="C3754" s="2">
        <v>46189.731423611112</v>
      </c>
      <c r="D3754" t="s">
        <v>690</v>
      </c>
      <c r="E3754" t="s">
        <v>1477</v>
      </c>
      <c r="F3754" t="s">
        <v>1478</v>
      </c>
      <c r="G3754" t="s">
        <v>1107</v>
      </c>
      <c r="H3754" t="s">
        <v>1031</v>
      </c>
      <c r="I3754">
        <v>185345009</v>
      </c>
      <c r="J3754" t="s">
        <v>1032</v>
      </c>
      <c r="K3754">
        <v>85.55</v>
      </c>
      <c r="L3754">
        <v>85.55</v>
      </c>
      <c r="M3754">
        <v>59.88</v>
      </c>
      <c r="N3754">
        <v>75498004</v>
      </c>
      <c r="O3754" t="s">
        <v>1174</v>
      </c>
    </row>
    <row r="3755" spans="1:15">
      <c r="A3755" t="s">
        <v>5273</v>
      </c>
      <c r="B3755" s="2">
        <v>46196.721006944441</v>
      </c>
      <c r="C3755" s="2">
        <v>46196.762152777781</v>
      </c>
      <c r="D3755" t="s">
        <v>690</v>
      </c>
      <c r="E3755" t="s">
        <v>2799</v>
      </c>
      <c r="F3755" t="s">
        <v>2800</v>
      </c>
      <c r="G3755" t="s">
        <v>1107</v>
      </c>
      <c r="H3755" t="s">
        <v>1159</v>
      </c>
      <c r="I3755">
        <v>702927004</v>
      </c>
      <c r="J3755" t="s">
        <v>1160</v>
      </c>
      <c r="K3755">
        <v>142.58000000000001</v>
      </c>
      <c r="L3755">
        <v>1116.6300000000001</v>
      </c>
      <c r="M3755">
        <v>781.65</v>
      </c>
      <c r="O3755" t="s">
        <v>34</v>
      </c>
    </row>
    <row r="3756" spans="1:15">
      <c r="A3756" t="s">
        <v>5274</v>
      </c>
      <c r="B3756" s="2">
        <v>46210.721006944441</v>
      </c>
      <c r="C3756" s="2">
        <v>46210.870069444441</v>
      </c>
      <c r="D3756" t="s">
        <v>690</v>
      </c>
      <c r="E3756" t="s">
        <v>1477</v>
      </c>
      <c r="F3756" t="s">
        <v>1478</v>
      </c>
      <c r="G3756" t="s">
        <v>1107</v>
      </c>
      <c r="H3756" t="s">
        <v>1031</v>
      </c>
      <c r="I3756">
        <v>185349003</v>
      </c>
      <c r="J3756" t="s">
        <v>1038</v>
      </c>
      <c r="K3756">
        <v>85.55</v>
      </c>
      <c r="L3756">
        <v>3536.75</v>
      </c>
      <c r="M3756">
        <v>2475.7199999999998</v>
      </c>
      <c r="N3756">
        <v>66383009</v>
      </c>
      <c r="O3756" t="s">
        <v>1209</v>
      </c>
    </row>
    <row r="3757" spans="1:15">
      <c r="A3757" t="s">
        <v>5275</v>
      </c>
      <c r="B3757" s="2">
        <v>34801.488993055558</v>
      </c>
      <c r="C3757" s="2">
        <v>34801.530659722222</v>
      </c>
      <c r="D3757" t="s">
        <v>700</v>
      </c>
      <c r="E3757" t="s">
        <v>4045</v>
      </c>
      <c r="F3757" t="s">
        <v>4046</v>
      </c>
      <c r="G3757" t="s">
        <v>1093</v>
      </c>
      <c r="H3757" t="s">
        <v>1076</v>
      </c>
      <c r="I3757">
        <v>50849002</v>
      </c>
      <c r="J3757" t="s">
        <v>1163</v>
      </c>
      <c r="K3757">
        <v>146.18</v>
      </c>
      <c r="L3757">
        <v>146.18</v>
      </c>
      <c r="M3757">
        <v>96.18</v>
      </c>
      <c r="N3757">
        <v>124171000119105</v>
      </c>
      <c r="O3757" t="s">
        <v>5276</v>
      </c>
    </row>
    <row r="3758" spans="1:15">
      <c r="A3758" t="s">
        <v>5277</v>
      </c>
      <c r="B3758" s="2">
        <v>34875.488993055558</v>
      </c>
      <c r="C3758" s="2">
        <v>34875.530659722222</v>
      </c>
      <c r="D3758" t="s">
        <v>700</v>
      </c>
      <c r="E3758" t="s">
        <v>4045</v>
      </c>
      <c r="F3758" t="s">
        <v>4046</v>
      </c>
      <c r="G3758" t="s">
        <v>1093</v>
      </c>
      <c r="H3758" t="s">
        <v>1076</v>
      </c>
      <c r="I3758">
        <v>50849002</v>
      </c>
      <c r="J3758" t="s">
        <v>1163</v>
      </c>
      <c r="K3758">
        <v>146.18</v>
      </c>
      <c r="L3758">
        <v>5308.14</v>
      </c>
      <c r="M3758">
        <v>5258.14</v>
      </c>
      <c r="N3758">
        <v>196416002</v>
      </c>
      <c r="O3758" t="s">
        <v>1414</v>
      </c>
    </row>
    <row r="3759" spans="1:15">
      <c r="A3759" t="s">
        <v>5278</v>
      </c>
      <c r="B3759" s="2">
        <v>35407.447326388887</v>
      </c>
      <c r="C3759" s="2">
        <v>35407.492928240739</v>
      </c>
      <c r="D3759" t="s">
        <v>700</v>
      </c>
      <c r="E3759" t="s">
        <v>4030</v>
      </c>
      <c r="F3759" t="s">
        <v>4031</v>
      </c>
      <c r="G3759" t="s">
        <v>1093</v>
      </c>
      <c r="H3759" t="s">
        <v>1031</v>
      </c>
      <c r="I3759">
        <v>185347001</v>
      </c>
      <c r="J3759" t="s">
        <v>1124</v>
      </c>
      <c r="K3759">
        <v>85.55</v>
      </c>
      <c r="L3759">
        <v>516.95000000000005</v>
      </c>
      <c r="M3759">
        <v>466.95</v>
      </c>
      <c r="N3759">
        <v>6525002</v>
      </c>
      <c r="O3759" t="s">
        <v>5279</v>
      </c>
    </row>
    <row r="3760" spans="1:15">
      <c r="A3760" t="s">
        <v>5280</v>
      </c>
      <c r="B3760" s="2">
        <v>36223.447326388887</v>
      </c>
      <c r="C3760" s="2">
        <v>36223.47859953704</v>
      </c>
      <c r="D3760" t="s">
        <v>700</v>
      </c>
      <c r="E3760" t="s">
        <v>5281</v>
      </c>
      <c r="F3760" t="s">
        <v>5282</v>
      </c>
      <c r="G3760" t="s">
        <v>1093</v>
      </c>
      <c r="H3760" t="s">
        <v>1020</v>
      </c>
      <c r="I3760">
        <v>162673000</v>
      </c>
      <c r="J3760" t="s">
        <v>1021</v>
      </c>
      <c r="K3760">
        <v>136.80000000000001</v>
      </c>
      <c r="L3760">
        <v>928.74</v>
      </c>
      <c r="M3760">
        <v>778.74</v>
      </c>
      <c r="O3760" t="s">
        <v>34</v>
      </c>
    </row>
    <row r="3761" spans="1:15">
      <c r="A3761" t="s">
        <v>5283</v>
      </c>
      <c r="B3761" s="2">
        <v>36814.873645833337</v>
      </c>
      <c r="C3761" s="2">
        <v>36815.331979166665</v>
      </c>
      <c r="D3761" t="s">
        <v>700</v>
      </c>
      <c r="E3761" t="s">
        <v>4045</v>
      </c>
      <c r="F3761" t="s">
        <v>4046</v>
      </c>
      <c r="G3761" t="s">
        <v>1093</v>
      </c>
      <c r="H3761" t="s">
        <v>1076</v>
      </c>
      <c r="I3761">
        <v>50849002</v>
      </c>
      <c r="J3761" t="s">
        <v>1163</v>
      </c>
      <c r="K3761">
        <v>146.18</v>
      </c>
      <c r="L3761">
        <v>146.18</v>
      </c>
      <c r="M3761">
        <v>96.18</v>
      </c>
      <c r="N3761">
        <v>1149222004</v>
      </c>
      <c r="O3761" t="s">
        <v>5284</v>
      </c>
    </row>
    <row r="3762" spans="1:15">
      <c r="A3762" t="s">
        <v>5285</v>
      </c>
      <c r="B3762" s="2">
        <v>37693.447326388887</v>
      </c>
      <c r="C3762" s="2">
        <v>37693.474074074074</v>
      </c>
      <c r="D3762" t="s">
        <v>700</v>
      </c>
      <c r="E3762" t="s">
        <v>5281</v>
      </c>
      <c r="F3762" t="s">
        <v>5282</v>
      </c>
      <c r="G3762" t="s">
        <v>1093</v>
      </c>
      <c r="H3762" t="s">
        <v>1020</v>
      </c>
      <c r="I3762">
        <v>162673000</v>
      </c>
      <c r="J3762" t="s">
        <v>1021</v>
      </c>
      <c r="K3762">
        <v>136.80000000000001</v>
      </c>
      <c r="L3762">
        <v>1347.73</v>
      </c>
      <c r="M3762">
        <v>1197.73</v>
      </c>
      <c r="O3762" t="s">
        <v>34</v>
      </c>
    </row>
    <row r="3763" spans="1:15">
      <c r="A3763" t="s">
        <v>5286</v>
      </c>
      <c r="B3763" s="2">
        <v>38792.447326388887</v>
      </c>
      <c r="C3763" s="2">
        <v>38792.481712962966</v>
      </c>
      <c r="D3763" t="s">
        <v>700</v>
      </c>
      <c r="E3763" t="s">
        <v>5281</v>
      </c>
      <c r="F3763" t="s">
        <v>5282</v>
      </c>
      <c r="G3763" t="s">
        <v>1093</v>
      </c>
      <c r="H3763" t="s">
        <v>1020</v>
      </c>
      <c r="I3763">
        <v>162673000</v>
      </c>
      <c r="J3763" t="s">
        <v>1021</v>
      </c>
      <c r="K3763">
        <v>136.80000000000001</v>
      </c>
      <c r="L3763">
        <v>704.2</v>
      </c>
      <c r="M3763">
        <v>604.20000000000005</v>
      </c>
      <c r="O3763" t="s">
        <v>34</v>
      </c>
    </row>
    <row r="3764" spans="1:15">
      <c r="A3764" t="s">
        <v>5287</v>
      </c>
      <c r="B3764" s="2">
        <v>39891.488993055558</v>
      </c>
      <c r="C3764" s="2">
        <v>39891.513171296298</v>
      </c>
      <c r="D3764" t="s">
        <v>700</v>
      </c>
      <c r="E3764" t="s">
        <v>5281</v>
      </c>
      <c r="F3764" t="s">
        <v>5282</v>
      </c>
      <c r="G3764" t="s">
        <v>1093</v>
      </c>
      <c r="H3764" t="s">
        <v>1020</v>
      </c>
      <c r="I3764">
        <v>162673000</v>
      </c>
      <c r="J3764" t="s">
        <v>1021</v>
      </c>
      <c r="K3764">
        <v>136.80000000000001</v>
      </c>
      <c r="L3764">
        <v>994.48</v>
      </c>
      <c r="M3764">
        <v>894.48</v>
      </c>
      <c r="O3764" t="s">
        <v>34</v>
      </c>
    </row>
    <row r="3765" spans="1:15">
      <c r="A3765" t="s">
        <v>5288</v>
      </c>
      <c r="B3765" s="2">
        <v>39905.488993055558</v>
      </c>
      <c r="C3765" s="2">
        <v>39905.63486111111</v>
      </c>
      <c r="D3765" t="s">
        <v>700</v>
      </c>
      <c r="E3765" t="s">
        <v>4030</v>
      </c>
      <c r="F3765" t="s">
        <v>4031</v>
      </c>
      <c r="G3765" t="s">
        <v>1093</v>
      </c>
      <c r="H3765" t="s">
        <v>1031</v>
      </c>
      <c r="I3765">
        <v>185349003</v>
      </c>
      <c r="J3765" t="s">
        <v>1038</v>
      </c>
      <c r="K3765">
        <v>85.55</v>
      </c>
      <c r="L3765">
        <v>2673.95</v>
      </c>
      <c r="M3765">
        <v>2623.95</v>
      </c>
      <c r="N3765">
        <v>103697008</v>
      </c>
      <c r="O3765" t="s">
        <v>1039</v>
      </c>
    </row>
    <row r="3766" spans="1:15">
      <c r="A3766" t="s">
        <v>5289</v>
      </c>
      <c r="B3766" s="2">
        <v>40050.800474537034</v>
      </c>
      <c r="C3766" s="2">
        <v>40051.342141203706</v>
      </c>
      <c r="D3766" t="s">
        <v>700</v>
      </c>
      <c r="E3766" t="s">
        <v>4045</v>
      </c>
      <c r="F3766" t="s">
        <v>4046</v>
      </c>
      <c r="G3766" t="s">
        <v>1093</v>
      </c>
      <c r="H3766" t="s">
        <v>1076</v>
      </c>
      <c r="I3766">
        <v>50849002</v>
      </c>
      <c r="J3766" t="s">
        <v>1163</v>
      </c>
      <c r="K3766">
        <v>146.18</v>
      </c>
      <c r="L3766">
        <v>146.18</v>
      </c>
      <c r="M3766">
        <v>96.18</v>
      </c>
      <c r="N3766">
        <v>1149222004</v>
      </c>
      <c r="O3766" t="s">
        <v>5284</v>
      </c>
    </row>
    <row r="3767" spans="1:15">
      <c r="A3767" t="s">
        <v>5290</v>
      </c>
      <c r="B3767" s="2">
        <v>40058.342141203706</v>
      </c>
      <c r="C3767" s="2">
        <v>40058.392928240741</v>
      </c>
      <c r="D3767" t="s">
        <v>700</v>
      </c>
      <c r="E3767" t="s">
        <v>4030</v>
      </c>
      <c r="F3767" t="s">
        <v>4031</v>
      </c>
      <c r="G3767" t="s">
        <v>1093</v>
      </c>
      <c r="H3767" t="s">
        <v>1031</v>
      </c>
      <c r="I3767">
        <v>185347001</v>
      </c>
      <c r="J3767" t="s">
        <v>1124</v>
      </c>
      <c r="K3767">
        <v>85.55</v>
      </c>
      <c r="L3767">
        <v>516.95000000000005</v>
      </c>
      <c r="M3767">
        <v>466.95</v>
      </c>
      <c r="N3767">
        <v>6525002</v>
      </c>
      <c r="O3767" t="s">
        <v>5279</v>
      </c>
    </row>
    <row r="3768" spans="1:15">
      <c r="A3768" t="s">
        <v>5291</v>
      </c>
      <c r="B3768" s="2">
        <v>40088.392928240741</v>
      </c>
      <c r="C3768" s="2">
        <v>40088.451967592591</v>
      </c>
      <c r="D3768" t="s">
        <v>700</v>
      </c>
      <c r="E3768" t="s">
        <v>4030</v>
      </c>
      <c r="F3768" t="s">
        <v>4031</v>
      </c>
      <c r="G3768" t="s">
        <v>1093</v>
      </c>
      <c r="H3768" t="s">
        <v>1031</v>
      </c>
      <c r="I3768">
        <v>185347001</v>
      </c>
      <c r="J3768" t="s">
        <v>1124</v>
      </c>
      <c r="K3768">
        <v>85.55</v>
      </c>
      <c r="L3768">
        <v>516.95000000000005</v>
      </c>
      <c r="M3768">
        <v>466.95</v>
      </c>
      <c r="N3768">
        <v>6525002</v>
      </c>
      <c r="O3768" t="s">
        <v>5279</v>
      </c>
    </row>
    <row r="3769" spans="1:15">
      <c r="A3769" t="s">
        <v>5292</v>
      </c>
      <c r="B3769" s="2">
        <v>40118.410300925927</v>
      </c>
      <c r="C3769" s="2">
        <v>40118.452557870369</v>
      </c>
      <c r="D3769" t="s">
        <v>700</v>
      </c>
      <c r="E3769" t="s">
        <v>4030</v>
      </c>
      <c r="F3769" t="s">
        <v>4031</v>
      </c>
      <c r="G3769" t="s">
        <v>1093</v>
      </c>
      <c r="H3769" t="s">
        <v>1031</v>
      </c>
      <c r="I3769">
        <v>185347001</v>
      </c>
      <c r="J3769" t="s">
        <v>1124</v>
      </c>
      <c r="K3769">
        <v>85.55</v>
      </c>
      <c r="L3769">
        <v>516.95000000000005</v>
      </c>
      <c r="M3769">
        <v>466.95</v>
      </c>
      <c r="N3769">
        <v>6525002</v>
      </c>
      <c r="O3769" t="s">
        <v>5279</v>
      </c>
    </row>
    <row r="3770" spans="1:15">
      <c r="A3770" t="s">
        <v>5293</v>
      </c>
      <c r="B3770" s="2">
        <v>40148.452557870369</v>
      </c>
      <c r="C3770" s="2">
        <v>40148.514907407407</v>
      </c>
      <c r="D3770" t="s">
        <v>700</v>
      </c>
      <c r="E3770" t="s">
        <v>4030</v>
      </c>
      <c r="F3770" t="s">
        <v>4031</v>
      </c>
      <c r="G3770" t="s">
        <v>1093</v>
      </c>
      <c r="H3770" t="s">
        <v>1031</v>
      </c>
      <c r="I3770">
        <v>185347001</v>
      </c>
      <c r="J3770" t="s">
        <v>1124</v>
      </c>
      <c r="K3770">
        <v>85.55</v>
      </c>
      <c r="L3770">
        <v>516.95000000000005</v>
      </c>
      <c r="M3770">
        <v>466.95</v>
      </c>
      <c r="N3770">
        <v>6525002</v>
      </c>
      <c r="O3770" t="s">
        <v>5279</v>
      </c>
    </row>
    <row r="3771" spans="1:15">
      <c r="A3771" t="s">
        <v>5294</v>
      </c>
      <c r="B3771" s="2">
        <v>40178.514907407407</v>
      </c>
      <c r="C3771" s="2">
        <v>40178.566770833335</v>
      </c>
      <c r="D3771" t="s">
        <v>700</v>
      </c>
      <c r="E3771" t="s">
        <v>4030</v>
      </c>
      <c r="F3771" t="s">
        <v>4031</v>
      </c>
      <c r="G3771" t="s">
        <v>1093</v>
      </c>
      <c r="H3771" t="s">
        <v>1031</v>
      </c>
      <c r="I3771">
        <v>185347001</v>
      </c>
      <c r="J3771" t="s">
        <v>1124</v>
      </c>
      <c r="K3771">
        <v>85.55</v>
      </c>
      <c r="L3771">
        <v>516.95000000000005</v>
      </c>
      <c r="M3771">
        <v>466.95</v>
      </c>
      <c r="N3771">
        <v>6525002</v>
      </c>
      <c r="O3771" t="s">
        <v>5279</v>
      </c>
    </row>
    <row r="3772" spans="1:15">
      <c r="A3772" t="s">
        <v>5295</v>
      </c>
      <c r="B3772" s="2">
        <v>40208.566770833335</v>
      </c>
      <c r="C3772" s="2">
        <v>40208.626087962963</v>
      </c>
      <c r="D3772" t="s">
        <v>700</v>
      </c>
      <c r="E3772" t="s">
        <v>4030</v>
      </c>
      <c r="F3772" t="s">
        <v>4031</v>
      </c>
      <c r="G3772" t="s">
        <v>1093</v>
      </c>
      <c r="H3772" t="s">
        <v>1031</v>
      </c>
      <c r="I3772">
        <v>185347001</v>
      </c>
      <c r="J3772" t="s">
        <v>1124</v>
      </c>
      <c r="K3772">
        <v>85.55</v>
      </c>
      <c r="L3772">
        <v>516.95000000000005</v>
      </c>
      <c r="M3772">
        <v>366.95</v>
      </c>
      <c r="N3772">
        <v>6525002</v>
      </c>
      <c r="O3772" t="s">
        <v>5279</v>
      </c>
    </row>
    <row r="3773" spans="1:15">
      <c r="A3773" t="s">
        <v>5296</v>
      </c>
      <c r="B3773" s="2">
        <v>40238.626087962963</v>
      </c>
      <c r="C3773" s="2">
        <v>40238.686365740738</v>
      </c>
      <c r="D3773" t="s">
        <v>700</v>
      </c>
      <c r="E3773" t="s">
        <v>4030</v>
      </c>
      <c r="F3773" t="s">
        <v>4031</v>
      </c>
      <c r="G3773" t="s">
        <v>1093</v>
      </c>
      <c r="H3773" t="s">
        <v>1031</v>
      </c>
      <c r="I3773">
        <v>185347001</v>
      </c>
      <c r="J3773" t="s">
        <v>1124</v>
      </c>
      <c r="K3773">
        <v>85.55</v>
      </c>
      <c r="L3773">
        <v>516.95000000000005</v>
      </c>
      <c r="M3773">
        <v>466.95</v>
      </c>
      <c r="N3773">
        <v>6525002</v>
      </c>
      <c r="O3773" t="s">
        <v>5279</v>
      </c>
    </row>
    <row r="3774" spans="1:15">
      <c r="A3774" t="s">
        <v>5297</v>
      </c>
      <c r="B3774" s="2">
        <v>40254.488993055558</v>
      </c>
      <c r="C3774" s="2">
        <v>40254.499409722222</v>
      </c>
      <c r="D3774" t="s">
        <v>700</v>
      </c>
      <c r="E3774" t="s">
        <v>4030</v>
      </c>
      <c r="F3774" t="s">
        <v>4031</v>
      </c>
      <c r="G3774" t="s">
        <v>1093</v>
      </c>
      <c r="H3774" t="s">
        <v>1031</v>
      </c>
      <c r="I3774">
        <v>210098006</v>
      </c>
      <c r="J3774" t="s">
        <v>5298</v>
      </c>
      <c r="K3774">
        <v>142.58000000000001</v>
      </c>
      <c r="L3774">
        <v>202.97</v>
      </c>
      <c r="M3774">
        <v>152.97</v>
      </c>
      <c r="N3774">
        <v>32911000</v>
      </c>
      <c r="O3774" t="s">
        <v>5299</v>
      </c>
    </row>
    <row r="3775" spans="1:15">
      <c r="A3775" t="s">
        <v>5300</v>
      </c>
      <c r="B3775" s="2">
        <v>40268.728032407409</v>
      </c>
      <c r="C3775" s="2">
        <v>40268.775057870371</v>
      </c>
      <c r="D3775" t="s">
        <v>700</v>
      </c>
      <c r="E3775" t="s">
        <v>4030</v>
      </c>
      <c r="F3775" t="s">
        <v>4031</v>
      </c>
      <c r="G3775" t="s">
        <v>1093</v>
      </c>
      <c r="H3775" t="s">
        <v>1031</v>
      </c>
      <c r="I3775">
        <v>185347001</v>
      </c>
      <c r="J3775" t="s">
        <v>1124</v>
      </c>
      <c r="K3775">
        <v>85.55</v>
      </c>
      <c r="L3775">
        <v>516.95000000000005</v>
      </c>
      <c r="M3775">
        <v>466.95</v>
      </c>
      <c r="N3775">
        <v>6525002</v>
      </c>
      <c r="O3775" t="s">
        <v>5279</v>
      </c>
    </row>
    <row r="3776" spans="1:15">
      <c r="A3776" t="s">
        <v>5301</v>
      </c>
      <c r="B3776" s="2">
        <v>40298.775057870371</v>
      </c>
      <c r="C3776" s="2">
        <v>40298.822731481479</v>
      </c>
      <c r="D3776" t="s">
        <v>700</v>
      </c>
      <c r="E3776" t="s">
        <v>4030</v>
      </c>
      <c r="F3776" t="s">
        <v>4031</v>
      </c>
      <c r="G3776" t="s">
        <v>1093</v>
      </c>
      <c r="H3776" t="s">
        <v>1031</v>
      </c>
      <c r="I3776">
        <v>185347001</v>
      </c>
      <c r="J3776" t="s">
        <v>1124</v>
      </c>
      <c r="K3776">
        <v>85.55</v>
      </c>
      <c r="L3776">
        <v>516.95000000000005</v>
      </c>
      <c r="M3776">
        <v>466.95</v>
      </c>
      <c r="N3776">
        <v>6525002</v>
      </c>
      <c r="O3776" t="s">
        <v>5279</v>
      </c>
    </row>
    <row r="3777" spans="1:15">
      <c r="A3777" t="s">
        <v>5302</v>
      </c>
      <c r="B3777" s="2">
        <v>40314.488993055558</v>
      </c>
      <c r="C3777" s="2">
        <v>40314.499409722222</v>
      </c>
      <c r="D3777" t="s">
        <v>700</v>
      </c>
      <c r="E3777" t="s">
        <v>4030</v>
      </c>
      <c r="F3777" t="s">
        <v>4031</v>
      </c>
      <c r="G3777" t="s">
        <v>1093</v>
      </c>
      <c r="H3777" t="s">
        <v>1031</v>
      </c>
      <c r="I3777">
        <v>210098006</v>
      </c>
      <c r="J3777" t="s">
        <v>5298</v>
      </c>
      <c r="K3777">
        <v>142.58000000000001</v>
      </c>
      <c r="L3777">
        <v>202.97</v>
      </c>
      <c r="M3777">
        <v>152.97</v>
      </c>
      <c r="N3777">
        <v>32911000</v>
      </c>
      <c r="O3777" t="s">
        <v>5299</v>
      </c>
    </row>
    <row r="3778" spans="1:15">
      <c r="A3778" t="s">
        <v>5303</v>
      </c>
      <c r="B3778" s="2">
        <v>40328.822731481479</v>
      </c>
      <c r="C3778" s="2">
        <v>40328.868784722225</v>
      </c>
      <c r="D3778" t="s">
        <v>700</v>
      </c>
      <c r="E3778" t="s">
        <v>4030</v>
      </c>
      <c r="F3778" t="s">
        <v>4031</v>
      </c>
      <c r="G3778" t="s">
        <v>1093</v>
      </c>
      <c r="H3778" t="s">
        <v>1031</v>
      </c>
      <c r="I3778">
        <v>185347001</v>
      </c>
      <c r="J3778" t="s">
        <v>1124</v>
      </c>
      <c r="K3778">
        <v>85.55</v>
      </c>
      <c r="L3778">
        <v>516.95000000000005</v>
      </c>
      <c r="M3778">
        <v>466.95</v>
      </c>
      <c r="N3778">
        <v>6525002</v>
      </c>
      <c r="O3778" t="s">
        <v>5279</v>
      </c>
    </row>
    <row r="3779" spans="1:15">
      <c r="A3779" t="s">
        <v>5304</v>
      </c>
      <c r="B3779" s="2">
        <v>40374.488993055558</v>
      </c>
      <c r="C3779" s="2">
        <v>40374.499409722222</v>
      </c>
      <c r="D3779" t="s">
        <v>700</v>
      </c>
      <c r="E3779" t="s">
        <v>4030</v>
      </c>
      <c r="F3779" t="s">
        <v>4031</v>
      </c>
      <c r="G3779" t="s">
        <v>1093</v>
      </c>
      <c r="H3779" t="s">
        <v>1031</v>
      </c>
      <c r="I3779">
        <v>210098006</v>
      </c>
      <c r="J3779" t="s">
        <v>5298</v>
      </c>
      <c r="K3779">
        <v>142.58000000000001</v>
      </c>
      <c r="L3779">
        <v>211.6</v>
      </c>
      <c r="M3779">
        <v>161.6</v>
      </c>
      <c r="N3779">
        <v>32911000</v>
      </c>
      <c r="O3779" t="s">
        <v>5299</v>
      </c>
    </row>
    <row r="3780" spans="1:15">
      <c r="A3780" t="s">
        <v>5305</v>
      </c>
      <c r="B3780" s="2">
        <v>40404.488993055558</v>
      </c>
      <c r="C3780" s="2">
        <v>40404.499409722222</v>
      </c>
      <c r="D3780" t="s">
        <v>700</v>
      </c>
      <c r="E3780" t="s">
        <v>4030</v>
      </c>
      <c r="F3780" t="s">
        <v>4031</v>
      </c>
      <c r="G3780" t="s">
        <v>1093</v>
      </c>
      <c r="H3780" t="s">
        <v>1031</v>
      </c>
      <c r="I3780">
        <v>210098006</v>
      </c>
      <c r="J3780" t="s">
        <v>5298</v>
      </c>
      <c r="K3780">
        <v>142.58000000000001</v>
      </c>
      <c r="L3780">
        <v>202.97</v>
      </c>
      <c r="M3780">
        <v>152.97</v>
      </c>
      <c r="N3780">
        <v>32911000</v>
      </c>
      <c r="O3780" t="s">
        <v>5299</v>
      </c>
    </row>
    <row r="3781" spans="1:15">
      <c r="A3781" t="s">
        <v>5306</v>
      </c>
      <c r="B3781" s="2">
        <v>40414.868784722225</v>
      </c>
      <c r="C3781" s="2">
        <v>40427.868784722225</v>
      </c>
      <c r="D3781" t="s">
        <v>700</v>
      </c>
      <c r="E3781" t="s">
        <v>4030</v>
      </c>
      <c r="F3781" t="s">
        <v>4031</v>
      </c>
      <c r="G3781" t="s">
        <v>1093</v>
      </c>
      <c r="H3781" t="s">
        <v>1431</v>
      </c>
      <c r="I3781">
        <v>56876005</v>
      </c>
      <c r="J3781" t="s">
        <v>5307</v>
      </c>
      <c r="K3781">
        <v>146.18</v>
      </c>
      <c r="L3781">
        <v>146.18</v>
      </c>
      <c r="M3781">
        <v>96.18</v>
      </c>
      <c r="N3781">
        <v>6525002</v>
      </c>
      <c r="O3781" t="s">
        <v>5279</v>
      </c>
    </row>
    <row r="3782" spans="1:15">
      <c r="A3782" t="s">
        <v>5308</v>
      </c>
      <c r="B3782" s="2">
        <v>40434.488993055558</v>
      </c>
      <c r="C3782" s="2">
        <v>40434.499409722222</v>
      </c>
      <c r="D3782" t="s">
        <v>700</v>
      </c>
      <c r="E3782" t="s">
        <v>4030</v>
      </c>
      <c r="F3782" t="s">
        <v>4031</v>
      </c>
      <c r="G3782" t="s">
        <v>1093</v>
      </c>
      <c r="H3782" t="s">
        <v>1031</v>
      </c>
      <c r="I3782">
        <v>210098006</v>
      </c>
      <c r="J3782" t="s">
        <v>5298</v>
      </c>
      <c r="K3782">
        <v>142.58000000000001</v>
      </c>
      <c r="L3782">
        <v>211.6</v>
      </c>
      <c r="M3782">
        <v>161.6</v>
      </c>
      <c r="N3782">
        <v>32911000</v>
      </c>
      <c r="O3782" t="s">
        <v>5299</v>
      </c>
    </row>
    <row r="3783" spans="1:15">
      <c r="A3783" t="s">
        <v>5309</v>
      </c>
      <c r="B3783" s="2">
        <v>40494.447326388887</v>
      </c>
      <c r="C3783" s="2">
        <v>40494.457743055558</v>
      </c>
      <c r="D3783" t="s">
        <v>700</v>
      </c>
      <c r="E3783" t="s">
        <v>4030</v>
      </c>
      <c r="F3783" t="s">
        <v>4031</v>
      </c>
      <c r="G3783" t="s">
        <v>1093</v>
      </c>
      <c r="H3783" t="s">
        <v>1031</v>
      </c>
      <c r="I3783">
        <v>210098006</v>
      </c>
      <c r="J3783" t="s">
        <v>5298</v>
      </c>
      <c r="K3783">
        <v>142.58000000000001</v>
      </c>
      <c r="L3783">
        <v>202.97</v>
      </c>
      <c r="M3783">
        <v>152.97</v>
      </c>
      <c r="N3783">
        <v>32911000</v>
      </c>
      <c r="O3783" t="s">
        <v>5299</v>
      </c>
    </row>
    <row r="3784" spans="1:15">
      <c r="A3784" t="s">
        <v>5310</v>
      </c>
      <c r="B3784" s="2">
        <v>40524.447326388887</v>
      </c>
      <c r="C3784" s="2">
        <v>40524.457743055558</v>
      </c>
      <c r="D3784" t="s">
        <v>700</v>
      </c>
      <c r="E3784" t="s">
        <v>4030</v>
      </c>
      <c r="F3784" t="s">
        <v>4031</v>
      </c>
      <c r="G3784" t="s">
        <v>1093</v>
      </c>
      <c r="H3784" t="s">
        <v>1031</v>
      </c>
      <c r="I3784">
        <v>210098006</v>
      </c>
      <c r="J3784" t="s">
        <v>5298</v>
      </c>
      <c r="K3784">
        <v>142.58000000000001</v>
      </c>
      <c r="L3784">
        <v>211.6</v>
      </c>
      <c r="M3784">
        <v>161.6</v>
      </c>
      <c r="N3784">
        <v>32911000</v>
      </c>
      <c r="O3784" t="s">
        <v>5299</v>
      </c>
    </row>
    <row r="3785" spans="1:15">
      <c r="A3785" t="s">
        <v>5311</v>
      </c>
      <c r="B3785" s="2">
        <v>40735.868784722225</v>
      </c>
      <c r="C3785" s="2">
        <v>40735.920601851853</v>
      </c>
      <c r="D3785" t="s">
        <v>700</v>
      </c>
      <c r="E3785" t="s">
        <v>4030</v>
      </c>
      <c r="F3785" t="s">
        <v>4031</v>
      </c>
      <c r="G3785" t="s">
        <v>1093</v>
      </c>
      <c r="H3785" t="s">
        <v>1031</v>
      </c>
      <c r="I3785">
        <v>185347001</v>
      </c>
      <c r="J3785" t="s">
        <v>1124</v>
      </c>
      <c r="K3785">
        <v>85.55</v>
      </c>
      <c r="L3785">
        <v>516.95000000000005</v>
      </c>
      <c r="M3785">
        <v>366.95</v>
      </c>
      <c r="N3785">
        <v>6525002</v>
      </c>
      <c r="O3785" t="s">
        <v>5279</v>
      </c>
    </row>
    <row r="3786" spans="1:15">
      <c r="A3786" t="s">
        <v>5312</v>
      </c>
      <c r="B3786" s="2">
        <v>40856.878935185188</v>
      </c>
      <c r="C3786" s="2">
        <v>40856.937384259261</v>
      </c>
      <c r="D3786" t="s">
        <v>700</v>
      </c>
      <c r="E3786" t="s">
        <v>4030</v>
      </c>
      <c r="F3786" t="s">
        <v>4031</v>
      </c>
      <c r="G3786" t="s">
        <v>1093</v>
      </c>
      <c r="H3786" t="s">
        <v>1031</v>
      </c>
      <c r="I3786">
        <v>185347001</v>
      </c>
      <c r="J3786" t="s">
        <v>1124</v>
      </c>
      <c r="K3786">
        <v>85.55</v>
      </c>
      <c r="L3786">
        <v>516.95000000000005</v>
      </c>
      <c r="M3786">
        <v>466.95</v>
      </c>
      <c r="N3786">
        <v>6525002</v>
      </c>
      <c r="O3786" t="s">
        <v>5279</v>
      </c>
    </row>
    <row r="3787" spans="1:15">
      <c r="A3787" t="s">
        <v>5313</v>
      </c>
      <c r="B3787" s="2">
        <v>40914.937384259261</v>
      </c>
      <c r="C3787" s="2">
        <v>40914.994421296295</v>
      </c>
      <c r="D3787" t="s">
        <v>700</v>
      </c>
      <c r="E3787" t="s">
        <v>4030</v>
      </c>
      <c r="F3787" t="s">
        <v>4031</v>
      </c>
      <c r="G3787" t="s">
        <v>1093</v>
      </c>
      <c r="H3787" t="s">
        <v>1031</v>
      </c>
      <c r="I3787">
        <v>185347001</v>
      </c>
      <c r="J3787" t="s">
        <v>1124</v>
      </c>
      <c r="K3787">
        <v>85.55</v>
      </c>
      <c r="L3787">
        <v>516.95000000000005</v>
      </c>
      <c r="M3787">
        <v>466.95</v>
      </c>
      <c r="N3787">
        <v>6525002</v>
      </c>
      <c r="O3787" t="s">
        <v>5279</v>
      </c>
    </row>
    <row r="3788" spans="1:15">
      <c r="A3788" t="s">
        <v>5314</v>
      </c>
      <c r="B3788" s="2">
        <v>40944.994421296295</v>
      </c>
      <c r="C3788" s="2">
        <v>40945.049027777779</v>
      </c>
      <c r="D3788" t="s">
        <v>700</v>
      </c>
      <c r="E3788" t="s">
        <v>4030</v>
      </c>
      <c r="F3788" t="s">
        <v>4031</v>
      </c>
      <c r="G3788" t="s">
        <v>1093</v>
      </c>
      <c r="H3788" t="s">
        <v>1031</v>
      </c>
      <c r="I3788">
        <v>185347001</v>
      </c>
      <c r="J3788" t="s">
        <v>1124</v>
      </c>
      <c r="K3788">
        <v>85.55</v>
      </c>
      <c r="L3788">
        <v>516.95000000000005</v>
      </c>
      <c r="M3788">
        <v>366.95</v>
      </c>
      <c r="N3788">
        <v>6525002</v>
      </c>
      <c r="O3788" t="s">
        <v>5279</v>
      </c>
    </row>
    <row r="3789" spans="1:15">
      <c r="A3789" t="s">
        <v>5315</v>
      </c>
      <c r="B3789" s="2">
        <v>40990.488993055558</v>
      </c>
      <c r="C3789" s="2">
        <v>40990.524988425925</v>
      </c>
      <c r="D3789" t="s">
        <v>700</v>
      </c>
      <c r="E3789" t="s">
        <v>5281</v>
      </c>
      <c r="F3789" t="s">
        <v>5282</v>
      </c>
      <c r="G3789" t="s">
        <v>1093</v>
      </c>
      <c r="H3789" t="s">
        <v>1020</v>
      </c>
      <c r="I3789">
        <v>162673000</v>
      </c>
      <c r="J3789" t="s">
        <v>1021</v>
      </c>
      <c r="K3789">
        <v>136.80000000000001</v>
      </c>
      <c r="L3789">
        <v>914.78</v>
      </c>
      <c r="M3789">
        <v>914.78</v>
      </c>
      <c r="O3789" t="s">
        <v>34</v>
      </c>
    </row>
    <row r="3790" spans="1:15">
      <c r="A3790" t="s">
        <v>5316</v>
      </c>
      <c r="B3790" s="2">
        <v>41020.488993055558</v>
      </c>
      <c r="C3790" s="2">
        <v>41020.499409722222</v>
      </c>
      <c r="D3790" t="s">
        <v>700</v>
      </c>
      <c r="E3790" t="s">
        <v>4030</v>
      </c>
      <c r="F3790" t="s">
        <v>4031</v>
      </c>
      <c r="G3790" t="s">
        <v>1093</v>
      </c>
      <c r="H3790" t="s">
        <v>1031</v>
      </c>
      <c r="I3790">
        <v>390906007</v>
      </c>
      <c r="J3790" t="s">
        <v>1255</v>
      </c>
      <c r="K3790">
        <v>85.55</v>
      </c>
      <c r="L3790">
        <v>85.55</v>
      </c>
      <c r="M3790">
        <v>35.549999999999997</v>
      </c>
      <c r="N3790">
        <v>59621000</v>
      </c>
      <c r="O3790" t="s">
        <v>1461</v>
      </c>
    </row>
    <row r="3791" spans="1:15">
      <c r="A3791" t="s">
        <v>5317</v>
      </c>
      <c r="B3791" s="2">
        <v>41080.488993055558</v>
      </c>
      <c r="C3791" s="2">
        <v>41080.499409722222</v>
      </c>
      <c r="D3791" t="s">
        <v>700</v>
      </c>
      <c r="E3791" t="s">
        <v>4030</v>
      </c>
      <c r="F3791" t="s">
        <v>4031</v>
      </c>
      <c r="G3791" t="s">
        <v>1093</v>
      </c>
      <c r="H3791" t="s">
        <v>1031</v>
      </c>
      <c r="I3791">
        <v>390906007</v>
      </c>
      <c r="J3791" t="s">
        <v>1255</v>
      </c>
      <c r="K3791">
        <v>85.55</v>
      </c>
      <c r="L3791">
        <v>85.55</v>
      </c>
      <c r="M3791">
        <v>35.549999999999997</v>
      </c>
      <c r="N3791">
        <v>59621000</v>
      </c>
      <c r="O3791" t="s">
        <v>1461</v>
      </c>
    </row>
    <row r="3792" spans="1:15">
      <c r="A3792" t="s">
        <v>5318</v>
      </c>
      <c r="B3792" s="2">
        <v>41097.238993055558</v>
      </c>
      <c r="C3792" s="2">
        <v>41097.249409722222</v>
      </c>
      <c r="D3792" t="s">
        <v>700</v>
      </c>
      <c r="E3792" t="s">
        <v>4030</v>
      </c>
      <c r="F3792" t="s">
        <v>4031</v>
      </c>
      <c r="G3792" t="s">
        <v>1093</v>
      </c>
      <c r="H3792" t="s">
        <v>1031</v>
      </c>
      <c r="I3792">
        <v>185345009</v>
      </c>
      <c r="J3792" t="s">
        <v>1032</v>
      </c>
      <c r="K3792">
        <v>85.55</v>
      </c>
      <c r="L3792">
        <v>1417.1</v>
      </c>
      <c r="M3792">
        <v>1367.1</v>
      </c>
      <c r="N3792">
        <v>195662009</v>
      </c>
      <c r="O3792" t="s">
        <v>1130</v>
      </c>
    </row>
    <row r="3793" spans="1:15">
      <c r="A3793" t="s">
        <v>5319</v>
      </c>
      <c r="B3793" s="2">
        <v>41115.090694444443</v>
      </c>
      <c r="C3793" s="2">
        <v>41134.090694444443</v>
      </c>
      <c r="D3793" t="s">
        <v>700</v>
      </c>
      <c r="E3793" t="s">
        <v>4030</v>
      </c>
      <c r="F3793" t="s">
        <v>4031</v>
      </c>
      <c r="G3793" t="s">
        <v>1093</v>
      </c>
      <c r="H3793" t="s">
        <v>1431</v>
      </c>
      <c r="I3793">
        <v>56876005</v>
      </c>
      <c r="J3793" t="s">
        <v>5307</v>
      </c>
      <c r="K3793">
        <v>146.18</v>
      </c>
      <c r="L3793">
        <v>146.18</v>
      </c>
      <c r="M3793">
        <v>96.18</v>
      </c>
      <c r="N3793">
        <v>6525002</v>
      </c>
      <c r="O3793" t="s">
        <v>5279</v>
      </c>
    </row>
    <row r="3794" spans="1:15">
      <c r="A3794" t="s">
        <v>5320</v>
      </c>
      <c r="B3794" s="2">
        <v>41140.488993055558</v>
      </c>
      <c r="C3794" s="2">
        <v>41140.499409722222</v>
      </c>
      <c r="D3794" t="s">
        <v>700</v>
      </c>
      <c r="E3794" t="s">
        <v>4030</v>
      </c>
      <c r="F3794" t="s">
        <v>4031</v>
      </c>
      <c r="G3794" t="s">
        <v>1093</v>
      </c>
      <c r="H3794" t="s">
        <v>1031</v>
      </c>
      <c r="I3794">
        <v>390906007</v>
      </c>
      <c r="J3794" t="s">
        <v>1255</v>
      </c>
      <c r="K3794">
        <v>85.55</v>
      </c>
      <c r="L3794">
        <v>85.55</v>
      </c>
      <c r="M3794">
        <v>35.549999999999997</v>
      </c>
      <c r="N3794">
        <v>59621000</v>
      </c>
      <c r="O3794" t="s">
        <v>1461</v>
      </c>
    </row>
    <row r="3795" spans="1:15">
      <c r="A3795" t="s">
        <v>5321</v>
      </c>
      <c r="B3795" s="2">
        <v>41204.090694444443</v>
      </c>
      <c r="C3795" s="2">
        <v>41204.143460648149</v>
      </c>
      <c r="D3795" t="s">
        <v>700</v>
      </c>
      <c r="E3795" t="s">
        <v>4030</v>
      </c>
      <c r="F3795" t="s">
        <v>4031</v>
      </c>
      <c r="G3795" t="s">
        <v>1093</v>
      </c>
      <c r="H3795" t="s">
        <v>1031</v>
      </c>
      <c r="I3795">
        <v>185347001</v>
      </c>
      <c r="J3795" t="s">
        <v>1124</v>
      </c>
      <c r="K3795">
        <v>85.55</v>
      </c>
      <c r="L3795">
        <v>516.95000000000005</v>
      </c>
      <c r="M3795">
        <v>466.95</v>
      </c>
      <c r="N3795">
        <v>6525002</v>
      </c>
      <c r="O3795" t="s">
        <v>5279</v>
      </c>
    </row>
    <row r="3796" spans="1:15">
      <c r="A3796" t="s">
        <v>5322</v>
      </c>
      <c r="B3796" s="2">
        <v>41234.101793981485</v>
      </c>
      <c r="C3796" s="2">
        <v>41234.152141203704</v>
      </c>
      <c r="D3796" t="s">
        <v>700</v>
      </c>
      <c r="E3796" t="s">
        <v>4030</v>
      </c>
      <c r="F3796" t="s">
        <v>4031</v>
      </c>
      <c r="G3796" t="s">
        <v>1093</v>
      </c>
      <c r="H3796" t="s">
        <v>1031</v>
      </c>
      <c r="I3796">
        <v>185347001</v>
      </c>
      <c r="J3796" t="s">
        <v>1124</v>
      </c>
      <c r="K3796">
        <v>85.55</v>
      </c>
      <c r="L3796">
        <v>516.95000000000005</v>
      </c>
      <c r="M3796">
        <v>466.95</v>
      </c>
      <c r="N3796">
        <v>6525002</v>
      </c>
      <c r="O3796" t="s">
        <v>5279</v>
      </c>
    </row>
    <row r="3797" spans="1:15">
      <c r="A3797" t="s">
        <v>5323</v>
      </c>
      <c r="B3797" s="2">
        <v>41264.152141203704</v>
      </c>
      <c r="C3797" s="2">
        <v>41264.204918981479</v>
      </c>
      <c r="D3797" t="s">
        <v>700</v>
      </c>
      <c r="E3797" t="s">
        <v>4030</v>
      </c>
      <c r="F3797" t="s">
        <v>4031</v>
      </c>
      <c r="G3797" t="s">
        <v>1093</v>
      </c>
      <c r="H3797" t="s">
        <v>1031</v>
      </c>
      <c r="I3797">
        <v>185347001</v>
      </c>
      <c r="J3797" t="s">
        <v>1124</v>
      </c>
      <c r="K3797">
        <v>85.55</v>
      </c>
      <c r="L3797">
        <v>516.95000000000005</v>
      </c>
      <c r="M3797">
        <v>466.95</v>
      </c>
      <c r="N3797">
        <v>6525002</v>
      </c>
      <c r="O3797" t="s">
        <v>5279</v>
      </c>
    </row>
    <row r="3798" spans="1:15">
      <c r="A3798" t="s">
        <v>5324</v>
      </c>
      <c r="B3798" s="2">
        <v>41361.488993055558</v>
      </c>
      <c r="C3798" s="2">
        <v>41361.512777777774</v>
      </c>
      <c r="D3798" t="s">
        <v>700</v>
      </c>
      <c r="E3798" t="s">
        <v>5281</v>
      </c>
      <c r="F3798" t="s">
        <v>5282</v>
      </c>
      <c r="G3798" t="s">
        <v>1093</v>
      </c>
      <c r="H3798" t="s">
        <v>1020</v>
      </c>
      <c r="I3798">
        <v>162673000</v>
      </c>
      <c r="J3798" t="s">
        <v>1021</v>
      </c>
      <c r="K3798">
        <v>136.80000000000001</v>
      </c>
      <c r="L3798">
        <v>969.93</v>
      </c>
      <c r="M3798">
        <v>869.93</v>
      </c>
      <c r="O3798" t="s">
        <v>34</v>
      </c>
    </row>
    <row r="3799" spans="1:15">
      <c r="A3799" t="s">
        <v>5325</v>
      </c>
      <c r="B3799" s="2">
        <v>41375.488993055558</v>
      </c>
      <c r="C3799" s="2">
        <v>41375.644849537035</v>
      </c>
      <c r="D3799" t="s">
        <v>700</v>
      </c>
      <c r="E3799" t="s">
        <v>4030</v>
      </c>
      <c r="F3799" t="s">
        <v>4031</v>
      </c>
      <c r="G3799" t="s">
        <v>1093</v>
      </c>
      <c r="H3799" t="s">
        <v>1031</v>
      </c>
      <c r="I3799">
        <v>185349003</v>
      </c>
      <c r="J3799" t="s">
        <v>1038</v>
      </c>
      <c r="K3799">
        <v>85.55</v>
      </c>
      <c r="L3799">
        <v>3536.75</v>
      </c>
      <c r="M3799">
        <v>3486.75</v>
      </c>
      <c r="N3799">
        <v>103697008</v>
      </c>
      <c r="O3799" t="s">
        <v>1039</v>
      </c>
    </row>
    <row r="3800" spans="1:15">
      <c r="A3800" t="s">
        <v>5326</v>
      </c>
      <c r="B3800" s="2">
        <v>41462.24658564815</v>
      </c>
      <c r="C3800" s="2">
        <v>41462.538252314815</v>
      </c>
      <c r="D3800" t="s">
        <v>700</v>
      </c>
      <c r="E3800" t="s">
        <v>4045</v>
      </c>
      <c r="F3800" t="s">
        <v>4046</v>
      </c>
      <c r="G3800" t="s">
        <v>1093</v>
      </c>
      <c r="H3800" t="s">
        <v>1076</v>
      </c>
      <c r="I3800">
        <v>50849002</v>
      </c>
      <c r="J3800" t="s">
        <v>1163</v>
      </c>
      <c r="K3800">
        <v>146.18</v>
      </c>
      <c r="L3800">
        <v>146.18</v>
      </c>
      <c r="M3800">
        <v>96.18</v>
      </c>
      <c r="N3800">
        <v>1149222004</v>
      </c>
      <c r="O3800" t="s">
        <v>5284</v>
      </c>
    </row>
    <row r="3801" spans="1:15">
      <c r="A3801" t="s">
        <v>5327</v>
      </c>
      <c r="B3801" s="2">
        <v>41483.538252314815</v>
      </c>
      <c r="C3801" s="2">
        <v>41483.87158564815</v>
      </c>
      <c r="D3801" t="s">
        <v>700</v>
      </c>
      <c r="E3801" t="s">
        <v>4045</v>
      </c>
      <c r="F3801" t="s">
        <v>4046</v>
      </c>
      <c r="G3801" t="s">
        <v>1093</v>
      </c>
      <c r="H3801" t="s">
        <v>1076</v>
      </c>
      <c r="I3801">
        <v>50849002</v>
      </c>
      <c r="J3801" t="s">
        <v>1163</v>
      </c>
      <c r="K3801">
        <v>146.18</v>
      </c>
      <c r="L3801">
        <v>146.18</v>
      </c>
      <c r="M3801">
        <v>96.18</v>
      </c>
      <c r="N3801">
        <v>1149222004</v>
      </c>
      <c r="O3801" t="s">
        <v>5284</v>
      </c>
    </row>
    <row r="3802" spans="1:15">
      <c r="A3802" t="s">
        <v>5328</v>
      </c>
      <c r="B3802" s="2">
        <v>41511.87158564815</v>
      </c>
      <c r="C3802" s="2">
        <v>41513.87158564815</v>
      </c>
      <c r="D3802" t="s">
        <v>700</v>
      </c>
      <c r="E3802" t="s">
        <v>4030</v>
      </c>
      <c r="F3802" t="s">
        <v>4031</v>
      </c>
      <c r="G3802" t="s">
        <v>1093</v>
      </c>
      <c r="H3802" t="s">
        <v>1431</v>
      </c>
      <c r="I3802">
        <v>56876005</v>
      </c>
      <c r="J3802" t="s">
        <v>5307</v>
      </c>
      <c r="K3802">
        <v>146.18</v>
      </c>
      <c r="L3802">
        <v>146.18</v>
      </c>
      <c r="M3802">
        <v>96.18</v>
      </c>
      <c r="N3802">
        <v>6525002</v>
      </c>
      <c r="O3802" t="s">
        <v>5279</v>
      </c>
    </row>
    <row r="3803" spans="1:15">
      <c r="A3803" t="s">
        <v>5329</v>
      </c>
      <c r="B3803" s="2">
        <v>41604.829918981479</v>
      </c>
      <c r="C3803" s="2">
        <v>41604.872453703705</v>
      </c>
      <c r="D3803" t="s">
        <v>700</v>
      </c>
      <c r="E3803" t="s">
        <v>4030</v>
      </c>
      <c r="F3803" t="s">
        <v>4031</v>
      </c>
      <c r="G3803" t="s">
        <v>1093</v>
      </c>
      <c r="H3803" t="s">
        <v>1031</v>
      </c>
      <c r="I3803">
        <v>185347001</v>
      </c>
      <c r="J3803" t="s">
        <v>1124</v>
      </c>
      <c r="K3803">
        <v>85.55</v>
      </c>
      <c r="L3803">
        <v>516.95000000000005</v>
      </c>
      <c r="M3803">
        <v>466.95</v>
      </c>
      <c r="N3803">
        <v>6525002</v>
      </c>
      <c r="O3803" t="s">
        <v>5279</v>
      </c>
    </row>
    <row r="3804" spans="1:15">
      <c r="A3804" t="s">
        <v>5330</v>
      </c>
      <c r="B3804" s="2">
        <v>41634.872453703705</v>
      </c>
      <c r="C3804" s="2">
        <v>41634.915219907409</v>
      </c>
      <c r="D3804" t="s">
        <v>700</v>
      </c>
      <c r="E3804" t="s">
        <v>4030</v>
      </c>
      <c r="F3804" t="s">
        <v>4031</v>
      </c>
      <c r="G3804" t="s">
        <v>1093</v>
      </c>
      <c r="H3804" t="s">
        <v>1031</v>
      </c>
      <c r="I3804">
        <v>185347001</v>
      </c>
      <c r="J3804" t="s">
        <v>1124</v>
      </c>
      <c r="K3804">
        <v>85.55</v>
      </c>
      <c r="L3804">
        <v>516.95000000000005</v>
      </c>
      <c r="M3804">
        <v>466.95</v>
      </c>
      <c r="N3804">
        <v>6525002</v>
      </c>
      <c r="O3804" t="s">
        <v>5279</v>
      </c>
    </row>
    <row r="3805" spans="1:15">
      <c r="A3805" t="s">
        <v>5331</v>
      </c>
      <c r="B3805" s="2">
        <v>41664.915219907409</v>
      </c>
      <c r="C3805" s="2">
        <v>41664.967164351852</v>
      </c>
      <c r="D3805" t="s">
        <v>700</v>
      </c>
      <c r="E3805" t="s">
        <v>4030</v>
      </c>
      <c r="F3805" t="s">
        <v>4031</v>
      </c>
      <c r="G3805" t="s">
        <v>1093</v>
      </c>
      <c r="H3805" t="s">
        <v>1031</v>
      </c>
      <c r="I3805">
        <v>185347001</v>
      </c>
      <c r="J3805" t="s">
        <v>1124</v>
      </c>
      <c r="K3805">
        <v>85.55</v>
      </c>
      <c r="L3805">
        <v>516.95000000000005</v>
      </c>
      <c r="M3805">
        <v>366.95</v>
      </c>
      <c r="N3805">
        <v>6525002</v>
      </c>
      <c r="O3805" t="s">
        <v>5279</v>
      </c>
    </row>
    <row r="3806" spans="1:15">
      <c r="A3806" t="s">
        <v>5332</v>
      </c>
      <c r="B3806" s="2">
        <v>41671.447326388887</v>
      </c>
      <c r="C3806" s="2">
        <v>41671.457743055558</v>
      </c>
      <c r="D3806" t="s">
        <v>700</v>
      </c>
      <c r="E3806" t="s">
        <v>4030</v>
      </c>
      <c r="F3806" t="s">
        <v>4031</v>
      </c>
      <c r="G3806" t="s">
        <v>1093</v>
      </c>
      <c r="H3806" t="s">
        <v>1043</v>
      </c>
      <c r="I3806">
        <v>185347001</v>
      </c>
      <c r="J3806" t="s">
        <v>1124</v>
      </c>
      <c r="K3806">
        <v>85.55</v>
      </c>
      <c r="L3806">
        <v>85.55</v>
      </c>
      <c r="M3806">
        <v>35.549999999999997</v>
      </c>
      <c r="N3806">
        <v>82423001</v>
      </c>
      <c r="O3806" t="s">
        <v>1542</v>
      </c>
    </row>
    <row r="3807" spans="1:15">
      <c r="A3807" t="s">
        <v>5333</v>
      </c>
      <c r="B3807" s="2">
        <v>41674.447326388887</v>
      </c>
      <c r="C3807" s="2">
        <v>41674.48300925926</v>
      </c>
      <c r="D3807" t="s">
        <v>700</v>
      </c>
      <c r="E3807" t="s">
        <v>4030</v>
      </c>
      <c r="F3807" t="s">
        <v>4031</v>
      </c>
      <c r="G3807" t="s">
        <v>1093</v>
      </c>
      <c r="H3807" t="s">
        <v>1031</v>
      </c>
      <c r="I3807">
        <v>308335008</v>
      </c>
      <c r="J3807" t="s">
        <v>1194</v>
      </c>
      <c r="K3807">
        <v>142.58000000000001</v>
      </c>
      <c r="L3807">
        <v>231.75</v>
      </c>
      <c r="M3807">
        <v>181.75</v>
      </c>
      <c r="N3807">
        <v>82423001</v>
      </c>
      <c r="O3807" t="s">
        <v>1542</v>
      </c>
    </row>
    <row r="3808" spans="1:15">
      <c r="A3808" t="s">
        <v>5334</v>
      </c>
      <c r="B3808" s="2">
        <v>41677.48300925926</v>
      </c>
      <c r="C3808" s="2">
        <v>41677.513101851851</v>
      </c>
      <c r="D3808" t="s">
        <v>700</v>
      </c>
      <c r="E3808" t="s">
        <v>4030</v>
      </c>
      <c r="F3808" t="s">
        <v>4031</v>
      </c>
      <c r="G3808" t="s">
        <v>1093</v>
      </c>
      <c r="H3808" t="s">
        <v>1031</v>
      </c>
      <c r="I3808">
        <v>308335008</v>
      </c>
      <c r="J3808" t="s">
        <v>1194</v>
      </c>
      <c r="K3808">
        <v>142.58000000000001</v>
      </c>
      <c r="L3808">
        <v>210.68</v>
      </c>
      <c r="M3808">
        <v>160.68</v>
      </c>
      <c r="N3808">
        <v>82423001</v>
      </c>
      <c r="O3808" t="s">
        <v>1542</v>
      </c>
    </row>
    <row r="3809" spans="1:15">
      <c r="A3809" t="s">
        <v>5335</v>
      </c>
      <c r="B3809" s="2">
        <v>41680.513101851851</v>
      </c>
      <c r="C3809" s="2">
        <v>41680.552187499998</v>
      </c>
      <c r="D3809" t="s">
        <v>700</v>
      </c>
      <c r="E3809" t="s">
        <v>4030</v>
      </c>
      <c r="F3809" t="s">
        <v>4031</v>
      </c>
      <c r="G3809" t="s">
        <v>1093</v>
      </c>
      <c r="H3809" t="s">
        <v>1031</v>
      </c>
      <c r="I3809">
        <v>308335008</v>
      </c>
      <c r="J3809" t="s">
        <v>1194</v>
      </c>
      <c r="K3809">
        <v>142.58000000000001</v>
      </c>
      <c r="L3809">
        <v>408.87</v>
      </c>
      <c r="M3809">
        <v>358.87</v>
      </c>
      <c r="N3809">
        <v>82423001</v>
      </c>
      <c r="O3809" t="s">
        <v>1542</v>
      </c>
    </row>
    <row r="3810" spans="1:15">
      <c r="A3810" t="s">
        <v>5336</v>
      </c>
      <c r="B3810" s="2">
        <v>41683.552187499998</v>
      </c>
      <c r="C3810" s="2">
        <v>41683.580300925925</v>
      </c>
      <c r="D3810" t="s">
        <v>700</v>
      </c>
      <c r="E3810" t="s">
        <v>4030</v>
      </c>
      <c r="F3810" t="s">
        <v>4031</v>
      </c>
      <c r="G3810" t="s">
        <v>1093</v>
      </c>
      <c r="H3810" t="s">
        <v>1031</v>
      </c>
      <c r="I3810">
        <v>308335008</v>
      </c>
      <c r="J3810" t="s">
        <v>1194</v>
      </c>
      <c r="K3810">
        <v>142.58000000000001</v>
      </c>
      <c r="L3810">
        <v>272.64</v>
      </c>
      <c r="M3810">
        <v>222.64</v>
      </c>
      <c r="N3810">
        <v>82423001</v>
      </c>
      <c r="O3810" t="s">
        <v>1542</v>
      </c>
    </row>
    <row r="3811" spans="1:15">
      <c r="A3811" t="s">
        <v>5337</v>
      </c>
      <c r="B3811" s="2">
        <v>41686.580300925925</v>
      </c>
      <c r="C3811" s="2">
        <v>41686.601574074077</v>
      </c>
      <c r="D3811" t="s">
        <v>700</v>
      </c>
      <c r="E3811" t="s">
        <v>4030</v>
      </c>
      <c r="F3811" t="s">
        <v>4031</v>
      </c>
      <c r="G3811" t="s">
        <v>1093</v>
      </c>
      <c r="H3811" t="s">
        <v>1031</v>
      </c>
      <c r="I3811">
        <v>308335008</v>
      </c>
      <c r="J3811" t="s">
        <v>1194</v>
      </c>
      <c r="K3811">
        <v>142.58000000000001</v>
      </c>
      <c r="L3811">
        <v>210.68</v>
      </c>
      <c r="M3811">
        <v>160.68</v>
      </c>
      <c r="N3811">
        <v>82423001</v>
      </c>
      <c r="O3811" t="s">
        <v>1542</v>
      </c>
    </row>
    <row r="3812" spans="1:15">
      <c r="A3812" t="s">
        <v>5338</v>
      </c>
      <c r="B3812" s="2">
        <v>41689.601574074077</v>
      </c>
      <c r="C3812" s="2">
        <v>41689.627245370371</v>
      </c>
      <c r="D3812" t="s">
        <v>700</v>
      </c>
      <c r="E3812" t="s">
        <v>4030</v>
      </c>
      <c r="F3812" t="s">
        <v>4031</v>
      </c>
      <c r="G3812" t="s">
        <v>1093</v>
      </c>
      <c r="H3812" t="s">
        <v>1031</v>
      </c>
      <c r="I3812">
        <v>308335008</v>
      </c>
      <c r="J3812" t="s">
        <v>1194</v>
      </c>
      <c r="K3812">
        <v>142.58000000000001</v>
      </c>
      <c r="L3812">
        <v>210.68</v>
      </c>
      <c r="M3812">
        <v>160.68</v>
      </c>
      <c r="N3812">
        <v>82423001</v>
      </c>
      <c r="O3812" t="s">
        <v>1542</v>
      </c>
    </row>
    <row r="3813" spans="1:15">
      <c r="A3813" t="s">
        <v>5339</v>
      </c>
      <c r="B3813" s="2">
        <v>41692.627245370371</v>
      </c>
      <c r="C3813" s="2">
        <v>41692.666122685187</v>
      </c>
      <c r="D3813" t="s">
        <v>700</v>
      </c>
      <c r="E3813" t="s">
        <v>4030</v>
      </c>
      <c r="F3813" t="s">
        <v>4031</v>
      </c>
      <c r="G3813" t="s">
        <v>1093</v>
      </c>
      <c r="H3813" t="s">
        <v>1031</v>
      </c>
      <c r="I3813">
        <v>308335008</v>
      </c>
      <c r="J3813" t="s">
        <v>1194</v>
      </c>
      <c r="K3813">
        <v>142.58000000000001</v>
      </c>
      <c r="L3813">
        <v>210.68</v>
      </c>
      <c r="M3813">
        <v>160.68</v>
      </c>
      <c r="N3813">
        <v>82423001</v>
      </c>
      <c r="O3813" t="s">
        <v>1542</v>
      </c>
    </row>
    <row r="3814" spans="1:15">
      <c r="A3814" t="s">
        <v>5340</v>
      </c>
      <c r="B3814" s="2">
        <v>41695.666122685187</v>
      </c>
      <c r="C3814" s="2">
        <v>41695.690659722219</v>
      </c>
      <c r="D3814" t="s">
        <v>700</v>
      </c>
      <c r="E3814" t="s">
        <v>4030</v>
      </c>
      <c r="F3814" t="s">
        <v>4031</v>
      </c>
      <c r="G3814" t="s">
        <v>1093</v>
      </c>
      <c r="H3814" t="s">
        <v>1031</v>
      </c>
      <c r="I3814">
        <v>308335008</v>
      </c>
      <c r="J3814" t="s">
        <v>1194</v>
      </c>
      <c r="K3814">
        <v>142.58000000000001</v>
      </c>
      <c r="L3814">
        <v>210.68</v>
      </c>
      <c r="M3814">
        <v>160.68</v>
      </c>
      <c r="N3814">
        <v>82423001</v>
      </c>
      <c r="O3814" t="s">
        <v>1542</v>
      </c>
    </row>
    <row r="3815" spans="1:15">
      <c r="A3815" t="s">
        <v>5341</v>
      </c>
      <c r="B3815" s="2">
        <v>41732.488993055558</v>
      </c>
      <c r="C3815" s="2">
        <v>41732.517858796295</v>
      </c>
      <c r="D3815" t="s">
        <v>700</v>
      </c>
      <c r="E3815" t="s">
        <v>5281</v>
      </c>
      <c r="F3815" t="s">
        <v>5282</v>
      </c>
      <c r="G3815" t="s">
        <v>1093</v>
      </c>
      <c r="H3815" t="s">
        <v>1020</v>
      </c>
      <c r="I3815">
        <v>162673000</v>
      </c>
      <c r="J3815" t="s">
        <v>1021</v>
      </c>
      <c r="K3815">
        <v>136.80000000000001</v>
      </c>
      <c r="L3815">
        <v>778.78</v>
      </c>
      <c r="M3815">
        <v>778.78</v>
      </c>
      <c r="O3815" t="s">
        <v>34</v>
      </c>
    </row>
    <row r="3816" spans="1:15">
      <c r="A3816" t="s">
        <v>5342</v>
      </c>
      <c r="B3816" s="2">
        <v>41739.488993055558</v>
      </c>
      <c r="C3816" s="2">
        <v>41739.499409722222</v>
      </c>
      <c r="D3816" t="s">
        <v>700</v>
      </c>
      <c r="E3816" t="s">
        <v>4030</v>
      </c>
      <c r="F3816" t="s">
        <v>4031</v>
      </c>
      <c r="G3816" t="s">
        <v>1093</v>
      </c>
      <c r="H3816" t="s">
        <v>1031</v>
      </c>
      <c r="I3816">
        <v>390906007</v>
      </c>
      <c r="J3816" t="s">
        <v>1255</v>
      </c>
      <c r="K3816">
        <v>85.55</v>
      </c>
      <c r="L3816">
        <v>85.55</v>
      </c>
      <c r="M3816">
        <v>35.549999999999997</v>
      </c>
      <c r="N3816">
        <v>82423001</v>
      </c>
      <c r="O3816" t="s">
        <v>1542</v>
      </c>
    </row>
    <row r="3817" spans="1:15">
      <c r="A3817" t="s">
        <v>5343</v>
      </c>
      <c r="B3817" s="2">
        <v>41849.008831018517</v>
      </c>
      <c r="C3817" s="2">
        <v>41849.067291666666</v>
      </c>
      <c r="D3817" t="s">
        <v>700</v>
      </c>
      <c r="E3817" t="s">
        <v>4030</v>
      </c>
      <c r="F3817" t="s">
        <v>4031</v>
      </c>
      <c r="G3817" t="s">
        <v>1093</v>
      </c>
      <c r="H3817" t="s">
        <v>1031</v>
      </c>
      <c r="I3817">
        <v>185347001</v>
      </c>
      <c r="J3817" t="s">
        <v>1124</v>
      </c>
      <c r="K3817">
        <v>85.55</v>
      </c>
      <c r="L3817">
        <v>516.95000000000005</v>
      </c>
      <c r="M3817">
        <v>466.95</v>
      </c>
      <c r="N3817">
        <v>6525002</v>
      </c>
      <c r="O3817" t="s">
        <v>5279</v>
      </c>
    </row>
    <row r="3818" spans="1:15">
      <c r="A3818" t="s">
        <v>5344</v>
      </c>
      <c r="B3818" s="2">
        <v>41879.067291666666</v>
      </c>
      <c r="C3818" s="2">
        <v>41879.115624999999</v>
      </c>
      <c r="D3818" t="s">
        <v>700</v>
      </c>
      <c r="E3818" t="s">
        <v>4030</v>
      </c>
      <c r="F3818" t="s">
        <v>4031</v>
      </c>
      <c r="G3818" t="s">
        <v>1093</v>
      </c>
      <c r="H3818" t="s">
        <v>1031</v>
      </c>
      <c r="I3818">
        <v>185347001</v>
      </c>
      <c r="J3818" t="s">
        <v>1124</v>
      </c>
      <c r="K3818">
        <v>85.55</v>
      </c>
      <c r="L3818">
        <v>516.95000000000005</v>
      </c>
      <c r="M3818">
        <v>466.95</v>
      </c>
      <c r="N3818">
        <v>6525002</v>
      </c>
      <c r="O3818" t="s">
        <v>5279</v>
      </c>
    </row>
    <row r="3819" spans="1:15">
      <c r="A3819" t="s">
        <v>5345</v>
      </c>
      <c r="B3819" s="2">
        <v>41909.115624999999</v>
      </c>
      <c r="C3819" s="2">
        <v>41909.169606481482</v>
      </c>
      <c r="D3819" t="s">
        <v>700</v>
      </c>
      <c r="E3819" t="s">
        <v>4030</v>
      </c>
      <c r="F3819" t="s">
        <v>4031</v>
      </c>
      <c r="G3819" t="s">
        <v>1093</v>
      </c>
      <c r="H3819" t="s">
        <v>1031</v>
      </c>
      <c r="I3819">
        <v>185347001</v>
      </c>
      <c r="J3819" t="s">
        <v>1124</v>
      </c>
      <c r="K3819">
        <v>85.55</v>
      </c>
      <c r="L3819">
        <v>516.95000000000005</v>
      </c>
      <c r="M3819">
        <v>466.95</v>
      </c>
      <c r="N3819">
        <v>6525002</v>
      </c>
      <c r="O3819" t="s">
        <v>5279</v>
      </c>
    </row>
    <row r="3820" spans="1:15">
      <c r="A3820" t="s">
        <v>5346</v>
      </c>
      <c r="B3820" s="2">
        <v>41939.169606481482</v>
      </c>
      <c r="C3820" s="2">
        <v>41939.231192129628</v>
      </c>
      <c r="D3820" t="s">
        <v>700</v>
      </c>
      <c r="E3820" t="s">
        <v>4030</v>
      </c>
      <c r="F3820" t="s">
        <v>4031</v>
      </c>
      <c r="G3820" t="s">
        <v>1093</v>
      </c>
      <c r="H3820" t="s">
        <v>1031</v>
      </c>
      <c r="I3820">
        <v>185347001</v>
      </c>
      <c r="J3820" t="s">
        <v>1124</v>
      </c>
      <c r="K3820">
        <v>85.55</v>
      </c>
      <c r="L3820">
        <v>516.95000000000005</v>
      </c>
      <c r="M3820">
        <v>466.95</v>
      </c>
      <c r="N3820">
        <v>6525002</v>
      </c>
      <c r="O3820" t="s">
        <v>5279</v>
      </c>
    </row>
    <row r="3821" spans="1:15">
      <c r="A3821" t="s">
        <v>5347</v>
      </c>
      <c r="B3821" s="2">
        <v>41969.189525462964</v>
      </c>
      <c r="C3821" s="2">
        <v>41969.238761574074</v>
      </c>
      <c r="D3821" t="s">
        <v>700</v>
      </c>
      <c r="E3821" t="s">
        <v>4030</v>
      </c>
      <c r="F3821" t="s">
        <v>4031</v>
      </c>
      <c r="G3821" t="s">
        <v>1093</v>
      </c>
      <c r="H3821" t="s">
        <v>1031</v>
      </c>
      <c r="I3821">
        <v>185347001</v>
      </c>
      <c r="J3821" t="s">
        <v>1124</v>
      </c>
      <c r="K3821">
        <v>85.55</v>
      </c>
      <c r="L3821">
        <v>516.95000000000005</v>
      </c>
      <c r="M3821">
        <v>466.95</v>
      </c>
      <c r="N3821">
        <v>6525002</v>
      </c>
      <c r="O3821" t="s">
        <v>5279</v>
      </c>
    </row>
    <row r="3822" spans="1:15">
      <c r="A3822" t="s">
        <v>5348</v>
      </c>
      <c r="B3822" s="2">
        <v>42103.488993055558</v>
      </c>
      <c r="C3822" s="2">
        <v>42103.510208333333</v>
      </c>
      <c r="D3822" t="s">
        <v>700</v>
      </c>
      <c r="E3822" t="s">
        <v>5281</v>
      </c>
      <c r="F3822" t="s">
        <v>5282</v>
      </c>
      <c r="G3822" t="s">
        <v>1093</v>
      </c>
      <c r="H3822" t="s">
        <v>1020</v>
      </c>
      <c r="I3822">
        <v>162673000</v>
      </c>
      <c r="J3822" t="s">
        <v>1021</v>
      </c>
      <c r="K3822">
        <v>136.80000000000001</v>
      </c>
      <c r="L3822">
        <v>1641.58</v>
      </c>
      <c r="M3822">
        <v>1621.52</v>
      </c>
      <c r="O3822" t="s">
        <v>34</v>
      </c>
    </row>
    <row r="3823" spans="1:15">
      <c r="A3823" t="s">
        <v>5349</v>
      </c>
      <c r="B3823" s="2">
        <v>42461.280428240738</v>
      </c>
      <c r="C3823" s="2">
        <v>42461.32675925926</v>
      </c>
      <c r="D3823" t="s">
        <v>700</v>
      </c>
      <c r="E3823" t="s">
        <v>4030</v>
      </c>
      <c r="F3823" t="s">
        <v>4031</v>
      </c>
      <c r="G3823" t="s">
        <v>1093</v>
      </c>
      <c r="H3823" t="s">
        <v>1031</v>
      </c>
      <c r="I3823">
        <v>185347001</v>
      </c>
      <c r="J3823" t="s">
        <v>1124</v>
      </c>
      <c r="K3823">
        <v>85.55</v>
      </c>
      <c r="L3823">
        <v>516.95000000000005</v>
      </c>
      <c r="M3823">
        <v>366.95</v>
      </c>
      <c r="N3823">
        <v>6525002</v>
      </c>
      <c r="O3823" t="s">
        <v>5279</v>
      </c>
    </row>
    <row r="3824" spans="1:15">
      <c r="A3824" t="s">
        <v>5350</v>
      </c>
      <c r="B3824" s="2">
        <v>42474.488993055558</v>
      </c>
      <c r="C3824" s="2">
        <v>42474.520567129628</v>
      </c>
      <c r="D3824" t="s">
        <v>700</v>
      </c>
      <c r="E3824" t="s">
        <v>5281</v>
      </c>
      <c r="F3824" t="s">
        <v>5282</v>
      </c>
      <c r="G3824" t="s">
        <v>1093</v>
      </c>
      <c r="H3824" t="s">
        <v>1020</v>
      </c>
      <c r="I3824">
        <v>162673000</v>
      </c>
      <c r="J3824" t="s">
        <v>1021</v>
      </c>
      <c r="K3824">
        <v>136.80000000000001</v>
      </c>
      <c r="L3824">
        <v>704.2</v>
      </c>
      <c r="M3824">
        <v>704.2</v>
      </c>
      <c r="O3824" t="s">
        <v>34</v>
      </c>
    </row>
    <row r="3825" spans="1:15">
      <c r="A3825" t="s">
        <v>5351</v>
      </c>
      <c r="B3825" s="2">
        <v>42488.488993055558</v>
      </c>
      <c r="C3825" s="2">
        <v>42488.617951388886</v>
      </c>
      <c r="D3825" t="s">
        <v>700</v>
      </c>
      <c r="E3825" t="s">
        <v>4030</v>
      </c>
      <c r="F3825" t="s">
        <v>4031</v>
      </c>
      <c r="G3825" t="s">
        <v>1093</v>
      </c>
      <c r="H3825" t="s">
        <v>1031</v>
      </c>
      <c r="I3825">
        <v>185349003</v>
      </c>
      <c r="J3825" t="s">
        <v>1038</v>
      </c>
      <c r="K3825">
        <v>85.55</v>
      </c>
      <c r="L3825">
        <v>3536.75</v>
      </c>
      <c r="M3825">
        <v>3486.75</v>
      </c>
      <c r="N3825">
        <v>103697008</v>
      </c>
      <c r="O3825" t="s">
        <v>1039</v>
      </c>
    </row>
    <row r="3826" spans="1:15">
      <c r="A3826" t="s">
        <v>5352</v>
      </c>
      <c r="B3826" s="2">
        <v>42491.32675925926</v>
      </c>
      <c r="C3826" s="2">
        <v>42491.384664351855</v>
      </c>
      <c r="D3826" t="s">
        <v>700</v>
      </c>
      <c r="E3826" t="s">
        <v>4030</v>
      </c>
      <c r="F3826" t="s">
        <v>4031</v>
      </c>
      <c r="G3826" t="s">
        <v>1093</v>
      </c>
      <c r="H3826" t="s">
        <v>1031</v>
      </c>
      <c r="I3826">
        <v>185347001</v>
      </c>
      <c r="J3826" t="s">
        <v>1124</v>
      </c>
      <c r="K3826">
        <v>85.55</v>
      </c>
      <c r="L3826">
        <v>516.95000000000005</v>
      </c>
      <c r="M3826">
        <v>466.95</v>
      </c>
      <c r="N3826">
        <v>6525002</v>
      </c>
      <c r="O3826" t="s">
        <v>5279</v>
      </c>
    </row>
    <row r="3827" spans="1:15">
      <c r="A3827" t="s">
        <v>5353</v>
      </c>
      <c r="B3827" s="2">
        <v>42521.384664351855</v>
      </c>
      <c r="C3827" s="2">
        <v>42521.430706018517</v>
      </c>
      <c r="D3827" t="s">
        <v>700</v>
      </c>
      <c r="E3827" t="s">
        <v>4030</v>
      </c>
      <c r="F3827" t="s">
        <v>4031</v>
      </c>
      <c r="G3827" t="s">
        <v>1093</v>
      </c>
      <c r="H3827" t="s">
        <v>1031</v>
      </c>
      <c r="I3827">
        <v>185347001</v>
      </c>
      <c r="J3827" t="s">
        <v>1124</v>
      </c>
      <c r="K3827">
        <v>85.55</v>
      </c>
      <c r="L3827">
        <v>516.95000000000005</v>
      </c>
      <c r="M3827">
        <v>466.95</v>
      </c>
      <c r="N3827">
        <v>6525002</v>
      </c>
      <c r="O3827" t="s">
        <v>5279</v>
      </c>
    </row>
    <row r="3828" spans="1:15">
      <c r="A3828" t="s">
        <v>5354</v>
      </c>
      <c r="B3828" s="2">
        <v>42810.430706018517</v>
      </c>
      <c r="C3828" s="2">
        <v>42810.476365740738</v>
      </c>
      <c r="D3828" t="s">
        <v>700</v>
      </c>
      <c r="E3828" t="s">
        <v>4030</v>
      </c>
      <c r="F3828" t="s">
        <v>4031</v>
      </c>
      <c r="G3828" t="s">
        <v>1093</v>
      </c>
      <c r="H3828" t="s">
        <v>1031</v>
      </c>
      <c r="I3828">
        <v>185347001</v>
      </c>
      <c r="J3828" t="s">
        <v>1124</v>
      </c>
      <c r="K3828">
        <v>85.55</v>
      </c>
      <c r="L3828">
        <v>516.95000000000005</v>
      </c>
      <c r="M3828">
        <v>366.95</v>
      </c>
      <c r="N3828">
        <v>6525002</v>
      </c>
      <c r="O3828" t="s">
        <v>5279</v>
      </c>
    </row>
    <row r="3829" spans="1:15">
      <c r="A3829" t="s">
        <v>5355</v>
      </c>
      <c r="B3829" s="2">
        <v>42845.488993055558</v>
      </c>
      <c r="C3829" s="2">
        <v>42845.520729166667</v>
      </c>
      <c r="D3829" t="s">
        <v>700</v>
      </c>
      <c r="E3829" t="s">
        <v>5281</v>
      </c>
      <c r="F3829" t="s">
        <v>5282</v>
      </c>
      <c r="G3829" t="s">
        <v>1093</v>
      </c>
      <c r="H3829" t="s">
        <v>1020</v>
      </c>
      <c r="I3829">
        <v>162673000</v>
      </c>
      <c r="J3829" t="s">
        <v>1021</v>
      </c>
      <c r="K3829">
        <v>136.80000000000001</v>
      </c>
      <c r="L3829">
        <v>704.2</v>
      </c>
      <c r="M3829">
        <v>704.2</v>
      </c>
      <c r="O3829" t="s">
        <v>34</v>
      </c>
    </row>
    <row r="3830" spans="1:15">
      <c r="A3830" t="s">
        <v>5356</v>
      </c>
      <c r="B3830" s="2">
        <v>42852.488993055558</v>
      </c>
      <c r="C3830" s="2">
        <v>42852.534641203703</v>
      </c>
      <c r="D3830" t="s">
        <v>700</v>
      </c>
      <c r="E3830" t="s">
        <v>4030</v>
      </c>
      <c r="F3830" t="s">
        <v>4031</v>
      </c>
      <c r="G3830" t="s">
        <v>1093</v>
      </c>
      <c r="H3830" t="s">
        <v>1031</v>
      </c>
      <c r="I3830">
        <v>185347001</v>
      </c>
      <c r="J3830" t="s">
        <v>1124</v>
      </c>
      <c r="K3830">
        <v>85.55</v>
      </c>
      <c r="L3830">
        <v>516.95000000000005</v>
      </c>
      <c r="M3830">
        <v>466.95</v>
      </c>
      <c r="N3830">
        <v>6525002</v>
      </c>
      <c r="O3830" t="s">
        <v>5279</v>
      </c>
    </row>
    <row r="3831" spans="1:15">
      <c r="A3831" t="s">
        <v>5357</v>
      </c>
      <c r="B3831" s="2">
        <v>42882.534641203703</v>
      </c>
      <c r="C3831" s="2">
        <v>42882.579953703702</v>
      </c>
      <c r="D3831" t="s">
        <v>700</v>
      </c>
      <c r="E3831" t="s">
        <v>4030</v>
      </c>
      <c r="F3831" t="s">
        <v>4031</v>
      </c>
      <c r="G3831" t="s">
        <v>1093</v>
      </c>
      <c r="H3831" t="s">
        <v>1031</v>
      </c>
      <c r="I3831">
        <v>185347001</v>
      </c>
      <c r="J3831" t="s">
        <v>1124</v>
      </c>
      <c r="K3831">
        <v>85.55</v>
      </c>
      <c r="L3831">
        <v>516.95000000000005</v>
      </c>
      <c r="M3831">
        <v>466.95</v>
      </c>
      <c r="N3831">
        <v>6525002</v>
      </c>
      <c r="O3831" t="s">
        <v>5279</v>
      </c>
    </row>
    <row r="3832" spans="1:15">
      <c r="A3832" t="s">
        <v>5358</v>
      </c>
      <c r="B3832" s="2">
        <v>43143.538287037038</v>
      </c>
      <c r="C3832" s="2">
        <v>43143.598935185182</v>
      </c>
      <c r="D3832" t="s">
        <v>700</v>
      </c>
      <c r="E3832" t="s">
        <v>4030</v>
      </c>
      <c r="F3832" t="s">
        <v>4031</v>
      </c>
      <c r="G3832" t="s">
        <v>1093</v>
      </c>
      <c r="H3832" t="s">
        <v>1031</v>
      </c>
      <c r="I3832">
        <v>185347001</v>
      </c>
      <c r="J3832" t="s">
        <v>1124</v>
      </c>
      <c r="K3832">
        <v>85.55</v>
      </c>
      <c r="L3832">
        <v>516.95000000000005</v>
      </c>
      <c r="M3832">
        <v>366.95</v>
      </c>
      <c r="N3832">
        <v>6525002</v>
      </c>
      <c r="O3832" t="s">
        <v>5279</v>
      </c>
    </row>
    <row r="3833" spans="1:15">
      <c r="A3833" t="s">
        <v>5359</v>
      </c>
      <c r="B3833" s="2">
        <v>43173.640601851854</v>
      </c>
      <c r="C3833" s="2">
        <v>43173.692083333335</v>
      </c>
      <c r="D3833" t="s">
        <v>700</v>
      </c>
      <c r="E3833" t="s">
        <v>4030</v>
      </c>
      <c r="F3833" t="s">
        <v>4031</v>
      </c>
      <c r="G3833" t="s">
        <v>1093</v>
      </c>
      <c r="H3833" t="s">
        <v>1031</v>
      </c>
      <c r="I3833">
        <v>185347001</v>
      </c>
      <c r="J3833" t="s">
        <v>1124</v>
      </c>
      <c r="K3833">
        <v>85.55</v>
      </c>
      <c r="L3833">
        <v>516.95000000000005</v>
      </c>
      <c r="M3833">
        <v>466.95</v>
      </c>
      <c r="N3833">
        <v>6525002</v>
      </c>
      <c r="O3833" t="s">
        <v>5279</v>
      </c>
    </row>
    <row r="3834" spans="1:15">
      <c r="A3834" t="s">
        <v>5360</v>
      </c>
      <c r="B3834" s="2">
        <v>43203.692083333335</v>
      </c>
      <c r="C3834" s="2">
        <v>43203.741030092591</v>
      </c>
      <c r="D3834" t="s">
        <v>700</v>
      </c>
      <c r="E3834" t="s">
        <v>4030</v>
      </c>
      <c r="F3834" t="s">
        <v>4031</v>
      </c>
      <c r="G3834" t="s">
        <v>1093</v>
      </c>
      <c r="H3834" t="s">
        <v>1031</v>
      </c>
      <c r="I3834">
        <v>185347001</v>
      </c>
      <c r="J3834" t="s">
        <v>1124</v>
      </c>
      <c r="K3834">
        <v>85.55</v>
      </c>
      <c r="L3834">
        <v>516.95000000000005</v>
      </c>
      <c r="M3834">
        <v>466.95</v>
      </c>
      <c r="N3834">
        <v>6525002</v>
      </c>
      <c r="O3834" t="s">
        <v>5279</v>
      </c>
    </row>
    <row r="3835" spans="1:15">
      <c r="A3835" t="s">
        <v>5361</v>
      </c>
      <c r="B3835" s="2">
        <v>43216.488993055558</v>
      </c>
      <c r="C3835" s="2">
        <v>43216.516250000001</v>
      </c>
      <c r="D3835" t="s">
        <v>700</v>
      </c>
      <c r="E3835" t="s">
        <v>5281</v>
      </c>
      <c r="F3835" t="s">
        <v>5282</v>
      </c>
      <c r="G3835" t="s">
        <v>1093</v>
      </c>
      <c r="H3835" t="s">
        <v>1020</v>
      </c>
      <c r="I3835">
        <v>162673000</v>
      </c>
      <c r="J3835" t="s">
        <v>1021</v>
      </c>
      <c r="K3835">
        <v>136.80000000000001</v>
      </c>
      <c r="L3835">
        <v>778.78</v>
      </c>
      <c r="M3835">
        <v>778.78</v>
      </c>
      <c r="O3835" t="s">
        <v>34</v>
      </c>
    </row>
    <row r="3836" spans="1:15">
      <c r="A3836" t="s">
        <v>5362</v>
      </c>
      <c r="B3836" s="2">
        <v>43223.488993055558</v>
      </c>
      <c r="C3836" s="2">
        <v>43223.499409722222</v>
      </c>
      <c r="D3836" t="s">
        <v>700</v>
      </c>
      <c r="E3836" t="s">
        <v>4030</v>
      </c>
      <c r="F3836" t="s">
        <v>4031</v>
      </c>
      <c r="G3836" t="s">
        <v>1093</v>
      </c>
      <c r="H3836" t="s">
        <v>1043</v>
      </c>
      <c r="I3836">
        <v>185349003</v>
      </c>
      <c r="J3836" t="s">
        <v>1038</v>
      </c>
      <c r="K3836">
        <v>85.55</v>
      </c>
      <c r="L3836">
        <v>85.55</v>
      </c>
      <c r="M3836">
        <v>35.549999999999997</v>
      </c>
      <c r="O3836" t="s">
        <v>34</v>
      </c>
    </row>
    <row r="3837" spans="1:15">
      <c r="A3837" t="s">
        <v>5363</v>
      </c>
      <c r="B3837" s="2">
        <v>43230.488993055558</v>
      </c>
      <c r="C3837" s="2">
        <v>43230.499409722222</v>
      </c>
      <c r="D3837" t="s">
        <v>700</v>
      </c>
      <c r="E3837" t="s">
        <v>4030</v>
      </c>
      <c r="F3837" t="s">
        <v>4031</v>
      </c>
      <c r="G3837" t="s">
        <v>1093</v>
      </c>
      <c r="H3837" t="s">
        <v>1031</v>
      </c>
      <c r="I3837">
        <v>185345009</v>
      </c>
      <c r="J3837" t="s">
        <v>1032</v>
      </c>
      <c r="K3837">
        <v>85.55</v>
      </c>
      <c r="L3837">
        <v>85.55</v>
      </c>
      <c r="M3837">
        <v>35.549999999999997</v>
      </c>
      <c r="N3837">
        <v>444814009</v>
      </c>
      <c r="O3837" t="s">
        <v>1035</v>
      </c>
    </row>
    <row r="3838" spans="1:15">
      <c r="A3838" t="s">
        <v>5364</v>
      </c>
      <c r="B3838" s="2">
        <v>43366.741030092591</v>
      </c>
      <c r="C3838" s="2">
        <v>43366.782696759263</v>
      </c>
      <c r="D3838" t="s">
        <v>700</v>
      </c>
      <c r="E3838" t="s">
        <v>4045</v>
      </c>
      <c r="F3838" t="s">
        <v>4046</v>
      </c>
      <c r="G3838" t="s">
        <v>1093</v>
      </c>
      <c r="H3838" t="s">
        <v>1076</v>
      </c>
      <c r="I3838">
        <v>50849002</v>
      </c>
      <c r="J3838" t="s">
        <v>1163</v>
      </c>
      <c r="K3838">
        <v>146.18</v>
      </c>
      <c r="L3838">
        <v>146.18</v>
      </c>
      <c r="M3838">
        <v>96.18</v>
      </c>
      <c r="N3838">
        <v>1149222004</v>
      </c>
      <c r="O3838" t="s">
        <v>5284</v>
      </c>
    </row>
    <row r="3839" spans="1:15">
      <c r="A3839" t="s">
        <v>5365</v>
      </c>
      <c r="B3839" s="2">
        <v>43377.488993055558</v>
      </c>
      <c r="C3839" s="2">
        <v>43377.499409722222</v>
      </c>
      <c r="D3839" t="s">
        <v>700</v>
      </c>
      <c r="E3839" t="s">
        <v>5281</v>
      </c>
      <c r="F3839" t="s">
        <v>5282</v>
      </c>
      <c r="G3839" t="s">
        <v>1093</v>
      </c>
      <c r="H3839" t="s">
        <v>1020</v>
      </c>
      <c r="I3839">
        <v>308646001</v>
      </c>
      <c r="J3839" t="s">
        <v>1708</v>
      </c>
      <c r="K3839">
        <v>136.80000000000001</v>
      </c>
      <c r="L3839">
        <v>211.38</v>
      </c>
      <c r="M3839">
        <v>211.38</v>
      </c>
      <c r="N3839">
        <v>1149222004</v>
      </c>
      <c r="O3839" t="s">
        <v>5284</v>
      </c>
    </row>
    <row r="3840" spans="1:15">
      <c r="A3840" t="s">
        <v>5366</v>
      </c>
      <c r="B3840" s="2">
        <v>24170.867430555554</v>
      </c>
      <c r="C3840" s="2">
        <v>24175.319756944446</v>
      </c>
      <c r="D3840" t="s">
        <v>709</v>
      </c>
      <c r="E3840" t="s">
        <v>1353</v>
      </c>
      <c r="F3840" t="s">
        <v>1354</v>
      </c>
      <c r="G3840" t="s">
        <v>1325</v>
      </c>
      <c r="H3840" t="s">
        <v>1431</v>
      </c>
      <c r="I3840">
        <v>185347001</v>
      </c>
      <c r="J3840" t="s">
        <v>1124</v>
      </c>
      <c r="K3840">
        <v>87.71</v>
      </c>
      <c r="L3840">
        <v>5423.98</v>
      </c>
      <c r="M3840">
        <v>2629.72</v>
      </c>
      <c r="N3840">
        <v>74400008</v>
      </c>
      <c r="O3840" t="s">
        <v>1427</v>
      </c>
    </row>
    <row r="3841" spans="1:15">
      <c r="A3841" t="s">
        <v>5367</v>
      </c>
      <c r="B3841" s="2">
        <v>29714.909097222222</v>
      </c>
      <c r="C3841" s="2">
        <v>29714.942777777778</v>
      </c>
      <c r="D3841" t="s">
        <v>709</v>
      </c>
      <c r="E3841" t="s">
        <v>5368</v>
      </c>
      <c r="F3841" t="s">
        <v>5369</v>
      </c>
      <c r="G3841" t="s">
        <v>1325</v>
      </c>
      <c r="H3841" t="s">
        <v>1020</v>
      </c>
      <c r="I3841">
        <v>162673000</v>
      </c>
      <c r="J3841" t="s">
        <v>1021</v>
      </c>
      <c r="K3841">
        <v>136.80000000000001</v>
      </c>
      <c r="L3841">
        <v>704.2</v>
      </c>
      <c r="M3841">
        <v>0</v>
      </c>
      <c r="O3841" t="s">
        <v>34</v>
      </c>
    </row>
    <row r="3842" spans="1:15">
      <c r="A3842" t="s">
        <v>5370</v>
      </c>
      <c r="B3842" s="2">
        <v>31184.909097222222</v>
      </c>
      <c r="C3842" s="2">
        <v>31184.949548611112</v>
      </c>
      <c r="D3842" t="s">
        <v>709</v>
      </c>
      <c r="E3842" t="s">
        <v>5368</v>
      </c>
      <c r="F3842" t="s">
        <v>5369</v>
      </c>
      <c r="G3842" t="s">
        <v>1325</v>
      </c>
      <c r="H3842" t="s">
        <v>1020</v>
      </c>
      <c r="I3842">
        <v>162673000</v>
      </c>
      <c r="J3842" t="s">
        <v>1021</v>
      </c>
      <c r="K3842">
        <v>136.80000000000001</v>
      </c>
      <c r="L3842">
        <v>1275.5</v>
      </c>
      <c r="M3842">
        <v>0</v>
      </c>
      <c r="O3842" t="s">
        <v>34</v>
      </c>
    </row>
    <row r="3843" spans="1:15">
      <c r="A3843" t="s">
        <v>5371</v>
      </c>
      <c r="B3843" s="2">
        <v>37701.867430555554</v>
      </c>
      <c r="C3843" s="2">
        <v>37701.891631944447</v>
      </c>
      <c r="D3843" t="s">
        <v>709</v>
      </c>
      <c r="E3843" t="s">
        <v>5368</v>
      </c>
      <c r="F3843" t="s">
        <v>5369</v>
      </c>
      <c r="G3843" t="s">
        <v>1325</v>
      </c>
      <c r="H3843" t="s">
        <v>1020</v>
      </c>
      <c r="I3843">
        <v>162673000</v>
      </c>
      <c r="J3843" t="s">
        <v>1021</v>
      </c>
      <c r="K3843">
        <v>136.80000000000001</v>
      </c>
      <c r="L3843">
        <v>1858.96</v>
      </c>
      <c r="M3843">
        <v>0</v>
      </c>
      <c r="O3843" t="s">
        <v>34</v>
      </c>
    </row>
    <row r="3844" spans="1:15">
      <c r="A3844" t="s">
        <v>5372</v>
      </c>
      <c r="B3844" s="2">
        <v>40641.909097222226</v>
      </c>
      <c r="C3844" s="2">
        <v>40641.93949074074</v>
      </c>
      <c r="D3844" t="s">
        <v>709</v>
      </c>
      <c r="E3844" t="s">
        <v>5368</v>
      </c>
      <c r="F3844" t="s">
        <v>5369</v>
      </c>
      <c r="G3844" t="s">
        <v>1325</v>
      </c>
      <c r="H3844" t="s">
        <v>1020</v>
      </c>
      <c r="I3844">
        <v>162673000</v>
      </c>
      <c r="J3844" t="s">
        <v>1021</v>
      </c>
      <c r="K3844">
        <v>136.80000000000001</v>
      </c>
      <c r="L3844">
        <v>1011.99</v>
      </c>
      <c r="M3844">
        <v>0</v>
      </c>
      <c r="O3844" t="s">
        <v>34</v>
      </c>
    </row>
    <row r="3845" spans="1:15">
      <c r="A3845" t="s">
        <v>5373</v>
      </c>
      <c r="B3845" s="2">
        <v>40667.473935185182</v>
      </c>
      <c r="C3845" s="2">
        <v>40667.714363425926</v>
      </c>
      <c r="D3845" t="s">
        <v>709</v>
      </c>
      <c r="E3845" t="s">
        <v>1226</v>
      </c>
      <c r="F3845" t="s">
        <v>1227</v>
      </c>
      <c r="G3845" t="s">
        <v>1325</v>
      </c>
      <c r="H3845" t="s">
        <v>1031</v>
      </c>
      <c r="I3845">
        <v>185347001</v>
      </c>
      <c r="J3845" t="s">
        <v>1124</v>
      </c>
      <c r="K3845">
        <v>85.55</v>
      </c>
      <c r="L3845">
        <v>1444.46</v>
      </c>
      <c r="M3845">
        <v>504.01</v>
      </c>
      <c r="N3845">
        <v>414545008</v>
      </c>
      <c r="O3845" t="s">
        <v>1228</v>
      </c>
    </row>
    <row r="3846" spans="1:15">
      <c r="A3846" t="s">
        <v>5374</v>
      </c>
      <c r="B3846" s="2">
        <v>40689.854791666665</v>
      </c>
      <c r="C3846" s="2">
        <v>40690.108506944445</v>
      </c>
      <c r="D3846" t="s">
        <v>709</v>
      </c>
      <c r="E3846" t="s">
        <v>1226</v>
      </c>
      <c r="F3846" t="s">
        <v>1227</v>
      </c>
      <c r="G3846" t="s">
        <v>1325</v>
      </c>
      <c r="H3846" t="s">
        <v>1031</v>
      </c>
      <c r="I3846">
        <v>32485007</v>
      </c>
      <c r="J3846" t="s">
        <v>1837</v>
      </c>
      <c r="K3846">
        <v>142.58000000000001</v>
      </c>
      <c r="L3846">
        <v>78571.12</v>
      </c>
      <c r="M3846">
        <v>78571.12</v>
      </c>
      <c r="N3846">
        <v>274531002</v>
      </c>
      <c r="O3846" t="s">
        <v>2044</v>
      </c>
    </row>
    <row r="3847" spans="1:15">
      <c r="A3847" t="s">
        <v>5375</v>
      </c>
      <c r="B3847" s="2">
        <v>41348.909097222226</v>
      </c>
      <c r="C3847" s="2">
        <v>41348.947395833333</v>
      </c>
      <c r="D3847" t="s">
        <v>709</v>
      </c>
      <c r="E3847" t="s">
        <v>5368</v>
      </c>
      <c r="F3847" t="s">
        <v>5369</v>
      </c>
      <c r="G3847" t="s">
        <v>1325</v>
      </c>
      <c r="H3847" t="s">
        <v>1020</v>
      </c>
      <c r="I3847">
        <v>162673000</v>
      </c>
      <c r="J3847" t="s">
        <v>1021</v>
      </c>
      <c r="K3847">
        <v>136.80000000000001</v>
      </c>
      <c r="L3847">
        <v>1211.8599999999999</v>
      </c>
      <c r="M3847">
        <v>0</v>
      </c>
      <c r="O3847" t="s">
        <v>34</v>
      </c>
    </row>
    <row r="3848" spans="1:15">
      <c r="A3848" t="s">
        <v>5376</v>
      </c>
      <c r="B3848" s="2">
        <v>42461.909097222226</v>
      </c>
      <c r="C3848" s="2">
        <v>42461.945787037039</v>
      </c>
      <c r="D3848" t="s">
        <v>709</v>
      </c>
      <c r="E3848" t="s">
        <v>5368</v>
      </c>
      <c r="F3848" t="s">
        <v>5369</v>
      </c>
      <c r="G3848" t="s">
        <v>1325</v>
      </c>
      <c r="H3848" t="s">
        <v>1020</v>
      </c>
      <c r="I3848">
        <v>162673000</v>
      </c>
      <c r="J3848" t="s">
        <v>1021</v>
      </c>
      <c r="K3848">
        <v>136.80000000000001</v>
      </c>
      <c r="L3848">
        <v>1722.96</v>
      </c>
      <c r="M3848">
        <v>0</v>
      </c>
      <c r="O3848" t="s">
        <v>34</v>
      </c>
    </row>
    <row r="3849" spans="1:15">
      <c r="A3849" t="s">
        <v>5377</v>
      </c>
      <c r="B3849" s="2">
        <v>42832.909097222226</v>
      </c>
      <c r="C3849" s="2">
        <v>42832.944675925923</v>
      </c>
      <c r="D3849" t="s">
        <v>709</v>
      </c>
      <c r="E3849" t="s">
        <v>5368</v>
      </c>
      <c r="F3849" t="s">
        <v>5369</v>
      </c>
      <c r="G3849" t="s">
        <v>1325</v>
      </c>
      <c r="H3849" t="s">
        <v>1020</v>
      </c>
      <c r="I3849">
        <v>162673000</v>
      </c>
      <c r="J3849" t="s">
        <v>1021</v>
      </c>
      <c r="K3849">
        <v>136.80000000000001</v>
      </c>
      <c r="L3849">
        <v>1001.28</v>
      </c>
      <c r="M3849">
        <v>0</v>
      </c>
      <c r="O3849" t="s">
        <v>34</v>
      </c>
    </row>
    <row r="3850" spans="1:15">
      <c r="A3850" t="s">
        <v>5378</v>
      </c>
      <c r="B3850" s="2">
        <v>43181.935034722221</v>
      </c>
      <c r="C3850" s="2">
        <v>43181.954201388886</v>
      </c>
      <c r="D3850" t="s">
        <v>709</v>
      </c>
      <c r="E3850" t="s">
        <v>1353</v>
      </c>
      <c r="F3850" t="s">
        <v>1354</v>
      </c>
      <c r="G3850" t="s">
        <v>1325</v>
      </c>
      <c r="H3850" t="s">
        <v>1031</v>
      </c>
      <c r="I3850">
        <v>185349003</v>
      </c>
      <c r="J3850" t="s">
        <v>1038</v>
      </c>
      <c r="K3850">
        <v>85.55</v>
      </c>
      <c r="L3850">
        <v>5138.45</v>
      </c>
      <c r="M3850">
        <v>0</v>
      </c>
      <c r="N3850">
        <v>275978004</v>
      </c>
      <c r="O3850" t="s">
        <v>1449</v>
      </c>
    </row>
    <row r="3851" spans="1:15">
      <c r="A3851" t="s">
        <v>5379</v>
      </c>
      <c r="B3851" s="2">
        <v>43203.909097222226</v>
      </c>
      <c r="C3851" s="2">
        <v>43203.949502314812</v>
      </c>
      <c r="D3851" t="s">
        <v>709</v>
      </c>
      <c r="E3851" t="s">
        <v>5368</v>
      </c>
      <c r="F3851" t="s">
        <v>5369</v>
      </c>
      <c r="G3851" t="s">
        <v>1325</v>
      </c>
      <c r="H3851" t="s">
        <v>1020</v>
      </c>
      <c r="I3851">
        <v>162673000</v>
      </c>
      <c r="J3851" t="s">
        <v>1021</v>
      </c>
      <c r="K3851">
        <v>136.80000000000001</v>
      </c>
      <c r="L3851">
        <v>778.78</v>
      </c>
      <c r="M3851">
        <v>0</v>
      </c>
      <c r="O3851" t="s">
        <v>34</v>
      </c>
    </row>
    <row r="3852" spans="1:15">
      <c r="A3852" t="s">
        <v>5380</v>
      </c>
      <c r="B3852" s="2">
        <v>43217.909097222226</v>
      </c>
      <c r="C3852" s="2">
        <v>43218.2106712963</v>
      </c>
      <c r="D3852" t="s">
        <v>709</v>
      </c>
      <c r="E3852" t="s">
        <v>1353</v>
      </c>
      <c r="F3852" t="s">
        <v>1354</v>
      </c>
      <c r="G3852" t="s">
        <v>1325</v>
      </c>
      <c r="H3852" t="s">
        <v>1031</v>
      </c>
      <c r="I3852">
        <v>185349003</v>
      </c>
      <c r="J3852" t="s">
        <v>1038</v>
      </c>
      <c r="K3852">
        <v>85.55</v>
      </c>
      <c r="L3852">
        <v>4830.95</v>
      </c>
      <c r="M3852">
        <v>2870.47</v>
      </c>
      <c r="N3852">
        <v>66383009</v>
      </c>
      <c r="O3852" t="s">
        <v>1209</v>
      </c>
    </row>
    <row r="3853" spans="1:15">
      <c r="A3853" t="s">
        <v>5381</v>
      </c>
      <c r="B3853" s="2">
        <v>43574.909097222226</v>
      </c>
      <c r="C3853" s="2">
        <v>43574.944293981483</v>
      </c>
      <c r="D3853" t="s">
        <v>709</v>
      </c>
      <c r="E3853" t="s">
        <v>5368</v>
      </c>
      <c r="F3853" t="s">
        <v>5369</v>
      </c>
      <c r="G3853" t="s">
        <v>1325</v>
      </c>
      <c r="H3853" t="s">
        <v>1020</v>
      </c>
      <c r="I3853">
        <v>162673000</v>
      </c>
      <c r="J3853" t="s">
        <v>1021</v>
      </c>
      <c r="K3853">
        <v>136.80000000000001</v>
      </c>
      <c r="L3853">
        <v>860.16</v>
      </c>
      <c r="M3853">
        <v>0</v>
      </c>
      <c r="O3853" t="s">
        <v>34</v>
      </c>
    </row>
    <row r="3854" spans="1:15">
      <c r="A3854" t="s">
        <v>5382</v>
      </c>
      <c r="B3854" s="2">
        <v>43588.909097222226</v>
      </c>
      <c r="C3854" s="2">
        <v>43589.194884259261</v>
      </c>
      <c r="D3854" t="s">
        <v>709</v>
      </c>
      <c r="E3854" t="s">
        <v>1353</v>
      </c>
      <c r="F3854" t="s">
        <v>1354</v>
      </c>
      <c r="G3854" t="s">
        <v>1325</v>
      </c>
      <c r="H3854" t="s">
        <v>1031</v>
      </c>
      <c r="I3854">
        <v>185349003</v>
      </c>
      <c r="J3854" t="s">
        <v>1038</v>
      </c>
      <c r="K3854">
        <v>85.55</v>
      </c>
      <c r="L3854">
        <v>4830.95</v>
      </c>
      <c r="M3854">
        <v>0</v>
      </c>
      <c r="N3854">
        <v>66383009</v>
      </c>
      <c r="O3854" t="s">
        <v>1209</v>
      </c>
    </row>
    <row r="3855" spans="1:15">
      <c r="A3855" t="s">
        <v>5383</v>
      </c>
      <c r="B3855" s="2">
        <v>43945.909097222226</v>
      </c>
      <c r="C3855" s="2">
        <v>43945.930659722224</v>
      </c>
      <c r="D3855" t="s">
        <v>709</v>
      </c>
      <c r="E3855" t="s">
        <v>5368</v>
      </c>
      <c r="F3855" t="s">
        <v>5369</v>
      </c>
      <c r="G3855" t="s">
        <v>1325</v>
      </c>
      <c r="H3855" t="s">
        <v>1020</v>
      </c>
      <c r="I3855">
        <v>162673000</v>
      </c>
      <c r="J3855" t="s">
        <v>1021</v>
      </c>
      <c r="K3855">
        <v>136.80000000000001</v>
      </c>
      <c r="L3855">
        <v>860.16</v>
      </c>
      <c r="M3855">
        <v>0</v>
      </c>
      <c r="O3855" t="s">
        <v>34</v>
      </c>
    </row>
    <row r="3856" spans="1:15">
      <c r="A3856" t="s">
        <v>5384</v>
      </c>
      <c r="B3856" s="2">
        <v>43959.909097222226</v>
      </c>
      <c r="C3856" s="2">
        <v>43960.028726851851</v>
      </c>
      <c r="D3856" t="s">
        <v>709</v>
      </c>
      <c r="E3856" t="s">
        <v>1353</v>
      </c>
      <c r="F3856" t="s">
        <v>1354</v>
      </c>
      <c r="G3856" t="s">
        <v>1325</v>
      </c>
      <c r="H3856" t="s">
        <v>1031</v>
      </c>
      <c r="I3856">
        <v>185349003</v>
      </c>
      <c r="J3856" t="s">
        <v>1038</v>
      </c>
      <c r="K3856">
        <v>85.55</v>
      </c>
      <c r="L3856">
        <v>3105.35</v>
      </c>
      <c r="M3856">
        <v>0</v>
      </c>
      <c r="N3856">
        <v>103697008</v>
      </c>
      <c r="O3856" t="s">
        <v>1039</v>
      </c>
    </row>
    <row r="3857" spans="1:15">
      <c r="A3857" t="s">
        <v>5385</v>
      </c>
      <c r="B3857" s="2">
        <v>44302.909097222226</v>
      </c>
      <c r="C3857" s="2">
        <v>44302.91951388889</v>
      </c>
      <c r="D3857" t="s">
        <v>709</v>
      </c>
      <c r="E3857" t="s">
        <v>1353</v>
      </c>
      <c r="F3857" t="s">
        <v>1354</v>
      </c>
      <c r="G3857" t="s">
        <v>1325</v>
      </c>
      <c r="H3857" t="s">
        <v>1043</v>
      </c>
      <c r="I3857">
        <v>33879002</v>
      </c>
      <c r="J3857" t="s">
        <v>1044</v>
      </c>
      <c r="K3857">
        <v>142.58000000000001</v>
      </c>
      <c r="L3857">
        <v>278.58</v>
      </c>
      <c r="M3857">
        <v>0</v>
      </c>
      <c r="O3857" t="s">
        <v>34</v>
      </c>
    </row>
    <row r="3858" spans="1:15">
      <c r="A3858" t="s">
        <v>5386</v>
      </c>
      <c r="B3858" s="2">
        <v>44316.909097222226</v>
      </c>
      <c r="C3858" s="2">
        <v>44316.937488425923</v>
      </c>
      <c r="D3858" t="s">
        <v>709</v>
      </c>
      <c r="E3858" t="s">
        <v>5368</v>
      </c>
      <c r="F3858" t="s">
        <v>5369</v>
      </c>
      <c r="G3858" t="s">
        <v>1325</v>
      </c>
      <c r="H3858" t="s">
        <v>1020</v>
      </c>
      <c r="I3858">
        <v>162673000</v>
      </c>
      <c r="J3858" t="s">
        <v>1021</v>
      </c>
      <c r="K3858">
        <v>136.80000000000001</v>
      </c>
      <c r="L3858">
        <v>1061.21</v>
      </c>
      <c r="M3858">
        <v>0</v>
      </c>
      <c r="O3858" t="s">
        <v>34</v>
      </c>
    </row>
    <row r="3859" spans="1:15">
      <c r="A3859" t="s">
        <v>5387</v>
      </c>
      <c r="B3859" s="2">
        <v>44323.909097222226</v>
      </c>
      <c r="C3859" s="2">
        <v>44323.91951388889</v>
      </c>
      <c r="D3859" t="s">
        <v>709</v>
      </c>
      <c r="E3859" t="s">
        <v>1353</v>
      </c>
      <c r="F3859" t="s">
        <v>1354</v>
      </c>
      <c r="G3859" t="s">
        <v>1325</v>
      </c>
      <c r="H3859" t="s">
        <v>1043</v>
      </c>
      <c r="I3859">
        <v>33879002</v>
      </c>
      <c r="J3859" t="s">
        <v>1044</v>
      </c>
      <c r="K3859">
        <v>142.58000000000001</v>
      </c>
      <c r="L3859">
        <v>278.58</v>
      </c>
      <c r="M3859">
        <v>0</v>
      </c>
      <c r="O3859" t="s">
        <v>34</v>
      </c>
    </row>
    <row r="3860" spans="1:15">
      <c r="A3860" t="s">
        <v>5388</v>
      </c>
      <c r="B3860" s="2">
        <v>44557.492430555554</v>
      </c>
      <c r="C3860" s="2">
        <v>44557.502847222226</v>
      </c>
      <c r="D3860" t="s">
        <v>709</v>
      </c>
      <c r="E3860" t="s">
        <v>1353</v>
      </c>
      <c r="F3860" t="s">
        <v>1354</v>
      </c>
      <c r="G3860" t="s">
        <v>1325</v>
      </c>
      <c r="H3860" t="s">
        <v>1031</v>
      </c>
      <c r="I3860">
        <v>185345009</v>
      </c>
      <c r="J3860" t="s">
        <v>1032</v>
      </c>
      <c r="K3860">
        <v>85.55</v>
      </c>
      <c r="L3860">
        <v>948.35</v>
      </c>
      <c r="M3860">
        <v>0</v>
      </c>
      <c r="N3860">
        <v>195662009</v>
      </c>
      <c r="O3860" t="s">
        <v>1130</v>
      </c>
    </row>
    <row r="3861" spans="1:15">
      <c r="A3861" t="s">
        <v>5389</v>
      </c>
      <c r="B3861" s="2">
        <v>44687.909097222226</v>
      </c>
      <c r="C3861" s="2">
        <v>44687.935486111113</v>
      </c>
      <c r="D3861" t="s">
        <v>709</v>
      </c>
      <c r="E3861" t="s">
        <v>5368</v>
      </c>
      <c r="F3861" t="s">
        <v>5369</v>
      </c>
      <c r="G3861" t="s">
        <v>1325</v>
      </c>
      <c r="H3861" t="s">
        <v>1020</v>
      </c>
      <c r="I3861">
        <v>162673000</v>
      </c>
      <c r="J3861" t="s">
        <v>1021</v>
      </c>
      <c r="K3861">
        <v>136.80000000000001</v>
      </c>
      <c r="L3861">
        <v>1147.93</v>
      </c>
      <c r="M3861">
        <v>0</v>
      </c>
      <c r="O3861" t="s">
        <v>34</v>
      </c>
    </row>
    <row r="3862" spans="1:15">
      <c r="A3862" t="s">
        <v>5390</v>
      </c>
      <c r="B3862" s="2">
        <v>45002.909097222226</v>
      </c>
      <c r="C3862" s="2">
        <v>45002.95076388889</v>
      </c>
      <c r="D3862" t="s">
        <v>709</v>
      </c>
      <c r="E3862" t="s">
        <v>5391</v>
      </c>
      <c r="F3862" t="s">
        <v>5392</v>
      </c>
      <c r="G3862" t="s">
        <v>1325</v>
      </c>
      <c r="H3862" t="s">
        <v>1076</v>
      </c>
      <c r="I3862">
        <v>50849002</v>
      </c>
      <c r="J3862" t="s">
        <v>1163</v>
      </c>
      <c r="K3862">
        <v>146.18</v>
      </c>
      <c r="L3862">
        <v>12322.8</v>
      </c>
      <c r="M3862">
        <v>3847.35</v>
      </c>
      <c r="N3862">
        <v>312608009</v>
      </c>
      <c r="O3862" t="s">
        <v>1249</v>
      </c>
    </row>
    <row r="3863" spans="1:15">
      <c r="A3863" t="s">
        <v>5393</v>
      </c>
      <c r="B3863" s="2">
        <v>45016.909097222226</v>
      </c>
      <c r="C3863" s="2">
        <v>45016.927743055552</v>
      </c>
      <c r="D3863" t="s">
        <v>709</v>
      </c>
      <c r="E3863" t="s">
        <v>1353</v>
      </c>
      <c r="F3863" t="s">
        <v>1354</v>
      </c>
      <c r="G3863" t="s">
        <v>1325</v>
      </c>
      <c r="H3863" t="s">
        <v>1031</v>
      </c>
      <c r="I3863">
        <v>185349003</v>
      </c>
      <c r="J3863" t="s">
        <v>1038</v>
      </c>
      <c r="K3863">
        <v>85.55</v>
      </c>
      <c r="L3863">
        <v>5138.45</v>
      </c>
      <c r="M3863">
        <v>3083.07</v>
      </c>
      <c r="N3863">
        <v>275978004</v>
      </c>
      <c r="O3863" t="s">
        <v>1449</v>
      </c>
    </row>
    <row r="3864" spans="1:15">
      <c r="A3864" t="s">
        <v>5394</v>
      </c>
      <c r="B3864" s="2">
        <v>45058.909097222226</v>
      </c>
      <c r="C3864" s="2">
        <v>45058.939629629633</v>
      </c>
      <c r="D3864" t="s">
        <v>709</v>
      </c>
      <c r="E3864" t="s">
        <v>5368</v>
      </c>
      <c r="F3864" t="s">
        <v>5369</v>
      </c>
      <c r="G3864" t="s">
        <v>1325</v>
      </c>
      <c r="H3864" t="s">
        <v>1020</v>
      </c>
      <c r="I3864">
        <v>162673000</v>
      </c>
      <c r="J3864" t="s">
        <v>1021</v>
      </c>
      <c r="K3864">
        <v>136.80000000000001</v>
      </c>
      <c r="L3864">
        <v>785.58</v>
      </c>
      <c r="M3864">
        <v>785.58</v>
      </c>
      <c r="O3864" t="s">
        <v>34</v>
      </c>
    </row>
    <row r="3865" spans="1:15">
      <c r="A3865" t="s">
        <v>5395</v>
      </c>
      <c r="B3865" s="2">
        <v>45072.909097222226</v>
      </c>
      <c r="C3865" s="2">
        <v>45073.020891203705</v>
      </c>
      <c r="D3865" t="s">
        <v>709</v>
      </c>
      <c r="E3865" t="s">
        <v>1353</v>
      </c>
      <c r="F3865" t="s">
        <v>1354</v>
      </c>
      <c r="G3865" t="s">
        <v>1325</v>
      </c>
      <c r="H3865" t="s">
        <v>1031</v>
      </c>
      <c r="I3865">
        <v>185349003</v>
      </c>
      <c r="J3865" t="s">
        <v>1038</v>
      </c>
      <c r="K3865">
        <v>85.55</v>
      </c>
      <c r="L3865">
        <v>2673.95</v>
      </c>
      <c r="M3865">
        <v>2673.95</v>
      </c>
      <c r="N3865">
        <v>103697008</v>
      </c>
      <c r="O3865" t="s">
        <v>1039</v>
      </c>
    </row>
    <row r="3866" spans="1:15">
      <c r="A3866" t="s">
        <v>5396</v>
      </c>
      <c r="B3866" s="2">
        <v>45429.909097222226</v>
      </c>
      <c r="C3866" s="2">
        <v>45429.94734953704</v>
      </c>
      <c r="D3866" t="s">
        <v>709</v>
      </c>
      <c r="E3866" t="s">
        <v>5368</v>
      </c>
      <c r="F3866" t="s">
        <v>5369</v>
      </c>
      <c r="G3866" t="s">
        <v>1325</v>
      </c>
      <c r="H3866" t="s">
        <v>1020</v>
      </c>
      <c r="I3866">
        <v>162673000</v>
      </c>
      <c r="J3866" t="s">
        <v>1021</v>
      </c>
      <c r="K3866">
        <v>136.80000000000001</v>
      </c>
      <c r="L3866">
        <v>921.58</v>
      </c>
      <c r="M3866">
        <v>0</v>
      </c>
      <c r="O3866" t="s">
        <v>34</v>
      </c>
    </row>
    <row r="3867" spans="1:15">
      <c r="A3867" t="s">
        <v>5397</v>
      </c>
      <c r="B3867" s="2">
        <v>45800.909097222226</v>
      </c>
      <c r="C3867" s="2">
        <v>45800.944976851853</v>
      </c>
      <c r="D3867" t="s">
        <v>709</v>
      </c>
      <c r="E3867" t="s">
        <v>5368</v>
      </c>
      <c r="F3867" t="s">
        <v>5369</v>
      </c>
      <c r="G3867" t="s">
        <v>1325</v>
      </c>
      <c r="H3867" t="s">
        <v>1020</v>
      </c>
      <c r="I3867">
        <v>162673000</v>
      </c>
      <c r="J3867" t="s">
        <v>1021</v>
      </c>
      <c r="K3867">
        <v>136.80000000000001</v>
      </c>
      <c r="L3867">
        <v>1143.6400000000001</v>
      </c>
      <c r="M3867">
        <v>0</v>
      </c>
      <c r="O3867" t="s">
        <v>34</v>
      </c>
    </row>
    <row r="3868" spans="1:15">
      <c r="A3868" t="s">
        <v>5398</v>
      </c>
      <c r="B3868" s="2">
        <v>46171.909097222226</v>
      </c>
      <c r="C3868" s="2">
        <v>46171.94908564815</v>
      </c>
      <c r="D3868" t="s">
        <v>709</v>
      </c>
      <c r="E3868" t="s">
        <v>5368</v>
      </c>
      <c r="F3868" t="s">
        <v>5369</v>
      </c>
      <c r="G3868" t="s">
        <v>1325</v>
      </c>
      <c r="H3868" t="s">
        <v>1020</v>
      </c>
      <c r="I3868">
        <v>162673000</v>
      </c>
      <c r="J3868" t="s">
        <v>1021</v>
      </c>
      <c r="K3868">
        <v>136.80000000000001</v>
      </c>
      <c r="L3868">
        <v>1001.28</v>
      </c>
      <c r="M3868">
        <v>0</v>
      </c>
      <c r="O3868" t="s">
        <v>34</v>
      </c>
    </row>
    <row r="3869" spans="1:15">
      <c r="A3869" t="s">
        <v>5399</v>
      </c>
      <c r="B3869" s="2">
        <v>46185.909097222226</v>
      </c>
      <c r="C3869" s="2">
        <v>46186.025081018517</v>
      </c>
      <c r="D3869" t="s">
        <v>709</v>
      </c>
      <c r="E3869" t="s">
        <v>1353</v>
      </c>
      <c r="F3869" t="s">
        <v>1354</v>
      </c>
      <c r="G3869" t="s">
        <v>1325</v>
      </c>
      <c r="H3869" t="s">
        <v>1031</v>
      </c>
      <c r="I3869">
        <v>185349003</v>
      </c>
      <c r="J3869" t="s">
        <v>1038</v>
      </c>
      <c r="K3869">
        <v>85.55</v>
      </c>
      <c r="L3869">
        <v>3105.35</v>
      </c>
      <c r="M3869">
        <v>0</v>
      </c>
      <c r="N3869">
        <v>103697008</v>
      </c>
      <c r="O3869" t="s">
        <v>1039</v>
      </c>
    </row>
    <row r="3870" spans="1:15">
      <c r="A3870" t="s">
        <v>5400</v>
      </c>
      <c r="B3870" s="2">
        <v>46192.909097222226</v>
      </c>
      <c r="C3870" s="2">
        <v>46192.91951388889</v>
      </c>
      <c r="D3870" t="s">
        <v>709</v>
      </c>
      <c r="E3870" t="s">
        <v>1353</v>
      </c>
      <c r="F3870" t="s">
        <v>1354</v>
      </c>
      <c r="G3870" t="s">
        <v>1325</v>
      </c>
      <c r="H3870" t="s">
        <v>1031</v>
      </c>
      <c r="I3870">
        <v>185345009</v>
      </c>
      <c r="J3870" t="s">
        <v>1032</v>
      </c>
      <c r="K3870">
        <v>85.55</v>
      </c>
      <c r="L3870">
        <v>85.55</v>
      </c>
      <c r="M3870">
        <v>0</v>
      </c>
      <c r="N3870">
        <v>444814009</v>
      </c>
      <c r="O3870" t="s">
        <v>1035</v>
      </c>
    </row>
    <row r="3871" spans="1:15">
      <c r="A3871" t="s">
        <v>5401</v>
      </c>
      <c r="B3871" s="2">
        <v>31543.653958333332</v>
      </c>
      <c r="C3871" s="2">
        <v>31543.664375</v>
      </c>
      <c r="D3871" t="s">
        <v>717</v>
      </c>
      <c r="E3871" t="s">
        <v>3887</v>
      </c>
      <c r="F3871" t="s">
        <v>3888</v>
      </c>
      <c r="G3871" t="s">
        <v>1019</v>
      </c>
      <c r="H3871" t="s">
        <v>1031</v>
      </c>
      <c r="I3871">
        <v>185347001</v>
      </c>
      <c r="J3871" t="s">
        <v>1124</v>
      </c>
      <c r="K3871">
        <v>85.55</v>
      </c>
      <c r="L3871">
        <v>85.55</v>
      </c>
      <c r="M3871">
        <v>0</v>
      </c>
      <c r="N3871">
        <v>735029006</v>
      </c>
      <c r="O3871" t="s">
        <v>2130</v>
      </c>
    </row>
    <row r="3872" spans="1:15">
      <c r="A3872" t="s">
        <v>5402</v>
      </c>
      <c r="B3872" s="2">
        <v>31557.820625</v>
      </c>
      <c r="C3872" s="2">
        <v>31557.840127314816</v>
      </c>
      <c r="D3872" t="s">
        <v>717</v>
      </c>
      <c r="E3872" t="s">
        <v>3887</v>
      </c>
      <c r="F3872" t="s">
        <v>3888</v>
      </c>
      <c r="G3872" t="s">
        <v>1019</v>
      </c>
      <c r="H3872" t="s">
        <v>1031</v>
      </c>
      <c r="I3872">
        <v>185347001</v>
      </c>
      <c r="J3872" t="s">
        <v>1124</v>
      </c>
      <c r="K3872">
        <v>85.55</v>
      </c>
      <c r="L3872">
        <v>516.95000000000005</v>
      </c>
      <c r="M3872">
        <v>0</v>
      </c>
      <c r="N3872">
        <v>609328004</v>
      </c>
      <c r="O3872" t="s">
        <v>1137</v>
      </c>
    </row>
    <row r="3873" spans="1:15">
      <c r="A3873" t="s">
        <v>5403</v>
      </c>
      <c r="B3873" s="2">
        <v>37658.903958333336</v>
      </c>
      <c r="C3873" s="2">
        <v>37658.935740740744</v>
      </c>
      <c r="D3873" t="s">
        <v>717</v>
      </c>
      <c r="E3873" t="s">
        <v>2293</v>
      </c>
      <c r="F3873" t="s">
        <v>2294</v>
      </c>
      <c r="G3873" t="s">
        <v>1019</v>
      </c>
      <c r="H3873" t="s">
        <v>1020</v>
      </c>
      <c r="I3873">
        <v>162673000</v>
      </c>
      <c r="J3873" t="s">
        <v>1021</v>
      </c>
      <c r="K3873">
        <v>136.80000000000001</v>
      </c>
      <c r="L3873">
        <v>919.9</v>
      </c>
      <c r="M3873">
        <v>0</v>
      </c>
      <c r="O3873" t="s">
        <v>34</v>
      </c>
    </row>
    <row r="3874" spans="1:15">
      <c r="A3874" t="s">
        <v>5404</v>
      </c>
      <c r="B3874" s="2">
        <v>38029.903958333336</v>
      </c>
      <c r="C3874" s="2">
        <v>38029.928854166668</v>
      </c>
      <c r="D3874" t="s">
        <v>717</v>
      </c>
      <c r="E3874" t="s">
        <v>2293</v>
      </c>
      <c r="F3874" t="s">
        <v>2294</v>
      </c>
      <c r="G3874" t="s">
        <v>1019</v>
      </c>
      <c r="H3874" t="s">
        <v>1020</v>
      </c>
      <c r="I3874">
        <v>162673000</v>
      </c>
      <c r="J3874" t="s">
        <v>1021</v>
      </c>
      <c r="K3874">
        <v>136.80000000000001</v>
      </c>
      <c r="L3874">
        <v>704.2</v>
      </c>
      <c r="M3874">
        <v>0</v>
      </c>
      <c r="O3874" t="s">
        <v>34</v>
      </c>
    </row>
    <row r="3875" spans="1:15">
      <c r="A3875" t="s">
        <v>5405</v>
      </c>
      <c r="B3875" s="2">
        <v>39128.903958333336</v>
      </c>
      <c r="C3875" s="2">
        <v>39128.93246527778</v>
      </c>
      <c r="D3875" t="s">
        <v>717</v>
      </c>
      <c r="E3875" t="s">
        <v>2293</v>
      </c>
      <c r="F3875" t="s">
        <v>2294</v>
      </c>
      <c r="G3875" t="s">
        <v>1019</v>
      </c>
      <c r="H3875" t="s">
        <v>1020</v>
      </c>
      <c r="I3875">
        <v>162673000</v>
      </c>
      <c r="J3875" t="s">
        <v>1021</v>
      </c>
      <c r="K3875">
        <v>136.80000000000001</v>
      </c>
      <c r="L3875">
        <v>1402.48</v>
      </c>
      <c r="M3875">
        <v>0</v>
      </c>
      <c r="O3875" t="s">
        <v>34</v>
      </c>
    </row>
    <row r="3876" spans="1:15">
      <c r="A3876" t="s">
        <v>5406</v>
      </c>
      <c r="B3876" s="2">
        <v>42425.903958333336</v>
      </c>
      <c r="C3876" s="2">
        <v>42425.932905092595</v>
      </c>
      <c r="D3876" t="s">
        <v>717</v>
      </c>
      <c r="E3876" t="s">
        <v>2293</v>
      </c>
      <c r="F3876" t="s">
        <v>2294</v>
      </c>
      <c r="G3876" t="s">
        <v>1019</v>
      </c>
      <c r="H3876" t="s">
        <v>1020</v>
      </c>
      <c r="I3876">
        <v>162673000</v>
      </c>
      <c r="J3876" t="s">
        <v>1021</v>
      </c>
      <c r="K3876">
        <v>136.80000000000001</v>
      </c>
      <c r="L3876">
        <v>914.78</v>
      </c>
      <c r="M3876">
        <v>0</v>
      </c>
      <c r="O3876" t="s">
        <v>34</v>
      </c>
    </row>
    <row r="3877" spans="1:15">
      <c r="A3877" t="s">
        <v>5407</v>
      </c>
      <c r="B3877" s="2">
        <v>43524.903958333336</v>
      </c>
      <c r="C3877" s="2">
        <v>43524.92759259259</v>
      </c>
      <c r="D3877" t="s">
        <v>717</v>
      </c>
      <c r="E3877" t="s">
        <v>2293</v>
      </c>
      <c r="F3877" t="s">
        <v>2294</v>
      </c>
      <c r="G3877" t="s">
        <v>1019</v>
      </c>
      <c r="H3877" t="s">
        <v>1020</v>
      </c>
      <c r="I3877">
        <v>162673000</v>
      </c>
      <c r="J3877" t="s">
        <v>1021</v>
      </c>
      <c r="K3877">
        <v>136.80000000000001</v>
      </c>
      <c r="L3877">
        <v>1716.16</v>
      </c>
      <c r="M3877">
        <v>0</v>
      </c>
      <c r="O3877" t="s">
        <v>34</v>
      </c>
    </row>
    <row r="3878" spans="1:15">
      <c r="A3878" t="s">
        <v>5408</v>
      </c>
      <c r="B3878" s="2">
        <v>43538.945625</v>
      </c>
      <c r="C3878" s="2">
        <v>43539.07708333333</v>
      </c>
      <c r="D3878" t="s">
        <v>717</v>
      </c>
      <c r="E3878" t="s">
        <v>3887</v>
      </c>
      <c r="F3878" t="s">
        <v>3888</v>
      </c>
      <c r="G3878" t="s">
        <v>1019</v>
      </c>
      <c r="H3878" t="s">
        <v>1031</v>
      </c>
      <c r="I3878">
        <v>185349003</v>
      </c>
      <c r="J3878" t="s">
        <v>1038</v>
      </c>
      <c r="K3878">
        <v>85.55</v>
      </c>
      <c r="L3878">
        <v>3536.75</v>
      </c>
      <c r="M3878">
        <v>0</v>
      </c>
      <c r="N3878">
        <v>66383009</v>
      </c>
      <c r="O3878" t="s">
        <v>1209</v>
      </c>
    </row>
    <row r="3879" spans="1:15">
      <c r="A3879" t="s">
        <v>5409</v>
      </c>
      <c r="B3879" s="2">
        <v>43811.445625</v>
      </c>
      <c r="C3879" s="2">
        <v>43811.456041666665</v>
      </c>
      <c r="D3879" t="s">
        <v>717</v>
      </c>
      <c r="E3879" t="s">
        <v>3887</v>
      </c>
      <c r="F3879" t="s">
        <v>3888</v>
      </c>
      <c r="G3879" t="s">
        <v>1019</v>
      </c>
      <c r="H3879" t="s">
        <v>1031</v>
      </c>
      <c r="I3879">
        <v>185345009</v>
      </c>
      <c r="J3879" t="s">
        <v>1032</v>
      </c>
      <c r="K3879">
        <v>85.55</v>
      </c>
      <c r="L3879">
        <v>85.55</v>
      </c>
      <c r="M3879">
        <v>0</v>
      </c>
      <c r="N3879">
        <v>444814009</v>
      </c>
      <c r="O3879" t="s">
        <v>1035</v>
      </c>
    </row>
    <row r="3880" spans="1:15">
      <c r="A3880" t="s">
        <v>5410</v>
      </c>
      <c r="B3880" s="2">
        <v>44252.903958333336</v>
      </c>
      <c r="C3880" s="2">
        <v>44252.914375</v>
      </c>
      <c r="D3880" t="s">
        <v>717</v>
      </c>
      <c r="E3880" t="s">
        <v>3887</v>
      </c>
      <c r="F3880" t="s">
        <v>3888</v>
      </c>
      <c r="G3880" t="s">
        <v>1019</v>
      </c>
      <c r="H3880" t="s">
        <v>1043</v>
      </c>
      <c r="I3880">
        <v>33879002</v>
      </c>
      <c r="J3880" t="s">
        <v>1044</v>
      </c>
      <c r="K3880">
        <v>142.58000000000001</v>
      </c>
      <c r="L3880">
        <v>278.58</v>
      </c>
      <c r="M3880">
        <v>0</v>
      </c>
      <c r="O3880" t="s">
        <v>34</v>
      </c>
    </row>
    <row r="3881" spans="1:15">
      <c r="A3881" t="s">
        <v>5411</v>
      </c>
      <c r="B3881" s="2">
        <v>44261.487291666665</v>
      </c>
      <c r="C3881" s="2">
        <v>44261.497708333336</v>
      </c>
      <c r="D3881" t="s">
        <v>717</v>
      </c>
      <c r="E3881" t="s">
        <v>3887</v>
      </c>
      <c r="F3881" t="s">
        <v>3888</v>
      </c>
      <c r="G3881" t="s">
        <v>1019</v>
      </c>
      <c r="H3881" t="s">
        <v>1031</v>
      </c>
      <c r="I3881">
        <v>185345009</v>
      </c>
      <c r="J3881" t="s">
        <v>1032</v>
      </c>
      <c r="K3881">
        <v>85.55</v>
      </c>
      <c r="L3881">
        <v>85.55</v>
      </c>
      <c r="M3881">
        <v>0</v>
      </c>
      <c r="N3881">
        <v>36971009</v>
      </c>
      <c r="O3881" t="s">
        <v>1278</v>
      </c>
    </row>
    <row r="3882" spans="1:15">
      <c r="A3882" t="s">
        <v>5412</v>
      </c>
      <c r="B3882" s="2">
        <v>44273.945625</v>
      </c>
      <c r="C3882" s="2">
        <v>44273.956041666665</v>
      </c>
      <c r="D3882" t="s">
        <v>717</v>
      </c>
      <c r="E3882" t="s">
        <v>3887</v>
      </c>
      <c r="F3882" t="s">
        <v>3888</v>
      </c>
      <c r="G3882" t="s">
        <v>1019</v>
      </c>
      <c r="H3882" t="s">
        <v>1043</v>
      </c>
      <c r="I3882">
        <v>33879002</v>
      </c>
      <c r="J3882" t="s">
        <v>1044</v>
      </c>
      <c r="K3882">
        <v>142.58000000000001</v>
      </c>
      <c r="L3882">
        <v>278.58</v>
      </c>
      <c r="M3882">
        <v>0</v>
      </c>
      <c r="O3882" t="s">
        <v>34</v>
      </c>
    </row>
    <row r="3883" spans="1:15">
      <c r="A3883" t="s">
        <v>5413</v>
      </c>
      <c r="B3883" s="2">
        <v>44623.903958333336</v>
      </c>
      <c r="C3883" s="2">
        <v>44623.932187500002</v>
      </c>
      <c r="D3883" t="s">
        <v>717</v>
      </c>
      <c r="E3883" t="s">
        <v>2293</v>
      </c>
      <c r="F3883" t="s">
        <v>2294</v>
      </c>
      <c r="G3883" t="s">
        <v>1019</v>
      </c>
      <c r="H3883" t="s">
        <v>1020</v>
      </c>
      <c r="I3883">
        <v>162673000</v>
      </c>
      <c r="J3883" t="s">
        <v>1021</v>
      </c>
      <c r="K3883">
        <v>136.80000000000001</v>
      </c>
      <c r="L3883">
        <v>778.78</v>
      </c>
      <c r="M3883">
        <v>0</v>
      </c>
      <c r="O3883" t="s">
        <v>34</v>
      </c>
    </row>
    <row r="3884" spans="1:15">
      <c r="A3884" t="s">
        <v>5414</v>
      </c>
      <c r="B3884" s="2">
        <v>45450.945625</v>
      </c>
      <c r="C3884" s="2">
        <v>45451.004780092589</v>
      </c>
      <c r="D3884" t="s">
        <v>717</v>
      </c>
      <c r="E3884" t="s">
        <v>3887</v>
      </c>
      <c r="F3884" t="s">
        <v>3888</v>
      </c>
      <c r="G3884" t="s">
        <v>1019</v>
      </c>
      <c r="H3884" t="s">
        <v>1031</v>
      </c>
      <c r="I3884">
        <v>185345009</v>
      </c>
      <c r="J3884" t="s">
        <v>1032</v>
      </c>
      <c r="K3884">
        <v>85.55</v>
      </c>
      <c r="L3884">
        <v>3611.33</v>
      </c>
      <c r="M3884">
        <v>0</v>
      </c>
      <c r="N3884">
        <v>307426000</v>
      </c>
      <c r="O3884" t="s">
        <v>1097</v>
      </c>
    </row>
    <row r="3885" spans="1:15">
      <c r="A3885" t="s">
        <v>5415</v>
      </c>
      <c r="B3885" s="2">
        <v>45645.903958333336</v>
      </c>
      <c r="C3885" s="2">
        <v>45645.944849537038</v>
      </c>
      <c r="D3885" t="s">
        <v>717</v>
      </c>
      <c r="E3885" t="s">
        <v>2293</v>
      </c>
      <c r="F3885" t="s">
        <v>2294</v>
      </c>
      <c r="G3885" t="s">
        <v>1019</v>
      </c>
      <c r="H3885" t="s">
        <v>1020</v>
      </c>
      <c r="I3885">
        <v>162673000</v>
      </c>
      <c r="J3885" t="s">
        <v>1021</v>
      </c>
      <c r="K3885">
        <v>136.80000000000001</v>
      </c>
      <c r="L3885">
        <v>1597.57</v>
      </c>
      <c r="M3885">
        <v>0</v>
      </c>
      <c r="O3885" t="s">
        <v>34</v>
      </c>
    </row>
    <row r="3886" spans="1:15">
      <c r="A3886" t="s">
        <v>5416</v>
      </c>
      <c r="B3886" s="2">
        <v>45659.903958333336</v>
      </c>
      <c r="C3886" s="2">
        <v>45660.026076388887</v>
      </c>
      <c r="D3886" t="s">
        <v>717</v>
      </c>
      <c r="E3886" t="s">
        <v>3887</v>
      </c>
      <c r="F3886" t="s">
        <v>3888</v>
      </c>
      <c r="G3886" t="s">
        <v>1019</v>
      </c>
      <c r="H3886" t="s">
        <v>1031</v>
      </c>
      <c r="I3886">
        <v>185349003</v>
      </c>
      <c r="J3886" t="s">
        <v>1038</v>
      </c>
      <c r="K3886">
        <v>85.55</v>
      </c>
      <c r="L3886">
        <v>2673.95</v>
      </c>
      <c r="M3886">
        <v>0</v>
      </c>
      <c r="N3886">
        <v>103697008</v>
      </c>
      <c r="O3886" t="s">
        <v>1039</v>
      </c>
    </row>
    <row r="3887" spans="1:15">
      <c r="A3887" t="s">
        <v>5417</v>
      </c>
      <c r="B3887" s="2">
        <v>45944.945625</v>
      </c>
      <c r="C3887" s="2">
        <v>45944.956041666665</v>
      </c>
      <c r="D3887" t="s">
        <v>717</v>
      </c>
      <c r="E3887" t="s">
        <v>3887</v>
      </c>
      <c r="F3887" t="s">
        <v>3888</v>
      </c>
      <c r="G3887" t="s">
        <v>1019</v>
      </c>
      <c r="H3887" t="s">
        <v>1031</v>
      </c>
      <c r="I3887">
        <v>185347001</v>
      </c>
      <c r="J3887" t="s">
        <v>1124</v>
      </c>
      <c r="K3887">
        <v>85.55</v>
      </c>
      <c r="L3887">
        <v>85.55</v>
      </c>
      <c r="M3887">
        <v>0</v>
      </c>
      <c r="N3887">
        <v>239873007</v>
      </c>
      <c r="O3887" t="s">
        <v>2007</v>
      </c>
    </row>
    <row r="3888" spans="1:15">
      <c r="A3888" t="s">
        <v>5418</v>
      </c>
      <c r="B3888" s="2">
        <v>29905.69732638889</v>
      </c>
      <c r="C3888" s="2">
        <v>29905.707743055555</v>
      </c>
      <c r="D3888" t="s">
        <v>727</v>
      </c>
      <c r="E3888" t="s">
        <v>4030</v>
      </c>
      <c r="F3888" t="s">
        <v>4031</v>
      </c>
      <c r="G3888" t="s">
        <v>1093</v>
      </c>
      <c r="H3888" t="s">
        <v>1031</v>
      </c>
      <c r="I3888">
        <v>185347001</v>
      </c>
      <c r="J3888" t="s">
        <v>1124</v>
      </c>
      <c r="K3888">
        <v>85.55</v>
      </c>
      <c r="L3888">
        <v>85.55</v>
      </c>
      <c r="M3888">
        <v>35.549999999999997</v>
      </c>
      <c r="N3888">
        <v>735029006</v>
      </c>
      <c r="O3888" t="s">
        <v>2130</v>
      </c>
    </row>
    <row r="3889" spans="1:15">
      <c r="A3889" t="s">
        <v>5419</v>
      </c>
      <c r="B3889" s="2">
        <v>29922.57232638889</v>
      </c>
      <c r="C3889" s="2">
        <v>29922.587534722221</v>
      </c>
      <c r="D3889" t="s">
        <v>727</v>
      </c>
      <c r="E3889" t="s">
        <v>4030</v>
      </c>
      <c r="F3889" t="s">
        <v>4031</v>
      </c>
      <c r="G3889" t="s">
        <v>1093</v>
      </c>
      <c r="H3889" t="s">
        <v>1031</v>
      </c>
      <c r="I3889">
        <v>185347001</v>
      </c>
      <c r="J3889" t="s">
        <v>1124</v>
      </c>
      <c r="K3889">
        <v>85.55</v>
      </c>
      <c r="L3889">
        <v>516.95000000000005</v>
      </c>
      <c r="M3889">
        <v>466.95</v>
      </c>
      <c r="N3889">
        <v>609328004</v>
      </c>
      <c r="O3889" t="s">
        <v>1137</v>
      </c>
    </row>
    <row r="3890" spans="1:15">
      <c r="A3890" t="s">
        <v>5420</v>
      </c>
      <c r="B3890" s="2">
        <v>29924.280659722222</v>
      </c>
      <c r="C3890" s="2">
        <v>29924.29107638889</v>
      </c>
      <c r="D3890" t="s">
        <v>727</v>
      </c>
      <c r="E3890" t="s">
        <v>4030</v>
      </c>
      <c r="F3890" t="s">
        <v>4031</v>
      </c>
      <c r="G3890" t="s">
        <v>1093</v>
      </c>
      <c r="H3890" t="s">
        <v>1031</v>
      </c>
      <c r="I3890">
        <v>185345009</v>
      </c>
      <c r="J3890" t="s">
        <v>1032</v>
      </c>
      <c r="K3890">
        <v>85.55</v>
      </c>
      <c r="L3890">
        <v>92.93</v>
      </c>
      <c r="M3890">
        <v>42.93</v>
      </c>
      <c r="N3890">
        <v>36971009</v>
      </c>
      <c r="O3890" t="s">
        <v>1278</v>
      </c>
    </row>
    <row r="3891" spans="1:15">
      <c r="A3891" t="s">
        <v>5421</v>
      </c>
      <c r="B3891" s="2">
        <v>34741.447326388887</v>
      </c>
      <c r="C3891" s="2">
        <v>34741.488993055558</v>
      </c>
      <c r="D3891" t="s">
        <v>727</v>
      </c>
      <c r="E3891" t="s">
        <v>4045</v>
      </c>
      <c r="F3891" t="s">
        <v>4046</v>
      </c>
      <c r="G3891" t="s">
        <v>1093</v>
      </c>
      <c r="H3891" t="s">
        <v>1076</v>
      </c>
      <c r="I3891">
        <v>50849002</v>
      </c>
      <c r="J3891" t="s">
        <v>1163</v>
      </c>
      <c r="K3891">
        <v>146.18</v>
      </c>
      <c r="L3891">
        <v>146.18</v>
      </c>
      <c r="M3891">
        <v>96.18</v>
      </c>
      <c r="N3891">
        <v>124171000119105</v>
      </c>
      <c r="O3891" t="s">
        <v>5276</v>
      </c>
    </row>
    <row r="3892" spans="1:15">
      <c r="A3892" t="s">
        <v>5422</v>
      </c>
      <c r="B3892" s="2">
        <v>34778.447326388887</v>
      </c>
      <c r="C3892" s="2">
        <v>34778.488993055558</v>
      </c>
      <c r="D3892" t="s">
        <v>727</v>
      </c>
      <c r="E3892" t="s">
        <v>4045</v>
      </c>
      <c r="F3892" t="s">
        <v>4046</v>
      </c>
      <c r="G3892" t="s">
        <v>1093</v>
      </c>
      <c r="H3892" t="s">
        <v>1076</v>
      </c>
      <c r="I3892">
        <v>50849002</v>
      </c>
      <c r="J3892" t="s">
        <v>1163</v>
      </c>
      <c r="K3892">
        <v>146.18</v>
      </c>
      <c r="L3892">
        <v>9828.1200000000008</v>
      </c>
      <c r="M3892">
        <v>9778.1200000000008</v>
      </c>
      <c r="N3892">
        <v>196416002</v>
      </c>
      <c r="O3892" t="s">
        <v>1414</v>
      </c>
    </row>
    <row r="3893" spans="1:15">
      <c r="A3893" t="s">
        <v>5423</v>
      </c>
      <c r="B3893" s="2">
        <v>34892.488993055558</v>
      </c>
      <c r="C3893" s="2">
        <v>34892.530659722222</v>
      </c>
      <c r="D3893" t="s">
        <v>727</v>
      </c>
      <c r="E3893" t="s">
        <v>4045</v>
      </c>
      <c r="F3893" t="s">
        <v>4046</v>
      </c>
      <c r="G3893" t="s">
        <v>1093</v>
      </c>
      <c r="H3893" t="s">
        <v>1076</v>
      </c>
      <c r="I3893">
        <v>183452005</v>
      </c>
      <c r="J3893" t="s">
        <v>2003</v>
      </c>
      <c r="K3893">
        <v>87.71</v>
      </c>
      <c r="L3893">
        <v>87.71</v>
      </c>
      <c r="M3893">
        <v>37.71</v>
      </c>
      <c r="N3893">
        <v>82423001</v>
      </c>
      <c r="O3893" t="s">
        <v>1542</v>
      </c>
    </row>
    <row r="3894" spans="1:15">
      <c r="A3894" t="s">
        <v>5424</v>
      </c>
      <c r="B3894" s="2">
        <v>36223.447326388887</v>
      </c>
      <c r="C3894" s="2">
        <v>36223.475740740738</v>
      </c>
      <c r="D3894" t="s">
        <v>727</v>
      </c>
      <c r="E3894" t="s">
        <v>5425</v>
      </c>
      <c r="F3894" t="s">
        <v>5426</v>
      </c>
      <c r="G3894" t="s">
        <v>1093</v>
      </c>
      <c r="H3894" t="s">
        <v>1020</v>
      </c>
      <c r="I3894">
        <v>162673000</v>
      </c>
      <c r="J3894" t="s">
        <v>1021</v>
      </c>
      <c r="K3894">
        <v>136.80000000000001</v>
      </c>
      <c r="L3894">
        <v>1080.1300000000001</v>
      </c>
      <c r="M3894">
        <v>967.84</v>
      </c>
      <c r="O3894" t="s">
        <v>34</v>
      </c>
    </row>
    <row r="3895" spans="1:15">
      <c r="A3895" t="s">
        <v>5427</v>
      </c>
      <c r="B3895" s="2">
        <v>36615.447326388887</v>
      </c>
      <c r="C3895" s="2">
        <v>36615.497094907405</v>
      </c>
      <c r="D3895" t="s">
        <v>727</v>
      </c>
      <c r="E3895" t="s">
        <v>4030</v>
      </c>
      <c r="F3895" t="s">
        <v>4031</v>
      </c>
      <c r="G3895" t="s">
        <v>1093</v>
      </c>
      <c r="H3895" t="s">
        <v>1031</v>
      </c>
      <c r="I3895">
        <v>185347001</v>
      </c>
      <c r="J3895" t="s">
        <v>1124</v>
      </c>
      <c r="K3895">
        <v>85.55</v>
      </c>
      <c r="L3895">
        <v>1379.75</v>
      </c>
      <c r="M3895">
        <v>1329.75</v>
      </c>
      <c r="N3895">
        <v>37320007</v>
      </c>
      <c r="O3895" t="s">
        <v>1125</v>
      </c>
    </row>
    <row r="3896" spans="1:15">
      <c r="A3896" t="s">
        <v>5428</v>
      </c>
      <c r="B3896" s="2">
        <v>37824.488993055558</v>
      </c>
      <c r="C3896" s="2">
        <v>37837.488993055558</v>
      </c>
      <c r="D3896" t="s">
        <v>727</v>
      </c>
      <c r="E3896" t="s">
        <v>5429</v>
      </c>
      <c r="F3896" t="s">
        <v>5430</v>
      </c>
      <c r="G3896" t="s">
        <v>1093</v>
      </c>
      <c r="H3896" t="s">
        <v>1431</v>
      </c>
      <c r="I3896">
        <v>56876005</v>
      </c>
      <c r="J3896" t="s">
        <v>5307</v>
      </c>
      <c r="K3896">
        <v>146.18</v>
      </c>
      <c r="L3896">
        <v>146.18</v>
      </c>
      <c r="M3896">
        <v>96.18</v>
      </c>
      <c r="N3896">
        <v>6525002</v>
      </c>
      <c r="O3896" t="s">
        <v>5279</v>
      </c>
    </row>
    <row r="3897" spans="1:15">
      <c r="A3897" t="s">
        <v>5431</v>
      </c>
      <c r="B3897" s="2">
        <v>37984.447326388887</v>
      </c>
      <c r="C3897" s="2">
        <v>37985.322326388887</v>
      </c>
      <c r="D3897" t="s">
        <v>727</v>
      </c>
      <c r="E3897" t="s">
        <v>4045</v>
      </c>
      <c r="F3897" t="s">
        <v>4046</v>
      </c>
      <c r="G3897" t="s">
        <v>1093</v>
      </c>
      <c r="H3897" t="s">
        <v>1076</v>
      </c>
      <c r="I3897">
        <v>50849002</v>
      </c>
      <c r="J3897" t="s">
        <v>1163</v>
      </c>
      <c r="K3897">
        <v>146.18</v>
      </c>
      <c r="L3897">
        <v>146.18</v>
      </c>
      <c r="M3897">
        <v>96.18</v>
      </c>
      <c r="N3897">
        <v>1149222004</v>
      </c>
      <c r="O3897" t="s">
        <v>5284</v>
      </c>
    </row>
    <row r="3898" spans="1:15">
      <c r="A3898" t="s">
        <v>5432</v>
      </c>
      <c r="B3898" s="2">
        <v>39891.488993055558</v>
      </c>
      <c r="C3898" s="2">
        <v>39891.513645833336</v>
      </c>
      <c r="D3898" t="s">
        <v>727</v>
      </c>
      <c r="E3898" t="s">
        <v>5429</v>
      </c>
      <c r="F3898" t="s">
        <v>5430</v>
      </c>
      <c r="G3898" t="s">
        <v>1093</v>
      </c>
      <c r="H3898" t="s">
        <v>1020</v>
      </c>
      <c r="I3898">
        <v>162673000</v>
      </c>
      <c r="J3898" t="s">
        <v>1021</v>
      </c>
      <c r="K3898">
        <v>136.80000000000001</v>
      </c>
      <c r="L3898">
        <v>923.8</v>
      </c>
      <c r="M3898">
        <v>823.8</v>
      </c>
      <c r="O3898" t="s">
        <v>34</v>
      </c>
    </row>
    <row r="3899" spans="1:15">
      <c r="A3899" t="s">
        <v>5433</v>
      </c>
      <c r="B3899" s="2">
        <v>40990.488993055558</v>
      </c>
      <c r="C3899" s="2">
        <v>40990.528020833335</v>
      </c>
      <c r="D3899" t="s">
        <v>727</v>
      </c>
      <c r="E3899" t="s">
        <v>5429</v>
      </c>
      <c r="F3899" t="s">
        <v>5430</v>
      </c>
      <c r="G3899" t="s">
        <v>1093</v>
      </c>
      <c r="H3899" t="s">
        <v>1020</v>
      </c>
      <c r="I3899">
        <v>162673000</v>
      </c>
      <c r="J3899" t="s">
        <v>1021</v>
      </c>
      <c r="K3899">
        <v>136.80000000000001</v>
      </c>
      <c r="L3899">
        <v>1211.8599999999999</v>
      </c>
      <c r="M3899">
        <v>1111.8599999999999</v>
      </c>
      <c r="O3899" t="s">
        <v>34</v>
      </c>
    </row>
    <row r="3900" spans="1:15">
      <c r="A3900" t="s">
        <v>5434</v>
      </c>
      <c r="B3900" s="2">
        <v>42525.613993055558</v>
      </c>
      <c r="C3900" s="2">
        <v>42525.624409722222</v>
      </c>
      <c r="D3900" t="s">
        <v>727</v>
      </c>
      <c r="E3900" t="s">
        <v>5429</v>
      </c>
      <c r="F3900" t="s">
        <v>5430</v>
      </c>
      <c r="G3900" t="s">
        <v>1093</v>
      </c>
      <c r="H3900" t="s">
        <v>1031</v>
      </c>
      <c r="I3900">
        <v>185345009</v>
      </c>
      <c r="J3900" t="s">
        <v>1032</v>
      </c>
      <c r="K3900">
        <v>85.55</v>
      </c>
      <c r="L3900">
        <v>85.55</v>
      </c>
      <c r="M3900">
        <v>35.549999999999997</v>
      </c>
      <c r="N3900">
        <v>10509002</v>
      </c>
      <c r="O3900" t="s">
        <v>1033</v>
      </c>
    </row>
    <row r="3901" spans="1:15">
      <c r="A3901" t="s">
        <v>5435</v>
      </c>
      <c r="B3901" s="2">
        <v>42537.488993055558</v>
      </c>
      <c r="C3901" s="2">
        <v>42537.528124999997</v>
      </c>
      <c r="D3901" t="s">
        <v>727</v>
      </c>
      <c r="E3901" t="s">
        <v>5429</v>
      </c>
      <c r="F3901" t="s">
        <v>5430</v>
      </c>
      <c r="G3901" t="s">
        <v>1093</v>
      </c>
      <c r="H3901" t="s">
        <v>1043</v>
      </c>
      <c r="I3901">
        <v>185349003</v>
      </c>
      <c r="J3901" t="s">
        <v>1038</v>
      </c>
      <c r="K3901">
        <v>85.55</v>
      </c>
      <c r="L3901">
        <v>943.23</v>
      </c>
      <c r="M3901">
        <v>893.23</v>
      </c>
      <c r="O3901" t="s">
        <v>34</v>
      </c>
    </row>
    <row r="3902" spans="1:15">
      <c r="A3902" t="s">
        <v>5436</v>
      </c>
      <c r="B3902" s="2">
        <v>42849.509965277779</v>
      </c>
      <c r="C3902" s="2">
        <v>42849.551631944443</v>
      </c>
      <c r="D3902" t="s">
        <v>727</v>
      </c>
      <c r="E3902" t="s">
        <v>4045</v>
      </c>
      <c r="F3902" t="s">
        <v>4046</v>
      </c>
      <c r="G3902" t="s">
        <v>1093</v>
      </c>
      <c r="H3902" t="s">
        <v>1076</v>
      </c>
      <c r="I3902">
        <v>50849002</v>
      </c>
      <c r="J3902" t="s">
        <v>1163</v>
      </c>
      <c r="K3902">
        <v>146.18</v>
      </c>
      <c r="L3902">
        <v>1008.98</v>
      </c>
      <c r="M3902">
        <v>858.98</v>
      </c>
      <c r="N3902">
        <v>81629009</v>
      </c>
      <c r="O3902" t="s">
        <v>5437</v>
      </c>
    </row>
    <row r="3903" spans="1:15">
      <c r="A3903" t="s">
        <v>5438</v>
      </c>
      <c r="B3903" s="2">
        <v>42859.488993055558</v>
      </c>
      <c r="C3903" s="2">
        <v>42859.605729166666</v>
      </c>
      <c r="D3903" t="s">
        <v>727</v>
      </c>
      <c r="E3903" t="s">
        <v>5429</v>
      </c>
      <c r="F3903" t="s">
        <v>5430</v>
      </c>
      <c r="G3903" t="s">
        <v>1093</v>
      </c>
      <c r="H3903" t="s">
        <v>1031</v>
      </c>
      <c r="I3903">
        <v>185349003</v>
      </c>
      <c r="J3903" t="s">
        <v>1038</v>
      </c>
      <c r="K3903">
        <v>85.55</v>
      </c>
      <c r="L3903">
        <v>2673.95</v>
      </c>
      <c r="M3903">
        <v>2623.95</v>
      </c>
      <c r="N3903">
        <v>81629009</v>
      </c>
      <c r="O3903" t="s">
        <v>5437</v>
      </c>
    </row>
    <row r="3904" spans="1:15">
      <c r="A3904" t="s">
        <v>5439</v>
      </c>
      <c r="B3904" s="2">
        <v>42891.542951388888</v>
      </c>
      <c r="C3904" s="2">
        <v>42891.554861111108</v>
      </c>
      <c r="D3904" t="s">
        <v>727</v>
      </c>
      <c r="E3904" t="s">
        <v>5429</v>
      </c>
      <c r="F3904" t="s">
        <v>5430</v>
      </c>
      <c r="G3904" t="s">
        <v>1093</v>
      </c>
      <c r="H3904" t="s">
        <v>1031</v>
      </c>
      <c r="I3904">
        <v>185349003</v>
      </c>
      <c r="J3904" t="s">
        <v>1038</v>
      </c>
      <c r="K3904">
        <v>85.55</v>
      </c>
      <c r="L3904">
        <v>948.35</v>
      </c>
      <c r="M3904">
        <v>898.35</v>
      </c>
      <c r="N3904">
        <v>81629009</v>
      </c>
      <c r="O3904" t="s">
        <v>5437</v>
      </c>
    </row>
    <row r="3905" spans="1:15">
      <c r="A3905" t="s">
        <v>5440</v>
      </c>
      <c r="B3905" s="2">
        <v>43083.627418981479</v>
      </c>
      <c r="C3905" s="2">
        <v>43085.627418981479</v>
      </c>
      <c r="D3905" t="s">
        <v>727</v>
      </c>
      <c r="E3905" t="s">
        <v>5429</v>
      </c>
      <c r="F3905" t="s">
        <v>5430</v>
      </c>
      <c r="G3905" t="s">
        <v>1093</v>
      </c>
      <c r="H3905" t="s">
        <v>1431</v>
      </c>
      <c r="I3905">
        <v>56876005</v>
      </c>
      <c r="J3905" t="s">
        <v>5307</v>
      </c>
      <c r="K3905">
        <v>146.18</v>
      </c>
      <c r="L3905">
        <v>146.18</v>
      </c>
      <c r="M3905">
        <v>96.18</v>
      </c>
      <c r="N3905">
        <v>6525002</v>
      </c>
      <c r="O3905" t="s">
        <v>5279</v>
      </c>
    </row>
    <row r="3906" spans="1:15">
      <c r="A3906" t="s">
        <v>5441</v>
      </c>
      <c r="B3906" s="2">
        <v>43134.627418981479</v>
      </c>
      <c r="C3906" s="2">
        <v>43134.675659722219</v>
      </c>
      <c r="D3906" t="s">
        <v>727</v>
      </c>
      <c r="E3906" t="s">
        <v>5429</v>
      </c>
      <c r="F3906" t="s">
        <v>5430</v>
      </c>
      <c r="G3906" t="s">
        <v>1093</v>
      </c>
      <c r="H3906" t="s">
        <v>1031</v>
      </c>
      <c r="I3906">
        <v>185347001</v>
      </c>
      <c r="J3906" t="s">
        <v>1124</v>
      </c>
      <c r="K3906">
        <v>85.55</v>
      </c>
      <c r="L3906">
        <v>516.95000000000005</v>
      </c>
      <c r="M3906">
        <v>366.95</v>
      </c>
      <c r="N3906">
        <v>6525002</v>
      </c>
      <c r="O3906" t="s">
        <v>5279</v>
      </c>
    </row>
    <row r="3907" spans="1:15">
      <c r="A3907" t="s">
        <v>5442</v>
      </c>
      <c r="B3907" s="2">
        <v>43164.675659722219</v>
      </c>
      <c r="C3907" s="2">
        <v>43164.734629629631</v>
      </c>
      <c r="D3907" t="s">
        <v>727</v>
      </c>
      <c r="E3907" t="s">
        <v>5429</v>
      </c>
      <c r="F3907" t="s">
        <v>5430</v>
      </c>
      <c r="G3907" t="s">
        <v>1093</v>
      </c>
      <c r="H3907" t="s">
        <v>1031</v>
      </c>
      <c r="I3907">
        <v>185347001</v>
      </c>
      <c r="J3907" t="s">
        <v>1124</v>
      </c>
      <c r="K3907">
        <v>85.55</v>
      </c>
      <c r="L3907">
        <v>516.95000000000005</v>
      </c>
      <c r="M3907">
        <v>466.95</v>
      </c>
      <c r="N3907">
        <v>6525002</v>
      </c>
      <c r="O3907" t="s">
        <v>5279</v>
      </c>
    </row>
    <row r="3908" spans="1:15">
      <c r="A3908" t="s">
        <v>5443</v>
      </c>
      <c r="B3908" s="2">
        <v>43188.488993055558</v>
      </c>
      <c r="C3908" s="2">
        <v>43188.519421296296</v>
      </c>
      <c r="D3908" t="s">
        <v>727</v>
      </c>
      <c r="E3908" t="s">
        <v>5429</v>
      </c>
      <c r="F3908" t="s">
        <v>5430</v>
      </c>
      <c r="G3908" t="s">
        <v>1093</v>
      </c>
      <c r="H3908" t="s">
        <v>1020</v>
      </c>
      <c r="I3908">
        <v>162673000</v>
      </c>
      <c r="J3908" t="s">
        <v>1021</v>
      </c>
      <c r="K3908">
        <v>136.80000000000001</v>
      </c>
      <c r="L3908">
        <v>1069.06</v>
      </c>
      <c r="M3908">
        <v>1069.06</v>
      </c>
      <c r="O3908" t="s">
        <v>34</v>
      </c>
    </row>
    <row r="3909" spans="1:15">
      <c r="A3909" t="s">
        <v>5444</v>
      </c>
      <c r="B3909" s="2">
        <v>43194.776296296295</v>
      </c>
      <c r="C3909" s="2">
        <v>43194.818472222221</v>
      </c>
      <c r="D3909" t="s">
        <v>727</v>
      </c>
      <c r="E3909" t="s">
        <v>5429</v>
      </c>
      <c r="F3909" t="s">
        <v>5430</v>
      </c>
      <c r="G3909" t="s">
        <v>1093</v>
      </c>
      <c r="H3909" t="s">
        <v>1031</v>
      </c>
      <c r="I3909">
        <v>185347001</v>
      </c>
      <c r="J3909" t="s">
        <v>1124</v>
      </c>
      <c r="K3909">
        <v>85.55</v>
      </c>
      <c r="L3909">
        <v>516.95000000000005</v>
      </c>
      <c r="M3909">
        <v>466.95</v>
      </c>
      <c r="N3909">
        <v>6525002</v>
      </c>
      <c r="O3909" t="s">
        <v>5279</v>
      </c>
    </row>
    <row r="3910" spans="1:15">
      <c r="A3910" t="s">
        <v>5445</v>
      </c>
      <c r="B3910" s="2">
        <v>43202.488993055558</v>
      </c>
      <c r="C3910" s="2">
        <v>43202.666909722226</v>
      </c>
      <c r="D3910" t="s">
        <v>727</v>
      </c>
      <c r="E3910" t="s">
        <v>5429</v>
      </c>
      <c r="F3910" t="s">
        <v>5430</v>
      </c>
      <c r="G3910" t="s">
        <v>1093</v>
      </c>
      <c r="H3910" t="s">
        <v>1031</v>
      </c>
      <c r="I3910">
        <v>185349003</v>
      </c>
      <c r="J3910" t="s">
        <v>1038</v>
      </c>
      <c r="K3910">
        <v>85.55</v>
      </c>
      <c r="L3910">
        <v>3536.75</v>
      </c>
      <c r="M3910">
        <v>3486.75</v>
      </c>
      <c r="N3910">
        <v>103697008</v>
      </c>
      <c r="O3910" t="s">
        <v>1039</v>
      </c>
    </row>
    <row r="3911" spans="1:15">
      <c r="A3911" t="s">
        <v>5446</v>
      </c>
      <c r="B3911" s="2">
        <v>43616.818472222221</v>
      </c>
      <c r="C3911" s="2">
        <v>43616.863958333335</v>
      </c>
      <c r="D3911" t="s">
        <v>727</v>
      </c>
      <c r="E3911" t="s">
        <v>5429</v>
      </c>
      <c r="F3911" t="s">
        <v>5430</v>
      </c>
      <c r="G3911" t="s">
        <v>1093</v>
      </c>
      <c r="H3911" t="s">
        <v>1031</v>
      </c>
      <c r="I3911">
        <v>185347001</v>
      </c>
      <c r="J3911" t="s">
        <v>1124</v>
      </c>
      <c r="K3911">
        <v>85.55</v>
      </c>
      <c r="L3911">
        <v>516.95000000000005</v>
      </c>
      <c r="M3911">
        <v>366.95</v>
      </c>
      <c r="N3911">
        <v>6525002</v>
      </c>
      <c r="O3911" t="s">
        <v>5279</v>
      </c>
    </row>
    <row r="3912" spans="1:15">
      <c r="A3912" t="s">
        <v>5447</v>
      </c>
      <c r="B3912" s="2">
        <v>43646.863958333335</v>
      </c>
      <c r="C3912" s="2">
        <v>43646.91479166667</v>
      </c>
      <c r="D3912" t="s">
        <v>727</v>
      </c>
      <c r="E3912" t="s">
        <v>5429</v>
      </c>
      <c r="F3912" t="s">
        <v>5430</v>
      </c>
      <c r="G3912" t="s">
        <v>1093</v>
      </c>
      <c r="H3912" t="s">
        <v>1031</v>
      </c>
      <c r="I3912">
        <v>185347001</v>
      </c>
      <c r="J3912" t="s">
        <v>1124</v>
      </c>
      <c r="K3912">
        <v>85.55</v>
      </c>
      <c r="L3912">
        <v>516.95000000000005</v>
      </c>
      <c r="M3912">
        <v>466.95</v>
      </c>
      <c r="N3912">
        <v>6525002</v>
      </c>
      <c r="O3912" t="s">
        <v>5279</v>
      </c>
    </row>
    <row r="3913" spans="1:15">
      <c r="A3913" t="s">
        <v>5448</v>
      </c>
      <c r="B3913" s="2">
        <v>43676.91479166667</v>
      </c>
      <c r="C3913" s="2">
        <v>43676.967662037037</v>
      </c>
      <c r="D3913" t="s">
        <v>727</v>
      </c>
      <c r="E3913" t="s">
        <v>5429</v>
      </c>
      <c r="F3913" t="s">
        <v>5430</v>
      </c>
      <c r="G3913" t="s">
        <v>1093</v>
      </c>
      <c r="H3913" t="s">
        <v>1031</v>
      </c>
      <c r="I3913">
        <v>185347001</v>
      </c>
      <c r="J3913" t="s">
        <v>1124</v>
      </c>
      <c r="K3913">
        <v>85.55</v>
      </c>
      <c r="L3913">
        <v>516.95000000000005</v>
      </c>
      <c r="M3913">
        <v>466.95</v>
      </c>
      <c r="N3913">
        <v>6525002</v>
      </c>
      <c r="O3913" t="s">
        <v>5279</v>
      </c>
    </row>
    <row r="3914" spans="1:15">
      <c r="A3914" t="s">
        <v>5449</v>
      </c>
      <c r="B3914" s="2">
        <v>43706.967662037037</v>
      </c>
      <c r="C3914" s="2">
        <v>43707.01458333333</v>
      </c>
      <c r="D3914" t="s">
        <v>727</v>
      </c>
      <c r="E3914" t="s">
        <v>5429</v>
      </c>
      <c r="F3914" t="s">
        <v>5430</v>
      </c>
      <c r="G3914" t="s">
        <v>1093</v>
      </c>
      <c r="H3914" t="s">
        <v>1031</v>
      </c>
      <c r="I3914">
        <v>185347001</v>
      </c>
      <c r="J3914" t="s">
        <v>1124</v>
      </c>
      <c r="K3914">
        <v>85.55</v>
      </c>
      <c r="L3914">
        <v>516.95000000000005</v>
      </c>
      <c r="M3914">
        <v>466.95</v>
      </c>
      <c r="N3914">
        <v>6525002</v>
      </c>
      <c r="O3914" t="s">
        <v>5279</v>
      </c>
    </row>
    <row r="3915" spans="1:15">
      <c r="A3915" t="s">
        <v>5450</v>
      </c>
      <c r="B3915" s="2">
        <v>43865.363993055558</v>
      </c>
      <c r="C3915" s="2">
        <v>43865.374409722222</v>
      </c>
      <c r="D3915" t="s">
        <v>727</v>
      </c>
      <c r="E3915" t="s">
        <v>5429</v>
      </c>
      <c r="F3915" t="s">
        <v>5430</v>
      </c>
      <c r="G3915" t="s">
        <v>1093</v>
      </c>
      <c r="H3915" t="s">
        <v>1031</v>
      </c>
      <c r="I3915">
        <v>185345009</v>
      </c>
      <c r="J3915" t="s">
        <v>1032</v>
      </c>
      <c r="K3915">
        <v>85.55</v>
      </c>
      <c r="L3915">
        <v>85.55</v>
      </c>
      <c r="M3915">
        <v>0</v>
      </c>
      <c r="N3915">
        <v>444814009</v>
      </c>
      <c r="O3915" t="s">
        <v>1035</v>
      </c>
    </row>
    <row r="3916" spans="1:15">
      <c r="A3916" t="s">
        <v>5451</v>
      </c>
      <c r="B3916" s="2">
        <v>43933.01458333333</v>
      </c>
      <c r="C3916" s="2">
        <v>43934.01458333333</v>
      </c>
      <c r="D3916" t="s">
        <v>727</v>
      </c>
      <c r="E3916" t="s">
        <v>5429</v>
      </c>
      <c r="F3916" t="s">
        <v>5430</v>
      </c>
      <c r="G3916" t="s">
        <v>1093</v>
      </c>
      <c r="H3916" t="s">
        <v>1431</v>
      </c>
      <c r="I3916">
        <v>56876005</v>
      </c>
      <c r="J3916" t="s">
        <v>5307</v>
      </c>
      <c r="K3916">
        <v>146.18</v>
      </c>
      <c r="L3916">
        <v>146.18</v>
      </c>
      <c r="M3916">
        <v>31.73</v>
      </c>
      <c r="N3916">
        <v>6525002</v>
      </c>
      <c r="O3916" t="s">
        <v>5279</v>
      </c>
    </row>
    <row r="3917" spans="1:15">
      <c r="A3917" t="s">
        <v>5452</v>
      </c>
      <c r="B3917" s="2">
        <v>43955.01458333333</v>
      </c>
      <c r="C3917" s="2">
        <v>43955.064571759256</v>
      </c>
      <c r="D3917" t="s">
        <v>727</v>
      </c>
      <c r="E3917" t="s">
        <v>5429</v>
      </c>
      <c r="F3917" t="s">
        <v>5430</v>
      </c>
      <c r="G3917" t="s">
        <v>1093</v>
      </c>
      <c r="H3917" t="s">
        <v>1031</v>
      </c>
      <c r="I3917">
        <v>185347001</v>
      </c>
      <c r="J3917" t="s">
        <v>1124</v>
      </c>
      <c r="K3917">
        <v>85.55</v>
      </c>
      <c r="L3917">
        <v>516.95000000000005</v>
      </c>
      <c r="M3917">
        <v>466.95</v>
      </c>
      <c r="N3917">
        <v>6525002</v>
      </c>
      <c r="O3917" t="s">
        <v>5279</v>
      </c>
    </row>
    <row r="3918" spans="1:15">
      <c r="A3918" t="s">
        <v>5453</v>
      </c>
      <c r="B3918" s="2">
        <v>43985.064571759256</v>
      </c>
      <c r="C3918" s="2">
        <v>43985.116597222222</v>
      </c>
      <c r="D3918" t="s">
        <v>727</v>
      </c>
      <c r="E3918" t="s">
        <v>5429</v>
      </c>
      <c r="F3918" t="s">
        <v>5430</v>
      </c>
      <c r="G3918" t="s">
        <v>1093</v>
      </c>
      <c r="H3918" t="s">
        <v>1031</v>
      </c>
      <c r="I3918">
        <v>185347001</v>
      </c>
      <c r="J3918" t="s">
        <v>1124</v>
      </c>
      <c r="K3918">
        <v>85.55</v>
      </c>
      <c r="L3918">
        <v>516.95000000000005</v>
      </c>
      <c r="M3918">
        <v>466.95</v>
      </c>
      <c r="N3918">
        <v>6525002</v>
      </c>
      <c r="O3918" t="s">
        <v>5279</v>
      </c>
    </row>
    <row r="3919" spans="1:15">
      <c r="A3919" t="s">
        <v>5454</v>
      </c>
      <c r="B3919" s="2">
        <v>44150.155659722222</v>
      </c>
      <c r="C3919" s="2">
        <v>44150.166076388887</v>
      </c>
      <c r="D3919" t="s">
        <v>727</v>
      </c>
      <c r="E3919" t="s">
        <v>5429</v>
      </c>
      <c r="F3919" t="s">
        <v>5430</v>
      </c>
      <c r="G3919" t="s">
        <v>1093</v>
      </c>
      <c r="H3919" t="s">
        <v>1031</v>
      </c>
      <c r="I3919">
        <v>185345009</v>
      </c>
      <c r="J3919" t="s">
        <v>1032</v>
      </c>
      <c r="K3919">
        <v>85.55</v>
      </c>
      <c r="L3919">
        <v>462.52</v>
      </c>
      <c r="M3919">
        <v>412.52</v>
      </c>
      <c r="N3919">
        <v>10509002</v>
      </c>
      <c r="O3919" t="s">
        <v>1033</v>
      </c>
    </row>
    <row r="3920" spans="1:15">
      <c r="A3920" t="s">
        <v>5455</v>
      </c>
      <c r="B3920" s="2">
        <v>44161.447326388887</v>
      </c>
      <c r="C3920" s="2">
        <v>44161.474756944444</v>
      </c>
      <c r="D3920" t="s">
        <v>727</v>
      </c>
      <c r="E3920" t="s">
        <v>1157</v>
      </c>
      <c r="F3920" t="s">
        <v>1158</v>
      </c>
      <c r="G3920" t="s">
        <v>1093</v>
      </c>
      <c r="H3920" t="s">
        <v>1159</v>
      </c>
      <c r="I3920">
        <v>702927004</v>
      </c>
      <c r="J3920" t="s">
        <v>1160</v>
      </c>
      <c r="K3920">
        <v>142.58000000000001</v>
      </c>
      <c r="L3920">
        <v>865.94</v>
      </c>
      <c r="M3920">
        <v>815.94</v>
      </c>
      <c r="O3920" t="s">
        <v>34</v>
      </c>
    </row>
    <row r="3921" spans="1:15">
      <c r="A3921" t="s">
        <v>5456</v>
      </c>
      <c r="B3921" s="2">
        <v>44168.447326388887</v>
      </c>
      <c r="C3921" s="2">
        <v>44168.457743055558</v>
      </c>
      <c r="D3921" t="s">
        <v>727</v>
      </c>
      <c r="E3921" t="s">
        <v>5429</v>
      </c>
      <c r="F3921" t="s">
        <v>5430</v>
      </c>
      <c r="G3921" t="s">
        <v>1093</v>
      </c>
      <c r="H3921" t="s">
        <v>1043</v>
      </c>
      <c r="I3921">
        <v>185349003</v>
      </c>
      <c r="J3921" t="s">
        <v>1038</v>
      </c>
      <c r="K3921">
        <v>85.55</v>
      </c>
      <c r="L3921">
        <v>228.35</v>
      </c>
      <c r="M3921">
        <v>178.35</v>
      </c>
      <c r="O3921" t="s">
        <v>34</v>
      </c>
    </row>
    <row r="3922" spans="1:15">
      <c r="A3922" t="s">
        <v>5457</v>
      </c>
      <c r="B3922" s="2">
        <v>44210.447326388887</v>
      </c>
      <c r="C3922" s="2">
        <v>44210.473946759259</v>
      </c>
      <c r="D3922" t="s">
        <v>727</v>
      </c>
      <c r="E3922" t="s">
        <v>5429</v>
      </c>
      <c r="F3922" t="s">
        <v>5430</v>
      </c>
      <c r="G3922" t="s">
        <v>1093</v>
      </c>
      <c r="H3922" t="s">
        <v>1020</v>
      </c>
      <c r="I3922">
        <v>162673000</v>
      </c>
      <c r="J3922" t="s">
        <v>1021</v>
      </c>
      <c r="K3922">
        <v>136.80000000000001</v>
      </c>
      <c r="L3922">
        <v>914.78</v>
      </c>
      <c r="M3922">
        <v>814.78</v>
      </c>
      <c r="O3922" t="s">
        <v>34</v>
      </c>
    </row>
    <row r="3923" spans="1:15">
      <c r="A3923" t="s">
        <v>5458</v>
      </c>
      <c r="B3923" s="2">
        <v>44224.447326388887</v>
      </c>
      <c r="C3923" s="2">
        <v>44224.734282407408</v>
      </c>
      <c r="D3923" t="s">
        <v>727</v>
      </c>
      <c r="E3923" t="s">
        <v>5429</v>
      </c>
      <c r="F3923" t="s">
        <v>5430</v>
      </c>
      <c r="G3923" t="s">
        <v>1093</v>
      </c>
      <c r="H3923" t="s">
        <v>1031</v>
      </c>
      <c r="I3923">
        <v>185349003</v>
      </c>
      <c r="J3923" t="s">
        <v>1038</v>
      </c>
      <c r="K3923">
        <v>85.55</v>
      </c>
      <c r="L3923">
        <v>4830.95</v>
      </c>
      <c r="M3923">
        <v>4780.95</v>
      </c>
      <c r="N3923">
        <v>66383009</v>
      </c>
      <c r="O3923" t="s">
        <v>1209</v>
      </c>
    </row>
    <row r="3924" spans="1:15">
      <c r="A3924" t="s">
        <v>5459</v>
      </c>
      <c r="B3924" s="2">
        <v>44337.116597222222</v>
      </c>
      <c r="C3924" s="2">
        <v>44337.177303240744</v>
      </c>
      <c r="D3924" t="s">
        <v>727</v>
      </c>
      <c r="E3924" t="s">
        <v>5429</v>
      </c>
      <c r="F3924" t="s">
        <v>5430</v>
      </c>
      <c r="G3924" t="s">
        <v>1093</v>
      </c>
      <c r="H3924" t="s">
        <v>1031</v>
      </c>
      <c r="I3924">
        <v>185347001</v>
      </c>
      <c r="J3924" t="s">
        <v>1124</v>
      </c>
      <c r="K3924">
        <v>85.55</v>
      </c>
      <c r="L3924">
        <v>516.95000000000005</v>
      </c>
      <c r="M3924">
        <v>466.95</v>
      </c>
      <c r="N3924">
        <v>6525002</v>
      </c>
      <c r="O3924" t="s">
        <v>5279</v>
      </c>
    </row>
    <row r="3925" spans="1:15">
      <c r="A3925" t="s">
        <v>5460</v>
      </c>
      <c r="B3925" s="2">
        <v>44367.177303240744</v>
      </c>
      <c r="C3925" s="2">
        <v>44367.230439814812</v>
      </c>
      <c r="D3925" t="s">
        <v>727</v>
      </c>
      <c r="E3925" t="s">
        <v>5429</v>
      </c>
      <c r="F3925" t="s">
        <v>5430</v>
      </c>
      <c r="G3925" t="s">
        <v>1093</v>
      </c>
      <c r="H3925" t="s">
        <v>1031</v>
      </c>
      <c r="I3925">
        <v>185347001</v>
      </c>
      <c r="J3925" t="s">
        <v>1124</v>
      </c>
      <c r="K3925">
        <v>85.55</v>
      </c>
      <c r="L3925">
        <v>516.95000000000005</v>
      </c>
      <c r="M3925">
        <v>466.95</v>
      </c>
      <c r="N3925">
        <v>6525002</v>
      </c>
      <c r="O3925" t="s">
        <v>5279</v>
      </c>
    </row>
    <row r="3926" spans="1:15">
      <c r="A3926" t="s">
        <v>5461</v>
      </c>
      <c r="B3926" s="2">
        <v>44432.230439814812</v>
      </c>
      <c r="C3926" s="2">
        <v>44433.063773148147</v>
      </c>
      <c r="D3926" t="s">
        <v>727</v>
      </c>
      <c r="E3926" t="s">
        <v>4045</v>
      </c>
      <c r="F3926" t="s">
        <v>4046</v>
      </c>
      <c r="G3926" t="s">
        <v>1093</v>
      </c>
      <c r="H3926" t="s">
        <v>1076</v>
      </c>
      <c r="I3926">
        <v>50849002</v>
      </c>
      <c r="J3926" t="s">
        <v>1163</v>
      </c>
      <c r="K3926">
        <v>146.18</v>
      </c>
      <c r="L3926">
        <v>146.18</v>
      </c>
      <c r="M3926">
        <v>96.18</v>
      </c>
      <c r="N3926">
        <v>1149222004</v>
      </c>
      <c r="O3926" t="s">
        <v>5284</v>
      </c>
    </row>
    <row r="3927" spans="1:15">
      <c r="A3927" t="s">
        <v>5462</v>
      </c>
      <c r="B3927" s="2">
        <v>44440.063773148147</v>
      </c>
      <c r="C3927" s="2">
        <v>44450.063773148147</v>
      </c>
      <c r="D3927" t="s">
        <v>727</v>
      </c>
      <c r="E3927" t="s">
        <v>5429</v>
      </c>
      <c r="F3927" t="s">
        <v>5430</v>
      </c>
      <c r="G3927" t="s">
        <v>1093</v>
      </c>
      <c r="H3927" t="s">
        <v>1431</v>
      </c>
      <c r="I3927">
        <v>56876005</v>
      </c>
      <c r="J3927" t="s">
        <v>5307</v>
      </c>
      <c r="K3927">
        <v>146.18</v>
      </c>
      <c r="L3927">
        <v>146.18</v>
      </c>
      <c r="M3927">
        <v>96.18</v>
      </c>
      <c r="N3927">
        <v>6525002</v>
      </c>
      <c r="O3927" t="s">
        <v>5279</v>
      </c>
    </row>
    <row r="3928" spans="1:15">
      <c r="A3928" t="s">
        <v>5463</v>
      </c>
      <c r="B3928" s="2">
        <v>44506.063773148147</v>
      </c>
      <c r="C3928" s="2">
        <v>44506.119212962964</v>
      </c>
      <c r="D3928" t="s">
        <v>727</v>
      </c>
      <c r="E3928" t="s">
        <v>5429</v>
      </c>
      <c r="F3928" t="s">
        <v>5430</v>
      </c>
      <c r="G3928" t="s">
        <v>1093</v>
      </c>
      <c r="H3928" t="s">
        <v>1031</v>
      </c>
      <c r="I3928">
        <v>185347001</v>
      </c>
      <c r="J3928" t="s">
        <v>1124</v>
      </c>
      <c r="K3928">
        <v>85.55</v>
      </c>
      <c r="L3928">
        <v>516.95000000000005</v>
      </c>
      <c r="M3928">
        <v>466.95</v>
      </c>
      <c r="N3928">
        <v>6525002</v>
      </c>
      <c r="O3928" t="s">
        <v>5279</v>
      </c>
    </row>
    <row r="3929" spans="1:15">
      <c r="A3929" t="s">
        <v>5464</v>
      </c>
      <c r="B3929" s="2">
        <v>44663.554861111108</v>
      </c>
      <c r="C3929" s="2">
        <v>44663.59652777778</v>
      </c>
      <c r="D3929" t="s">
        <v>727</v>
      </c>
      <c r="E3929" t="s">
        <v>4045</v>
      </c>
      <c r="F3929" t="s">
        <v>4046</v>
      </c>
      <c r="G3929" t="s">
        <v>1093</v>
      </c>
      <c r="H3929" t="s">
        <v>1076</v>
      </c>
      <c r="I3929">
        <v>50849002</v>
      </c>
      <c r="J3929" t="s">
        <v>1163</v>
      </c>
      <c r="K3929">
        <v>146.18</v>
      </c>
      <c r="L3929">
        <v>1008.98</v>
      </c>
      <c r="M3929">
        <v>900.7</v>
      </c>
      <c r="N3929">
        <v>125605004</v>
      </c>
      <c r="O3929" t="s">
        <v>1644</v>
      </c>
    </row>
    <row r="3930" spans="1:15">
      <c r="A3930" t="s">
        <v>5465</v>
      </c>
      <c r="B3930" s="2">
        <v>44754.572997685187</v>
      </c>
      <c r="C3930" s="2">
        <v>44754.583414351851</v>
      </c>
      <c r="D3930" t="s">
        <v>727</v>
      </c>
      <c r="E3930" t="s">
        <v>5429</v>
      </c>
      <c r="F3930" t="s">
        <v>5430</v>
      </c>
      <c r="G3930" t="s">
        <v>1093</v>
      </c>
      <c r="H3930" t="s">
        <v>1031</v>
      </c>
      <c r="I3930">
        <v>185349003</v>
      </c>
      <c r="J3930" t="s">
        <v>1038</v>
      </c>
      <c r="K3930">
        <v>85.55</v>
      </c>
      <c r="L3930">
        <v>85.55</v>
      </c>
      <c r="M3930">
        <v>35.549999999999997</v>
      </c>
      <c r="N3930">
        <v>263102004</v>
      </c>
      <c r="O3930" t="s">
        <v>2337</v>
      </c>
    </row>
    <row r="3931" spans="1:15">
      <c r="A3931" t="s">
        <v>5466</v>
      </c>
      <c r="B3931" s="2">
        <v>44945.447326388887</v>
      </c>
      <c r="C3931" s="2">
        <v>44945.476817129631</v>
      </c>
      <c r="D3931" t="s">
        <v>727</v>
      </c>
      <c r="E3931" t="s">
        <v>5429</v>
      </c>
      <c r="F3931" t="s">
        <v>5430</v>
      </c>
      <c r="G3931" t="s">
        <v>1093</v>
      </c>
      <c r="H3931" t="s">
        <v>1020</v>
      </c>
      <c r="I3931">
        <v>162673000</v>
      </c>
      <c r="J3931" t="s">
        <v>1021</v>
      </c>
      <c r="K3931">
        <v>136.80000000000001</v>
      </c>
      <c r="L3931">
        <v>1132.1600000000001</v>
      </c>
      <c r="M3931">
        <v>1032.1600000000001</v>
      </c>
      <c r="O3931" t="s">
        <v>34</v>
      </c>
    </row>
    <row r="3932" spans="1:15">
      <c r="A3932" t="s">
        <v>5467</v>
      </c>
      <c r="B3932" s="2">
        <v>44966.447326388887</v>
      </c>
      <c r="C3932" s="2">
        <v>44966.486273148148</v>
      </c>
      <c r="D3932" t="s">
        <v>727</v>
      </c>
      <c r="E3932" t="s">
        <v>5429</v>
      </c>
      <c r="F3932" t="s">
        <v>5430</v>
      </c>
      <c r="G3932" t="s">
        <v>1093</v>
      </c>
      <c r="H3932" t="s">
        <v>1043</v>
      </c>
      <c r="I3932">
        <v>185349003</v>
      </c>
      <c r="J3932" t="s">
        <v>1038</v>
      </c>
      <c r="K3932">
        <v>85.55</v>
      </c>
      <c r="L3932">
        <v>734.33</v>
      </c>
      <c r="M3932">
        <v>684.33</v>
      </c>
      <c r="O3932" t="s">
        <v>34</v>
      </c>
    </row>
    <row r="3933" spans="1:15">
      <c r="A3933" t="s">
        <v>5468</v>
      </c>
      <c r="B3933" s="2">
        <v>44973.447326388887</v>
      </c>
      <c r="C3933" s="2">
        <v>44973.457743055558</v>
      </c>
      <c r="D3933" t="s">
        <v>727</v>
      </c>
      <c r="E3933" t="s">
        <v>5429</v>
      </c>
      <c r="F3933" t="s">
        <v>5430</v>
      </c>
      <c r="G3933" t="s">
        <v>1093</v>
      </c>
      <c r="H3933" t="s">
        <v>1031</v>
      </c>
      <c r="I3933">
        <v>185345009</v>
      </c>
      <c r="J3933" t="s">
        <v>1032</v>
      </c>
      <c r="K3933">
        <v>85.55</v>
      </c>
      <c r="L3933">
        <v>85.55</v>
      </c>
      <c r="M3933">
        <v>35.549999999999997</v>
      </c>
      <c r="N3933">
        <v>444814009</v>
      </c>
      <c r="O3933" t="s">
        <v>1035</v>
      </c>
    </row>
    <row r="3934" spans="1:15">
      <c r="A3934" t="s">
        <v>5469</v>
      </c>
      <c r="B3934" s="2">
        <v>44980.447326388887</v>
      </c>
      <c r="C3934" s="2">
        <v>44980.58630787037</v>
      </c>
      <c r="D3934" t="s">
        <v>727</v>
      </c>
      <c r="E3934" t="s">
        <v>5429</v>
      </c>
      <c r="F3934" t="s">
        <v>5430</v>
      </c>
      <c r="G3934" t="s">
        <v>1093</v>
      </c>
      <c r="H3934" t="s">
        <v>1031</v>
      </c>
      <c r="I3934">
        <v>185349003</v>
      </c>
      <c r="J3934" t="s">
        <v>1038</v>
      </c>
      <c r="K3934">
        <v>85.55</v>
      </c>
      <c r="L3934">
        <v>3105.35</v>
      </c>
      <c r="M3934">
        <v>3055.35</v>
      </c>
      <c r="N3934">
        <v>103697008</v>
      </c>
      <c r="O3934" t="s">
        <v>1039</v>
      </c>
    </row>
    <row r="3935" spans="1:15">
      <c r="A3935" t="s">
        <v>5470</v>
      </c>
      <c r="B3935" s="2">
        <v>45103.119212962964</v>
      </c>
      <c r="C3935" s="2">
        <v>45115.119212962964</v>
      </c>
      <c r="D3935" t="s">
        <v>727</v>
      </c>
      <c r="E3935" t="s">
        <v>5429</v>
      </c>
      <c r="F3935" t="s">
        <v>5430</v>
      </c>
      <c r="G3935" t="s">
        <v>1093</v>
      </c>
      <c r="H3935" t="s">
        <v>1431</v>
      </c>
      <c r="I3935">
        <v>56876005</v>
      </c>
      <c r="J3935" t="s">
        <v>5307</v>
      </c>
      <c r="K3935">
        <v>146.18</v>
      </c>
      <c r="L3935">
        <v>146.18</v>
      </c>
      <c r="M3935">
        <v>96.18</v>
      </c>
      <c r="N3935">
        <v>6525002</v>
      </c>
      <c r="O3935" t="s">
        <v>5279</v>
      </c>
    </row>
    <row r="3936" spans="1:15">
      <c r="A3936" t="s">
        <v>5471</v>
      </c>
      <c r="B3936" s="2">
        <v>45120.488993055558</v>
      </c>
      <c r="C3936" s="2">
        <v>45120.499409722222</v>
      </c>
      <c r="D3936" t="s">
        <v>727</v>
      </c>
      <c r="E3936" t="s">
        <v>5429</v>
      </c>
      <c r="F3936" t="s">
        <v>5430</v>
      </c>
      <c r="G3936" t="s">
        <v>1093</v>
      </c>
      <c r="H3936" t="s">
        <v>1031</v>
      </c>
      <c r="I3936">
        <v>185345009</v>
      </c>
      <c r="J3936" t="s">
        <v>1032</v>
      </c>
      <c r="K3936">
        <v>85.55</v>
      </c>
      <c r="L3936">
        <v>3536.75</v>
      </c>
      <c r="M3936">
        <v>3486.75</v>
      </c>
      <c r="N3936">
        <v>43878008</v>
      </c>
      <c r="O3936" t="s">
        <v>1217</v>
      </c>
    </row>
    <row r="3937" spans="1:15">
      <c r="A3937" t="s">
        <v>5472</v>
      </c>
      <c r="B3937" s="2">
        <v>45192.119212962964</v>
      </c>
      <c r="C3937" s="2">
        <v>45192.169027777774</v>
      </c>
      <c r="D3937" t="s">
        <v>727</v>
      </c>
      <c r="E3937" t="s">
        <v>5429</v>
      </c>
      <c r="F3937" t="s">
        <v>5430</v>
      </c>
      <c r="G3937" t="s">
        <v>1093</v>
      </c>
      <c r="H3937" t="s">
        <v>1031</v>
      </c>
      <c r="I3937">
        <v>185347001</v>
      </c>
      <c r="J3937" t="s">
        <v>1124</v>
      </c>
      <c r="K3937">
        <v>85.55</v>
      </c>
      <c r="L3937">
        <v>516.95000000000005</v>
      </c>
      <c r="M3937">
        <v>466.95</v>
      </c>
      <c r="N3937">
        <v>6525002</v>
      </c>
      <c r="O3937" t="s">
        <v>5279</v>
      </c>
    </row>
    <row r="3938" spans="1:15">
      <c r="A3938" t="s">
        <v>5473</v>
      </c>
      <c r="B3938" s="2">
        <v>45222.169027777774</v>
      </c>
      <c r="C3938" s="2">
        <v>45222.229537037034</v>
      </c>
      <c r="D3938" t="s">
        <v>727</v>
      </c>
      <c r="E3938" t="s">
        <v>5429</v>
      </c>
      <c r="F3938" t="s">
        <v>5430</v>
      </c>
      <c r="G3938" t="s">
        <v>1093</v>
      </c>
      <c r="H3938" t="s">
        <v>1031</v>
      </c>
      <c r="I3938">
        <v>185347001</v>
      </c>
      <c r="J3938" t="s">
        <v>1124</v>
      </c>
      <c r="K3938">
        <v>85.55</v>
      </c>
      <c r="L3938">
        <v>516.95000000000005</v>
      </c>
      <c r="M3938">
        <v>466.95</v>
      </c>
      <c r="N3938">
        <v>6525002</v>
      </c>
      <c r="O3938" t="s">
        <v>5279</v>
      </c>
    </row>
    <row r="3939" spans="1:15">
      <c r="A3939" t="s">
        <v>5474</v>
      </c>
      <c r="B3939" s="2">
        <v>45252.18787037037</v>
      </c>
      <c r="C3939" s="2">
        <v>45252.239791666667</v>
      </c>
      <c r="D3939" t="s">
        <v>727</v>
      </c>
      <c r="E3939" t="s">
        <v>5429</v>
      </c>
      <c r="F3939" t="s">
        <v>5430</v>
      </c>
      <c r="G3939" t="s">
        <v>1093</v>
      </c>
      <c r="H3939" t="s">
        <v>1031</v>
      </c>
      <c r="I3939">
        <v>185347001</v>
      </c>
      <c r="J3939" t="s">
        <v>1124</v>
      </c>
      <c r="K3939">
        <v>85.55</v>
      </c>
      <c r="L3939">
        <v>516.95000000000005</v>
      </c>
      <c r="M3939">
        <v>466.95</v>
      </c>
      <c r="N3939">
        <v>6525002</v>
      </c>
      <c r="O3939" t="s">
        <v>5279</v>
      </c>
    </row>
    <row r="3940" spans="1:15">
      <c r="A3940" t="s">
        <v>5475</v>
      </c>
      <c r="B3940" s="2">
        <v>45282.239791666667</v>
      </c>
      <c r="C3940" s="2">
        <v>45282.300717592596</v>
      </c>
      <c r="D3940" t="s">
        <v>727</v>
      </c>
      <c r="E3940" t="s">
        <v>5429</v>
      </c>
      <c r="F3940" t="s">
        <v>5430</v>
      </c>
      <c r="G3940" t="s">
        <v>1093</v>
      </c>
      <c r="H3940" t="s">
        <v>1031</v>
      </c>
      <c r="I3940">
        <v>185347001</v>
      </c>
      <c r="J3940" t="s">
        <v>1124</v>
      </c>
      <c r="K3940">
        <v>85.55</v>
      </c>
      <c r="L3940">
        <v>516.95000000000005</v>
      </c>
      <c r="M3940">
        <v>466.95</v>
      </c>
      <c r="N3940">
        <v>6525002</v>
      </c>
      <c r="O3940" t="s">
        <v>5279</v>
      </c>
    </row>
    <row r="3941" spans="1:15">
      <c r="A3941" t="s">
        <v>5476</v>
      </c>
      <c r="B3941" s="2">
        <v>45431.692372685182</v>
      </c>
      <c r="C3941" s="2">
        <v>45431.729143518518</v>
      </c>
      <c r="D3941" t="s">
        <v>727</v>
      </c>
      <c r="E3941" t="s">
        <v>5429</v>
      </c>
      <c r="F3941" t="s">
        <v>5430</v>
      </c>
      <c r="G3941" t="s">
        <v>1093</v>
      </c>
      <c r="H3941" t="s">
        <v>1031</v>
      </c>
      <c r="I3941">
        <v>185347001</v>
      </c>
      <c r="J3941" t="s">
        <v>1124</v>
      </c>
      <c r="K3941">
        <v>85.55</v>
      </c>
      <c r="L3941">
        <v>1379.75</v>
      </c>
      <c r="M3941">
        <v>1229.75</v>
      </c>
      <c r="N3941">
        <v>37320007</v>
      </c>
      <c r="O3941" t="s">
        <v>1125</v>
      </c>
    </row>
    <row r="3942" spans="1:15">
      <c r="A3942" t="s">
        <v>5477</v>
      </c>
      <c r="B3942" s="2">
        <v>45445.729143518518</v>
      </c>
      <c r="C3942" s="2">
        <v>45445.759398148148</v>
      </c>
      <c r="D3942" t="s">
        <v>727</v>
      </c>
      <c r="E3942" t="s">
        <v>5429</v>
      </c>
      <c r="F3942" t="s">
        <v>5430</v>
      </c>
      <c r="G3942" t="s">
        <v>1093</v>
      </c>
      <c r="H3942" t="s">
        <v>1031</v>
      </c>
      <c r="I3942">
        <v>390906007</v>
      </c>
      <c r="J3942" t="s">
        <v>1255</v>
      </c>
      <c r="K3942">
        <v>85.55</v>
      </c>
      <c r="L3942">
        <v>516.95000000000005</v>
      </c>
      <c r="M3942">
        <v>466.95</v>
      </c>
      <c r="N3942">
        <v>37320007</v>
      </c>
      <c r="O3942" t="s">
        <v>1125</v>
      </c>
    </row>
    <row r="3943" spans="1:15">
      <c r="A3943" t="s">
        <v>5478</v>
      </c>
      <c r="B3943" s="2">
        <v>45473.34238425926</v>
      </c>
      <c r="C3943" s="2">
        <v>45473.392395833333</v>
      </c>
      <c r="D3943" t="s">
        <v>727</v>
      </c>
      <c r="E3943" t="s">
        <v>5429</v>
      </c>
      <c r="F3943" t="s">
        <v>5430</v>
      </c>
      <c r="G3943" t="s">
        <v>1093</v>
      </c>
      <c r="H3943" t="s">
        <v>1031</v>
      </c>
      <c r="I3943">
        <v>185347001</v>
      </c>
      <c r="J3943" t="s">
        <v>1124</v>
      </c>
      <c r="K3943">
        <v>85.55</v>
      </c>
      <c r="L3943">
        <v>516.95000000000005</v>
      </c>
      <c r="M3943">
        <v>466.95</v>
      </c>
      <c r="N3943">
        <v>6525002</v>
      </c>
      <c r="O3943" t="s">
        <v>5279</v>
      </c>
    </row>
    <row r="3944" spans="1:15">
      <c r="A3944" t="s">
        <v>5479</v>
      </c>
      <c r="B3944" s="2">
        <v>45650.350729166668</v>
      </c>
      <c r="C3944" s="2">
        <v>45650.434062499997</v>
      </c>
      <c r="D3944" t="s">
        <v>727</v>
      </c>
      <c r="E3944" t="s">
        <v>4045</v>
      </c>
      <c r="F3944" t="s">
        <v>4046</v>
      </c>
      <c r="G3944" t="s">
        <v>1093</v>
      </c>
      <c r="H3944" t="s">
        <v>1076</v>
      </c>
      <c r="I3944">
        <v>50849002</v>
      </c>
      <c r="J3944" t="s">
        <v>1163</v>
      </c>
      <c r="K3944">
        <v>146.18</v>
      </c>
      <c r="L3944">
        <v>146.18</v>
      </c>
      <c r="M3944">
        <v>96.18</v>
      </c>
      <c r="N3944">
        <v>1149222004</v>
      </c>
      <c r="O3944" t="s">
        <v>5284</v>
      </c>
    </row>
    <row r="3945" spans="1:15">
      <c r="A3945" t="s">
        <v>5480</v>
      </c>
      <c r="B3945" s="2">
        <v>45680.447326388887</v>
      </c>
      <c r="C3945" s="2">
        <v>45680.477951388886</v>
      </c>
      <c r="D3945" t="s">
        <v>727</v>
      </c>
      <c r="E3945" t="s">
        <v>5429</v>
      </c>
      <c r="F3945" t="s">
        <v>5430</v>
      </c>
      <c r="G3945" t="s">
        <v>1093</v>
      </c>
      <c r="H3945" t="s">
        <v>1020</v>
      </c>
      <c r="I3945">
        <v>162673000</v>
      </c>
      <c r="J3945" t="s">
        <v>1021</v>
      </c>
      <c r="K3945">
        <v>136.80000000000001</v>
      </c>
      <c r="L3945">
        <v>785.58</v>
      </c>
      <c r="M3945">
        <v>685.58</v>
      </c>
      <c r="O3945" t="s">
        <v>34</v>
      </c>
    </row>
    <row r="3946" spans="1:15">
      <c r="A3946" t="s">
        <v>5481</v>
      </c>
      <c r="B3946" s="2">
        <v>45694.447326388887</v>
      </c>
      <c r="C3946" s="2">
        <v>45694.667361111111</v>
      </c>
      <c r="D3946" t="s">
        <v>727</v>
      </c>
      <c r="E3946" t="s">
        <v>5429</v>
      </c>
      <c r="F3946" t="s">
        <v>5430</v>
      </c>
      <c r="G3946" t="s">
        <v>1093</v>
      </c>
      <c r="H3946" t="s">
        <v>1031</v>
      </c>
      <c r="I3946">
        <v>185349003</v>
      </c>
      <c r="J3946" t="s">
        <v>1038</v>
      </c>
      <c r="K3946">
        <v>85.55</v>
      </c>
      <c r="L3946">
        <v>4399.55</v>
      </c>
      <c r="M3946">
        <v>4349.55</v>
      </c>
      <c r="N3946">
        <v>103697008</v>
      </c>
      <c r="O3946" t="s">
        <v>1039</v>
      </c>
    </row>
    <row r="3947" spans="1:15">
      <c r="A3947" t="s">
        <v>5482</v>
      </c>
      <c r="B3947" s="2">
        <v>39853.242569444446</v>
      </c>
      <c r="C3947" s="2">
        <v>39853.252986111111</v>
      </c>
      <c r="D3947" t="s">
        <v>734</v>
      </c>
      <c r="E3947" t="s">
        <v>5483</v>
      </c>
      <c r="F3947" t="s">
        <v>5484</v>
      </c>
      <c r="G3947" t="s">
        <v>1325</v>
      </c>
      <c r="H3947" t="s">
        <v>1031</v>
      </c>
      <c r="I3947">
        <v>185345009</v>
      </c>
      <c r="J3947" t="s">
        <v>1032</v>
      </c>
      <c r="K3947">
        <v>85.55</v>
      </c>
      <c r="L3947">
        <v>92.93</v>
      </c>
      <c r="M3947">
        <v>0</v>
      </c>
      <c r="N3947">
        <v>36971009</v>
      </c>
      <c r="O3947" t="s">
        <v>1278</v>
      </c>
    </row>
    <row r="3948" spans="1:15">
      <c r="A3948" t="s">
        <v>5485</v>
      </c>
      <c r="B3948" s="2">
        <v>41715.325902777775</v>
      </c>
      <c r="C3948" s="2">
        <v>41715.336319444446</v>
      </c>
      <c r="D3948" t="s">
        <v>734</v>
      </c>
      <c r="E3948" t="s">
        <v>5486</v>
      </c>
      <c r="F3948" t="s">
        <v>5487</v>
      </c>
      <c r="G3948" t="s">
        <v>1325</v>
      </c>
      <c r="H3948" t="s">
        <v>1020</v>
      </c>
      <c r="I3948">
        <v>410620009</v>
      </c>
      <c r="J3948" t="s">
        <v>1054</v>
      </c>
      <c r="K3948">
        <v>136.80000000000001</v>
      </c>
      <c r="L3948">
        <v>704.2</v>
      </c>
      <c r="M3948">
        <v>0</v>
      </c>
      <c r="O3948" t="s">
        <v>34</v>
      </c>
    </row>
    <row r="3949" spans="1:15">
      <c r="A3949" t="s">
        <v>5488</v>
      </c>
      <c r="B3949" s="2">
        <v>42828.325902777775</v>
      </c>
      <c r="C3949" s="2">
        <v>42828.336319444446</v>
      </c>
      <c r="D3949" t="s">
        <v>734</v>
      </c>
      <c r="E3949" t="s">
        <v>5486</v>
      </c>
      <c r="F3949" t="s">
        <v>5487</v>
      </c>
      <c r="G3949" t="s">
        <v>1325</v>
      </c>
      <c r="H3949" t="s">
        <v>1020</v>
      </c>
      <c r="I3949">
        <v>410620009</v>
      </c>
      <c r="J3949" t="s">
        <v>1054</v>
      </c>
      <c r="K3949">
        <v>136.80000000000001</v>
      </c>
      <c r="L3949">
        <v>1567</v>
      </c>
      <c r="M3949">
        <v>0</v>
      </c>
      <c r="O3949" t="s">
        <v>34</v>
      </c>
    </row>
    <row r="3950" spans="1:15">
      <c r="A3950" t="s">
        <v>5489</v>
      </c>
      <c r="B3950" s="2">
        <v>42842.325902777775</v>
      </c>
      <c r="C3950" s="2">
        <v>42842.462546296294</v>
      </c>
      <c r="D3950" t="s">
        <v>734</v>
      </c>
      <c r="E3950" t="s">
        <v>5483</v>
      </c>
      <c r="F3950" t="s">
        <v>5484</v>
      </c>
      <c r="G3950" t="s">
        <v>1325</v>
      </c>
      <c r="H3950" t="s">
        <v>1031</v>
      </c>
      <c r="I3950">
        <v>185349003</v>
      </c>
      <c r="J3950" t="s">
        <v>1038</v>
      </c>
      <c r="K3950">
        <v>85.55</v>
      </c>
      <c r="L3950">
        <v>3105.35</v>
      </c>
      <c r="M3950">
        <v>0</v>
      </c>
      <c r="N3950">
        <v>103697008</v>
      </c>
      <c r="O3950" t="s">
        <v>1039</v>
      </c>
    </row>
    <row r="3951" spans="1:15">
      <c r="A3951" t="s">
        <v>5490</v>
      </c>
      <c r="B3951" s="2">
        <v>43199.325902777775</v>
      </c>
      <c r="C3951" s="2">
        <v>43199.349097222221</v>
      </c>
      <c r="D3951" t="s">
        <v>734</v>
      </c>
      <c r="E3951" t="s">
        <v>5486</v>
      </c>
      <c r="F3951" t="s">
        <v>5487</v>
      </c>
      <c r="G3951" t="s">
        <v>1325</v>
      </c>
      <c r="H3951" t="s">
        <v>1020</v>
      </c>
      <c r="I3951">
        <v>162673000</v>
      </c>
      <c r="J3951" t="s">
        <v>1021</v>
      </c>
      <c r="K3951">
        <v>136.80000000000001</v>
      </c>
      <c r="L3951">
        <v>1405.12</v>
      </c>
      <c r="M3951">
        <v>0</v>
      </c>
      <c r="O3951" t="s">
        <v>34</v>
      </c>
    </row>
    <row r="3952" spans="1:15">
      <c r="A3952" t="s">
        <v>5491</v>
      </c>
      <c r="B3952" s="2">
        <v>43213.325902777775</v>
      </c>
      <c r="C3952" s="2">
        <v>43213.457442129627</v>
      </c>
      <c r="D3952" t="s">
        <v>734</v>
      </c>
      <c r="E3952" t="s">
        <v>5483</v>
      </c>
      <c r="F3952" t="s">
        <v>5484</v>
      </c>
      <c r="G3952" t="s">
        <v>1325</v>
      </c>
      <c r="H3952" t="s">
        <v>1031</v>
      </c>
      <c r="I3952">
        <v>185349003</v>
      </c>
      <c r="J3952" t="s">
        <v>1038</v>
      </c>
      <c r="K3952">
        <v>85.55</v>
      </c>
      <c r="L3952">
        <v>3105.35</v>
      </c>
      <c r="M3952">
        <v>0</v>
      </c>
      <c r="N3952">
        <v>66383009</v>
      </c>
      <c r="O3952" t="s">
        <v>1209</v>
      </c>
    </row>
    <row r="3953" spans="1:15">
      <c r="A3953" t="s">
        <v>5492</v>
      </c>
      <c r="B3953" s="2">
        <v>43570.325902777775</v>
      </c>
      <c r="C3953" s="2">
        <v>43570.355856481481</v>
      </c>
      <c r="D3953" t="s">
        <v>734</v>
      </c>
      <c r="E3953" t="s">
        <v>5486</v>
      </c>
      <c r="F3953" t="s">
        <v>5487</v>
      </c>
      <c r="G3953" t="s">
        <v>1325</v>
      </c>
      <c r="H3953" t="s">
        <v>1020</v>
      </c>
      <c r="I3953">
        <v>162673000</v>
      </c>
      <c r="J3953" t="s">
        <v>1021</v>
      </c>
      <c r="K3953">
        <v>136.80000000000001</v>
      </c>
      <c r="L3953">
        <v>1567</v>
      </c>
      <c r="M3953">
        <v>0</v>
      </c>
      <c r="O3953" t="s">
        <v>34</v>
      </c>
    </row>
    <row r="3954" spans="1:15">
      <c r="A3954" t="s">
        <v>5493</v>
      </c>
      <c r="B3954" s="2">
        <v>43577.325902777775</v>
      </c>
      <c r="C3954" s="2">
        <v>43577.336319444446</v>
      </c>
      <c r="D3954" t="s">
        <v>734</v>
      </c>
      <c r="E3954" t="s">
        <v>5483</v>
      </c>
      <c r="F3954" t="s">
        <v>5484</v>
      </c>
      <c r="G3954" t="s">
        <v>1325</v>
      </c>
      <c r="H3954" t="s">
        <v>1043</v>
      </c>
      <c r="I3954">
        <v>185349003</v>
      </c>
      <c r="J3954" t="s">
        <v>1038</v>
      </c>
      <c r="K3954">
        <v>85.55</v>
      </c>
      <c r="L3954">
        <v>301.25</v>
      </c>
      <c r="M3954">
        <v>0</v>
      </c>
      <c r="O3954" t="s">
        <v>34</v>
      </c>
    </row>
    <row r="3955" spans="1:15">
      <c r="A3955" t="s">
        <v>5494</v>
      </c>
      <c r="B3955" s="2">
        <v>43584.325902777775</v>
      </c>
      <c r="C3955" s="2">
        <v>43584.336319444446</v>
      </c>
      <c r="D3955" t="s">
        <v>734</v>
      </c>
      <c r="E3955" t="s">
        <v>5483</v>
      </c>
      <c r="F3955" t="s">
        <v>5484</v>
      </c>
      <c r="G3955" t="s">
        <v>1325</v>
      </c>
      <c r="H3955" t="s">
        <v>1031</v>
      </c>
      <c r="I3955">
        <v>185345009</v>
      </c>
      <c r="J3955" t="s">
        <v>1032</v>
      </c>
      <c r="K3955">
        <v>85.55</v>
      </c>
      <c r="L3955">
        <v>10606.55</v>
      </c>
      <c r="M3955">
        <v>3895.5</v>
      </c>
      <c r="N3955">
        <v>10509002</v>
      </c>
      <c r="O3955" t="s">
        <v>1033</v>
      </c>
    </row>
    <row r="3956" spans="1:15">
      <c r="A3956" t="s">
        <v>5495</v>
      </c>
      <c r="B3956" s="2">
        <v>43955.325902777775</v>
      </c>
      <c r="C3956" s="2">
        <v>43955.367569444446</v>
      </c>
      <c r="D3956" t="s">
        <v>734</v>
      </c>
      <c r="E3956" t="s">
        <v>5496</v>
      </c>
      <c r="F3956" t="s">
        <v>5497</v>
      </c>
      <c r="G3956" t="s">
        <v>1325</v>
      </c>
      <c r="H3956" t="s">
        <v>1076</v>
      </c>
      <c r="I3956">
        <v>50849002</v>
      </c>
      <c r="J3956" t="s">
        <v>1163</v>
      </c>
      <c r="K3956">
        <v>146.18</v>
      </c>
      <c r="L3956">
        <v>146.18</v>
      </c>
      <c r="M3956">
        <v>0</v>
      </c>
      <c r="N3956">
        <v>110030002</v>
      </c>
      <c r="O3956" t="s">
        <v>2628</v>
      </c>
    </row>
    <row r="3957" spans="1:15">
      <c r="A3957" t="s">
        <v>5498</v>
      </c>
      <c r="B3957" s="2">
        <v>44022.325902777775</v>
      </c>
      <c r="C3957" s="2">
        <v>44022.336319444446</v>
      </c>
      <c r="D3957" t="s">
        <v>734</v>
      </c>
      <c r="E3957" t="s">
        <v>5483</v>
      </c>
      <c r="F3957" t="s">
        <v>5484</v>
      </c>
      <c r="G3957" t="s">
        <v>1325</v>
      </c>
      <c r="H3957" t="s">
        <v>1031</v>
      </c>
      <c r="I3957">
        <v>185349003</v>
      </c>
      <c r="J3957" t="s">
        <v>1038</v>
      </c>
      <c r="K3957">
        <v>85.55</v>
      </c>
      <c r="L3957">
        <v>85.55</v>
      </c>
      <c r="M3957">
        <v>0</v>
      </c>
      <c r="N3957">
        <v>62106007</v>
      </c>
      <c r="O3957" t="s">
        <v>3730</v>
      </c>
    </row>
    <row r="3958" spans="1:15">
      <c r="A3958" t="s">
        <v>5499</v>
      </c>
      <c r="B3958" s="2">
        <v>44354.325902777775</v>
      </c>
      <c r="C3958" s="2">
        <v>44354.346875000003</v>
      </c>
      <c r="D3958" t="s">
        <v>734</v>
      </c>
      <c r="E3958" t="s">
        <v>5483</v>
      </c>
      <c r="F3958" t="s">
        <v>5484</v>
      </c>
      <c r="G3958" t="s">
        <v>1325</v>
      </c>
      <c r="H3958" t="s">
        <v>1043</v>
      </c>
      <c r="I3958">
        <v>185349003</v>
      </c>
      <c r="J3958" t="s">
        <v>1038</v>
      </c>
      <c r="K3958">
        <v>85.55</v>
      </c>
      <c r="L3958">
        <v>1135.53</v>
      </c>
      <c r="M3958">
        <v>0</v>
      </c>
      <c r="O3958" t="s">
        <v>34</v>
      </c>
    </row>
    <row r="3959" spans="1:15">
      <c r="A3959" t="s">
        <v>5500</v>
      </c>
      <c r="B3959" s="2">
        <v>44361.325902777775</v>
      </c>
      <c r="C3959" s="2">
        <v>44361.336319444446</v>
      </c>
      <c r="D3959" t="s">
        <v>734</v>
      </c>
      <c r="E3959" t="s">
        <v>5483</v>
      </c>
      <c r="F3959" t="s">
        <v>5484</v>
      </c>
      <c r="G3959" t="s">
        <v>1325</v>
      </c>
      <c r="H3959" t="s">
        <v>1031</v>
      </c>
      <c r="I3959">
        <v>185345009</v>
      </c>
      <c r="J3959" t="s">
        <v>1032</v>
      </c>
      <c r="K3959">
        <v>85.55</v>
      </c>
      <c r="L3959">
        <v>85.55</v>
      </c>
      <c r="M3959">
        <v>0</v>
      </c>
      <c r="N3959">
        <v>444814009</v>
      </c>
      <c r="O3959" t="s">
        <v>1035</v>
      </c>
    </row>
    <row r="3960" spans="1:15">
      <c r="A3960" t="s">
        <v>5501</v>
      </c>
      <c r="B3960" s="2">
        <v>44368.325902777775</v>
      </c>
      <c r="C3960" s="2">
        <v>44368.45653935185</v>
      </c>
      <c r="D3960" t="s">
        <v>734</v>
      </c>
      <c r="E3960" t="s">
        <v>5483</v>
      </c>
      <c r="F3960" t="s">
        <v>5484</v>
      </c>
      <c r="G3960" t="s">
        <v>1325</v>
      </c>
      <c r="H3960" t="s">
        <v>1031</v>
      </c>
      <c r="I3960">
        <v>185349003</v>
      </c>
      <c r="J3960" t="s">
        <v>1038</v>
      </c>
      <c r="K3960">
        <v>85.55</v>
      </c>
      <c r="L3960">
        <v>3536.75</v>
      </c>
      <c r="M3960">
        <v>0</v>
      </c>
      <c r="N3960">
        <v>103697008</v>
      </c>
      <c r="O3960" t="s">
        <v>1039</v>
      </c>
    </row>
    <row r="3961" spans="1:15">
      <c r="A3961" t="s">
        <v>5502</v>
      </c>
      <c r="B3961" s="2">
        <v>44669.325902777775</v>
      </c>
      <c r="C3961" s="2">
        <v>44669.349675925929</v>
      </c>
      <c r="D3961" t="s">
        <v>734</v>
      </c>
      <c r="E3961" t="s">
        <v>5486</v>
      </c>
      <c r="F3961" t="s">
        <v>5487</v>
      </c>
      <c r="G3961" t="s">
        <v>1325</v>
      </c>
      <c r="H3961" t="s">
        <v>1020</v>
      </c>
      <c r="I3961">
        <v>162673000</v>
      </c>
      <c r="J3961" t="s">
        <v>1021</v>
      </c>
      <c r="K3961">
        <v>136.80000000000001</v>
      </c>
      <c r="L3961">
        <v>840.2</v>
      </c>
      <c r="M3961">
        <v>0</v>
      </c>
      <c r="O3961" t="s">
        <v>34</v>
      </c>
    </row>
    <row r="3962" spans="1:15">
      <c r="A3962" t="s">
        <v>5503</v>
      </c>
      <c r="B3962" s="2">
        <v>44683.325902777775</v>
      </c>
      <c r="C3962" s="2">
        <v>44683.632685185185</v>
      </c>
      <c r="D3962" t="s">
        <v>734</v>
      </c>
      <c r="E3962" t="s">
        <v>5483</v>
      </c>
      <c r="F3962" t="s">
        <v>5484</v>
      </c>
      <c r="G3962" t="s">
        <v>1325</v>
      </c>
      <c r="H3962" t="s">
        <v>1031</v>
      </c>
      <c r="I3962">
        <v>185349003</v>
      </c>
      <c r="J3962" t="s">
        <v>1038</v>
      </c>
      <c r="K3962">
        <v>85.55</v>
      </c>
      <c r="L3962">
        <v>5262.35</v>
      </c>
      <c r="M3962">
        <v>83.09</v>
      </c>
      <c r="N3962">
        <v>103697008</v>
      </c>
      <c r="O3962" t="s">
        <v>1039</v>
      </c>
    </row>
    <row r="3963" spans="1:15">
      <c r="A3963" t="s">
        <v>5504</v>
      </c>
      <c r="B3963" s="2">
        <v>45768.325902777775</v>
      </c>
      <c r="C3963" s="2">
        <v>45768.353090277778</v>
      </c>
      <c r="D3963" t="s">
        <v>734</v>
      </c>
      <c r="E3963" t="s">
        <v>5486</v>
      </c>
      <c r="F3963" t="s">
        <v>5487</v>
      </c>
      <c r="G3963" t="s">
        <v>1325</v>
      </c>
      <c r="H3963" t="s">
        <v>1020</v>
      </c>
      <c r="I3963">
        <v>162673000</v>
      </c>
      <c r="J3963" t="s">
        <v>1021</v>
      </c>
      <c r="K3963">
        <v>136.80000000000001</v>
      </c>
      <c r="L3963">
        <v>1150.55</v>
      </c>
      <c r="M3963">
        <v>0</v>
      </c>
      <c r="O3963" t="s">
        <v>34</v>
      </c>
    </row>
    <row r="3964" spans="1:15">
      <c r="A3964" t="s">
        <v>5505</v>
      </c>
      <c r="B3964" s="2">
        <v>41904.400416666664</v>
      </c>
      <c r="C3964" s="2">
        <v>41904.410833333335</v>
      </c>
      <c r="D3964" t="s">
        <v>744</v>
      </c>
      <c r="E3964" t="s">
        <v>5506</v>
      </c>
      <c r="F3964" t="s">
        <v>5507</v>
      </c>
      <c r="G3964" t="s">
        <v>1107</v>
      </c>
      <c r="H3964" t="s">
        <v>1020</v>
      </c>
      <c r="I3964">
        <v>410620009</v>
      </c>
      <c r="J3964" t="s">
        <v>1054</v>
      </c>
      <c r="K3964">
        <v>136.80000000000001</v>
      </c>
      <c r="L3964">
        <v>272.8</v>
      </c>
      <c r="M3964">
        <v>0</v>
      </c>
      <c r="O3964" t="s">
        <v>34</v>
      </c>
    </row>
    <row r="3965" spans="1:15">
      <c r="A3965" t="s">
        <v>5508</v>
      </c>
      <c r="B3965" s="2">
        <v>45782.325902777775</v>
      </c>
      <c r="C3965" s="2">
        <v>45782.419050925928</v>
      </c>
      <c r="D3965" t="s">
        <v>734</v>
      </c>
      <c r="E3965" t="s">
        <v>5483</v>
      </c>
      <c r="F3965" t="s">
        <v>5484</v>
      </c>
      <c r="G3965" t="s">
        <v>1325</v>
      </c>
      <c r="H3965" t="s">
        <v>1031</v>
      </c>
      <c r="I3965">
        <v>185349003</v>
      </c>
      <c r="J3965" t="s">
        <v>1038</v>
      </c>
      <c r="K3965">
        <v>85.55</v>
      </c>
      <c r="L3965">
        <v>2673.95</v>
      </c>
      <c r="M3965">
        <v>0</v>
      </c>
      <c r="N3965">
        <v>66383009</v>
      </c>
      <c r="O3965" t="s">
        <v>1209</v>
      </c>
    </row>
    <row r="3966" spans="1:15">
      <c r="A3966" t="s">
        <v>5509</v>
      </c>
      <c r="B3966" s="2">
        <v>42646.400416666664</v>
      </c>
      <c r="C3966" s="2">
        <v>42646.410833333335</v>
      </c>
      <c r="D3966" t="s">
        <v>744</v>
      </c>
      <c r="E3966" t="s">
        <v>5506</v>
      </c>
      <c r="F3966" t="s">
        <v>5507</v>
      </c>
      <c r="G3966" t="s">
        <v>1107</v>
      </c>
      <c r="H3966" t="s">
        <v>1020</v>
      </c>
      <c r="I3966">
        <v>410620009</v>
      </c>
      <c r="J3966" t="s">
        <v>1054</v>
      </c>
      <c r="K3966">
        <v>136.80000000000001</v>
      </c>
      <c r="L3966">
        <v>347.38</v>
      </c>
      <c r="M3966">
        <v>0</v>
      </c>
      <c r="O3966" t="s">
        <v>34</v>
      </c>
    </row>
    <row r="3967" spans="1:15">
      <c r="A3967" t="s">
        <v>5510</v>
      </c>
      <c r="B3967" s="2">
        <v>42782.233749999999</v>
      </c>
      <c r="C3967" s="2">
        <v>42782.244166666664</v>
      </c>
      <c r="D3967" t="s">
        <v>744</v>
      </c>
      <c r="E3967" t="s">
        <v>4718</v>
      </c>
      <c r="F3967" t="s">
        <v>4719</v>
      </c>
      <c r="G3967" t="s">
        <v>1107</v>
      </c>
      <c r="H3967" t="s">
        <v>1031</v>
      </c>
      <c r="I3967">
        <v>185345009</v>
      </c>
      <c r="J3967" t="s">
        <v>1032</v>
      </c>
      <c r="K3967">
        <v>85.55</v>
      </c>
      <c r="L3967">
        <v>1283.79</v>
      </c>
      <c r="M3967">
        <v>0</v>
      </c>
      <c r="N3967">
        <v>195662009</v>
      </c>
      <c r="O3967" t="s">
        <v>1130</v>
      </c>
    </row>
    <row r="3968" spans="1:15">
      <c r="A3968" t="s">
        <v>5511</v>
      </c>
      <c r="B3968" s="2">
        <v>42979.858749999999</v>
      </c>
      <c r="C3968" s="2">
        <v>42979.875358796293</v>
      </c>
      <c r="D3968" t="s">
        <v>744</v>
      </c>
      <c r="E3968" t="s">
        <v>4718</v>
      </c>
      <c r="F3968" t="s">
        <v>4719</v>
      </c>
      <c r="G3968" t="s">
        <v>1107</v>
      </c>
      <c r="H3968" t="s">
        <v>1031</v>
      </c>
      <c r="I3968">
        <v>185345009</v>
      </c>
      <c r="J3968" t="s">
        <v>1032</v>
      </c>
      <c r="K3968">
        <v>85.55</v>
      </c>
      <c r="L3968">
        <v>393.24</v>
      </c>
      <c r="M3968">
        <v>0</v>
      </c>
      <c r="N3968">
        <v>10509002</v>
      </c>
      <c r="O3968" t="s">
        <v>1033</v>
      </c>
    </row>
    <row r="3969" spans="1:15">
      <c r="A3969" t="s">
        <v>5512</v>
      </c>
      <c r="B3969" s="2">
        <v>46248.159236111111</v>
      </c>
      <c r="C3969" s="2">
        <v>46248.169652777775</v>
      </c>
      <c r="D3969" t="s">
        <v>734</v>
      </c>
      <c r="E3969" t="s">
        <v>5483</v>
      </c>
      <c r="F3969" t="s">
        <v>5484</v>
      </c>
      <c r="G3969" t="s">
        <v>1325</v>
      </c>
      <c r="H3969" t="s">
        <v>1031</v>
      </c>
      <c r="I3969">
        <v>185345009</v>
      </c>
      <c r="J3969" t="s">
        <v>1032</v>
      </c>
      <c r="K3969">
        <v>85.55</v>
      </c>
      <c r="L3969">
        <v>1702.28</v>
      </c>
      <c r="M3969">
        <v>0</v>
      </c>
      <c r="N3969">
        <v>195662009</v>
      </c>
      <c r="O3969" t="s">
        <v>1130</v>
      </c>
    </row>
    <row r="3970" spans="1:15">
      <c r="A3970" t="s">
        <v>5513</v>
      </c>
      <c r="B3970" s="2">
        <v>42989.400416666664</v>
      </c>
      <c r="C3970" s="2">
        <v>42989.410833333335</v>
      </c>
      <c r="D3970" t="s">
        <v>744</v>
      </c>
      <c r="E3970" t="s">
        <v>4718</v>
      </c>
      <c r="F3970" t="s">
        <v>4719</v>
      </c>
      <c r="G3970" t="s">
        <v>1107</v>
      </c>
      <c r="H3970" t="s">
        <v>1043</v>
      </c>
      <c r="I3970">
        <v>185349003</v>
      </c>
      <c r="J3970" t="s">
        <v>1038</v>
      </c>
      <c r="K3970">
        <v>85.55</v>
      </c>
      <c r="L3970">
        <v>221.55</v>
      </c>
      <c r="M3970">
        <v>0</v>
      </c>
      <c r="O3970" t="s">
        <v>34</v>
      </c>
    </row>
    <row r="3971" spans="1:15">
      <c r="A3971" t="s">
        <v>5514</v>
      </c>
      <c r="B3971" s="2">
        <v>43017.400416666664</v>
      </c>
      <c r="C3971" s="2">
        <v>43017.410833333335</v>
      </c>
      <c r="D3971" t="s">
        <v>744</v>
      </c>
      <c r="E3971" t="s">
        <v>5506</v>
      </c>
      <c r="F3971" t="s">
        <v>5507</v>
      </c>
      <c r="G3971" t="s">
        <v>1107</v>
      </c>
      <c r="H3971" t="s">
        <v>1020</v>
      </c>
      <c r="I3971">
        <v>410620009</v>
      </c>
      <c r="J3971" t="s">
        <v>1054</v>
      </c>
      <c r="K3971">
        <v>136.80000000000001</v>
      </c>
      <c r="L3971">
        <v>136.80000000000001</v>
      </c>
      <c r="M3971">
        <v>0</v>
      </c>
      <c r="O3971" t="s">
        <v>34</v>
      </c>
    </row>
    <row r="3972" spans="1:15">
      <c r="A3972" t="s">
        <v>5515</v>
      </c>
      <c r="B3972" s="2">
        <v>35862.723182870373</v>
      </c>
      <c r="C3972" s="2">
        <v>35862.744363425925</v>
      </c>
      <c r="D3972" t="s">
        <v>751</v>
      </c>
      <c r="E3972" t="s">
        <v>5516</v>
      </c>
      <c r="F3972" t="s">
        <v>5517</v>
      </c>
      <c r="G3972" t="s">
        <v>1325</v>
      </c>
      <c r="H3972" t="s">
        <v>1020</v>
      </c>
      <c r="I3972">
        <v>162673000</v>
      </c>
      <c r="J3972" t="s">
        <v>1021</v>
      </c>
      <c r="K3972">
        <v>136.80000000000001</v>
      </c>
      <c r="L3972">
        <v>704.2</v>
      </c>
      <c r="M3972">
        <v>0</v>
      </c>
      <c r="O3972" t="s">
        <v>34</v>
      </c>
    </row>
    <row r="3973" spans="1:15">
      <c r="A3973" t="s">
        <v>5518</v>
      </c>
      <c r="B3973" s="2">
        <v>38431.723182870373</v>
      </c>
      <c r="C3973" s="2">
        <v>38431.756284722222</v>
      </c>
      <c r="D3973" t="s">
        <v>751</v>
      </c>
      <c r="E3973" t="s">
        <v>5516</v>
      </c>
      <c r="F3973" t="s">
        <v>5517</v>
      </c>
      <c r="G3973" t="s">
        <v>1325</v>
      </c>
      <c r="H3973" t="s">
        <v>1020</v>
      </c>
      <c r="I3973">
        <v>162673000</v>
      </c>
      <c r="J3973" t="s">
        <v>1021</v>
      </c>
      <c r="K3973">
        <v>136.80000000000001</v>
      </c>
      <c r="L3973">
        <v>704.2</v>
      </c>
      <c r="M3973">
        <v>0</v>
      </c>
      <c r="O3973" t="s">
        <v>34</v>
      </c>
    </row>
    <row r="3974" spans="1:15">
      <c r="A3974" t="s">
        <v>5519</v>
      </c>
      <c r="B3974" s="2">
        <v>40629.764849537038</v>
      </c>
      <c r="C3974" s="2">
        <v>40629.785995370374</v>
      </c>
      <c r="D3974" t="s">
        <v>751</v>
      </c>
      <c r="E3974" t="s">
        <v>5516</v>
      </c>
      <c r="F3974" t="s">
        <v>5517</v>
      </c>
      <c r="G3974" t="s">
        <v>1325</v>
      </c>
      <c r="H3974" t="s">
        <v>1020</v>
      </c>
      <c r="I3974">
        <v>162673000</v>
      </c>
      <c r="J3974" t="s">
        <v>1021</v>
      </c>
      <c r="K3974">
        <v>136.80000000000001</v>
      </c>
      <c r="L3974">
        <v>1059.8</v>
      </c>
      <c r="M3974">
        <v>0</v>
      </c>
      <c r="O3974" t="s">
        <v>34</v>
      </c>
    </row>
    <row r="3975" spans="1:15">
      <c r="A3975" t="s">
        <v>5520</v>
      </c>
      <c r="B3975" s="2">
        <v>41728.764849537038</v>
      </c>
      <c r="C3975" s="2">
        <v>41728.79482638889</v>
      </c>
      <c r="D3975" t="s">
        <v>751</v>
      </c>
      <c r="E3975" t="s">
        <v>5516</v>
      </c>
      <c r="F3975" t="s">
        <v>5517</v>
      </c>
      <c r="G3975" t="s">
        <v>1325</v>
      </c>
      <c r="H3975" t="s">
        <v>1020</v>
      </c>
      <c r="I3975">
        <v>162673000</v>
      </c>
      <c r="J3975" t="s">
        <v>1021</v>
      </c>
      <c r="K3975">
        <v>136.80000000000001</v>
      </c>
      <c r="L3975">
        <v>934.74</v>
      </c>
      <c r="M3975">
        <v>0</v>
      </c>
      <c r="O3975" t="s">
        <v>34</v>
      </c>
    </row>
    <row r="3976" spans="1:15">
      <c r="A3976" t="s">
        <v>5521</v>
      </c>
      <c r="B3976" s="2">
        <v>42827.764849537038</v>
      </c>
      <c r="C3976" s="2">
        <v>42827.794456018521</v>
      </c>
      <c r="D3976" t="s">
        <v>751</v>
      </c>
      <c r="E3976" t="s">
        <v>5516</v>
      </c>
      <c r="F3976" t="s">
        <v>5517</v>
      </c>
      <c r="G3976" t="s">
        <v>1325</v>
      </c>
      <c r="H3976" t="s">
        <v>1020</v>
      </c>
      <c r="I3976">
        <v>162673000</v>
      </c>
      <c r="J3976" t="s">
        <v>1021</v>
      </c>
      <c r="K3976">
        <v>136.80000000000001</v>
      </c>
      <c r="L3976">
        <v>1716.16</v>
      </c>
      <c r="M3976">
        <v>0</v>
      </c>
      <c r="O3976" t="s">
        <v>34</v>
      </c>
    </row>
    <row r="3977" spans="1:15">
      <c r="A3977" t="s">
        <v>5522</v>
      </c>
      <c r="B3977" s="2">
        <v>43388.400416666664</v>
      </c>
      <c r="C3977" s="2">
        <v>43388.410833333335</v>
      </c>
      <c r="D3977" t="s">
        <v>744</v>
      </c>
      <c r="E3977" t="s">
        <v>5506</v>
      </c>
      <c r="F3977" t="s">
        <v>5507</v>
      </c>
      <c r="G3977" t="s">
        <v>1107</v>
      </c>
      <c r="H3977" t="s">
        <v>1020</v>
      </c>
      <c r="I3977">
        <v>410620009</v>
      </c>
      <c r="J3977" t="s">
        <v>1054</v>
      </c>
      <c r="K3977">
        <v>136.80000000000001</v>
      </c>
      <c r="L3977">
        <v>488.5</v>
      </c>
      <c r="M3977">
        <v>0</v>
      </c>
      <c r="O3977" t="s">
        <v>34</v>
      </c>
    </row>
    <row r="3978" spans="1:15">
      <c r="A3978" t="s">
        <v>5523</v>
      </c>
      <c r="B3978" s="2">
        <v>43565.067083333335</v>
      </c>
      <c r="C3978" s="2">
        <v>43565.077499999999</v>
      </c>
      <c r="D3978" t="s">
        <v>744</v>
      </c>
      <c r="E3978" t="s">
        <v>4718</v>
      </c>
      <c r="F3978" t="s">
        <v>4719</v>
      </c>
      <c r="G3978" t="s">
        <v>1107</v>
      </c>
      <c r="H3978" t="s">
        <v>1031</v>
      </c>
      <c r="I3978">
        <v>185345009</v>
      </c>
      <c r="J3978" t="s">
        <v>1032</v>
      </c>
      <c r="K3978">
        <v>85.55</v>
      </c>
      <c r="L3978">
        <v>85.55</v>
      </c>
      <c r="M3978">
        <v>0</v>
      </c>
      <c r="N3978">
        <v>444814009</v>
      </c>
      <c r="O3978" t="s">
        <v>1035</v>
      </c>
    </row>
    <row r="3979" spans="1:15">
      <c r="A3979" t="s">
        <v>5524</v>
      </c>
      <c r="B3979" s="2">
        <v>43759.400416666664</v>
      </c>
      <c r="C3979" s="2">
        <v>43759.410833333335</v>
      </c>
      <c r="D3979" t="s">
        <v>744</v>
      </c>
      <c r="E3979" t="s">
        <v>5506</v>
      </c>
      <c r="F3979" t="s">
        <v>5507</v>
      </c>
      <c r="G3979" t="s">
        <v>1107</v>
      </c>
      <c r="H3979" t="s">
        <v>1020</v>
      </c>
      <c r="I3979">
        <v>410620009</v>
      </c>
      <c r="J3979" t="s">
        <v>1054</v>
      </c>
      <c r="K3979">
        <v>136.80000000000001</v>
      </c>
      <c r="L3979">
        <v>919.9</v>
      </c>
      <c r="M3979">
        <v>0</v>
      </c>
      <c r="O3979" t="s">
        <v>34</v>
      </c>
    </row>
    <row r="3980" spans="1:15">
      <c r="A3980" t="s">
        <v>5525</v>
      </c>
      <c r="B3980" s="2">
        <v>43766.400416666664</v>
      </c>
      <c r="C3980" s="2">
        <v>43766.579097222224</v>
      </c>
      <c r="D3980" t="s">
        <v>744</v>
      </c>
      <c r="E3980" t="s">
        <v>4718</v>
      </c>
      <c r="F3980" t="s">
        <v>4719</v>
      </c>
      <c r="G3980" t="s">
        <v>1107</v>
      </c>
      <c r="H3980" t="s">
        <v>1031</v>
      </c>
      <c r="I3980">
        <v>185349003</v>
      </c>
      <c r="J3980" t="s">
        <v>1038</v>
      </c>
      <c r="K3980">
        <v>85.55</v>
      </c>
      <c r="L3980">
        <v>3536.75</v>
      </c>
      <c r="M3980">
        <v>60.61</v>
      </c>
      <c r="N3980">
        <v>103697008</v>
      </c>
      <c r="O3980" t="s">
        <v>1039</v>
      </c>
    </row>
    <row r="3981" spans="1:15">
      <c r="A3981" t="s">
        <v>5526</v>
      </c>
      <c r="B3981" s="2">
        <v>44130.400416666664</v>
      </c>
      <c r="C3981" s="2">
        <v>44130.410833333335</v>
      </c>
      <c r="D3981" t="s">
        <v>744</v>
      </c>
      <c r="E3981" t="s">
        <v>5506</v>
      </c>
      <c r="F3981" t="s">
        <v>5507</v>
      </c>
      <c r="G3981" t="s">
        <v>1023</v>
      </c>
      <c r="H3981" t="s">
        <v>1020</v>
      </c>
      <c r="I3981">
        <v>410620009</v>
      </c>
      <c r="J3981" t="s">
        <v>1054</v>
      </c>
      <c r="K3981">
        <v>136.80000000000001</v>
      </c>
      <c r="L3981">
        <v>488.5</v>
      </c>
      <c r="M3981">
        <v>0</v>
      </c>
      <c r="O3981" t="s">
        <v>34</v>
      </c>
    </row>
    <row r="3982" spans="1:15">
      <c r="A3982" t="s">
        <v>5527</v>
      </c>
      <c r="B3982" s="2">
        <v>44501.400416666664</v>
      </c>
      <c r="C3982" s="2">
        <v>44501.410833333335</v>
      </c>
      <c r="D3982" t="s">
        <v>744</v>
      </c>
      <c r="E3982" t="s">
        <v>5506</v>
      </c>
      <c r="F3982" t="s">
        <v>5507</v>
      </c>
      <c r="G3982" t="s">
        <v>1023</v>
      </c>
      <c r="H3982" t="s">
        <v>1020</v>
      </c>
      <c r="I3982">
        <v>410620009</v>
      </c>
      <c r="J3982" t="s">
        <v>1054</v>
      </c>
      <c r="K3982">
        <v>136.80000000000001</v>
      </c>
      <c r="L3982">
        <v>971.08</v>
      </c>
      <c r="M3982">
        <v>0</v>
      </c>
      <c r="O3982" t="s">
        <v>34</v>
      </c>
    </row>
    <row r="3983" spans="1:15">
      <c r="A3983" t="s">
        <v>5528</v>
      </c>
      <c r="B3983" s="2">
        <v>44872.358749999999</v>
      </c>
      <c r="C3983" s="2">
        <v>44872.373518518521</v>
      </c>
      <c r="D3983" t="s">
        <v>744</v>
      </c>
      <c r="E3983" t="s">
        <v>5506</v>
      </c>
      <c r="F3983" t="s">
        <v>5507</v>
      </c>
      <c r="G3983" t="s">
        <v>1023</v>
      </c>
      <c r="H3983" t="s">
        <v>1020</v>
      </c>
      <c r="I3983">
        <v>410620009</v>
      </c>
      <c r="J3983" t="s">
        <v>1054</v>
      </c>
      <c r="K3983">
        <v>136.80000000000001</v>
      </c>
      <c r="L3983">
        <v>840.2</v>
      </c>
      <c r="M3983">
        <v>0</v>
      </c>
      <c r="O3983" t="s">
        <v>34</v>
      </c>
    </row>
    <row r="3984" spans="1:15">
      <c r="A3984" t="s">
        <v>5529</v>
      </c>
      <c r="B3984" s="2">
        <v>42841.764849537038</v>
      </c>
      <c r="C3984" s="2">
        <v>42841.994722222225</v>
      </c>
      <c r="D3984" t="s">
        <v>751</v>
      </c>
      <c r="E3984" t="s">
        <v>4696</v>
      </c>
      <c r="F3984" t="s">
        <v>4697</v>
      </c>
      <c r="G3984" t="s">
        <v>1325</v>
      </c>
      <c r="H3984" t="s">
        <v>1031</v>
      </c>
      <c r="I3984">
        <v>185349003</v>
      </c>
      <c r="J3984" t="s">
        <v>1038</v>
      </c>
      <c r="K3984">
        <v>85.55</v>
      </c>
      <c r="L3984">
        <v>5262.35</v>
      </c>
      <c r="M3984">
        <v>608.66999999999996</v>
      </c>
      <c r="N3984">
        <v>66383009</v>
      </c>
      <c r="O3984" t="s">
        <v>1209</v>
      </c>
    </row>
    <row r="3985" spans="1:15">
      <c r="A3985" t="s">
        <v>5530</v>
      </c>
      <c r="B3985" s="2">
        <v>45243.358749999999</v>
      </c>
      <c r="C3985" s="2">
        <v>45243.369166666664</v>
      </c>
      <c r="D3985" t="s">
        <v>744</v>
      </c>
      <c r="E3985" t="s">
        <v>5506</v>
      </c>
      <c r="F3985" t="s">
        <v>5507</v>
      </c>
      <c r="G3985" t="s">
        <v>1023</v>
      </c>
      <c r="H3985" t="s">
        <v>1020</v>
      </c>
      <c r="I3985">
        <v>410620009</v>
      </c>
      <c r="J3985" t="s">
        <v>1054</v>
      </c>
      <c r="K3985">
        <v>136.80000000000001</v>
      </c>
      <c r="L3985">
        <v>840.2</v>
      </c>
      <c r="M3985">
        <v>0</v>
      </c>
      <c r="O3985" t="s">
        <v>34</v>
      </c>
    </row>
    <row r="3986" spans="1:15">
      <c r="A3986" t="s">
        <v>5531</v>
      </c>
      <c r="B3986" s="2">
        <v>45257.358749999999</v>
      </c>
      <c r="C3986" s="2">
        <v>45257.608784722222</v>
      </c>
      <c r="D3986" t="s">
        <v>744</v>
      </c>
      <c r="E3986" t="s">
        <v>4718</v>
      </c>
      <c r="F3986" t="s">
        <v>4719</v>
      </c>
      <c r="G3986" t="s">
        <v>1023</v>
      </c>
      <c r="H3986" t="s">
        <v>1031</v>
      </c>
      <c r="I3986">
        <v>185349003</v>
      </c>
      <c r="J3986" t="s">
        <v>1038</v>
      </c>
      <c r="K3986">
        <v>85.55</v>
      </c>
      <c r="L3986">
        <v>4830.95</v>
      </c>
      <c r="M3986">
        <v>3474.47</v>
      </c>
      <c r="N3986">
        <v>103697008</v>
      </c>
      <c r="O3986" t="s">
        <v>1039</v>
      </c>
    </row>
    <row r="3987" spans="1:15">
      <c r="A3987" t="s">
        <v>5532</v>
      </c>
      <c r="B3987" s="2">
        <v>45389.067083333335</v>
      </c>
      <c r="C3987" s="2">
        <v>45389.077499999999</v>
      </c>
      <c r="D3987" t="s">
        <v>744</v>
      </c>
      <c r="E3987" t="s">
        <v>4718</v>
      </c>
      <c r="F3987" t="s">
        <v>4719</v>
      </c>
      <c r="G3987" t="s">
        <v>1023</v>
      </c>
      <c r="H3987" t="s">
        <v>1031</v>
      </c>
      <c r="I3987">
        <v>185345009</v>
      </c>
      <c r="J3987" t="s">
        <v>1032</v>
      </c>
      <c r="K3987">
        <v>85.55</v>
      </c>
      <c r="L3987">
        <v>85.55</v>
      </c>
      <c r="M3987">
        <v>68.44</v>
      </c>
      <c r="N3987">
        <v>444814009</v>
      </c>
      <c r="O3987" t="s">
        <v>1035</v>
      </c>
    </row>
    <row r="3988" spans="1:15">
      <c r="A3988" t="s">
        <v>5533</v>
      </c>
      <c r="B3988" s="2">
        <v>45582.400416666664</v>
      </c>
      <c r="C3988" s="2">
        <v>45582.410833333335</v>
      </c>
      <c r="D3988" t="s">
        <v>744</v>
      </c>
      <c r="E3988" t="s">
        <v>4718</v>
      </c>
      <c r="F3988" t="s">
        <v>4719</v>
      </c>
      <c r="G3988" t="s">
        <v>1023</v>
      </c>
      <c r="H3988" t="s">
        <v>1043</v>
      </c>
      <c r="I3988">
        <v>698314001</v>
      </c>
      <c r="J3988" t="s">
        <v>1190</v>
      </c>
      <c r="K3988">
        <v>142.58000000000001</v>
      </c>
      <c r="L3988">
        <v>142.58000000000001</v>
      </c>
      <c r="M3988">
        <v>114.06</v>
      </c>
      <c r="N3988">
        <v>389095005</v>
      </c>
      <c r="O3988" t="s">
        <v>1191</v>
      </c>
    </row>
    <row r="3989" spans="1:15">
      <c r="A3989" t="s">
        <v>5534</v>
      </c>
      <c r="B3989" s="2">
        <v>45614.358749999999</v>
      </c>
      <c r="C3989" s="2">
        <v>45614.369953703703</v>
      </c>
      <c r="D3989" t="s">
        <v>744</v>
      </c>
      <c r="E3989" t="s">
        <v>5506</v>
      </c>
      <c r="F3989" t="s">
        <v>5507</v>
      </c>
      <c r="G3989" t="s">
        <v>1023</v>
      </c>
      <c r="H3989" t="s">
        <v>1020</v>
      </c>
      <c r="I3989">
        <v>410620009</v>
      </c>
      <c r="J3989" t="s">
        <v>1054</v>
      </c>
      <c r="K3989">
        <v>136.80000000000001</v>
      </c>
      <c r="L3989">
        <v>704.2</v>
      </c>
      <c r="M3989">
        <v>0</v>
      </c>
      <c r="O3989" t="s">
        <v>34</v>
      </c>
    </row>
    <row r="3990" spans="1:15">
      <c r="A3990" t="s">
        <v>5535</v>
      </c>
      <c r="B3990" s="2">
        <v>43849.723182870373</v>
      </c>
      <c r="C3990" s="2">
        <v>43849.751539351855</v>
      </c>
      <c r="D3990" t="s">
        <v>751</v>
      </c>
      <c r="E3990" t="s">
        <v>5516</v>
      </c>
      <c r="F3990" t="s">
        <v>5517</v>
      </c>
      <c r="G3990" t="s">
        <v>1325</v>
      </c>
      <c r="H3990" t="s">
        <v>1020</v>
      </c>
      <c r="I3990">
        <v>162673000</v>
      </c>
      <c r="J3990" t="s">
        <v>1021</v>
      </c>
      <c r="K3990">
        <v>136.80000000000001</v>
      </c>
      <c r="L3990">
        <v>996.16</v>
      </c>
      <c r="M3990">
        <v>0</v>
      </c>
      <c r="O3990" t="s">
        <v>34</v>
      </c>
    </row>
    <row r="3991" spans="1:15">
      <c r="A3991" t="s">
        <v>5536</v>
      </c>
      <c r="B3991" s="2">
        <v>43863.723182870373</v>
      </c>
      <c r="C3991" s="2">
        <v>43863.833333333336</v>
      </c>
      <c r="D3991" t="s">
        <v>751</v>
      </c>
      <c r="E3991" t="s">
        <v>4696</v>
      </c>
      <c r="F3991" t="s">
        <v>4697</v>
      </c>
      <c r="G3991" t="s">
        <v>1325</v>
      </c>
      <c r="H3991" t="s">
        <v>1031</v>
      </c>
      <c r="I3991">
        <v>185349003</v>
      </c>
      <c r="J3991" t="s">
        <v>1038</v>
      </c>
      <c r="K3991">
        <v>85.55</v>
      </c>
      <c r="L3991">
        <v>3105.35</v>
      </c>
      <c r="M3991">
        <v>0</v>
      </c>
      <c r="N3991">
        <v>66383009</v>
      </c>
      <c r="O3991" t="s">
        <v>1209</v>
      </c>
    </row>
    <row r="3992" spans="1:15">
      <c r="A3992" t="s">
        <v>5537</v>
      </c>
      <c r="B3992" s="2">
        <v>45628.358749999999</v>
      </c>
      <c r="C3992" s="2">
        <v>45628.493414351855</v>
      </c>
      <c r="D3992" t="s">
        <v>744</v>
      </c>
      <c r="E3992" t="s">
        <v>4718</v>
      </c>
      <c r="F3992" t="s">
        <v>4719</v>
      </c>
      <c r="G3992" t="s">
        <v>1023</v>
      </c>
      <c r="H3992" t="s">
        <v>1031</v>
      </c>
      <c r="I3992">
        <v>185349003</v>
      </c>
      <c r="J3992" t="s">
        <v>1038</v>
      </c>
      <c r="K3992">
        <v>85.55</v>
      </c>
      <c r="L3992">
        <v>2673.95</v>
      </c>
      <c r="M3992">
        <v>1536.12</v>
      </c>
      <c r="N3992">
        <v>103697008</v>
      </c>
      <c r="O3992" t="s">
        <v>1039</v>
      </c>
    </row>
    <row r="3993" spans="1:15">
      <c r="A3993" t="s">
        <v>5538</v>
      </c>
      <c r="B3993" s="2">
        <v>45912.275416666664</v>
      </c>
      <c r="C3993" s="2">
        <v>45912.285833333335</v>
      </c>
      <c r="D3993" t="s">
        <v>744</v>
      </c>
      <c r="E3993" t="s">
        <v>4718</v>
      </c>
      <c r="F3993" t="s">
        <v>4719</v>
      </c>
      <c r="G3993" t="s">
        <v>1023</v>
      </c>
      <c r="H3993" t="s">
        <v>1031</v>
      </c>
      <c r="I3993">
        <v>185345009</v>
      </c>
      <c r="J3993" t="s">
        <v>1032</v>
      </c>
      <c r="K3993">
        <v>85.55</v>
      </c>
      <c r="L3993">
        <v>85.55</v>
      </c>
      <c r="M3993">
        <v>68.44</v>
      </c>
      <c r="N3993">
        <v>36971009</v>
      </c>
      <c r="O3993" t="s">
        <v>1278</v>
      </c>
    </row>
    <row r="3994" spans="1:15">
      <c r="A3994" t="s">
        <v>5539</v>
      </c>
      <c r="B3994" s="2">
        <v>45942.400416666664</v>
      </c>
      <c r="C3994" s="2">
        <v>45942.410833333335</v>
      </c>
      <c r="D3994" t="s">
        <v>744</v>
      </c>
      <c r="E3994" t="s">
        <v>4718</v>
      </c>
      <c r="F3994" t="s">
        <v>4719</v>
      </c>
      <c r="G3994" t="s">
        <v>1023</v>
      </c>
      <c r="H3994" t="s">
        <v>1043</v>
      </c>
      <c r="I3994">
        <v>698314001</v>
      </c>
      <c r="J3994" t="s">
        <v>1190</v>
      </c>
      <c r="K3994">
        <v>142.58000000000001</v>
      </c>
      <c r="L3994">
        <v>142.58000000000001</v>
      </c>
      <c r="M3994">
        <v>114.06</v>
      </c>
      <c r="N3994">
        <v>389095005</v>
      </c>
      <c r="O3994" t="s">
        <v>1191</v>
      </c>
    </row>
    <row r="3995" spans="1:15">
      <c r="A3995" t="s">
        <v>5540</v>
      </c>
      <c r="B3995" s="2">
        <v>45985.358749999999</v>
      </c>
      <c r="C3995" s="2">
        <v>45985.369166666664</v>
      </c>
      <c r="D3995" t="s">
        <v>744</v>
      </c>
      <c r="E3995" t="s">
        <v>5506</v>
      </c>
      <c r="F3995" t="s">
        <v>5507</v>
      </c>
      <c r="G3995" t="s">
        <v>1023</v>
      </c>
      <c r="H3995" t="s">
        <v>1020</v>
      </c>
      <c r="I3995">
        <v>410620009</v>
      </c>
      <c r="J3995" t="s">
        <v>1054</v>
      </c>
      <c r="K3995">
        <v>136.80000000000001</v>
      </c>
      <c r="L3995">
        <v>1407.81</v>
      </c>
      <c r="M3995">
        <v>0</v>
      </c>
      <c r="O3995" t="s">
        <v>34</v>
      </c>
    </row>
    <row r="3996" spans="1:15">
      <c r="A3996" t="s">
        <v>5541</v>
      </c>
      <c r="B3996" s="2">
        <v>46048.358749999999</v>
      </c>
      <c r="C3996" s="2">
        <v>46048.369166666664</v>
      </c>
      <c r="D3996" t="s">
        <v>744</v>
      </c>
      <c r="E3996" t="s">
        <v>4718</v>
      </c>
      <c r="F3996" t="s">
        <v>4719</v>
      </c>
      <c r="G3996" t="s">
        <v>1023</v>
      </c>
      <c r="H3996" t="s">
        <v>1031</v>
      </c>
      <c r="I3996">
        <v>424441002</v>
      </c>
      <c r="J3996" t="s">
        <v>1059</v>
      </c>
      <c r="K3996">
        <v>142.58000000000001</v>
      </c>
      <c r="L3996">
        <v>37874.6</v>
      </c>
      <c r="M3996">
        <v>30259.52</v>
      </c>
      <c r="N3996">
        <v>72892002</v>
      </c>
      <c r="O3996" t="s">
        <v>1060</v>
      </c>
    </row>
    <row r="3997" spans="1:15">
      <c r="A3997" t="s">
        <v>5542</v>
      </c>
      <c r="B3997" s="2">
        <v>44584.723182870373</v>
      </c>
      <c r="C3997" s="2">
        <v>44584.761944444443</v>
      </c>
      <c r="D3997" t="s">
        <v>751</v>
      </c>
      <c r="E3997" t="s">
        <v>5516</v>
      </c>
      <c r="F3997" t="s">
        <v>5517</v>
      </c>
      <c r="G3997" t="s">
        <v>1325</v>
      </c>
      <c r="H3997" t="s">
        <v>1020</v>
      </c>
      <c r="I3997">
        <v>162673000</v>
      </c>
      <c r="J3997" t="s">
        <v>1021</v>
      </c>
      <c r="K3997">
        <v>136.80000000000001</v>
      </c>
      <c r="L3997">
        <v>1132.1600000000001</v>
      </c>
      <c r="M3997">
        <v>0</v>
      </c>
      <c r="O3997" t="s">
        <v>34</v>
      </c>
    </row>
    <row r="3998" spans="1:15">
      <c r="A3998" t="s">
        <v>5543</v>
      </c>
      <c r="B3998" s="2">
        <v>45188.848182870373</v>
      </c>
      <c r="C3998" s="2">
        <v>45188.858599537038</v>
      </c>
      <c r="D3998" t="s">
        <v>751</v>
      </c>
      <c r="E3998" t="s">
        <v>4696</v>
      </c>
      <c r="F3998" t="s">
        <v>4697</v>
      </c>
      <c r="G3998" t="s">
        <v>1325</v>
      </c>
      <c r="H3998" t="s">
        <v>1031</v>
      </c>
      <c r="I3998">
        <v>185345009</v>
      </c>
      <c r="J3998" t="s">
        <v>1032</v>
      </c>
      <c r="K3998">
        <v>85.55</v>
      </c>
      <c r="L3998">
        <v>2913.18</v>
      </c>
      <c r="M3998">
        <v>0</v>
      </c>
      <c r="N3998">
        <v>195662009</v>
      </c>
      <c r="O3998" t="s">
        <v>1130</v>
      </c>
    </row>
    <row r="3999" spans="1:15">
      <c r="A3999" t="s">
        <v>5544</v>
      </c>
      <c r="B3999" s="2">
        <v>45319.723182870373</v>
      </c>
      <c r="C3999" s="2">
        <v>45319.750381944446</v>
      </c>
      <c r="D3999" t="s">
        <v>751</v>
      </c>
      <c r="E3999" t="s">
        <v>5516</v>
      </c>
      <c r="F3999" t="s">
        <v>5517</v>
      </c>
      <c r="G3999" t="s">
        <v>1325</v>
      </c>
      <c r="H3999" t="s">
        <v>1020</v>
      </c>
      <c r="I3999">
        <v>162673000</v>
      </c>
      <c r="J3999" t="s">
        <v>1021</v>
      </c>
      <c r="K3999">
        <v>136.80000000000001</v>
      </c>
      <c r="L3999">
        <v>1648.38</v>
      </c>
      <c r="M3999">
        <v>0</v>
      </c>
      <c r="O3999" t="s">
        <v>34</v>
      </c>
    </row>
    <row r="4000" spans="1:15">
      <c r="A4000" t="s">
        <v>5545</v>
      </c>
      <c r="B4000" s="2">
        <v>45319.738668981481</v>
      </c>
      <c r="C4000" s="2">
        <v>45319.780335648145</v>
      </c>
      <c r="D4000" t="s">
        <v>751</v>
      </c>
      <c r="E4000" t="s">
        <v>2314</v>
      </c>
      <c r="F4000" t="s">
        <v>2315</v>
      </c>
      <c r="G4000" t="s">
        <v>1325</v>
      </c>
      <c r="H4000" t="s">
        <v>1076</v>
      </c>
      <c r="I4000">
        <v>50849002</v>
      </c>
      <c r="J4000" t="s">
        <v>1163</v>
      </c>
      <c r="K4000">
        <v>146.18</v>
      </c>
      <c r="L4000">
        <v>146.18</v>
      </c>
      <c r="M4000">
        <v>0</v>
      </c>
      <c r="N4000">
        <v>110030002</v>
      </c>
      <c r="O4000" t="s">
        <v>2628</v>
      </c>
    </row>
    <row r="4001" spans="1:15">
      <c r="A4001" t="s">
        <v>5546</v>
      </c>
      <c r="B4001" s="2">
        <v>45333.723182870373</v>
      </c>
      <c r="C4001" s="2">
        <v>45333.864965277775</v>
      </c>
      <c r="D4001" t="s">
        <v>751</v>
      </c>
      <c r="E4001" t="s">
        <v>4696</v>
      </c>
      <c r="F4001" t="s">
        <v>4697</v>
      </c>
      <c r="G4001" t="s">
        <v>1325</v>
      </c>
      <c r="H4001" t="s">
        <v>1031</v>
      </c>
      <c r="I4001">
        <v>185349003</v>
      </c>
      <c r="J4001" t="s">
        <v>1038</v>
      </c>
      <c r="K4001">
        <v>85.55</v>
      </c>
      <c r="L4001">
        <v>3105.35</v>
      </c>
      <c r="M4001">
        <v>0</v>
      </c>
      <c r="N4001">
        <v>103697008</v>
      </c>
      <c r="O4001" t="s">
        <v>1039</v>
      </c>
    </row>
    <row r="4002" spans="1:15">
      <c r="A4002" t="s">
        <v>5547</v>
      </c>
      <c r="B4002" s="2">
        <v>45388.780335648145</v>
      </c>
      <c r="C4002" s="2">
        <v>45388.790752314817</v>
      </c>
      <c r="D4002" t="s">
        <v>751</v>
      </c>
      <c r="E4002" t="s">
        <v>4696</v>
      </c>
      <c r="F4002" t="s">
        <v>4697</v>
      </c>
      <c r="G4002" t="s">
        <v>1325</v>
      </c>
      <c r="H4002" t="s">
        <v>1031</v>
      </c>
      <c r="I4002">
        <v>185349003</v>
      </c>
      <c r="J4002" t="s">
        <v>1038</v>
      </c>
      <c r="K4002">
        <v>85.55</v>
      </c>
      <c r="L4002">
        <v>85.55</v>
      </c>
      <c r="M4002">
        <v>0</v>
      </c>
      <c r="N4002">
        <v>62106007</v>
      </c>
      <c r="O4002" t="s">
        <v>3730</v>
      </c>
    </row>
    <row r="4003" spans="1:15">
      <c r="A4003" t="s">
        <v>5548</v>
      </c>
      <c r="B4003" s="2">
        <v>46076.358749999999</v>
      </c>
      <c r="C4003" s="2">
        <v>46076.369166666664</v>
      </c>
      <c r="D4003" t="s">
        <v>744</v>
      </c>
      <c r="E4003" t="s">
        <v>4718</v>
      </c>
      <c r="F4003" t="s">
        <v>4719</v>
      </c>
      <c r="G4003" t="s">
        <v>1023</v>
      </c>
      <c r="H4003" t="s">
        <v>1031</v>
      </c>
      <c r="I4003">
        <v>424619006</v>
      </c>
      <c r="J4003" t="s">
        <v>1062</v>
      </c>
      <c r="K4003">
        <v>142.58000000000001</v>
      </c>
      <c r="L4003">
        <v>8847.5</v>
      </c>
      <c r="M4003">
        <v>8847.5</v>
      </c>
      <c r="N4003">
        <v>72892002</v>
      </c>
      <c r="O4003" t="s">
        <v>1060</v>
      </c>
    </row>
    <row r="4004" spans="1:15">
      <c r="A4004" t="s">
        <v>5549</v>
      </c>
      <c r="B4004" s="2">
        <v>46104.400416666664</v>
      </c>
      <c r="C4004" s="2">
        <v>46104.410833333335</v>
      </c>
      <c r="D4004" t="s">
        <v>744</v>
      </c>
      <c r="E4004" t="s">
        <v>4718</v>
      </c>
      <c r="F4004" t="s">
        <v>4719</v>
      </c>
      <c r="G4004" t="s">
        <v>1023</v>
      </c>
      <c r="H4004" t="s">
        <v>1031</v>
      </c>
      <c r="I4004">
        <v>424619006</v>
      </c>
      <c r="J4004" t="s">
        <v>1062</v>
      </c>
      <c r="K4004">
        <v>142.58000000000001</v>
      </c>
      <c r="L4004">
        <v>12745.22</v>
      </c>
      <c r="M4004">
        <v>12745.22</v>
      </c>
      <c r="N4004">
        <v>72892002</v>
      </c>
      <c r="O4004" t="s">
        <v>1060</v>
      </c>
    </row>
    <row r="4005" spans="1:15">
      <c r="A4005" t="s">
        <v>5550</v>
      </c>
      <c r="B4005" s="2">
        <v>46132.400416666664</v>
      </c>
      <c r="C4005" s="2">
        <v>46132.410833333335</v>
      </c>
      <c r="D4005" t="s">
        <v>744</v>
      </c>
      <c r="E4005" t="s">
        <v>4718</v>
      </c>
      <c r="F4005" t="s">
        <v>4719</v>
      </c>
      <c r="G4005" t="s">
        <v>1023</v>
      </c>
      <c r="H4005" t="s">
        <v>1031</v>
      </c>
      <c r="I4005">
        <v>424619006</v>
      </c>
      <c r="J4005" t="s">
        <v>1062</v>
      </c>
      <c r="K4005">
        <v>142.58000000000001</v>
      </c>
      <c r="L4005">
        <v>13636.56</v>
      </c>
      <c r="M4005">
        <v>13636.56</v>
      </c>
      <c r="N4005">
        <v>72892002</v>
      </c>
      <c r="O4005" t="s">
        <v>1060</v>
      </c>
    </row>
    <row r="4006" spans="1:15">
      <c r="A4006" t="s">
        <v>5551</v>
      </c>
      <c r="B4006" s="2">
        <v>46160.400416666664</v>
      </c>
      <c r="C4006" s="2">
        <v>46160.410833333335</v>
      </c>
      <c r="D4006" t="s">
        <v>744</v>
      </c>
      <c r="E4006" t="s">
        <v>4718</v>
      </c>
      <c r="F4006" t="s">
        <v>4719</v>
      </c>
      <c r="G4006" t="s">
        <v>1023</v>
      </c>
      <c r="H4006" t="s">
        <v>1031</v>
      </c>
      <c r="I4006">
        <v>424619006</v>
      </c>
      <c r="J4006" t="s">
        <v>1062</v>
      </c>
      <c r="K4006">
        <v>142.58000000000001</v>
      </c>
      <c r="L4006">
        <v>11451.02</v>
      </c>
      <c r="M4006">
        <v>11451.02</v>
      </c>
      <c r="N4006">
        <v>72892002</v>
      </c>
      <c r="O4006" t="s">
        <v>1060</v>
      </c>
    </row>
    <row r="4007" spans="1:15">
      <c r="A4007" t="s">
        <v>5552</v>
      </c>
      <c r="B4007" s="2">
        <v>46188.400416666664</v>
      </c>
      <c r="C4007" s="2">
        <v>46188.410833333335</v>
      </c>
      <c r="D4007" t="s">
        <v>744</v>
      </c>
      <c r="E4007" t="s">
        <v>4718</v>
      </c>
      <c r="F4007" t="s">
        <v>4719</v>
      </c>
      <c r="G4007" t="s">
        <v>1023</v>
      </c>
      <c r="H4007" t="s">
        <v>1031</v>
      </c>
      <c r="I4007">
        <v>424619006</v>
      </c>
      <c r="J4007" t="s">
        <v>1062</v>
      </c>
      <c r="K4007">
        <v>142.58000000000001</v>
      </c>
      <c r="L4007">
        <v>12676.63</v>
      </c>
      <c r="M4007">
        <v>12676.63</v>
      </c>
      <c r="N4007">
        <v>72892002</v>
      </c>
      <c r="O4007" t="s">
        <v>1060</v>
      </c>
    </row>
    <row r="4008" spans="1:15">
      <c r="A4008" t="s">
        <v>5553</v>
      </c>
      <c r="B4008" s="2">
        <v>46216.400416666664</v>
      </c>
      <c r="C4008" s="2">
        <v>46216.410833333335</v>
      </c>
      <c r="D4008" t="s">
        <v>744</v>
      </c>
      <c r="E4008" t="s">
        <v>4718</v>
      </c>
      <c r="F4008" t="s">
        <v>4719</v>
      </c>
      <c r="G4008" t="s">
        <v>1023</v>
      </c>
      <c r="H4008" t="s">
        <v>1031</v>
      </c>
      <c r="I4008">
        <v>424619006</v>
      </c>
      <c r="J4008" t="s">
        <v>1062</v>
      </c>
      <c r="K4008">
        <v>142.58000000000001</v>
      </c>
      <c r="L4008">
        <v>10095.36</v>
      </c>
      <c r="M4008">
        <v>10095.36</v>
      </c>
      <c r="N4008">
        <v>72892002</v>
      </c>
      <c r="O4008" t="s">
        <v>1060</v>
      </c>
    </row>
    <row r="4009" spans="1:15">
      <c r="A4009" t="s">
        <v>5554</v>
      </c>
      <c r="B4009" s="2">
        <v>46222.400416666664</v>
      </c>
      <c r="C4009" s="2">
        <v>46222.442083333335</v>
      </c>
      <c r="D4009" t="s">
        <v>744</v>
      </c>
      <c r="E4009" t="s">
        <v>5555</v>
      </c>
      <c r="F4009" t="s">
        <v>5556</v>
      </c>
      <c r="G4009" t="s">
        <v>1023</v>
      </c>
      <c r="H4009" t="s">
        <v>1076</v>
      </c>
      <c r="I4009">
        <v>50849002</v>
      </c>
      <c r="J4009" t="s">
        <v>1163</v>
      </c>
      <c r="K4009">
        <v>146.18</v>
      </c>
      <c r="L4009">
        <v>1008.98</v>
      </c>
      <c r="M4009">
        <v>1008.98</v>
      </c>
      <c r="N4009">
        <v>125605004</v>
      </c>
      <c r="O4009" t="s">
        <v>1644</v>
      </c>
    </row>
    <row r="4010" spans="1:15">
      <c r="A4010" t="s">
        <v>5557</v>
      </c>
      <c r="B4010" s="2">
        <v>46244.400416666664</v>
      </c>
      <c r="C4010" s="2">
        <v>46244.410833333335</v>
      </c>
      <c r="D4010" t="s">
        <v>744</v>
      </c>
      <c r="E4010" t="s">
        <v>4718</v>
      </c>
      <c r="F4010" t="s">
        <v>4719</v>
      </c>
      <c r="G4010" t="s">
        <v>1023</v>
      </c>
      <c r="H4010" t="s">
        <v>1031</v>
      </c>
      <c r="I4010">
        <v>424619006</v>
      </c>
      <c r="J4010" t="s">
        <v>1062</v>
      </c>
      <c r="K4010">
        <v>142.58000000000001</v>
      </c>
      <c r="L4010">
        <v>12313.82</v>
      </c>
      <c r="M4010">
        <v>12313.82</v>
      </c>
      <c r="N4010">
        <v>72892002</v>
      </c>
      <c r="O4010" t="s">
        <v>1060</v>
      </c>
    </row>
    <row r="4011" spans="1:15">
      <c r="A4011" t="s">
        <v>5558</v>
      </c>
      <c r="B4011" s="2">
        <v>45394.764849537038</v>
      </c>
      <c r="C4011" s="2">
        <v>45394.821412037039</v>
      </c>
      <c r="D4011" t="s">
        <v>751</v>
      </c>
      <c r="E4011" t="s">
        <v>4696</v>
      </c>
      <c r="F4011" t="s">
        <v>4697</v>
      </c>
      <c r="G4011" t="s">
        <v>1325</v>
      </c>
      <c r="H4011" t="s">
        <v>1031</v>
      </c>
      <c r="I4011">
        <v>185345009</v>
      </c>
      <c r="J4011" t="s">
        <v>1032</v>
      </c>
      <c r="K4011">
        <v>85.55</v>
      </c>
      <c r="L4011">
        <v>3179.93</v>
      </c>
      <c r="M4011">
        <v>1398.76</v>
      </c>
      <c r="N4011">
        <v>307426000</v>
      </c>
      <c r="O4011" t="s">
        <v>1097</v>
      </c>
    </row>
    <row r="4012" spans="1:15">
      <c r="A4012" t="s">
        <v>5559</v>
      </c>
      <c r="B4012" s="2">
        <v>46054.723182870373</v>
      </c>
      <c r="C4012" s="2">
        <v>46054.754282407404</v>
      </c>
      <c r="D4012" t="s">
        <v>751</v>
      </c>
      <c r="E4012" t="s">
        <v>5516</v>
      </c>
      <c r="F4012" t="s">
        <v>5517</v>
      </c>
      <c r="G4012" t="s">
        <v>1325</v>
      </c>
      <c r="H4012" t="s">
        <v>1020</v>
      </c>
      <c r="I4012">
        <v>162673000</v>
      </c>
      <c r="J4012" t="s">
        <v>1021</v>
      </c>
      <c r="K4012">
        <v>136.80000000000001</v>
      </c>
      <c r="L4012">
        <v>1143.6400000000001</v>
      </c>
      <c r="M4012">
        <v>0</v>
      </c>
      <c r="O4012" t="s">
        <v>34</v>
      </c>
    </row>
    <row r="4013" spans="1:15">
      <c r="A4013" t="s">
        <v>5560</v>
      </c>
      <c r="B4013" s="2">
        <v>46188.306516203702</v>
      </c>
      <c r="C4013" s="2">
        <v>46188.316932870373</v>
      </c>
      <c r="D4013" t="s">
        <v>751</v>
      </c>
      <c r="E4013" t="s">
        <v>4696</v>
      </c>
      <c r="F4013" t="s">
        <v>4697</v>
      </c>
      <c r="G4013" t="s">
        <v>1325</v>
      </c>
      <c r="H4013" t="s">
        <v>1031</v>
      </c>
      <c r="I4013">
        <v>185345009</v>
      </c>
      <c r="J4013" t="s">
        <v>1032</v>
      </c>
      <c r="K4013">
        <v>85.55</v>
      </c>
      <c r="L4013">
        <v>85.55</v>
      </c>
      <c r="M4013">
        <v>0</v>
      </c>
      <c r="N4013">
        <v>195662009</v>
      </c>
      <c r="O4013" t="s">
        <v>1130</v>
      </c>
    </row>
    <row r="4014" spans="1:15">
      <c r="A4014" t="s">
        <v>5561</v>
      </c>
      <c r="B4014" s="2">
        <v>45010.558541666665</v>
      </c>
      <c r="C4014" s="2">
        <v>45010.568958333337</v>
      </c>
      <c r="D4014" t="s">
        <v>761</v>
      </c>
      <c r="E4014" t="s">
        <v>5562</v>
      </c>
      <c r="F4014" t="s">
        <v>5563</v>
      </c>
      <c r="G4014" t="s">
        <v>1093</v>
      </c>
      <c r="H4014" t="s">
        <v>1020</v>
      </c>
      <c r="I4014">
        <v>410620009</v>
      </c>
      <c r="J4014" t="s">
        <v>1054</v>
      </c>
      <c r="K4014">
        <v>136.80000000000001</v>
      </c>
      <c r="L4014">
        <v>347.38</v>
      </c>
      <c r="M4014">
        <v>247.38</v>
      </c>
      <c r="O4014" t="s">
        <v>34</v>
      </c>
    </row>
    <row r="4015" spans="1:15">
      <c r="A4015" t="s">
        <v>5564</v>
      </c>
      <c r="B4015" s="2">
        <v>45045.558541666665</v>
      </c>
      <c r="C4015" s="2">
        <v>45045.568958333337</v>
      </c>
      <c r="D4015" t="s">
        <v>761</v>
      </c>
      <c r="E4015" t="s">
        <v>5562</v>
      </c>
      <c r="F4015" t="s">
        <v>5563</v>
      </c>
      <c r="G4015" t="s">
        <v>1093</v>
      </c>
      <c r="H4015" t="s">
        <v>1020</v>
      </c>
      <c r="I4015">
        <v>410620009</v>
      </c>
      <c r="J4015" t="s">
        <v>1054</v>
      </c>
      <c r="K4015">
        <v>136.80000000000001</v>
      </c>
      <c r="L4015">
        <v>272.8</v>
      </c>
      <c r="M4015">
        <v>272.8</v>
      </c>
      <c r="O4015" t="s">
        <v>34</v>
      </c>
    </row>
    <row r="4016" spans="1:15">
      <c r="A4016" t="s">
        <v>5565</v>
      </c>
      <c r="B4016" s="2">
        <v>45108.558541666665</v>
      </c>
      <c r="C4016" s="2">
        <v>45108.568958333337</v>
      </c>
      <c r="D4016" t="s">
        <v>761</v>
      </c>
      <c r="E4016" t="s">
        <v>5562</v>
      </c>
      <c r="F4016" t="s">
        <v>5563</v>
      </c>
      <c r="G4016" t="s">
        <v>1093</v>
      </c>
      <c r="H4016" t="s">
        <v>1020</v>
      </c>
      <c r="I4016">
        <v>410620009</v>
      </c>
      <c r="J4016" t="s">
        <v>1054</v>
      </c>
      <c r="K4016">
        <v>136.80000000000001</v>
      </c>
      <c r="L4016">
        <v>816.8</v>
      </c>
      <c r="M4016">
        <v>816.8</v>
      </c>
      <c r="O4016" t="s">
        <v>34</v>
      </c>
    </row>
    <row r="4017" spans="1:15">
      <c r="A4017" t="s">
        <v>5566</v>
      </c>
      <c r="B4017" s="2">
        <v>45171.558541666665</v>
      </c>
      <c r="C4017" s="2">
        <v>45171.568958333337</v>
      </c>
      <c r="D4017" t="s">
        <v>761</v>
      </c>
      <c r="E4017" t="s">
        <v>5562</v>
      </c>
      <c r="F4017" t="s">
        <v>5563</v>
      </c>
      <c r="G4017" t="s">
        <v>1093</v>
      </c>
      <c r="H4017" t="s">
        <v>1020</v>
      </c>
      <c r="I4017">
        <v>410620009</v>
      </c>
      <c r="J4017" t="s">
        <v>1054</v>
      </c>
      <c r="K4017">
        <v>136.80000000000001</v>
      </c>
      <c r="L4017">
        <v>816.8</v>
      </c>
      <c r="M4017">
        <v>816.8</v>
      </c>
      <c r="O4017" t="s">
        <v>34</v>
      </c>
    </row>
    <row r="4018" spans="1:15">
      <c r="A4018" t="s">
        <v>5567</v>
      </c>
      <c r="B4018" s="2">
        <v>45262.516875000001</v>
      </c>
      <c r="C4018" s="2">
        <v>45262.527291666665</v>
      </c>
      <c r="D4018" t="s">
        <v>761</v>
      </c>
      <c r="E4018" t="s">
        <v>5562</v>
      </c>
      <c r="F4018" t="s">
        <v>5563</v>
      </c>
      <c r="G4018" t="s">
        <v>1093</v>
      </c>
      <c r="H4018" t="s">
        <v>1020</v>
      </c>
      <c r="I4018">
        <v>410620009</v>
      </c>
      <c r="J4018" t="s">
        <v>1054</v>
      </c>
      <c r="K4018">
        <v>136.80000000000001</v>
      </c>
      <c r="L4018">
        <v>816.8</v>
      </c>
      <c r="M4018">
        <v>816.8</v>
      </c>
      <c r="O4018" t="s">
        <v>34</v>
      </c>
    </row>
    <row r="4019" spans="1:15">
      <c r="A4019" t="s">
        <v>5568</v>
      </c>
      <c r="B4019" s="2">
        <v>45353.516875000001</v>
      </c>
      <c r="C4019" s="2">
        <v>45353.527291666665</v>
      </c>
      <c r="D4019" t="s">
        <v>761</v>
      </c>
      <c r="E4019" t="s">
        <v>5562</v>
      </c>
      <c r="F4019" t="s">
        <v>5563</v>
      </c>
      <c r="G4019" t="s">
        <v>1093</v>
      </c>
      <c r="H4019" t="s">
        <v>1020</v>
      </c>
      <c r="I4019">
        <v>410620009</v>
      </c>
      <c r="J4019" t="s">
        <v>1054</v>
      </c>
      <c r="K4019">
        <v>136.80000000000001</v>
      </c>
      <c r="L4019">
        <v>999.6</v>
      </c>
      <c r="M4019">
        <v>999.6</v>
      </c>
      <c r="O4019" t="s">
        <v>34</v>
      </c>
    </row>
    <row r="4020" spans="1:15">
      <c r="A4020" t="s">
        <v>5569</v>
      </c>
      <c r="B4020" s="2">
        <v>45360.516875000001</v>
      </c>
      <c r="C4020" s="2">
        <v>45360.527291666665</v>
      </c>
      <c r="D4020" t="s">
        <v>761</v>
      </c>
      <c r="E4020" t="s">
        <v>5570</v>
      </c>
      <c r="F4020" t="s">
        <v>5571</v>
      </c>
      <c r="G4020" t="s">
        <v>1093</v>
      </c>
      <c r="H4020" t="s">
        <v>1031</v>
      </c>
      <c r="I4020">
        <v>185345009</v>
      </c>
      <c r="J4020" t="s">
        <v>1032</v>
      </c>
      <c r="K4020">
        <v>85.55</v>
      </c>
      <c r="L4020">
        <v>85.55</v>
      </c>
      <c r="M4020">
        <v>35.549999999999997</v>
      </c>
      <c r="N4020">
        <v>444814009</v>
      </c>
      <c r="O4020" t="s">
        <v>1035</v>
      </c>
    </row>
    <row r="4021" spans="1:15">
      <c r="A4021" t="s">
        <v>5572</v>
      </c>
      <c r="B4021" s="2">
        <v>45444.558541666665</v>
      </c>
      <c r="C4021" s="2">
        <v>45444.568958333337</v>
      </c>
      <c r="D4021" t="s">
        <v>761</v>
      </c>
      <c r="E4021" t="s">
        <v>5562</v>
      </c>
      <c r="F4021" t="s">
        <v>5563</v>
      </c>
      <c r="G4021" t="s">
        <v>1093</v>
      </c>
      <c r="H4021" t="s">
        <v>1020</v>
      </c>
      <c r="I4021">
        <v>410620009</v>
      </c>
      <c r="J4021" t="s">
        <v>1054</v>
      </c>
      <c r="K4021">
        <v>136.80000000000001</v>
      </c>
      <c r="L4021">
        <v>1032.5</v>
      </c>
      <c r="M4021">
        <v>932.5</v>
      </c>
      <c r="O4021" t="s">
        <v>34</v>
      </c>
    </row>
    <row r="4022" spans="1:15">
      <c r="A4022" t="s">
        <v>5573</v>
      </c>
      <c r="B4022" s="2">
        <v>45535.558541666665</v>
      </c>
      <c r="C4022" s="2">
        <v>45535.568958333337</v>
      </c>
      <c r="D4022" t="s">
        <v>761</v>
      </c>
      <c r="E4022" t="s">
        <v>5562</v>
      </c>
      <c r="F4022" t="s">
        <v>5563</v>
      </c>
      <c r="G4022" t="s">
        <v>1093</v>
      </c>
      <c r="H4022" t="s">
        <v>1020</v>
      </c>
      <c r="I4022">
        <v>410620009</v>
      </c>
      <c r="J4022" t="s">
        <v>1054</v>
      </c>
      <c r="K4022">
        <v>136.80000000000001</v>
      </c>
      <c r="L4022">
        <v>272.8</v>
      </c>
      <c r="M4022">
        <v>272.8</v>
      </c>
      <c r="O4022" t="s">
        <v>34</v>
      </c>
    </row>
    <row r="4023" spans="1:15">
      <c r="A4023" t="s">
        <v>5574</v>
      </c>
      <c r="B4023" s="2">
        <v>45703.433541666665</v>
      </c>
      <c r="C4023" s="2">
        <v>45703.443958333337</v>
      </c>
      <c r="D4023" t="s">
        <v>761</v>
      </c>
      <c r="E4023" t="s">
        <v>5570</v>
      </c>
      <c r="F4023" t="s">
        <v>5571</v>
      </c>
      <c r="G4023" t="s">
        <v>1093</v>
      </c>
      <c r="H4023" t="s">
        <v>1031</v>
      </c>
      <c r="I4023">
        <v>185345009</v>
      </c>
      <c r="J4023" t="s">
        <v>1032</v>
      </c>
      <c r="K4023">
        <v>85.55</v>
      </c>
      <c r="L4023">
        <v>3536.75</v>
      </c>
      <c r="M4023">
        <v>3486.75</v>
      </c>
      <c r="N4023">
        <v>195662009</v>
      </c>
      <c r="O4023" t="s">
        <v>1130</v>
      </c>
    </row>
    <row r="4024" spans="1:15">
      <c r="A4024" t="s">
        <v>5575</v>
      </c>
      <c r="B4024" s="2">
        <v>45717.516875000001</v>
      </c>
      <c r="C4024" s="2">
        <v>45717.527291666665</v>
      </c>
      <c r="D4024" t="s">
        <v>761</v>
      </c>
      <c r="E4024" t="s">
        <v>5562</v>
      </c>
      <c r="F4024" t="s">
        <v>5563</v>
      </c>
      <c r="G4024" t="s">
        <v>1093</v>
      </c>
      <c r="H4024" t="s">
        <v>1020</v>
      </c>
      <c r="I4024">
        <v>410620009</v>
      </c>
      <c r="J4024" t="s">
        <v>1054</v>
      </c>
      <c r="K4024">
        <v>136.80000000000001</v>
      </c>
      <c r="L4024">
        <v>272.8</v>
      </c>
      <c r="M4024">
        <v>272.8</v>
      </c>
      <c r="O4024" t="s">
        <v>34</v>
      </c>
    </row>
    <row r="4025" spans="1:15">
      <c r="A4025" t="s">
        <v>5576</v>
      </c>
      <c r="B4025" s="2">
        <v>45844.725208333337</v>
      </c>
      <c r="C4025" s="2">
        <v>45844.735625000001</v>
      </c>
      <c r="D4025" t="s">
        <v>761</v>
      </c>
      <c r="E4025" t="s">
        <v>5570</v>
      </c>
      <c r="F4025" t="s">
        <v>5571</v>
      </c>
      <c r="G4025" t="s">
        <v>1093</v>
      </c>
      <c r="H4025" t="s">
        <v>1031</v>
      </c>
      <c r="I4025">
        <v>185345009</v>
      </c>
      <c r="J4025" t="s">
        <v>1032</v>
      </c>
      <c r="K4025">
        <v>85.55</v>
      </c>
      <c r="L4025">
        <v>85.55</v>
      </c>
      <c r="M4025">
        <v>35.549999999999997</v>
      </c>
      <c r="N4025">
        <v>444814009</v>
      </c>
      <c r="O4025" t="s">
        <v>1035</v>
      </c>
    </row>
    <row r="4026" spans="1:15">
      <c r="A4026" t="s">
        <v>5577</v>
      </c>
      <c r="B4026" s="2">
        <v>45899.558541666665</v>
      </c>
      <c r="C4026" s="2">
        <v>45899.568958333337</v>
      </c>
      <c r="D4026" t="s">
        <v>761</v>
      </c>
      <c r="E4026" t="s">
        <v>5562</v>
      </c>
      <c r="F4026" t="s">
        <v>5563</v>
      </c>
      <c r="G4026" t="s">
        <v>1093</v>
      </c>
      <c r="H4026" t="s">
        <v>1020</v>
      </c>
      <c r="I4026">
        <v>410620009</v>
      </c>
      <c r="J4026" t="s">
        <v>1054</v>
      </c>
      <c r="K4026">
        <v>136.80000000000001</v>
      </c>
      <c r="L4026">
        <v>1135.5999999999999</v>
      </c>
      <c r="M4026">
        <v>1135.5999999999999</v>
      </c>
      <c r="O4026" t="s">
        <v>34</v>
      </c>
    </row>
    <row r="4027" spans="1:15">
      <c r="A4027" t="s">
        <v>5578</v>
      </c>
      <c r="B4027" s="2">
        <v>45970.516875000001</v>
      </c>
      <c r="C4027" s="2">
        <v>45970.527291666665</v>
      </c>
      <c r="D4027" t="s">
        <v>761</v>
      </c>
      <c r="E4027" t="s">
        <v>5570</v>
      </c>
      <c r="F4027" t="s">
        <v>5571</v>
      </c>
      <c r="G4027" t="s">
        <v>1093</v>
      </c>
      <c r="H4027" t="s">
        <v>1043</v>
      </c>
      <c r="I4027">
        <v>185345009</v>
      </c>
      <c r="J4027" t="s">
        <v>1032</v>
      </c>
      <c r="K4027">
        <v>85.55</v>
      </c>
      <c r="L4027">
        <v>85.55</v>
      </c>
      <c r="M4027">
        <v>35.549999999999997</v>
      </c>
      <c r="N4027">
        <v>65363002</v>
      </c>
      <c r="O4027" t="s">
        <v>1335</v>
      </c>
    </row>
    <row r="4028" spans="1:15">
      <c r="A4028" t="s">
        <v>5579</v>
      </c>
      <c r="B4028" s="2">
        <v>46081.516875000001</v>
      </c>
      <c r="C4028" s="2">
        <v>46081.527291666665</v>
      </c>
      <c r="D4028" t="s">
        <v>761</v>
      </c>
      <c r="E4028" t="s">
        <v>5562</v>
      </c>
      <c r="F4028" t="s">
        <v>5563</v>
      </c>
      <c r="G4028" t="s">
        <v>1093</v>
      </c>
      <c r="H4028" t="s">
        <v>1020</v>
      </c>
      <c r="I4028">
        <v>410620009</v>
      </c>
      <c r="J4028" t="s">
        <v>1054</v>
      </c>
      <c r="K4028">
        <v>136.80000000000001</v>
      </c>
      <c r="L4028">
        <v>272.8</v>
      </c>
      <c r="M4028">
        <v>272.8</v>
      </c>
      <c r="O4028" t="s">
        <v>34</v>
      </c>
    </row>
    <row r="4029" spans="1:15">
      <c r="A4029" t="s">
        <v>5580</v>
      </c>
      <c r="B4029" s="2">
        <v>37275.813564814816</v>
      </c>
      <c r="C4029" s="2">
        <v>37275.823981481481</v>
      </c>
      <c r="D4029" t="s">
        <v>768</v>
      </c>
      <c r="E4029" t="s">
        <v>5581</v>
      </c>
      <c r="F4029" t="s">
        <v>5582</v>
      </c>
      <c r="G4029" t="s">
        <v>1561</v>
      </c>
      <c r="H4029" t="s">
        <v>1020</v>
      </c>
      <c r="I4029">
        <v>410620009</v>
      </c>
      <c r="J4029" t="s">
        <v>1054</v>
      </c>
      <c r="K4029">
        <v>136.80000000000001</v>
      </c>
      <c r="L4029">
        <v>919.9</v>
      </c>
      <c r="M4029">
        <v>0</v>
      </c>
      <c r="O4029" t="s">
        <v>34</v>
      </c>
    </row>
    <row r="4030" spans="1:15">
      <c r="A4030" t="s">
        <v>5583</v>
      </c>
      <c r="B4030" s="2">
        <v>37646.813564814816</v>
      </c>
      <c r="C4030" s="2">
        <v>37646.84888888889</v>
      </c>
      <c r="D4030" t="s">
        <v>768</v>
      </c>
      <c r="E4030" t="s">
        <v>5581</v>
      </c>
      <c r="F4030" t="s">
        <v>5582</v>
      </c>
      <c r="G4030" t="s">
        <v>1561</v>
      </c>
      <c r="H4030" t="s">
        <v>1020</v>
      </c>
      <c r="I4030">
        <v>162673000</v>
      </c>
      <c r="J4030" t="s">
        <v>1021</v>
      </c>
      <c r="K4030">
        <v>136.80000000000001</v>
      </c>
      <c r="L4030">
        <v>919.9</v>
      </c>
      <c r="M4030">
        <v>0</v>
      </c>
      <c r="O4030" t="s">
        <v>34</v>
      </c>
    </row>
    <row r="4031" spans="1:15">
      <c r="A4031" t="s">
        <v>5584</v>
      </c>
      <c r="B4031" s="2">
        <v>39116.813564814816</v>
      </c>
      <c r="C4031" s="2">
        <v>39116.85083333333</v>
      </c>
      <c r="D4031" t="s">
        <v>768</v>
      </c>
      <c r="E4031" t="s">
        <v>5581</v>
      </c>
      <c r="F4031" t="s">
        <v>5582</v>
      </c>
      <c r="G4031" t="s">
        <v>1561</v>
      </c>
      <c r="H4031" t="s">
        <v>1020</v>
      </c>
      <c r="I4031">
        <v>162673000</v>
      </c>
      <c r="J4031" t="s">
        <v>1021</v>
      </c>
      <c r="K4031">
        <v>136.80000000000001</v>
      </c>
      <c r="L4031">
        <v>1526.39</v>
      </c>
      <c r="M4031">
        <v>0</v>
      </c>
      <c r="O4031" t="s">
        <v>34</v>
      </c>
    </row>
    <row r="4032" spans="1:15">
      <c r="A4032" t="s">
        <v>5585</v>
      </c>
      <c r="B4032" s="2">
        <v>42252.855231481481</v>
      </c>
      <c r="C4032" s="2">
        <v>42252.893206018518</v>
      </c>
      <c r="D4032" t="s">
        <v>768</v>
      </c>
      <c r="E4032" t="s">
        <v>5586</v>
      </c>
      <c r="F4032" t="s">
        <v>5587</v>
      </c>
      <c r="G4032" t="s">
        <v>1561</v>
      </c>
      <c r="H4032" t="s">
        <v>1043</v>
      </c>
      <c r="I4032">
        <v>185349003</v>
      </c>
      <c r="J4032" t="s">
        <v>1038</v>
      </c>
      <c r="K4032">
        <v>85.55</v>
      </c>
      <c r="L4032">
        <v>727.53</v>
      </c>
      <c r="M4032">
        <v>0</v>
      </c>
      <c r="O4032" t="s">
        <v>34</v>
      </c>
    </row>
    <row r="4033" spans="1:15">
      <c r="A4033" t="s">
        <v>5588</v>
      </c>
      <c r="B4033" s="2">
        <v>42413.813564814816</v>
      </c>
      <c r="C4033" s="2">
        <v>42413.853182870371</v>
      </c>
      <c r="D4033" t="s">
        <v>768</v>
      </c>
      <c r="E4033" t="s">
        <v>5581</v>
      </c>
      <c r="F4033" t="s">
        <v>5582</v>
      </c>
      <c r="G4033" t="s">
        <v>1561</v>
      </c>
      <c r="H4033" t="s">
        <v>1020</v>
      </c>
      <c r="I4033">
        <v>162673000</v>
      </c>
      <c r="J4033" t="s">
        <v>1021</v>
      </c>
      <c r="K4033">
        <v>136.80000000000001</v>
      </c>
      <c r="L4033">
        <v>1703</v>
      </c>
      <c r="M4033">
        <v>0</v>
      </c>
      <c r="O4033" t="s">
        <v>34</v>
      </c>
    </row>
    <row r="4034" spans="1:15">
      <c r="A4034" t="s">
        <v>5589</v>
      </c>
      <c r="B4034" s="2">
        <v>43512.813564814816</v>
      </c>
      <c r="C4034" s="2">
        <v>43512.843680555554</v>
      </c>
      <c r="D4034" t="s">
        <v>768</v>
      </c>
      <c r="E4034" t="s">
        <v>5581</v>
      </c>
      <c r="F4034" t="s">
        <v>5582</v>
      </c>
      <c r="G4034" t="s">
        <v>1561</v>
      </c>
      <c r="H4034" t="s">
        <v>1020</v>
      </c>
      <c r="I4034">
        <v>162673000</v>
      </c>
      <c r="J4034" t="s">
        <v>1021</v>
      </c>
      <c r="K4034">
        <v>136.80000000000001</v>
      </c>
      <c r="L4034">
        <v>1069.06</v>
      </c>
      <c r="M4034">
        <v>0</v>
      </c>
      <c r="O4034" t="s">
        <v>34</v>
      </c>
    </row>
    <row r="4035" spans="1:15">
      <c r="A4035" t="s">
        <v>5590</v>
      </c>
      <c r="B4035" s="2">
        <v>44611.813564814816</v>
      </c>
      <c r="C4035" s="2">
        <v>44611.854618055557</v>
      </c>
      <c r="D4035" t="s">
        <v>768</v>
      </c>
      <c r="E4035" t="s">
        <v>5581</v>
      </c>
      <c r="F4035" t="s">
        <v>5582</v>
      </c>
      <c r="G4035" t="s">
        <v>1561</v>
      </c>
      <c r="H4035" t="s">
        <v>1020</v>
      </c>
      <c r="I4035">
        <v>162673000</v>
      </c>
      <c r="J4035" t="s">
        <v>1021</v>
      </c>
      <c r="K4035">
        <v>136.80000000000001</v>
      </c>
      <c r="L4035">
        <v>778.78</v>
      </c>
      <c r="M4035">
        <v>0</v>
      </c>
      <c r="O4035" t="s">
        <v>34</v>
      </c>
    </row>
    <row r="4036" spans="1:15">
      <c r="A4036" t="s">
        <v>5591</v>
      </c>
      <c r="B4036" s="2">
        <v>44625.813564814816</v>
      </c>
      <c r="C4036" s="2">
        <v>44625.963645833333</v>
      </c>
      <c r="D4036" t="s">
        <v>768</v>
      </c>
      <c r="E4036" t="s">
        <v>5586</v>
      </c>
      <c r="F4036" t="s">
        <v>5587</v>
      </c>
      <c r="G4036" t="s">
        <v>1561</v>
      </c>
      <c r="H4036" t="s">
        <v>1031</v>
      </c>
      <c r="I4036">
        <v>185349003</v>
      </c>
      <c r="J4036" t="s">
        <v>1038</v>
      </c>
      <c r="K4036">
        <v>85.55</v>
      </c>
      <c r="L4036">
        <v>3105.35</v>
      </c>
      <c r="M4036">
        <v>0</v>
      </c>
      <c r="N4036">
        <v>66383009</v>
      </c>
      <c r="O4036" t="s">
        <v>1209</v>
      </c>
    </row>
    <row r="4037" spans="1:15">
      <c r="A4037" t="s">
        <v>5592</v>
      </c>
      <c r="B4037" s="2">
        <v>45633.813564814816</v>
      </c>
      <c r="C4037" s="2">
        <v>45633.837129629632</v>
      </c>
      <c r="D4037" t="s">
        <v>768</v>
      </c>
      <c r="E4037" t="s">
        <v>5581</v>
      </c>
      <c r="F4037" t="s">
        <v>5582</v>
      </c>
      <c r="G4037" t="s">
        <v>1561</v>
      </c>
      <c r="H4037" t="s">
        <v>1020</v>
      </c>
      <c r="I4037">
        <v>162673000</v>
      </c>
      <c r="J4037" t="s">
        <v>1021</v>
      </c>
      <c r="K4037">
        <v>136.80000000000001</v>
      </c>
      <c r="L4037">
        <v>1059.8</v>
      </c>
      <c r="M4037">
        <v>0</v>
      </c>
      <c r="O4037" t="s">
        <v>34</v>
      </c>
    </row>
    <row r="4038" spans="1:15">
      <c r="A4038" t="s">
        <v>5593</v>
      </c>
      <c r="B4038" s="2">
        <v>45647.813564814816</v>
      </c>
      <c r="C4038" s="2">
        <v>45647.94127314815</v>
      </c>
      <c r="D4038" t="s">
        <v>768</v>
      </c>
      <c r="E4038" t="s">
        <v>5586</v>
      </c>
      <c r="F4038" t="s">
        <v>5587</v>
      </c>
      <c r="G4038" t="s">
        <v>1561</v>
      </c>
      <c r="H4038" t="s">
        <v>1031</v>
      </c>
      <c r="I4038">
        <v>185349003</v>
      </c>
      <c r="J4038" t="s">
        <v>1038</v>
      </c>
      <c r="K4038">
        <v>85.55</v>
      </c>
      <c r="L4038">
        <v>3105.35</v>
      </c>
      <c r="M4038">
        <v>0</v>
      </c>
      <c r="N4038">
        <v>103697008</v>
      </c>
      <c r="O4038" t="s">
        <v>1039</v>
      </c>
    </row>
    <row r="4039" spans="1:15">
      <c r="A4039" t="s">
        <v>5594</v>
      </c>
      <c r="B4039" s="2">
        <v>42680.829745370371</v>
      </c>
      <c r="C4039" s="2">
        <v>42680.840162037035</v>
      </c>
      <c r="D4039" t="s">
        <v>776</v>
      </c>
      <c r="E4039" t="s">
        <v>5595</v>
      </c>
      <c r="F4039" t="s">
        <v>5596</v>
      </c>
      <c r="G4039" t="s">
        <v>1561</v>
      </c>
      <c r="H4039" t="s">
        <v>1020</v>
      </c>
      <c r="I4039">
        <v>410620009</v>
      </c>
      <c r="J4039" t="s">
        <v>1054</v>
      </c>
      <c r="K4039">
        <v>136.80000000000001</v>
      </c>
      <c r="L4039">
        <v>704.2</v>
      </c>
      <c r="M4039">
        <v>0</v>
      </c>
      <c r="O4039" t="s">
        <v>34</v>
      </c>
    </row>
    <row r="4040" spans="1:15">
      <c r="A4040" t="s">
        <v>5597</v>
      </c>
      <c r="B4040" s="2">
        <v>42687.829745370371</v>
      </c>
      <c r="C4040" s="2">
        <v>42688.107708333337</v>
      </c>
      <c r="D4040" t="s">
        <v>776</v>
      </c>
      <c r="E4040" t="s">
        <v>1912</v>
      </c>
      <c r="F4040" t="s">
        <v>1913</v>
      </c>
      <c r="G4040" t="s">
        <v>1561</v>
      </c>
      <c r="H4040" t="s">
        <v>1031</v>
      </c>
      <c r="I4040">
        <v>185349003</v>
      </c>
      <c r="J4040" t="s">
        <v>1038</v>
      </c>
      <c r="K4040">
        <v>85.55</v>
      </c>
      <c r="L4040">
        <v>4830.95</v>
      </c>
      <c r="M4040">
        <v>724.6</v>
      </c>
      <c r="N4040">
        <v>66383009</v>
      </c>
      <c r="O4040" t="s">
        <v>1209</v>
      </c>
    </row>
    <row r="4041" spans="1:15">
      <c r="A4041" t="s">
        <v>5598</v>
      </c>
      <c r="B4041" s="2">
        <v>43051.829745370371</v>
      </c>
      <c r="C4041" s="2">
        <v>43051.840162037035</v>
      </c>
      <c r="D4041" t="s">
        <v>776</v>
      </c>
      <c r="E4041" t="s">
        <v>5595</v>
      </c>
      <c r="F4041" t="s">
        <v>5596</v>
      </c>
      <c r="G4041" t="s">
        <v>1561</v>
      </c>
      <c r="H4041" t="s">
        <v>1020</v>
      </c>
      <c r="I4041">
        <v>410620009</v>
      </c>
      <c r="J4041" t="s">
        <v>1054</v>
      </c>
      <c r="K4041">
        <v>136.80000000000001</v>
      </c>
      <c r="L4041">
        <v>1401.01</v>
      </c>
      <c r="M4041">
        <v>0</v>
      </c>
      <c r="O4041" t="s">
        <v>34</v>
      </c>
    </row>
    <row r="4042" spans="1:15">
      <c r="A4042" t="s">
        <v>5599</v>
      </c>
      <c r="B4042" s="2">
        <v>43092.829745370371</v>
      </c>
      <c r="C4042" s="2">
        <v>43092.871412037035</v>
      </c>
      <c r="D4042" t="s">
        <v>776</v>
      </c>
      <c r="E4042" t="s">
        <v>5600</v>
      </c>
      <c r="F4042" t="s">
        <v>5601</v>
      </c>
      <c r="G4042" t="s">
        <v>1561</v>
      </c>
      <c r="H4042" t="s">
        <v>1076</v>
      </c>
      <c r="I4042">
        <v>50849002</v>
      </c>
      <c r="J4042" t="s">
        <v>1163</v>
      </c>
      <c r="K4042">
        <v>146.18</v>
      </c>
      <c r="L4042">
        <v>1008.98</v>
      </c>
      <c r="M4042">
        <v>0</v>
      </c>
      <c r="N4042">
        <v>125605004</v>
      </c>
      <c r="O4042" t="s">
        <v>1644</v>
      </c>
    </row>
    <row r="4043" spans="1:15">
      <c r="A4043" t="s">
        <v>5602</v>
      </c>
      <c r="B4043" s="2">
        <v>43107.329745370371</v>
      </c>
      <c r="C4043" s="2">
        <v>43107.340162037035</v>
      </c>
      <c r="D4043" t="s">
        <v>776</v>
      </c>
      <c r="E4043" t="s">
        <v>1912</v>
      </c>
      <c r="F4043" t="s">
        <v>1913</v>
      </c>
      <c r="G4043" t="s">
        <v>1561</v>
      </c>
      <c r="H4043" t="s">
        <v>1031</v>
      </c>
      <c r="I4043">
        <v>185345009</v>
      </c>
      <c r="J4043" t="s">
        <v>1032</v>
      </c>
      <c r="K4043">
        <v>85.55</v>
      </c>
      <c r="L4043">
        <v>85.55</v>
      </c>
      <c r="M4043">
        <v>0</v>
      </c>
      <c r="N4043">
        <v>444814009</v>
      </c>
      <c r="O4043" t="s">
        <v>1035</v>
      </c>
    </row>
    <row r="4044" spans="1:15">
      <c r="A4044" t="s">
        <v>5603</v>
      </c>
      <c r="B4044" s="2">
        <v>43123.853703703702</v>
      </c>
      <c r="C4044" s="2">
        <v>43123.864120370374</v>
      </c>
      <c r="D4044" t="s">
        <v>776</v>
      </c>
      <c r="E4044" t="s">
        <v>1912</v>
      </c>
      <c r="F4044" t="s">
        <v>1913</v>
      </c>
      <c r="G4044" t="s">
        <v>1561</v>
      </c>
      <c r="H4044" t="s">
        <v>1031</v>
      </c>
      <c r="I4044">
        <v>185349003</v>
      </c>
      <c r="J4044" t="s">
        <v>1038</v>
      </c>
      <c r="K4044">
        <v>85.55</v>
      </c>
      <c r="L4044">
        <v>85.55</v>
      </c>
      <c r="M4044">
        <v>0</v>
      </c>
      <c r="N4044">
        <v>16114001</v>
      </c>
      <c r="O4044" t="s">
        <v>1858</v>
      </c>
    </row>
    <row r="4045" spans="1:15">
      <c r="A4045" t="s">
        <v>5604</v>
      </c>
      <c r="B4045" s="2">
        <v>43422.829745370371</v>
      </c>
      <c r="C4045" s="2">
        <v>43422.844687500001</v>
      </c>
      <c r="D4045" t="s">
        <v>776</v>
      </c>
      <c r="E4045" t="s">
        <v>5595</v>
      </c>
      <c r="F4045" t="s">
        <v>5596</v>
      </c>
      <c r="G4045" t="s">
        <v>1561</v>
      </c>
      <c r="H4045" t="s">
        <v>1020</v>
      </c>
      <c r="I4045">
        <v>410620009</v>
      </c>
      <c r="J4045" t="s">
        <v>1054</v>
      </c>
      <c r="K4045">
        <v>136.80000000000001</v>
      </c>
      <c r="L4045">
        <v>840.2</v>
      </c>
      <c r="M4045">
        <v>0</v>
      </c>
      <c r="O4045" t="s">
        <v>34</v>
      </c>
    </row>
    <row r="4046" spans="1:15">
      <c r="A4046" t="s">
        <v>5605</v>
      </c>
      <c r="B4046" s="2">
        <v>43436.829745370371</v>
      </c>
      <c r="C4046" s="2">
        <v>43436.947534722225</v>
      </c>
      <c r="D4046" t="s">
        <v>776</v>
      </c>
      <c r="E4046" t="s">
        <v>1912</v>
      </c>
      <c r="F4046" t="s">
        <v>1913</v>
      </c>
      <c r="G4046" t="s">
        <v>1561</v>
      </c>
      <c r="H4046" t="s">
        <v>1031</v>
      </c>
      <c r="I4046">
        <v>185349003</v>
      </c>
      <c r="J4046" t="s">
        <v>1038</v>
      </c>
      <c r="K4046">
        <v>85.55</v>
      </c>
      <c r="L4046">
        <v>3536.75</v>
      </c>
      <c r="M4046">
        <v>0</v>
      </c>
      <c r="N4046">
        <v>103697008</v>
      </c>
      <c r="O4046" t="s">
        <v>1039</v>
      </c>
    </row>
    <row r="4047" spans="1:15">
      <c r="A4047" t="s">
        <v>5606</v>
      </c>
      <c r="B4047" s="2">
        <v>43586.621412037035</v>
      </c>
      <c r="C4047" s="2">
        <v>43586.631828703707</v>
      </c>
      <c r="D4047" t="s">
        <v>776</v>
      </c>
      <c r="E4047" t="s">
        <v>1912</v>
      </c>
      <c r="F4047" t="s">
        <v>1913</v>
      </c>
      <c r="G4047" t="s">
        <v>1561</v>
      </c>
      <c r="H4047" t="s">
        <v>1031</v>
      </c>
      <c r="I4047">
        <v>185345009</v>
      </c>
      <c r="J4047" t="s">
        <v>1032</v>
      </c>
      <c r="K4047">
        <v>85.55</v>
      </c>
      <c r="L4047">
        <v>85.55</v>
      </c>
      <c r="M4047">
        <v>0</v>
      </c>
      <c r="N4047">
        <v>444814009</v>
      </c>
      <c r="O4047" t="s">
        <v>1035</v>
      </c>
    </row>
    <row r="4048" spans="1:15">
      <c r="A4048" t="s">
        <v>5607</v>
      </c>
      <c r="B4048" s="2">
        <v>43793.829745370371</v>
      </c>
      <c r="C4048" s="2">
        <v>43793.843865740739</v>
      </c>
      <c r="D4048" t="s">
        <v>776</v>
      </c>
      <c r="E4048" t="s">
        <v>5595</v>
      </c>
      <c r="F4048" t="s">
        <v>5596</v>
      </c>
      <c r="G4048" t="s">
        <v>1561</v>
      </c>
      <c r="H4048" t="s">
        <v>1020</v>
      </c>
      <c r="I4048">
        <v>410620009</v>
      </c>
      <c r="J4048" t="s">
        <v>1054</v>
      </c>
      <c r="K4048">
        <v>136.80000000000001</v>
      </c>
      <c r="L4048">
        <v>840.2</v>
      </c>
      <c r="M4048">
        <v>0</v>
      </c>
      <c r="O4048" t="s">
        <v>34</v>
      </c>
    </row>
    <row r="4049" spans="1:15">
      <c r="A4049" t="s">
        <v>5608</v>
      </c>
      <c r="B4049" s="2">
        <v>44132.871412037035</v>
      </c>
      <c r="C4049" s="2">
        <v>44132.881828703707</v>
      </c>
      <c r="D4049" t="s">
        <v>776</v>
      </c>
      <c r="E4049" t="s">
        <v>1912</v>
      </c>
      <c r="F4049" t="s">
        <v>1913</v>
      </c>
      <c r="G4049" t="s">
        <v>1561</v>
      </c>
      <c r="H4049" t="s">
        <v>1043</v>
      </c>
      <c r="I4049">
        <v>698314001</v>
      </c>
      <c r="J4049" t="s">
        <v>1190</v>
      </c>
      <c r="K4049">
        <v>142.58000000000001</v>
      </c>
      <c r="L4049">
        <v>142.58000000000001</v>
      </c>
      <c r="M4049">
        <v>0</v>
      </c>
      <c r="N4049">
        <v>389095005</v>
      </c>
      <c r="O4049" t="s">
        <v>1191</v>
      </c>
    </row>
    <row r="4050" spans="1:15">
      <c r="A4050" t="s">
        <v>5609</v>
      </c>
      <c r="B4050" s="2">
        <v>44164.829745370371</v>
      </c>
      <c r="C4050" s="2">
        <v>44164.848819444444</v>
      </c>
      <c r="D4050" t="s">
        <v>776</v>
      </c>
      <c r="E4050" t="s">
        <v>5595</v>
      </c>
      <c r="F4050" t="s">
        <v>5596</v>
      </c>
      <c r="G4050" t="s">
        <v>1561</v>
      </c>
      <c r="H4050" t="s">
        <v>1020</v>
      </c>
      <c r="I4050">
        <v>410620009</v>
      </c>
      <c r="J4050" t="s">
        <v>1054</v>
      </c>
      <c r="K4050">
        <v>136.80000000000001</v>
      </c>
      <c r="L4050">
        <v>704.2</v>
      </c>
      <c r="M4050">
        <v>0</v>
      </c>
      <c r="O4050" t="s">
        <v>34</v>
      </c>
    </row>
    <row r="4051" spans="1:15">
      <c r="A4051" t="s">
        <v>5610</v>
      </c>
      <c r="B4051" s="2">
        <v>44178.829745370371</v>
      </c>
      <c r="C4051" s="2">
        <v>44178.9218287037</v>
      </c>
      <c r="D4051" t="s">
        <v>776</v>
      </c>
      <c r="E4051" t="s">
        <v>1912</v>
      </c>
      <c r="F4051" t="s">
        <v>1913</v>
      </c>
      <c r="G4051" t="s">
        <v>1561</v>
      </c>
      <c r="H4051" t="s">
        <v>1031</v>
      </c>
      <c r="I4051">
        <v>185349003</v>
      </c>
      <c r="J4051" t="s">
        <v>1038</v>
      </c>
      <c r="K4051">
        <v>85.55</v>
      </c>
      <c r="L4051">
        <v>3105.35</v>
      </c>
      <c r="M4051">
        <v>0</v>
      </c>
      <c r="N4051">
        <v>103697008</v>
      </c>
      <c r="O4051" t="s">
        <v>1039</v>
      </c>
    </row>
    <row r="4052" spans="1:15">
      <c r="A4052" t="s">
        <v>5611</v>
      </c>
      <c r="B4052" s="2">
        <v>44353.871412037035</v>
      </c>
      <c r="C4052" s="2">
        <v>44353.881828703707</v>
      </c>
      <c r="D4052" t="s">
        <v>776</v>
      </c>
      <c r="E4052" t="s">
        <v>1912</v>
      </c>
      <c r="F4052" t="s">
        <v>1913</v>
      </c>
      <c r="G4052" t="s">
        <v>1561</v>
      </c>
      <c r="H4052" t="s">
        <v>1043</v>
      </c>
      <c r="I4052">
        <v>33879002</v>
      </c>
      <c r="J4052" t="s">
        <v>1044</v>
      </c>
      <c r="K4052">
        <v>142.58000000000001</v>
      </c>
      <c r="L4052">
        <v>278.58</v>
      </c>
      <c r="M4052">
        <v>0</v>
      </c>
      <c r="O4052" t="s">
        <v>34</v>
      </c>
    </row>
    <row r="4053" spans="1:15">
      <c r="A4053" t="s">
        <v>5612</v>
      </c>
      <c r="B4053" s="2">
        <v>44374.871412037035</v>
      </c>
      <c r="C4053" s="2">
        <v>44374.881828703707</v>
      </c>
      <c r="D4053" t="s">
        <v>776</v>
      </c>
      <c r="E4053" t="s">
        <v>1912</v>
      </c>
      <c r="F4053" t="s">
        <v>1913</v>
      </c>
      <c r="G4053" t="s">
        <v>1561</v>
      </c>
      <c r="H4053" t="s">
        <v>1043</v>
      </c>
      <c r="I4053">
        <v>33879002</v>
      </c>
      <c r="J4053" t="s">
        <v>1044</v>
      </c>
      <c r="K4053">
        <v>142.58000000000001</v>
      </c>
      <c r="L4053">
        <v>278.58</v>
      </c>
      <c r="M4053">
        <v>0</v>
      </c>
      <c r="O4053" t="s">
        <v>34</v>
      </c>
    </row>
    <row r="4054" spans="1:15">
      <c r="A4054" t="s">
        <v>5613</v>
      </c>
      <c r="B4054" s="2">
        <v>44492.871412037035</v>
      </c>
      <c r="C4054" s="2">
        <v>44492.881828703707</v>
      </c>
      <c r="D4054" t="s">
        <v>776</v>
      </c>
      <c r="E4054" t="s">
        <v>1912</v>
      </c>
      <c r="F4054" t="s">
        <v>1913</v>
      </c>
      <c r="G4054" t="s">
        <v>1561</v>
      </c>
      <c r="H4054" t="s">
        <v>1043</v>
      </c>
      <c r="I4054">
        <v>698314001</v>
      </c>
      <c r="J4054" t="s">
        <v>1190</v>
      </c>
      <c r="K4054">
        <v>142.58000000000001</v>
      </c>
      <c r="L4054">
        <v>142.58000000000001</v>
      </c>
      <c r="M4054">
        <v>99.81</v>
      </c>
      <c r="N4054">
        <v>389095005</v>
      </c>
      <c r="O4054" t="s">
        <v>1191</v>
      </c>
    </row>
    <row r="4055" spans="1:15">
      <c r="A4055" t="s">
        <v>5614</v>
      </c>
      <c r="B4055" s="2">
        <v>44535.829745370371</v>
      </c>
      <c r="C4055" s="2">
        <v>44535.842476851853</v>
      </c>
      <c r="D4055" t="s">
        <v>776</v>
      </c>
      <c r="E4055" t="s">
        <v>5595</v>
      </c>
      <c r="F4055" t="s">
        <v>5596</v>
      </c>
      <c r="G4055" t="s">
        <v>1561</v>
      </c>
      <c r="H4055" t="s">
        <v>1020</v>
      </c>
      <c r="I4055">
        <v>410620009</v>
      </c>
      <c r="J4055" t="s">
        <v>1054</v>
      </c>
      <c r="K4055">
        <v>136.80000000000001</v>
      </c>
      <c r="L4055">
        <v>1154.58</v>
      </c>
      <c r="M4055">
        <v>0</v>
      </c>
      <c r="O4055" t="s">
        <v>34</v>
      </c>
    </row>
    <row r="4056" spans="1:15">
      <c r="A4056" t="s">
        <v>5615</v>
      </c>
      <c r="B4056" s="2">
        <v>44538.913078703707</v>
      </c>
      <c r="C4056" s="2">
        <v>44538.923495370371</v>
      </c>
      <c r="D4056" t="s">
        <v>776</v>
      </c>
      <c r="E4056" t="s">
        <v>1912</v>
      </c>
      <c r="F4056" t="s">
        <v>1913</v>
      </c>
      <c r="G4056" t="s">
        <v>1561</v>
      </c>
      <c r="H4056" t="s">
        <v>1031</v>
      </c>
      <c r="I4056">
        <v>185345009</v>
      </c>
      <c r="J4056" t="s">
        <v>1032</v>
      </c>
      <c r="K4056">
        <v>85.55</v>
      </c>
      <c r="L4056">
        <v>85.55</v>
      </c>
      <c r="M4056">
        <v>0</v>
      </c>
      <c r="N4056">
        <v>444814009</v>
      </c>
      <c r="O4056" t="s">
        <v>1035</v>
      </c>
    </row>
    <row r="4057" spans="1:15">
      <c r="A4057" t="s">
        <v>5616</v>
      </c>
      <c r="B4057" s="2">
        <v>44906.829745370371</v>
      </c>
      <c r="C4057" s="2">
        <v>44906.840162037035</v>
      </c>
      <c r="D4057" t="s">
        <v>776</v>
      </c>
      <c r="E4057" t="s">
        <v>5595</v>
      </c>
      <c r="F4057" t="s">
        <v>5596</v>
      </c>
      <c r="G4057" t="s">
        <v>1561</v>
      </c>
      <c r="H4057" t="s">
        <v>1020</v>
      </c>
      <c r="I4057">
        <v>410620009</v>
      </c>
      <c r="J4057" t="s">
        <v>1054</v>
      </c>
      <c r="K4057">
        <v>136.80000000000001</v>
      </c>
      <c r="L4057">
        <v>914.78</v>
      </c>
      <c r="M4057">
        <v>0</v>
      </c>
      <c r="O4057" t="s">
        <v>34</v>
      </c>
    </row>
    <row r="4058" spans="1:15">
      <c r="A4058" t="s">
        <v>5617</v>
      </c>
      <c r="B4058" s="2">
        <v>44920.829745370371</v>
      </c>
      <c r="C4058" s="2">
        <v>44920.974548611113</v>
      </c>
      <c r="D4058" t="s">
        <v>776</v>
      </c>
      <c r="E4058" t="s">
        <v>1912</v>
      </c>
      <c r="F4058" t="s">
        <v>1913</v>
      </c>
      <c r="G4058" t="s">
        <v>1561</v>
      </c>
      <c r="H4058" t="s">
        <v>1031</v>
      </c>
      <c r="I4058">
        <v>185349003</v>
      </c>
      <c r="J4058" t="s">
        <v>1038</v>
      </c>
      <c r="K4058">
        <v>85.55</v>
      </c>
      <c r="L4058">
        <v>3105.35</v>
      </c>
      <c r="M4058">
        <v>0</v>
      </c>
      <c r="N4058">
        <v>103697008</v>
      </c>
      <c r="O4058" t="s">
        <v>1039</v>
      </c>
    </row>
    <row r="4059" spans="1:15">
      <c r="A4059" t="s">
        <v>5618</v>
      </c>
      <c r="B4059" s="2">
        <v>45062.895370370374</v>
      </c>
      <c r="C4059" s="2">
        <v>45062.937037037038</v>
      </c>
      <c r="D4059" t="s">
        <v>776</v>
      </c>
      <c r="E4059" t="s">
        <v>5600</v>
      </c>
      <c r="F4059" t="s">
        <v>5601</v>
      </c>
      <c r="G4059" t="s">
        <v>1561</v>
      </c>
      <c r="H4059" t="s">
        <v>1076</v>
      </c>
      <c r="I4059">
        <v>50849002</v>
      </c>
      <c r="J4059" t="s">
        <v>1163</v>
      </c>
      <c r="K4059">
        <v>146.18</v>
      </c>
      <c r="L4059">
        <v>1008.98</v>
      </c>
      <c r="M4059">
        <v>493.57</v>
      </c>
      <c r="N4059">
        <v>125605004</v>
      </c>
      <c r="O4059" t="s">
        <v>1644</v>
      </c>
    </row>
    <row r="4060" spans="1:15">
      <c r="A4060" t="s">
        <v>5619</v>
      </c>
      <c r="B4060" s="2">
        <v>45163.912777777776</v>
      </c>
      <c r="C4060" s="2">
        <v>45163.923194444447</v>
      </c>
      <c r="D4060" t="s">
        <v>776</v>
      </c>
      <c r="E4060" t="s">
        <v>1912</v>
      </c>
      <c r="F4060" t="s">
        <v>1913</v>
      </c>
      <c r="G4060" t="s">
        <v>1561</v>
      </c>
      <c r="H4060" t="s">
        <v>1031</v>
      </c>
      <c r="I4060">
        <v>185349003</v>
      </c>
      <c r="J4060" t="s">
        <v>1038</v>
      </c>
      <c r="K4060">
        <v>85.55</v>
      </c>
      <c r="L4060">
        <v>85.55</v>
      </c>
      <c r="M4060">
        <v>59.88</v>
      </c>
      <c r="N4060">
        <v>65966004</v>
      </c>
      <c r="O4060" t="s">
        <v>1647</v>
      </c>
    </row>
    <row r="4061" spans="1:15">
      <c r="A4061" t="s">
        <v>5620</v>
      </c>
      <c r="B4061" s="2">
        <v>45277.829745370371</v>
      </c>
      <c r="C4061" s="2">
        <v>45277.848298611112</v>
      </c>
      <c r="D4061" t="s">
        <v>776</v>
      </c>
      <c r="E4061" t="s">
        <v>5595</v>
      </c>
      <c r="F4061" t="s">
        <v>5596</v>
      </c>
      <c r="G4061" t="s">
        <v>1561</v>
      </c>
      <c r="H4061" t="s">
        <v>1020</v>
      </c>
      <c r="I4061">
        <v>410620009</v>
      </c>
      <c r="J4061" t="s">
        <v>1054</v>
      </c>
      <c r="K4061">
        <v>136.80000000000001</v>
      </c>
      <c r="L4061">
        <v>704.2</v>
      </c>
      <c r="M4061">
        <v>0</v>
      </c>
      <c r="O4061" t="s">
        <v>34</v>
      </c>
    </row>
    <row r="4062" spans="1:15">
      <c r="A4062" t="s">
        <v>5621</v>
      </c>
      <c r="B4062" s="2">
        <v>45431.871412037035</v>
      </c>
      <c r="C4062" s="2">
        <v>45431.881828703707</v>
      </c>
      <c r="D4062" t="s">
        <v>776</v>
      </c>
      <c r="E4062" t="s">
        <v>1912</v>
      </c>
      <c r="F4062" t="s">
        <v>1913</v>
      </c>
      <c r="G4062" t="s">
        <v>1561</v>
      </c>
      <c r="H4062" t="s">
        <v>1031</v>
      </c>
      <c r="I4062">
        <v>424441002</v>
      </c>
      <c r="J4062" t="s">
        <v>1059</v>
      </c>
      <c r="K4062">
        <v>142.58000000000001</v>
      </c>
      <c r="L4062">
        <v>49237.599999999999</v>
      </c>
      <c r="M4062">
        <v>31809.26</v>
      </c>
      <c r="N4062">
        <v>72892002</v>
      </c>
      <c r="O4062" t="s">
        <v>1060</v>
      </c>
    </row>
    <row r="4063" spans="1:15">
      <c r="A4063" t="s">
        <v>5622</v>
      </c>
      <c r="B4063" s="2">
        <v>45459.871412037035</v>
      </c>
      <c r="C4063" s="2">
        <v>45459.881828703707</v>
      </c>
      <c r="D4063" t="s">
        <v>776</v>
      </c>
      <c r="E4063" t="s">
        <v>1912</v>
      </c>
      <c r="F4063" t="s">
        <v>1913</v>
      </c>
      <c r="G4063" t="s">
        <v>1561</v>
      </c>
      <c r="H4063" t="s">
        <v>1031</v>
      </c>
      <c r="I4063">
        <v>424619006</v>
      </c>
      <c r="J4063" t="s">
        <v>1062</v>
      </c>
      <c r="K4063">
        <v>142.58000000000001</v>
      </c>
      <c r="L4063">
        <v>7907.38</v>
      </c>
      <c r="M4063">
        <v>7907.38</v>
      </c>
      <c r="N4063">
        <v>72892002</v>
      </c>
      <c r="O4063" t="s">
        <v>1060</v>
      </c>
    </row>
    <row r="4064" spans="1:15">
      <c r="A4064" t="s">
        <v>5623</v>
      </c>
      <c r="B4064" s="2">
        <v>45487.871412037035</v>
      </c>
      <c r="C4064" s="2">
        <v>45487.881828703707</v>
      </c>
      <c r="D4064" t="s">
        <v>776</v>
      </c>
      <c r="E4064" t="s">
        <v>1912</v>
      </c>
      <c r="F4064" t="s">
        <v>1913</v>
      </c>
      <c r="G4064" t="s">
        <v>1561</v>
      </c>
      <c r="H4064" t="s">
        <v>1031</v>
      </c>
      <c r="I4064">
        <v>424619006</v>
      </c>
      <c r="J4064" t="s">
        <v>1062</v>
      </c>
      <c r="K4064">
        <v>142.58000000000001</v>
      </c>
      <c r="L4064">
        <v>17315.98</v>
      </c>
      <c r="M4064">
        <v>17315.98</v>
      </c>
      <c r="N4064">
        <v>72892002</v>
      </c>
      <c r="O4064" t="s">
        <v>1060</v>
      </c>
    </row>
    <row r="4065" spans="1:15">
      <c r="A4065" t="s">
        <v>5624</v>
      </c>
      <c r="B4065" s="2">
        <v>45515.871412037035</v>
      </c>
      <c r="C4065" s="2">
        <v>45515.881828703707</v>
      </c>
      <c r="D4065" t="s">
        <v>776</v>
      </c>
      <c r="E4065" t="s">
        <v>1912</v>
      </c>
      <c r="F4065" t="s">
        <v>1913</v>
      </c>
      <c r="G4065" t="s">
        <v>1561</v>
      </c>
      <c r="H4065" t="s">
        <v>1031</v>
      </c>
      <c r="I4065">
        <v>424619006</v>
      </c>
      <c r="J4065" t="s">
        <v>1062</v>
      </c>
      <c r="K4065">
        <v>142.58000000000001</v>
      </c>
      <c r="L4065">
        <v>18236.080000000002</v>
      </c>
      <c r="M4065">
        <v>18236.080000000002</v>
      </c>
      <c r="N4065">
        <v>72892002</v>
      </c>
      <c r="O4065" t="s">
        <v>1060</v>
      </c>
    </row>
    <row r="4066" spans="1:15">
      <c r="A4066" t="s">
        <v>5625</v>
      </c>
      <c r="B4066" s="2">
        <v>45543.871412037035</v>
      </c>
      <c r="C4066" s="2">
        <v>45543.881828703707</v>
      </c>
      <c r="D4066" t="s">
        <v>776</v>
      </c>
      <c r="E4066" t="s">
        <v>1912</v>
      </c>
      <c r="F4066" t="s">
        <v>1913</v>
      </c>
      <c r="G4066" t="s">
        <v>1561</v>
      </c>
      <c r="H4066" t="s">
        <v>1031</v>
      </c>
      <c r="I4066">
        <v>424619006</v>
      </c>
      <c r="J4066" t="s">
        <v>1062</v>
      </c>
      <c r="K4066">
        <v>142.58000000000001</v>
      </c>
      <c r="L4066">
        <v>4665.96</v>
      </c>
      <c r="M4066">
        <v>4665.96</v>
      </c>
      <c r="N4066">
        <v>72892002</v>
      </c>
      <c r="O4066" t="s">
        <v>1060</v>
      </c>
    </row>
    <row r="4067" spans="1:15">
      <c r="A4067" t="s">
        <v>5626</v>
      </c>
      <c r="B4067" s="2">
        <v>45571.871412037035</v>
      </c>
      <c r="C4067" s="2">
        <v>45571.881828703707</v>
      </c>
      <c r="D4067" t="s">
        <v>776</v>
      </c>
      <c r="E4067" t="s">
        <v>1912</v>
      </c>
      <c r="F4067" t="s">
        <v>1913</v>
      </c>
      <c r="G4067" t="s">
        <v>1561</v>
      </c>
      <c r="H4067" t="s">
        <v>1031</v>
      </c>
      <c r="I4067">
        <v>424619006</v>
      </c>
      <c r="J4067" t="s">
        <v>1062</v>
      </c>
      <c r="K4067">
        <v>142.58000000000001</v>
      </c>
      <c r="L4067">
        <v>11155.03</v>
      </c>
      <c r="M4067">
        <v>11155.03</v>
      </c>
      <c r="N4067">
        <v>72892002</v>
      </c>
      <c r="O4067" t="s">
        <v>1060</v>
      </c>
    </row>
    <row r="4068" spans="1:15">
      <c r="A4068" t="s">
        <v>5627</v>
      </c>
      <c r="B4068" s="2">
        <v>45599.829745370371</v>
      </c>
      <c r="C4068" s="2">
        <v>45599.840162037035</v>
      </c>
      <c r="D4068" t="s">
        <v>776</v>
      </c>
      <c r="E4068" t="s">
        <v>1912</v>
      </c>
      <c r="F4068" t="s">
        <v>1913</v>
      </c>
      <c r="G4068" t="s">
        <v>1561</v>
      </c>
      <c r="H4068" t="s">
        <v>1031</v>
      </c>
      <c r="I4068">
        <v>424619006</v>
      </c>
      <c r="J4068" t="s">
        <v>1062</v>
      </c>
      <c r="K4068">
        <v>142.58000000000001</v>
      </c>
      <c r="L4068">
        <v>10237.16</v>
      </c>
      <c r="M4068">
        <v>4016.01</v>
      </c>
      <c r="N4068">
        <v>72892002</v>
      </c>
      <c r="O4068" t="s">
        <v>1060</v>
      </c>
    </row>
    <row r="4069" spans="1:15">
      <c r="A4069" t="s">
        <v>5628</v>
      </c>
      <c r="B4069" s="2">
        <v>45627.829745370371</v>
      </c>
      <c r="C4069" s="2">
        <v>45627.840162037035</v>
      </c>
      <c r="D4069" t="s">
        <v>776</v>
      </c>
      <c r="E4069" t="s">
        <v>1912</v>
      </c>
      <c r="F4069" t="s">
        <v>1913</v>
      </c>
      <c r="G4069" t="s">
        <v>1561</v>
      </c>
      <c r="H4069" t="s">
        <v>1031</v>
      </c>
      <c r="I4069">
        <v>424619006</v>
      </c>
      <c r="J4069" t="s">
        <v>1062</v>
      </c>
      <c r="K4069">
        <v>142.58000000000001</v>
      </c>
      <c r="L4069">
        <v>5528.76</v>
      </c>
      <c r="M4069">
        <v>3870.13</v>
      </c>
      <c r="N4069">
        <v>72892002</v>
      </c>
      <c r="O4069" t="s">
        <v>1060</v>
      </c>
    </row>
    <row r="4070" spans="1:15">
      <c r="A4070" t="s">
        <v>5629</v>
      </c>
      <c r="B4070" s="2">
        <v>45629.829745370371</v>
      </c>
      <c r="C4070" s="2">
        <v>45629.840162037035</v>
      </c>
      <c r="D4070" t="s">
        <v>776</v>
      </c>
      <c r="E4070" t="s">
        <v>1912</v>
      </c>
      <c r="F4070" t="s">
        <v>1913</v>
      </c>
      <c r="G4070" t="s">
        <v>1561</v>
      </c>
      <c r="H4070" t="s">
        <v>1043</v>
      </c>
      <c r="I4070">
        <v>185347001</v>
      </c>
      <c r="J4070" t="s">
        <v>1124</v>
      </c>
      <c r="K4070">
        <v>85.55</v>
      </c>
      <c r="L4070">
        <v>85.55</v>
      </c>
      <c r="M4070">
        <v>59.88</v>
      </c>
      <c r="N4070">
        <v>82423001</v>
      </c>
      <c r="O4070" t="s">
        <v>1542</v>
      </c>
    </row>
    <row r="4071" spans="1:15">
      <c r="A4071" t="s">
        <v>5630</v>
      </c>
      <c r="B4071" s="2">
        <v>45641.829745370371</v>
      </c>
      <c r="C4071" s="2">
        <v>45641.840162037035</v>
      </c>
      <c r="D4071" t="s">
        <v>776</v>
      </c>
      <c r="E4071" t="s">
        <v>1912</v>
      </c>
      <c r="F4071" t="s">
        <v>1913</v>
      </c>
      <c r="G4071" t="s">
        <v>1561</v>
      </c>
      <c r="H4071" t="s">
        <v>1031</v>
      </c>
      <c r="I4071">
        <v>424619006</v>
      </c>
      <c r="J4071" t="s">
        <v>1062</v>
      </c>
      <c r="K4071">
        <v>142.58000000000001</v>
      </c>
      <c r="L4071">
        <v>11451.02</v>
      </c>
      <c r="M4071">
        <v>8015.71</v>
      </c>
      <c r="N4071">
        <v>72892002</v>
      </c>
      <c r="O4071" t="s">
        <v>1060</v>
      </c>
    </row>
    <row r="4072" spans="1:15">
      <c r="A4072" t="s">
        <v>5631</v>
      </c>
      <c r="B4072" s="2">
        <v>45648.829745370371</v>
      </c>
      <c r="C4072" s="2">
        <v>45648.865219907406</v>
      </c>
      <c r="D4072" t="s">
        <v>776</v>
      </c>
      <c r="E4072" t="s">
        <v>5595</v>
      </c>
      <c r="F4072" t="s">
        <v>5596</v>
      </c>
      <c r="G4072" t="s">
        <v>1561</v>
      </c>
      <c r="H4072" t="s">
        <v>1020</v>
      </c>
      <c r="I4072">
        <v>162673000</v>
      </c>
      <c r="J4072" t="s">
        <v>1021</v>
      </c>
      <c r="K4072">
        <v>136.80000000000001</v>
      </c>
      <c r="L4072">
        <v>919.9</v>
      </c>
      <c r="M4072">
        <v>919.9</v>
      </c>
      <c r="O4072" t="s">
        <v>34</v>
      </c>
    </row>
    <row r="4073" spans="1:15">
      <c r="A4073" t="s">
        <v>5632</v>
      </c>
      <c r="B4073" s="2">
        <v>45655.829745370371</v>
      </c>
      <c r="C4073" s="2">
        <v>45655.871412037035</v>
      </c>
      <c r="D4073" t="s">
        <v>776</v>
      </c>
      <c r="E4073" t="s">
        <v>5600</v>
      </c>
      <c r="F4073" t="s">
        <v>5601</v>
      </c>
      <c r="G4073" t="s">
        <v>1561</v>
      </c>
      <c r="H4073" t="s">
        <v>1076</v>
      </c>
      <c r="I4073">
        <v>183460006</v>
      </c>
      <c r="J4073" t="s">
        <v>1077</v>
      </c>
      <c r="K4073">
        <v>146.18</v>
      </c>
      <c r="L4073">
        <v>577.58000000000004</v>
      </c>
      <c r="M4073">
        <v>577.58000000000004</v>
      </c>
      <c r="N4073">
        <v>72892002</v>
      </c>
      <c r="O4073" t="s">
        <v>1060</v>
      </c>
    </row>
    <row r="4074" spans="1:15">
      <c r="A4074" t="s">
        <v>5633</v>
      </c>
      <c r="B4074" s="2">
        <v>45662.829745370371</v>
      </c>
      <c r="C4074" s="2">
        <v>45662.975682870368</v>
      </c>
      <c r="D4074" t="s">
        <v>776</v>
      </c>
      <c r="E4074" t="s">
        <v>1912</v>
      </c>
      <c r="F4074" t="s">
        <v>1913</v>
      </c>
      <c r="G4074" t="s">
        <v>1561</v>
      </c>
      <c r="H4074" t="s">
        <v>1031</v>
      </c>
      <c r="I4074">
        <v>185349003</v>
      </c>
      <c r="J4074" t="s">
        <v>1038</v>
      </c>
      <c r="K4074">
        <v>85.55</v>
      </c>
      <c r="L4074">
        <v>3536.75</v>
      </c>
      <c r="M4074">
        <v>3536.75</v>
      </c>
      <c r="N4074">
        <v>103697008</v>
      </c>
      <c r="O4074" t="s">
        <v>1039</v>
      </c>
    </row>
    <row r="4075" spans="1:15">
      <c r="A4075" t="s">
        <v>5634</v>
      </c>
      <c r="B4075" s="2">
        <v>45671.621412037035</v>
      </c>
      <c r="C4075" s="2">
        <v>45671.631828703707</v>
      </c>
      <c r="D4075" t="s">
        <v>776</v>
      </c>
      <c r="E4075" t="s">
        <v>1912</v>
      </c>
      <c r="F4075" t="s">
        <v>1913</v>
      </c>
      <c r="G4075" t="s">
        <v>1561</v>
      </c>
      <c r="H4075" t="s">
        <v>1031</v>
      </c>
      <c r="I4075">
        <v>390906007</v>
      </c>
      <c r="J4075" t="s">
        <v>1255</v>
      </c>
      <c r="K4075">
        <v>85.55</v>
      </c>
      <c r="L4075">
        <v>85.55</v>
      </c>
      <c r="M4075">
        <v>85.55</v>
      </c>
      <c r="N4075">
        <v>82423001</v>
      </c>
      <c r="O4075" t="s">
        <v>1542</v>
      </c>
    </row>
    <row r="4076" spans="1:15">
      <c r="A4076" t="s">
        <v>5635</v>
      </c>
      <c r="B4076" s="2">
        <v>45670.829745370371</v>
      </c>
      <c r="C4076" s="2">
        <v>45670.940532407411</v>
      </c>
      <c r="D4076" t="s">
        <v>776</v>
      </c>
      <c r="E4076" t="s">
        <v>5600</v>
      </c>
      <c r="F4076" t="s">
        <v>5601</v>
      </c>
      <c r="G4076" t="s">
        <v>1561</v>
      </c>
      <c r="H4076" t="s">
        <v>1076</v>
      </c>
      <c r="I4076">
        <v>185345009</v>
      </c>
      <c r="J4076" t="s">
        <v>1032</v>
      </c>
      <c r="K4076">
        <v>87.71</v>
      </c>
      <c r="L4076">
        <v>5488.25</v>
      </c>
      <c r="M4076">
        <v>5488.25</v>
      </c>
      <c r="N4076">
        <v>307426000</v>
      </c>
      <c r="O4076" t="s">
        <v>1097</v>
      </c>
    </row>
    <row r="4077" spans="1:15">
      <c r="A4077" t="s">
        <v>5636</v>
      </c>
      <c r="B4077" s="2">
        <v>45697.829745370371</v>
      </c>
      <c r="C4077" s="2">
        <v>45697.840162037035</v>
      </c>
      <c r="D4077" t="s">
        <v>776</v>
      </c>
      <c r="E4077" t="s">
        <v>1912</v>
      </c>
      <c r="F4077" t="s">
        <v>1913</v>
      </c>
      <c r="G4077" t="s">
        <v>1561</v>
      </c>
      <c r="H4077" t="s">
        <v>1031</v>
      </c>
      <c r="I4077">
        <v>169762003</v>
      </c>
      <c r="J4077" t="s">
        <v>1079</v>
      </c>
      <c r="K4077">
        <v>142.58000000000001</v>
      </c>
      <c r="L4077">
        <v>1005.38</v>
      </c>
      <c r="M4077">
        <v>1005.38</v>
      </c>
      <c r="O4077" t="s">
        <v>34</v>
      </c>
    </row>
    <row r="4078" spans="1:15">
      <c r="A4078" t="s">
        <v>5637</v>
      </c>
      <c r="B4078" s="2">
        <v>45704.829745370371</v>
      </c>
      <c r="C4078" s="2">
        <v>45704.840162037035</v>
      </c>
      <c r="D4078" t="s">
        <v>776</v>
      </c>
      <c r="E4078" t="s">
        <v>1912</v>
      </c>
      <c r="F4078" t="s">
        <v>1913</v>
      </c>
      <c r="G4078" t="s">
        <v>1561</v>
      </c>
      <c r="H4078" t="s">
        <v>1043</v>
      </c>
      <c r="I4078">
        <v>698314001</v>
      </c>
      <c r="J4078" t="s">
        <v>1190</v>
      </c>
      <c r="K4078">
        <v>142.58000000000001</v>
      </c>
      <c r="L4078">
        <v>142.58000000000001</v>
      </c>
      <c r="M4078">
        <v>142.58000000000001</v>
      </c>
      <c r="N4078">
        <v>389095005</v>
      </c>
      <c r="O4078" t="s">
        <v>1191</v>
      </c>
    </row>
    <row r="4079" spans="1:15">
      <c r="A4079" t="s">
        <v>5638</v>
      </c>
      <c r="B4079" s="2">
        <v>45731.663078703707</v>
      </c>
      <c r="C4079" s="2">
        <v>45731.673495370371</v>
      </c>
      <c r="D4079" t="s">
        <v>776</v>
      </c>
      <c r="E4079" t="s">
        <v>1912</v>
      </c>
      <c r="F4079" t="s">
        <v>1913</v>
      </c>
      <c r="G4079" t="s">
        <v>1561</v>
      </c>
      <c r="H4079" t="s">
        <v>1031</v>
      </c>
      <c r="I4079">
        <v>390906007</v>
      </c>
      <c r="J4079" t="s">
        <v>1255</v>
      </c>
      <c r="K4079">
        <v>85.55</v>
      </c>
      <c r="L4079">
        <v>85.55</v>
      </c>
      <c r="M4079">
        <v>85.55</v>
      </c>
      <c r="N4079">
        <v>82423001</v>
      </c>
      <c r="O4079" t="s">
        <v>1542</v>
      </c>
    </row>
    <row r="4080" spans="1:15">
      <c r="A4080" t="s">
        <v>5639</v>
      </c>
      <c r="B4080" s="2">
        <v>45820.788078703707</v>
      </c>
      <c r="C4080" s="2">
        <v>45820.798495370371</v>
      </c>
      <c r="D4080" t="s">
        <v>776</v>
      </c>
      <c r="E4080" t="s">
        <v>1912</v>
      </c>
      <c r="F4080" t="s">
        <v>1913</v>
      </c>
      <c r="G4080" t="s">
        <v>1561</v>
      </c>
      <c r="H4080" t="s">
        <v>1031</v>
      </c>
      <c r="I4080">
        <v>390906007</v>
      </c>
      <c r="J4080" t="s">
        <v>1255</v>
      </c>
      <c r="K4080">
        <v>85.55</v>
      </c>
      <c r="L4080">
        <v>85.55</v>
      </c>
      <c r="M4080">
        <v>85.55</v>
      </c>
      <c r="N4080">
        <v>82423001</v>
      </c>
      <c r="O4080" t="s">
        <v>1542</v>
      </c>
    </row>
    <row r="4081" spans="1:15">
      <c r="A4081" t="s">
        <v>5640</v>
      </c>
      <c r="B4081" s="2">
        <v>45832.454745370371</v>
      </c>
      <c r="C4081" s="2">
        <v>45832.465162037035</v>
      </c>
      <c r="D4081" t="s">
        <v>776</v>
      </c>
      <c r="E4081" t="s">
        <v>1912</v>
      </c>
      <c r="F4081" t="s">
        <v>1913</v>
      </c>
      <c r="G4081" t="s">
        <v>1561</v>
      </c>
      <c r="H4081" t="s">
        <v>1031</v>
      </c>
      <c r="I4081">
        <v>185345009</v>
      </c>
      <c r="J4081" t="s">
        <v>1032</v>
      </c>
      <c r="K4081">
        <v>85.55</v>
      </c>
      <c r="L4081">
        <v>85.55</v>
      </c>
      <c r="M4081">
        <v>85.55</v>
      </c>
      <c r="N4081">
        <v>36971009</v>
      </c>
      <c r="O4081" t="s">
        <v>1278</v>
      </c>
    </row>
    <row r="4082" spans="1:15">
      <c r="A4082" t="s">
        <v>5641</v>
      </c>
      <c r="B4082" s="2">
        <v>45865.454745370371</v>
      </c>
      <c r="C4082" s="2">
        <v>45865.465162037035</v>
      </c>
      <c r="D4082" t="s">
        <v>776</v>
      </c>
      <c r="E4082" t="s">
        <v>1912</v>
      </c>
      <c r="F4082" t="s">
        <v>1913</v>
      </c>
      <c r="G4082" t="s">
        <v>1561</v>
      </c>
      <c r="H4082" t="s">
        <v>1031</v>
      </c>
      <c r="I4082">
        <v>185345009</v>
      </c>
      <c r="J4082" t="s">
        <v>1032</v>
      </c>
      <c r="K4082">
        <v>85.55</v>
      </c>
      <c r="L4082">
        <v>92.93</v>
      </c>
      <c r="M4082">
        <v>92.93</v>
      </c>
      <c r="N4082">
        <v>36971009</v>
      </c>
      <c r="O4082" t="s">
        <v>1278</v>
      </c>
    </row>
    <row r="4083" spans="1:15">
      <c r="A4083" t="s">
        <v>5642</v>
      </c>
      <c r="B4083" s="2">
        <v>46019.829745370371</v>
      </c>
      <c r="C4083" s="2">
        <v>46019.868368055555</v>
      </c>
      <c r="D4083" t="s">
        <v>776</v>
      </c>
      <c r="E4083" t="s">
        <v>5595</v>
      </c>
      <c r="F4083" t="s">
        <v>5596</v>
      </c>
      <c r="G4083" t="s">
        <v>1561</v>
      </c>
      <c r="H4083" t="s">
        <v>1020</v>
      </c>
      <c r="I4083">
        <v>162673000</v>
      </c>
      <c r="J4083" t="s">
        <v>1021</v>
      </c>
      <c r="K4083">
        <v>136.80000000000001</v>
      </c>
      <c r="L4083">
        <v>704.2</v>
      </c>
      <c r="M4083">
        <v>0</v>
      </c>
      <c r="O4083" t="s">
        <v>34</v>
      </c>
    </row>
    <row r="4084" spans="1:15">
      <c r="A4084" t="s">
        <v>5643</v>
      </c>
      <c r="B4084" s="2">
        <v>46033.829745370371</v>
      </c>
      <c r="C4084" s="2">
        <v>46033.97892361111</v>
      </c>
      <c r="D4084" t="s">
        <v>776</v>
      </c>
      <c r="E4084" t="s">
        <v>1912</v>
      </c>
      <c r="F4084" t="s">
        <v>1913</v>
      </c>
      <c r="G4084" t="s">
        <v>1561</v>
      </c>
      <c r="H4084" t="s">
        <v>1031</v>
      </c>
      <c r="I4084">
        <v>185349003</v>
      </c>
      <c r="J4084" t="s">
        <v>1038</v>
      </c>
      <c r="K4084">
        <v>85.55</v>
      </c>
      <c r="L4084">
        <v>3536.75</v>
      </c>
      <c r="M4084">
        <v>182.5</v>
      </c>
      <c r="N4084">
        <v>103697008</v>
      </c>
      <c r="O4084" t="s">
        <v>1039</v>
      </c>
    </row>
    <row r="4085" spans="1:15">
      <c r="A4085" t="s">
        <v>5644</v>
      </c>
      <c r="B4085" s="2">
        <v>41593.157048611109</v>
      </c>
      <c r="C4085" s="2">
        <v>41593.16746527778</v>
      </c>
      <c r="D4085" t="s">
        <v>784</v>
      </c>
      <c r="E4085" t="s">
        <v>5645</v>
      </c>
      <c r="F4085" t="s">
        <v>5646</v>
      </c>
      <c r="G4085" t="s">
        <v>1561</v>
      </c>
      <c r="H4085" t="s">
        <v>1020</v>
      </c>
      <c r="I4085">
        <v>410620009</v>
      </c>
      <c r="J4085" t="s">
        <v>1054</v>
      </c>
      <c r="K4085">
        <v>136.80000000000001</v>
      </c>
      <c r="L4085">
        <v>704.2</v>
      </c>
      <c r="M4085">
        <v>0</v>
      </c>
      <c r="O4085" t="s">
        <v>34</v>
      </c>
    </row>
    <row r="4086" spans="1:15">
      <c r="A4086" t="s">
        <v>5647</v>
      </c>
      <c r="B4086" s="2">
        <v>42335.157048611109</v>
      </c>
      <c r="C4086" s="2">
        <v>42335.16746527778</v>
      </c>
      <c r="D4086" t="s">
        <v>784</v>
      </c>
      <c r="E4086" t="s">
        <v>5645</v>
      </c>
      <c r="F4086" t="s">
        <v>5646</v>
      </c>
      <c r="G4086" t="s">
        <v>1561</v>
      </c>
      <c r="H4086" t="s">
        <v>1020</v>
      </c>
      <c r="I4086">
        <v>410620009</v>
      </c>
      <c r="J4086" t="s">
        <v>1054</v>
      </c>
      <c r="K4086">
        <v>136.80000000000001</v>
      </c>
      <c r="L4086">
        <v>704.2</v>
      </c>
      <c r="M4086">
        <v>0</v>
      </c>
      <c r="O4086" t="s">
        <v>34</v>
      </c>
    </row>
    <row r="4087" spans="1:15">
      <c r="A4087" t="s">
        <v>5648</v>
      </c>
      <c r="B4087" s="2">
        <v>42706.157048611109</v>
      </c>
      <c r="C4087" s="2">
        <v>42706.186550925922</v>
      </c>
      <c r="D4087" t="s">
        <v>784</v>
      </c>
      <c r="E4087" t="s">
        <v>5645</v>
      </c>
      <c r="F4087" t="s">
        <v>5646</v>
      </c>
      <c r="G4087" t="s">
        <v>1561</v>
      </c>
      <c r="H4087" t="s">
        <v>1020</v>
      </c>
      <c r="I4087">
        <v>162673000</v>
      </c>
      <c r="J4087" t="s">
        <v>1021</v>
      </c>
      <c r="K4087">
        <v>136.80000000000001</v>
      </c>
      <c r="L4087">
        <v>919.9</v>
      </c>
      <c r="M4087">
        <v>0</v>
      </c>
      <c r="O4087" t="s">
        <v>34</v>
      </c>
    </row>
    <row r="4088" spans="1:15">
      <c r="A4088" t="s">
        <v>5649</v>
      </c>
      <c r="B4088" s="2">
        <v>42799.201307870368</v>
      </c>
      <c r="C4088" s="2">
        <v>42799.242974537039</v>
      </c>
      <c r="D4088" t="s">
        <v>784</v>
      </c>
      <c r="E4088" t="s">
        <v>5650</v>
      </c>
      <c r="F4088" t="s">
        <v>5651</v>
      </c>
      <c r="G4088" t="s">
        <v>1561</v>
      </c>
      <c r="H4088" t="s">
        <v>1076</v>
      </c>
      <c r="I4088">
        <v>50849002</v>
      </c>
      <c r="J4088" t="s">
        <v>1163</v>
      </c>
      <c r="K4088">
        <v>146.18</v>
      </c>
      <c r="L4088">
        <v>3860.78</v>
      </c>
      <c r="M4088">
        <v>241.93</v>
      </c>
      <c r="N4088">
        <v>125605004</v>
      </c>
      <c r="O4088" t="s">
        <v>1644</v>
      </c>
    </row>
    <row r="4089" spans="1:15">
      <c r="A4089" t="s">
        <v>5652</v>
      </c>
      <c r="B4089" s="2">
        <v>42891.268425925926</v>
      </c>
      <c r="C4089" s="2">
        <v>42891.27884259259</v>
      </c>
      <c r="D4089" t="s">
        <v>784</v>
      </c>
      <c r="E4089" t="s">
        <v>5653</v>
      </c>
      <c r="F4089" t="s">
        <v>5654</v>
      </c>
      <c r="G4089" t="s">
        <v>1561</v>
      </c>
      <c r="H4089" t="s">
        <v>1031</v>
      </c>
      <c r="I4089">
        <v>185349003</v>
      </c>
      <c r="J4089" t="s">
        <v>1038</v>
      </c>
      <c r="K4089">
        <v>85.55</v>
      </c>
      <c r="L4089">
        <v>85.55</v>
      </c>
      <c r="M4089">
        <v>59.88</v>
      </c>
      <c r="N4089">
        <v>33737001</v>
      </c>
      <c r="O4089" t="s">
        <v>5655</v>
      </c>
    </row>
    <row r="4090" spans="1:15">
      <c r="A4090" t="s">
        <v>5656</v>
      </c>
      <c r="B4090" s="2">
        <v>43077.157048611109</v>
      </c>
      <c r="C4090" s="2">
        <v>43077.194143518522</v>
      </c>
      <c r="D4090" t="s">
        <v>784</v>
      </c>
      <c r="E4090" t="s">
        <v>5645</v>
      </c>
      <c r="F4090" t="s">
        <v>5646</v>
      </c>
      <c r="G4090" t="s">
        <v>1561</v>
      </c>
      <c r="H4090" t="s">
        <v>1020</v>
      </c>
      <c r="I4090">
        <v>162673000</v>
      </c>
      <c r="J4090" t="s">
        <v>1021</v>
      </c>
      <c r="K4090">
        <v>136.80000000000001</v>
      </c>
      <c r="L4090">
        <v>704.2</v>
      </c>
      <c r="M4090">
        <v>0</v>
      </c>
      <c r="O4090" t="s">
        <v>34</v>
      </c>
    </row>
    <row r="4091" spans="1:15">
      <c r="A4091" t="s">
        <v>5657</v>
      </c>
      <c r="B4091" s="2">
        <v>43091.157048611109</v>
      </c>
      <c r="C4091" s="2">
        <v>43091.291701388887</v>
      </c>
      <c r="D4091" t="s">
        <v>784</v>
      </c>
      <c r="E4091" t="s">
        <v>5653</v>
      </c>
      <c r="F4091" t="s">
        <v>5654</v>
      </c>
      <c r="G4091" t="s">
        <v>1561</v>
      </c>
      <c r="H4091" t="s">
        <v>1031</v>
      </c>
      <c r="I4091">
        <v>185349003</v>
      </c>
      <c r="J4091" t="s">
        <v>1038</v>
      </c>
      <c r="K4091">
        <v>85.55</v>
      </c>
      <c r="L4091">
        <v>3105.35</v>
      </c>
      <c r="M4091">
        <v>0</v>
      </c>
      <c r="N4091">
        <v>103697008</v>
      </c>
      <c r="O4091" t="s">
        <v>1039</v>
      </c>
    </row>
    <row r="4092" spans="1:15">
      <c r="A4092" t="s">
        <v>5658</v>
      </c>
      <c r="B4092" s="2">
        <v>43478.157048611109</v>
      </c>
      <c r="C4092" s="2">
        <v>43478.248993055553</v>
      </c>
      <c r="D4092" t="s">
        <v>784</v>
      </c>
      <c r="E4092" t="s">
        <v>5650</v>
      </c>
      <c r="F4092" t="s">
        <v>5651</v>
      </c>
      <c r="G4092" t="s">
        <v>1561</v>
      </c>
      <c r="H4092" t="s">
        <v>1076</v>
      </c>
      <c r="I4092">
        <v>185345009</v>
      </c>
      <c r="J4092" t="s">
        <v>1032</v>
      </c>
      <c r="K4092">
        <v>87.71</v>
      </c>
      <c r="L4092">
        <v>4476.29</v>
      </c>
      <c r="M4092">
        <v>74.36</v>
      </c>
      <c r="N4092">
        <v>307426000</v>
      </c>
      <c r="O4092" t="s">
        <v>1097</v>
      </c>
    </row>
    <row r="4093" spans="1:15">
      <c r="A4093" t="s">
        <v>5659</v>
      </c>
      <c r="B4093" s="2">
        <v>44176.157048611109</v>
      </c>
      <c r="C4093" s="2">
        <v>44176.189560185187</v>
      </c>
      <c r="D4093" t="s">
        <v>784</v>
      </c>
      <c r="E4093" t="s">
        <v>5645</v>
      </c>
      <c r="F4093" t="s">
        <v>5646</v>
      </c>
      <c r="G4093" t="s">
        <v>1561</v>
      </c>
      <c r="H4093" t="s">
        <v>1020</v>
      </c>
      <c r="I4093">
        <v>162673000</v>
      </c>
      <c r="J4093" t="s">
        <v>1021</v>
      </c>
      <c r="K4093">
        <v>136.80000000000001</v>
      </c>
      <c r="L4093">
        <v>1402.48</v>
      </c>
      <c r="M4093">
        <v>0</v>
      </c>
      <c r="O4093" t="s">
        <v>34</v>
      </c>
    </row>
    <row r="4094" spans="1:15">
      <c r="A4094" t="s">
        <v>5660</v>
      </c>
      <c r="B4094" s="2">
        <v>44190.157048611109</v>
      </c>
      <c r="C4094" s="2">
        <v>44190.292534722219</v>
      </c>
      <c r="D4094" t="s">
        <v>784</v>
      </c>
      <c r="E4094" t="s">
        <v>5653</v>
      </c>
      <c r="F4094" t="s">
        <v>5654</v>
      </c>
      <c r="G4094" t="s">
        <v>1561</v>
      </c>
      <c r="H4094" t="s">
        <v>1031</v>
      </c>
      <c r="I4094">
        <v>185349003</v>
      </c>
      <c r="J4094" t="s">
        <v>1038</v>
      </c>
      <c r="K4094">
        <v>85.55</v>
      </c>
      <c r="L4094">
        <v>3105.35</v>
      </c>
      <c r="M4094">
        <v>5.48</v>
      </c>
      <c r="N4094">
        <v>66383009</v>
      </c>
      <c r="O4094" t="s">
        <v>1209</v>
      </c>
    </row>
    <row r="4095" spans="1:15">
      <c r="A4095" t="s">
        <v>5661</v>
      </c>
      <c r="B4095" s="2">
        <v>45275.157048611109</v>
      </c>
      <c r="C4095" s="2">
        <v>45275.196562500001</v>
      </c>
      <c r="D4095" t="s">
        <v>784</v>
      </c>
      <c r="E4095" t="s">
        <v>5645</v>
      </c>
      <c r="F4095" t="s">
        <v>5646</v>
      </c>
      <c r="G4095" t="s">
        <v>1561</v>
      </c>
      <c r="H4095" t="s">
        <v>1020</v>
      </c>
      <c r="I4095">
        <v>162673000</v>
      </c>
      <c r="J4095" t="s">
        <v>1021</v>
      </c>
      <c r="K4095">
        <v>136.80000000000001</v>
      </c>
      <c r="L4095">
        <v>1363.62</v>
      </c>
      <c r="M4095">
        <v>0</v>
      </c>
      <c r="O4095" t="s">
        <v>34</v>
      </c>
    </row>
    <row r="4096" spans="1:15">
      <c r="A4096" t="s">
        <v>5662</v>
      </c>
      <c r="B4096" s="2">
        <v>45388.268425925926</v>
      </c>
      <c r="C4096" s="2">
        <v>45388.31009259259</v>
      </c>
      <c r="D4096" t="s">
        <v>784</v>
      </c>
      <c r="E4096" t="s">
        <v>5650</v>
      </c>
      <c r="F4096" t="s">
        <v>5651</v>
      </c>
      <c r="G4096" t="s">
        <v>1561</v>
      </c>
      <c r="H4096" t="s">
        <v>1076</v>
      </c>
      <c r="I4096">
        <v>50849002</v>
      </c>
      <c r="J4096" t="s">
        <v>1163</v>
      </c>
      <c r="K4096">
        <v>146.18</v>
      </c>
      <c r="L4096">
        <v>146.18</v>
      </c>
      <c r="M4096">
        <v>0</v>
      </c>
      <c r="N4096">
        <v>110030002</v>
      </c>
      <c r="O4096" t="s">
        <v>2628</v>
      </c>
    </row>
    <row r="4097" spans="1:15">
      <c r="A4097" t="s">
        <v>5663</v>
      </c>
      <c r="B4097" s="2">
        <v>45428.268425925926</v>
      </c>
      <c r="C4097" s="2">
        <v>45428.27884259259</v>
      </c>
      <c r="D4097" t="s">
        <v>784</v>
      </c>
      <c r="E4097" t="s">
        <v>5653</v>
      </c>
      <c r="F4097" t="s">
        <v>5654</v>
      </c>
      <c r="G4097" t="s">
        <v>1561</v>
      </c>
      <c r="H4097" t="s">
        <v>1031</v>
      </c>
      <c r="I4097">
        <v>185349003</v>
      </c>
      <c r="J4097" t="s">
        <v>1038</v>
      </c>
      <c r="K4097">
        <v>85.55</v>
      </c>
      <c r="L4097">
        <v>85.55</v>
      </c>
      <c r="M4097">
        <v>0</v>
      </c>
      <c r="N4097">
        <v>62564004</v>
      </c>
      <c r="O4097" t="s">
        <v>2630</v>
      </c>
    </row>
    <row r="4098" spans="1:15">
      <c r="A4098" t="s">
        <v>5664</v>
      </c>
      <c r="B4098" s="2">
        <v>46064.32371527778</v>
      </c>
      <c r="C4098" s="2">
        <v>46064.334131944444</v>
      </c>
      <c r="D4098" t="s">
        <v>784</v>
      </c>
      <c r="E4098" t="s">
        <v>5653</v>
      </c>
      <c r="F4098" t="s">
        <v>5654</v>
      </c>
      <c r="G4098" t="s">
        <v>1561</v>
      </c>
      <c r="H4098" t="s">
        <v>1031</v>
      </c>
      <c r="I4098">
        <v>185345009</v>
      </c>
      <c r="J4098" t="s">
        <v>1032</v>
      </c>
      <c r="K4098">
        <v>85.55</v>
      </c>
      <c r="L4098">
        <v>85.55</v>
      </c>
      <c r="M4098">
        <v>0</v>
      </c>
      <c r="N4098">
        <v>444814009</v>
      </c>
      <c r="O4098" t="s">
        <v>1035</v>
      </c>
    </row>
    <row r="4099" spans="1:15">
      <c r="A4099" t="s">
        <v>5665</v>
      </c>
      <c r="B4099" s="2">
        <v>40720.524328703701</v>
      </c>
      <c r="C4099" s="2">
        <v>40720.542986111112</v>
      </c>
      <c r="D4099" t="s">
        <v>794</v>
      </c>
      <c r="E4099" t="s">
        <v>1142</v>
      </c>
      <c r="F4099" t="s">
        <v>1143</v>
      </c>
      <c r="G4099" t="s">
        <v>1325</v>
      </c>
      <c r="H4099" t="s">
        <v>1020</v>
      </c>
      <c r="I4099">
        <v>410620009</v>
      </c>
      <c r="J4099" t="s">
        <v>1054</v>
      </c>
      <c r="K4099">
        <v>136.80000000000001</v>
      </c>
      <c r="L4099">
        <v>568.20000000000005</v>
      </c>
      <c r="M4099">
        <v>0</v>
      </c>
      <c r="O4099" t="s">
        <v>34</v>
      </c>
    </row>
    <row r="4100" spans="1:15">
      <c r="A4100" t="s">
        <v>5666</v>
      </c>
      <c r="B4100" s="2">
        <v>41091.524328703701</v>
      </c>
      <c r="C4100" s="2">
        <v>41091.564282407409</v>
      </c>
      <c r="D4100" t="s">
        <v>794</v>
      </c>
      <c r="E4100" t="s">
        <v>1142</v>
      </c>
      <c r="F4100" t="s">
        <v>1143</v>
      </c>
      <c r="G4100" t="s">
        <v>1325</v>
      </c>
      <c r="H4100" t="s">
        <v>1020</v>
      </c>
      <c r="I4100">
        <v>162673000</v>
      </c>
      <c r="J4100" t="s">
        <v>1021</v>
      </c>
      <c r="K4100">
        <v>136.80000000000001</v>
      </c>
      <c r="L4100">
        <v>704.2</v>
      </c>
      <c r="M4100">
        <v>0</v>
      </c>
      <c r="O4100" t="s">
        <v>34</v>
      </c>
    </row>
    <row r="4101" spans="1:15">
      <c r="A4101" t="s">
        <v>5667</v>
      </c>
      <c r="B4101" s="2">
        <v>42561.524328703701</v>
      </c>
      <c r="C4101" s="2">
        <v>42561.550671296296</v>
      </c>
      <c r="D4101" t="s">
        <v>794</v>
      </c>
      <c r="E4101" t="s">
        <v>1142</v>
      </c>
      <c r="F4101" t="s">
        <v>1143</v>
      </c>
      <c r="G4101" t="s">
        <v>1325</v>
      </c>
      <c r="H4101" t="s">
        <v>1020</v>
      </c>
      <c r="I4101">
        <v>162673000</v>
      </c>
      <c r="J4101" t="s">
        <v>1021</v>
      </c>
      <c r="K4101">
        <v>136.80000000000001</v>
      </c>
      <c r="L4101">
        <v>1402.48</v>
      </c>
      <c r="M4101">
        <v>0</v>
      </c>
      <c r="O4101" t="s">
        <v>34</v>
      </c>
    </row>
    <row r="4102" spans="1:15">
      <c r="A4102" t="s">
        <v>5668</v>
      </c>
      <c r="B4102" s="2">
        <v>42666.649328703701</v>
      </c>
      <c r="C4102" s="2">
        <v>42666.659745370373</v>
      </c>
      <c r="D4102" t="s">
        <v>794</v>
      </c>
      <c r="E4102" t="s">
        <v>5669</v>
      </c>
      <c r="F4102" t="s">
        <v>5670</v>
      </c>
      <c r="G4102" t="s">
        <v>1325</v>
      </c>
      <c r="H4102" t="s">
        <v>1031</v>
      </c>
      <c r="I4102">
        <v>185345009</v>
      </c>
      <c r="J4102" t="s">
        <v>1032</v>
      </c>
      <c r="K4102">
        <v>85.55</v>
      </c>
      <c r="L4102">
        <v>85.55</v>
      </c>
      <c r="M4102">
        <v>0</v>
      </c>
      <c r="N4102">
        <v>195662009</v>
      </c>
      <c r="O4102" t="s">
        <v>1130</v>
      </c>
    </row>
    <row r="4103" spans="1:15">
      <c r="A4103" t="s">
        <v>5671</v>
      </c>
      <c r="B4103" s="2">
        <v>42685.492465277777</v>
      </c>
      <c r="C4103" s="2">
        <v>42685.534131944441</v>
      </c>
      <c r="D4103" t="s">
        <v>794</v>
      </c>
      <c r="E4103" t="s">
        <v>1247</v>
      </c>
      <c r="F4103" t="s">
        <v>1248</v>
      </c>
      <c r="G4103" t="s">
        <v>1325</v>
      </c>
      <c r="H4103" t="s">
        <v>1076</v>
      </c>
      <c r="I4103">
        <v>50849002</v>
      </c>
      <c r="J4103" t="s">
        <v>1163</v>
      </c>
      <c r="K4103">
        <v>146.18</v>
      </c>
      <c r="L4103">
        <v>5249.16</v>
      </c>
      <c r="M4103">
        <v>486.81</v>
      </c>
      <c r="N4103">
        <v>312608009</v>
      </c>
      <c r="O4103" t="s">
        <v>1249</v>
      </c>
    </row>
    <row r="4104" spans="1:15">
      <c r="A4104" t="s">
        <v>5672</v>
      </c>
      <c r="B4104" s="2">
        <v>43660.524328703701</v>
      </c>
      <c r="C4104" s="2">
        <v>43660.548263888886</v>
      </c>
      <c r="D4104" t="s">
        <v>794</v>
      </c>
      <c r="E4104" t="s">
        <v>1142</v>
      </c>
      <c r="F4104" t="s">
        <v>1143</v>
      </c>
      <c r="G4104" t="s">
        <v>1325</v>
      </c>
      <c r="H4104" t="s">
        <v>1020</v>
      </c>
      <c r="I4104">
        <v>162673000</v>
      </c>
      <c r="J4104" t="s">
        <v>1021</v>
      </c>
      <c r="K4104">
        <v>136.80000000000001</v>
      </c>
      <c r="L4104">
        <v>704.2</v>
      </c>
      <c r="M4104">
        <v>0</v>
      </c>
      <c r="O4104" t="s">
        <v>34</v>
      </c>
    </row>
    <row r="4105" spans="1:15">
      <c r="A4105" t="s">
        <v>5673</v>
      </c>
      <c r="B4105" s="2">
        <v>43674.524328703701</v>
      </c>
      <c r="C4105" s="2">
        <v>43674.648854166669</v>
      </c>
      <c r="D4105" t="s">
        <v>794</v>
      </c>
      <c r="E4105" t="s">
        <v>5669</v>
      </c>
      <c r="F4105" t="s">
        <v>5670</v>
      </c>
      <c r="G4105" t="s">
        <v>1325</v>
      </c>
      <c r="H4105" t="s">
        <v>1031</v>
      </c>
      <c r="I4105">
        <v>185349003</v>
      </c>
      <c r="J4105" t="s">
        <v>1038</v>
      </c>
      <c r="K4105">
        <v>85.55</v>
      </c>
      <c r="L4105">
        <v>3105.35</v>
      </c>
      <c r="M4105">
        <v>0</v>
      </c>
      <c r="N4105">
        <v>103697008</v>
      </c>
      <c r="O4105" t="s">
        <v>1039</v>
      </c>
    </row>
    <row r="4106" spans="1:15">
      <c r="A4106" t="s">
        <v>5674</v>
      </c>
      <c r="B4106" s="2">
        <v>43675.065995370373</v>
      </c>
      <c r="C4106" s="2">
        <v>43675.076412037037</v>
      </c>
      <c r="D4106" t="s">
        <v>794</v>
      </c>
      <c r="E4106" t="s">
        <v>5669</v>
      </c>
      <c r="F4106" t="s">
        <v>5670</v>
      </c>
      <c r="G4106" t="s">
        <v>1325</v>
      </c>
      <c r="H4106" t="s">
        <v>1031</v>
      </c>
      <c r="I4106">
        <v>185345009</v>
      </c>
      <c r="J4106" t="s">
        <v>1032</v>
      </c>
      <c r="K4106">
        <v>85.55</v>
      </c>
      <c r="L4106">
        <v>85.55</v>
      </c>
      <c r="M4106">
        <v>0</v>
      </c>
      <c r="N4106">
        <v>444814009</v>
      </c>
      <c r="O4106" t="s">
        <v>1035</v>
      </c>
    </row>
    <row r="4107" spans="1:15">
      <c r="A4107" t="s">
        <v>5675</v>
      </c>
      <c r="B4107" s="2">
        <v>43963.524328703701</v>
      </c>
      <c r="C4107" s="2">
        <v>43963.594594907408</v>
      </c>
      <c r="D4107" t="s">
        <v>794</v>
      </c>
      <c r="E4107" t="s">
        <v>5669</v>
      </c>
      <c r="F4107" t="s">
        <v>5670</v>
      </c>
      <c r="G4107" t="s">
        <v>1325</v>
      </c>
      <c r="H4107" t="s">
        <v>1031</v>
      </c>
      <c r="I4107">
        <v>185345009</v>
      </c>
      <c r="J4107" t="s">
        <v>1032</v>
      </c>
      <c r="K4107">
        <v>85.55</v>
      </c>
      <c r="L4107">
        <v>9695.2000000000007</v>
      </c>
      <c r="M4107">
        <v>2238.69</v>
      </c>
      <c r="N4107">
        <v>307426000</v>
      </c>
      <c r="O4107" t="s">
        <v>1097</v>
      </c>
    </row>
    <row r="4108" spans="1:15">
      <c r="A4108" t="s">
        <v>5676</v>
      </c>
      <c r="B4108" s="2">
        <v>44353.524328703701</v>
      </c>
      <c r="C4108" s="2">
        <v>44353.534745370373</v>
      </c>
      <c r="D4108" t="s">
        <v>794</v>
      </c>
      <c r="E4108" t="s">
        <v>5669</v>
      </c>
      <c r="F4108" t="s">
        <v>5670</v>
      </c>
      <c r="G4108" t="s">
        <v>1325</v>
      </c>
      <c r="H4108" t="s">
        <v>1043</v>
      </c>
      <c r="I4108">
        <v>33879002</v>
      </c>
      <c r="J4108" t="s">
        <v>1044</v>
      </c>
      <c r="K4108">
        <v>142.58000000000001</v>
      </c>
      <c r="L4108">
        <v>278.58</v>
      </c>
      <c r="M4108">
        <v>0</v>
      </c>
      <c r="O4108" t="s">
        <v>34</v>
      </c>
    </row>
    <row r="4109" spans="1:15">
      <c r="A4109" t="s">
        <v>5677</v>
      </c>
      <c r="B4109" s="2">
        <v>44381.524328703701</v>
      </c>
      <c r="C4109" s="2">
        <v>44381.534745370373</v>
      </c>
      <c r="D4109" t="s">
        <v>794</v>
      </c>
      <c r="E4109" t="s">
        <v>5669</v>
      </c>
      <c r="F4109" t="s">
        <v>5670</v>
      </c>
      <c r="G4109" t="s">
        <v>1325</v>
      </c>
      <c r="H4109" t="s">
        <v>1043</v>
      </c>
      <c r="I4109">
        <v>33879002</v>
      </c>
      <c r="J4109" t="s">
        <v>1044</v>
      </c>
      <c r="K4109">
        <v>142.58000000000001</v>
      </c>
      <c r="L4109">
        <v>278.58</v>
      </c>
      <c r="M4109">
        <v>0</v>
      </c>
      <c r="O4109" t="s">
        <v>34</v>
      </c>
    </row>
    <row r="4110" spans="1:15">
      <c r="A4110" t="s">
        <v>5678</v>
      </c>
      <c r="B4110" s="2">
        <v>44759.524328703701</v>
      </c>
      <c r="C4110" s="2">
        <v>44759.557291666664</v>
      </c>
      <c r="D4110" t="s">
        <v>794</v>
      </c>
      <c r="E4110" t="s">
        <v>1142</v>
      </c>
      <c r="F4110" t="s">
        <v>1143</v>
      </c>
      <c r="G4110" t="s">
        <v>1325</v>
      </c>
      <c r="H4110" t="s">
        <v>1020</v>
      </c>
      <c r="I4110">
        <v>162673000</v>
      </c>
      <c r="J4110" t="s">
        <v>1021</v>
      </c>
      <c r="K4110">
        <v>136.80000000000001</v>
      </c>
      <c r="L4110">
        <v>778.78</v>
      </c>
      <c r="M4110">
        <v>0</v>
      </c>
      <c r="O4110" t="s">
        <v>34</v>
      </c>
    </row>
    <row r="4111" spans="1:15">
      <c r="A4111" t="s">
        <v>5679</v>
      </c>
      <c r="B4111" s="2">
        <v>44773.524328703701</v>
      </c>
      <c r="C4111" s="2">
        <v>44773.664293981485</v>
      </c>
      <c r="D4111" t="s">
        <v>794</v>
      </c>
      <c r="E4111" t="s">
        <v>5669</v>
      </c>
      <c r="F4111" t="s">
        <v>5670</v>
      </c>
      <c r="G4111" t="s">
        <v>1325</v>
      </c>
      <c r="H4111" t="s">
        <v>1031</v>
      </c>
      <c r="I4111">
        <v>185349003</v>
      </c>
      <c r="J4111" t="s">
        <v>1038</v>
      </c>
      <c r="K4111">
        <v>85.55</v>
      </c>
      <c r="L4111">
        <v>3536.75</v>
      </c>
      <c r="M4111">
        <v>0</v>
      </c>
      <c r="N4111">
        <v>103697008</v>
      </c>
      <c r="O4111" t="s">
        <v>1039</v>
      </c>
    </row>
    <row r="4112" spans="1:15">
      <c r="A4112" t="s">
        <v>5680</v>
      </c>
      <c r="B4112" s="2">
        <v>45077.690995370373</v>
      </c>
      <c r="C4112" s="2">
        <v>45077.701412037037</v>
      </c>
      <c r="D4112" t="s">
        <v>794</v>
      </c>
      <c r="E4112" t="s">
        <v>5669</v>
      </c>
      <c r="F4112" t="s">
        <v>5670</v>
      </c>
      <c r="G4112" t="s">
        <v>1325</v>
      </c>
      <c r="H4112" t="s">
        <v>1031</v>
      </c>
      <c r="I4112">
        <v>185345009</v>
      </c>
      <c r="J4112" t="s">
        <v>1032</v>
      </c>
      <c r="K4112">
        <v>85.55</v>
      </c>
      <c r="L4112">
        <v>85.55</v>
      </c>
      <c r="M4112">
        <v>0</v>
      </c>
      <c r="N4112">
        <v>195662009</v>
      </c>
      <c r="O4112" t="s">
        <v>1130</v>
      </c>
    </row>
    <row r="4113" spans="1:15">
      <c r="A4113" t="s">
        <v>5681</v>
      </c>
      <c r="B4113" s="2">
        <v>45648.521643518521</v>
      </c>
      <c r="C4113" s="2">
        <v>45648.563310185185</v>
      </c>
      <c r="D4113" t="s">
        <v>794</v>
      </c>
      <c r="E4113" t="s">
        <v>1247</v>
      </c>
      <c r="F4113" t="s">
        <v>1248</v>
      </c>
      <c r="G4113" t="s">
        <v>1325</v>
      </c>
      <c r="H4113" t="s">
        <v>1076</v>
      </c>
      <c r="I4113">
        <v>50849002</v>
      </c>
      <c r="J4113" t="s">
        <v>1163</v>
      </c>
      <c r="K4113">
        <v>146.18</v>
      </c>
      <c r="L4113">
        <v>146.18</v>
      </c>
      <c r="M4113">
        <v>0</v>
      </c>
      <c r="N4113">
        <v>384709000</v>
      </c>
      <c r="O4113" t="s">
        <v>1164</v>
      </c>
    </row>
    <row r="4114" spans="1:15">
      <c r="A4114" t="s">
        <v>5682</v>
      </c>
      <c r="B4114" s="2">
        <v>45858.524328703701</v>
      </c>
      <c r="C4114" s="2">
        <v>45858.559629629628</v>
      </c>
      <c r="D4114" t="s">
        <v>794</v>
      </c>
      <c r="E4114" t="s">
        <v>1142</v>
      </c>
      <c r="F4114" t="s">
        <v>1143</v>
      </c>
      <c r="G4114" t="s">
        <v>1325</v>
      </c>
      <c r="H4114" t="s">
        <v>1020</v>
      </c>
      <c r="I4114">
        <v>162673000</v>
      </c>
      <c r="J4114" t="s">
        <v>1021</v>
      </c>
      <c r="K4114">
        <v>136.80000000000001</v>
      </c>
      <c r="L4114">
        <v>914.78</v>
      </c>
      <c r="M4114">
        <v>0</v>
      </c>
      <c r="O4114" t="s">
        <v>34</v>
      </c>
    </row>
    <row r="4115" spans="1:15">
      <c r="A4115" t="s">
        <v>5683</v>
      </c>
      <c r="B4115" s="2">
        <v>46173.732662037037</v>
      </c>
      <c r="C4115" s="2">
        <v>46173.743078703701</v>
      </c>
      <c r="D4115" t="s">
        <v>794</v>
      </c>
      <c r="E4115" t="s">
        <v>5669</v>
      </c>
      <c r="F4115" t="s">
        <v>5670</v>
      </c>
      <c r="G4115" t="s">
        <v>1325</v>
      </c>
      <c r="H4115" t="s">
        <v>1031</v>
      </c>
      <c r="I4115">
        <v>185345009</v>
      </c>
      <c r="J4115" t="s">
        <v>1032</v>
      </c>
      <c r="K4115">
        <v>85.55</v>
      </c>
      <c r="L4115">
        <v>948.35</v>
      </c>
      <c r="M4115">
        <v>0</v>
      </c>
      <c r="N4115">
        <v>195662009</v>
      </c>
      <c r="O4115" t="s">
        <v>1130</v>
      </c>
    </row>
    <row r="4116" spans="1:15">
      <c r="A4116" t="s">
        <v>5684</v>
      </c>
      <c r="B4116" s="2">
        <v>29093.781030092592</v>
      </c>
      <c r="C4116" s="2">
        <v>29093.811469907407</v>
      </c>
      <c r="D4116" t="s">
        <v>803</v>
      </c>
      <c r="E4116" t="s">
        <v>5685</v>
      </c>
      <c r="F4116" t="s">
        <v>5686</v>
      </c>
      <c r="G4116" t="s">
        <v>1019</v>
      </c>
      <c r="H4116" t="s">
        <v>1020</v>
      </c>
      <c r="I4116">
        <v>162673000</v>
      </c>
      <c r="J4116" t="s">
        <v>1021</v>
      </c>
      <c r="K4116">
        <v>136.80000000000001</v>
      </c>
      <c r="L4116">
        <v>704.2</v>
      </c>
      <c r="M4116">
        <v>0</v>
      </c>
      <c r="O4116" t="s">
        <v>34</v>
      </c>
    </row>
    <row r="4117" spans="1:15">
      <c r="A4117" t="s">
        <v>5687</v>
      </c>
      <c r="B4117" s="2">
        <v>32977.906030092592</v>
      </c>
      <c r="C4117" s="2">
        <v>32980.691736111112</v>
      </c>
      <c r="D4117" t="s">
        <v>803</v>
      </c>
      <c r="E4117" t="s">
        <v>5688</v>
      </c>
      <c r="F4117" t="s">
        <v>5689</v>
      </c>
      <c r="G4117" t="s">
        <v>1019</v>
      </c>
      <c r="H4117" t="s">
        <v>1431</v>
      </c>
      <c r="I4117">
        <v>185347001</v>
      </c>
      <c r="J4117" t="s">
        <v>1124</v>
      </c>
      <c r="K4117">
        <v>87.71</v>
      </c>
      <c r="L4117">
        <v>5423.98</v>
      </c>
      <c r="M4117">
        <v>0</v>
      </c>
      <c r="N4117">
        <v>74400008</v>
      </c>
      <c r="O4117" t="s">
        <v>1427</v>
      </c>
    </row>
    <row r="4118" spans="1:15">
      <c r="A4118" t="s">
        <v>5690</v>
      </c>
      <c r="B4118" s="2">
        <v>33391.781030092592</v>
      </c>
      <c r="C4118" s="2">
        <v>33391.820011574076</v>
      </c>
      <c r="D4118" t="s">
        <v>803</v>
      </c>
      <c r="E4118" t="s">
        <v>5688</v>
      </c>
      <c r="F4118" t="s">
        <v>5689</v>
      </c>
      <c r="G4118" t="s">
        <v>1093</v>
      </c>
      <c r="H4118" t="s">
        <v>1043</v>
      </c>
      <c r="I4118">
        <v>185349003</v>
      </c>
      <c r="J4118" t="s">
        <v>1038</v>
      </c>
      <c r="K4118">
        <v>85.55</v>
      </c>
      <c r="L4118">
        <v>652.95000000000005</v>
      </c>
      <c r="M4118">
        <v>602.95000000000005</v>
      </c>
      <c r="O4118" t="s">
        <v>34</v>
      </c>
    </row>
    <row r="4119" spans="1:15">
      <c r="A4119" t="s">
        <v>5691</v>
      </c>
      <c r="B4119" s="2">
        <v>35631.781030092592</v>
      </c>
      <c r="C4119" s="2">
        <v>35631.811631944445</v>
      </c>
      <c r="D4119" t="s">
        <v>803</v>
      </c>
      <c r="E4119" t="s">
        <v>5685</v>
      </c>
      <c r="F4119" t="s">
        <v>5686</v>
      </c>
      <c r="G4119" t="s">
        <v>1093</v>
      </c>
      <c r="H4119" t="s">
        <v>1020</v>
      </c>
      <c r="I4119">
        <v>162673000</v>
      </c>
      <c r="J4119" t="s">
        <v>1021</v>
      </c>
      <c r="K4119">
        <v>136.80000000000001</v>
      </c>
      <c r="L4119">
        <v>704.2</v>
      </c>
      <c r="M4119">
        <v>554.20000000000005</v>
      </c>
      <c r="O4119" t="s">
        <v>34</v>
      </c>
    </row>
    <row r="4120" spans="1:15">
      <c r="A4120" t="s">
        <v>5692</v>
      </c>
      <c r="B4120" s="2">
        <v>36719.781030092592</v>
      </c>
      <c r="C4120" s="2">
        <v>36719.791446759256</v>
      </c>
      <c r="D4120" t="s">
        <v>803</v>
      </c>
      <c r="E4120" t="s">
        <v>5688</v>
      </c>
      <c r="F4120" t="s">
        <v>5689</v>
      </c>
      <c r="G4120" t="s">
        <v>1019</v>
      </c>
      <c r="H4120" t="s">
        <v>1031</v>
      </c>
      <c r="I4120">
        <v>424619006</v>
      </c>
      <c r="J4120" t="s">
        <v>1062</v>
      </c>
      <c r="K4120">
        <v>142.58000000000001</v>
      </c>
      <c r="L4120">
        <v>1005.38</v>
      </c>
      <c r="M4120">
        <v>0</v>
      </c>
      <c r="N4120">
        <v>156073000</v>
      </c>
      <c r="O4120" t="s">
        <v>1397</v>
      </c>
    </row>
    <row r="4121" spans="1:15">
      <c r="A4121" t="s">
        <v>5693</v>
      </c>
      <c r="B4121" s="2">
        <v>36744.781030092592</v>
      </c>
      <c r="C4121" s="2">
        <v>36744.802581018521</v>
      </c>
      <c r="D4121" t="s">
        <v>803</v>
      </c>
      <c r="E4121" t="s">
        <v>5685</v>
      </c>
      <c r="F4121" t="s">
        <v>5686</v>
      </c>
      <c r="G4121" t="s">
        <v>1019</v>
      </c>
      <c r="H4121" t="s">
        <v>1020</v>
      </c>
      <c r="I4121">
        <v>162673000</v>
      </c>
      <c r="J4121" t="s">
        <v>1021</v>
      </c>
      <c r="K4121">
        <v>136.80000000000001</v>
      </c>
      <c r="L4121">
        <v>917</v>
      </c>
      <c r="M4121">
        <v>0</v>
      </c>
      <c r="O4121" t="s">
        <v>34</v>
      </c>
    </row>
    <row r="4122" spans="1:15">
      <c r="A4122" t="s">
        <v>5694</v>
      </c>
      <c r="B4122" s="2">
        <v>38242.781030092592</v>
      </c>
      <c r="C4122" s="2">
        <v>38242.818055555559</v>
      </c>
      <c r="D4122" t="s">
        <v>803</v>
      </c>
      <c r="E4122" t="s">
        <v>5685</v>
      </c>
      <c r="F4122" t="s">
        <v>5686</v>
      </c>
      <c r="G4122" t="s">
        <v>1019</v>
      </c>
      <c r="H4122" t="s">
        <v>1020</v>
      </c>
      <c r="I4122">
        <v>162673000</v>
      </c>
      <c r="J4122" t="s">
        <v>1021</v>
      </c>
      <c r="K4122">
        <v>136.80000000000001</v>
      </c>
      <c r="L4122">
        <v>1075.8599999999999</v>
      </c>
      <c r="M4122">
        <v>0</v>
      </c>
      <c r="O4122" t="s">
        <v>34</v>
      </c>
    </row>
    <row r="4123" spans="1:15">
      <c r="A4123" t="s">
        <v>5695</v>
      </c>
      <c r="B4123" s="2">
        <v>39726.781030092592</v>
      </c>
      <c r="C4123" s="2">
        <v>39726.811412037037</v>
      </c>
      <c r="D4123" t="s">
        <v>803</v>
      </c>
      <c r="E4123" t="s">
        <v>5685</v>
      </c>
      <c r="F4123" t="s">
        <v>5686</v>
      </c>
      <c r="G4123" t="s">
        <v>1019</v>
      </c>
      <c r="H4123" t="s">
        <v>1020</v>
      </c>
      <c r="I4123">
        <v>162673000</v>
      </c>
      <c r="J4123" t="s">
        <v>1021</v>
      </c>
      <c r="K4123">
        <v>136.80000000000001</v>
      </c>
      <c r="L4123">
        <v>785.58</v>
      </c>
      <c r="M4123">
        <v>0</v>
      </c>
      <c r="O4123" t="s">
        <v>34</v>
      </c>
    </row>
    <row r="4124" spans="1:15">
      <c r="A4124" t="s">
        <v>5696</v>
      </c>
      <c r="B4124" s="2">
        <v>41952.739363425928</v>
      </c>
      <c r="C4124" s="2">
        <v>41952.770439814813</v>
      </c>
      <c r="D4124" t="s">
        <v>803</v>
      </c>
      <c r="E4124" t="s">
        <v>5685</v>
      </c>
      <c r="F4124" t="s">
        <v>5686</v>
      </c>
      <c r="G4124" t="s">
        <v>1019</v>
      </c>
      <c r="H4124" t="s">
        <v>1020</v>
      </c>
      <c r="I4124">
        <v>162673000</v>
      </c>
      <c r="J4124" t="s">
        <v>1021</v>
      </c>
      <c r="K4124">
        <v>136.80000000000001</v>
      </c>
      <c r="L4124">
        <v>1648.38</v>
      </c>
      <c r="M4124">
        <v>0</v>
      </c>
      <c r="O4124" t="s">
        <v>34</v>
      </c>
    </row>
    <row r="4125" spans="1:15">
      <c r="A4125" t="s">
        <v>5697</v>
      </c>
      <c r="B4125" s="2">
        <v>42323.739363425928</v>
      </c>
      <c r="C4125" s="2">
        <v>42323.768460648149</v>
      </c>
      <c r="D4125" t="s">
        <v>803</v>
      </c>
      <c r="E4125" t="s">
        <v>5685</v>
      </c>
      <c r="F4125" t="s">
        <v>5686</v>
      </c>
      <c r="G4125" t="s">
        <v>1019</v>
      </c>
      <c r="H4125" t="s">
        <v>1020</v>
      </c>
      <c r="I4125">
        <v>162673000</v>
      </c>
      <c r="J4125" t="s">
        <v>1021</v>
      </c>
      <c r="K4125">
        <v>136.80000000000001</v>
      </c>
      <c r="L4125">
        <v>860.16</v>
      </c>
      <c r="M4125">
        <v>0</v>
      </c>
      <c r="O4125" t="s">
        <v>34</v>
      </c>
    </row>
    <row r="4126" spans="1:15">
      <c r="A4126" t="s">
        <v>5698</v>
      </c>
      <c r="B4126" s="2">
        <v>42400.739363425928</v>
      </c>
      <c r="C4126" s="2">
        <v>42400.76866898148</v>
      </c>
      <c r="D4126" t="s">
        <v>803</v>
      </c>
      <c r="E4126" t="s">
        <v>5688</v>
      </c>
      <c r="F4126" t="s">
        <v>5689</v>
      </c>
      <c r="G4126" t="s">
        <v>1019</v>
      </c>
      <c r="H4126" t="s">
        <v>1043</v>
      </c>
      <c r="I4126">
        <v>185349003</v>
      </c>
      <c r="J4126" t="s">
        <v>1038</v>
      </c>
      <c r="K4126">
        <v>85.55</v>
      </c>
      <c r="L4126">
        <v>734.33</v>
      </c>
      <c r="M4126">
        <v>0</v>
      </c>
      <c r="O4126" t="s">
        <v>34</v>
      </c>
    </row>
    <row r="4127" spans="1:15">
      <c r="A4127" t="s">
        <v>5699</v>
      </c>
      <c r="B4127" s="2">
        <v>42694.739363425928</v>
      </c>
      <c r="C4127" s="2">
        <v>42694.768877314818</v>
      </c>
      <c r="D4127" t="s">
        <v>803</v>
      </c>
      <c r="E4127" t="s">
        <v>5685</v>
      </c>
      <c r="F4127" t="s">
        <v>5686</v>
      </c>
      <c r="G4127" t="s">
        <v>1019</v>
      </c>
      <c r="H4127" t="s">
        <v>1020</v>
      </c>
      <c r="I4127">
        <v>162673000</v>
      </c>
      <c r="J4127" t="s">
        <v>1021</v>
      </c>
      <c r="K4127">
        <v>136.80000000000001</v>
      </c>
      <c r="L4127">
        <v>724.16</v>
      </c>
      <c r="M4127">
        <v>0</v>
      </c>
      <c r="O4127" t="s">
        <v>34</v>
      </c>
    </row>
    <row r="4128" spans="1:15">
      <c r="A4128" t="s">
        <v>5700</v>
      </c>
      <c r="B4128" s="2">
        <v>42708.739363425928</v>
      </c>
      <c r="C4128" s="2">
        <v>42708.972986111112</v>
      </c>
      <c r="D4128" t="s">
        <v>803</v>
      </c>
      <c r="E4128" t="s">
        <v>5688</v>
      </c>
      <c r="F4128" t="s">
        <v>5689</v>
      </c>
      <c r="G4128" t="s">
        <v>1019</v>
      </c>
      <c r="H4128" t="s">
        <v>1031</v>
      </c>
      <c r="I4128">
        <v>185349003</v>
      </c>
      <c r="J4128" t="s">
        <v>1038</v>
      </c>
      <c r="K4128">
        <v>85.55</v>
      </c>
      <c r="L4128">
        <v>4399.55</v>
      </c>
      <c r="M4128">
        <v>0</v>
      </c>
      <c r="N4128">
        <v>66383009</v>
      </c>
      <c r="O4128" t="s">
        <v>1209</v>
      </c>
    </row>
    <row r="4129" spans="1:15">
      <c r="A4129" t="s">
        <v>5701</v>
      </c>
      <c r="B4129" s="2">
        <v>42879.697696759256</v>
      </c>
      <c r="C4129" s="2">
        <v>42879.708113425928</v>
      </c>
      <c r="D4129" t="s">
        <v>803</v>
      </c>
      <c r="E4129" t="s">
        <v>5688</v>
      </c>
      <c r="F4129" t="s">
        <v>5689</v>
      </c>
      <c r="G4129" t="s">
        <v>1019</v>
      </c>
      <c r="H4129" t="s">
        <v>1031</v>
      </c>
      <c r="I4129">
        <v>185345009</v>
      </c>
      <c r="J4129" t="s">
        <v>1032</v>
      </c>
      <c r="K4129">
        <v>85.55</v>
      </c>
      <c r="L4129">
        <v>85.55</v>
      </c>
      <c r="M4129">
        <v>0</v>
      </c>
      <c r="N4129">
        <v>444814009</v>
      </c>
      <c r="O4129" t="s">
        <v>1035</v>
      </c>
    </row>
    <row r="4130" spans="1:15">
      <c r="A4130" t="s">
        <v>5702</v>
      </c>
      <c r="B4130" s="2">
        <v>43065.739363425928</v>
      </c>
      <c r="C4130" s="2">
        <v>43065.762766203705</v>
      </c>
      <c r="D4130" t="s">
        <v>803</v>
      </c>
      <c r="E4130" t="s">
        <v>5685</v>
      </c>
      <c r="F4130" t="s">
        <v>5686</v>
      </c>
      <c r="G4130" t="s">
        <v>1019</v>
      </c>
      <c r="H4130" t="s">
        <v>1020</v>
      </c>
      <c r="I4130">
        <v>162673000</v>
      </c>
      <c r="J4130" t="s">
        <v>1021</v>
      </c>
      <c r="K4130">
        <v>136.80000000000001</v>
      </c>
      <c r="L4130">
        <v>1209.29</v>
      </c>
      <c r="M4130">
        <v>0</v>
      </c>
      <c r="O4130" t="s">
        <v>34</v>
      </c>
    </row>
    <row r="4131" spans="1:15">
      <c r="A4131" t="s">
        <v>5703</v>
      </c>
      <c r="B4131" s="2">
        <v>43079.739363425928</v>
      </c>
      <c r="C4131" s="2">
        <v>43079.771782407406</v>
      </c>
      <c r="D4131" t="s">
        <v>803</v>
      </c>
      <c r="E4131" t="s">
        <v>5688</v>
      </c>
      <c r="F4131" t="s">
        <v>5689</v>
      </c>
      <c r="G4131" t="s">
        <v>1019</v>
      </c>
      <c r="H4131" t="s">
        <v>1043</v>
      </c>
      <c r="I4131">
        <v>185349003</v>
      </c>
      <c r="J4131" t="s">
        <v>1038</v>
      </c>
      <c r="K4131">
        <v>85.55</v>
      </c>
      <c r="L4131">
        <v>598.33000000000004</v>
      </c>
      <c r="M4131">
        <v>0</v>
      </c>
      <c r="O4131" t="s">
        <v>34</v>
      </c>
    </row>
    <row r="4132" spans="1:15">
      <c r="A4132" t="s">
        <v>5704</v>
      </c>
      <c r="B4132" s="2">
        <v>43086.739363425928</v>
      </c>
      <c r="C4132" s="2">
        <v>43086.749780092592</v>
      </c>
      <c r="D4132" t="s">
        <v>803</v>
      </c>
      <c r="E4132" t="s">
        <v>5688</v>
      </c>
      <c r="F4132" t="s">
        <v>5689</v>
      </c>
      <c r="G4132" t="s">
        <v>1019</v>
      </c>
      <c r="H4132" t="s">
        <v>1031</v>
      </c>
      <c r="I4132">
        <v>185345009</v>
      </c>
      <c r="J4132" t="s">
        <v>1032</v>
      </c>
      <c r="K4132">
        <v>85.55</v>
      </c>
      <c r="L4132">
        <v>85.55</v>
      </c>
      <c r="M4132">
        <v>0</v>
      </c>
      <c r="N4132">
        <v>444814009</v>
      </c>
      <c r="O4132" t="s">
        <v>1035</v>
      </c>
    </row>
    <row r="4133" spans="1:15">
      <c r="A4133" t="s">
        <v>5705</v>
      </c>
      <c r="B4133" s="2">
        <v>43093.739363425928</v>
      </c>
      <c r="C4133" s="2">
        <v>43093.916446759256</v>
      </c>
      <c r="D4133" t="s">
        <v>803</v>
      </c>
      <c r="E4133" t="s">
        <v>5688</v>
      </c>
      <c r="F4133" t="s">
        <v>5689</v>
      </c>
      <c r="G4133" t="s">
        <v>1019</v>
      </c>
      <c r="H4133" t="s">
        <v>1031</v>
      </c>
      <c r="I4133">
        <v>185349003</v>
      </c>
      <c r="J4133" t="s">
        <v>1038</v>
      </c>
      <c r="K4133">
        <v>85.55</v>
      </c>
      <c r="L4133">
        <v>3968.15</v>
      </c>
      <c r="M4133">
        <v>0</v>
      </c>
      <c r="N4133">
        <v>103697008</v>
      </c>
      <c r="O4133" t="s">
        <v>1039</v>
      </c>
    </row>
    <row r="4134" spans="1:15">
      <c r="A4134" t="s">
        <v>5706</v>
      </c>
      <c r="B4134" s="2">
        <v>43436.739363425928</v>
      </c>
      <c r="C4134" s="2">
        <v>43436.770173611112</v>
      </c>
      <c r="D4134" t="s">
        <v>803</v>
      </c>
      <c r="E4134" t="s">
        <v>5685</v>
      </c>
      <c r="F4134" t="s">
        <v>5686</v>
      </c>
      <c r="G4134" t="s">
        <v>1019</v>
      </c>
      <c r="H4134" t="s">
        <v>1020</v>
      </c>
      <c r="I4134">
        <v>162673000</v>
      </c>
      <c r="J4134" t="s">
        <v>1021</v>
      </c>
      <c r="K4134">
        <v>136.80000000000001</v>
      </c>
      <c r="L4134">
        <v>1001.28</v>
      </c>
      <c r="M4134">
        <v>0</v>
      </c>
      <c r="O4134" t="s">
        <v>34</v>
      </c>
    </row>
    <row r="4135" spans="1:15">
      <c r="A4135" t="s">
        <v>5707</v>
      </c>
      <c r="B4135" s="2">
        <v>43450.739363425928</v>
      </c>
      <c r="C4135" s="2">
        <v>43450.90247685185</v>
      </c>
      <c r="D4135" t="s">
        <v>803</v>
      </c>
      <c r="E4135" t="s">
        <v>5688</v>
      </c>
      <c r="F4135" t="s">
        <v>5689</v>
      </c>
      <c r="G4135" t="s">
        <v>1019</v>
      </c>
      <c r="H4135" t="s">
        <v>1031</v>
      </c>
      <c r="I4135">
        <v>185349003</v>
      </c>
      <c r="J4135" t="s">
        <v>1038</v>
      </c>
      <c r="K4135">
        <v>85.55</v>
      </c>
      <c r="L4135">
        <v>3536.75</v>
      </c>
      <c r="M4135">
        <v>0</v>
      </c>
      <c r="N4135">
        <v>66383009</v>
      </c>
      <c r="O4135" t="s">
        <v>1209</v>
      </c>
    </row>
    <row r="4136" spans="1:15">
      <c r="A4136" t="s">
        <v>5708</v>
      </c>
      <c r="B4136" s="2">
        <v>43807.739363425928</v>
      </c>
      <c r="C4136" s="2">
        <v>43807.771747685183</v>
      </c>
      <c r="D4136" t="s">
        <v>803</v>
      </c>
      <c r="E4136" t="s">
        <v>5685</v>
      </c>
      <c r="F4136" t="s">
        <v>5686</v>
      </c>
      <c r="G4136" t="s">
        <v>1019</v>
      </c>
      <c r="H4136" t="s">
        <v>1020</v>
      </c>
      <c r="I4136">
        <v>162673000</v>
      </c>
      <c r="J4136" t="s">
        <v>1021</v>
      </c>
      <c r="K4136">
        <v>136.80000000000001</v>
      </c>
      <c r="L4136">
        <v>860.16</v>
      </c>
      <c r="M4136">
        <v>0</v>
      </c>
      <c r="O4136" t="s">
        <v>34</v>
      </c>
    </row>
    <row r="4137" spans="1:15">
      <c r="A4137" t="s">
        <v>5709</v>
      </c>
      <c r="B4137" s="2">
        <v>44065.156030092592</v>
      </c>
      <c r="C4137" s="2">
        <v>44065.166446759256</v>
      </c>
      <c r="D4137" t="s">
        <v>803</v>
      </c>
      <c r="E4137" t="s">
        <v>5688</v>
      </c>
      <c r="F4137" t="s">
        <v>5689</v>
      </c>
      <c r="G4137" t="s">
        <v>1019</v>
      </c>
      <c r="H4137" t="s">
        <v>1031</v>
      </c>
      <c r="I4137">
        <v>185345009</v>
      </c>
      <c r="J4137" t="s">
        <v>1032</v>
      </c>
      <c r="K4137">
        <v>85.55</v>
      </c>
      <c r="L4137">
        <v>85.55</v>
      </c>
      <c r="M4137">
        <v>0</v>
      </c>
      <c r="N4137">
        <v>444814009</v>
      </c>
      <c r="O4137" t="s">
        <v>1035</v>
      </c>
    </row>
    <row r="4138" spans="1:15">
      <c r="A4138" t="s">
        <v>5710</v>
      </c>
      <c r="B4138" s="2">
        <v>44178.739363425928</v>
      </c>
      <c r="C4138" s="2">
        <v>44178.775601851848</v>
      </c>
      <c r="D4138" t="s">
        <v>803</v>
      </c>
      <c r="E4138" t="s">
        <v>5685</v>
      </c>
      <c r="F4138" t="s">
        <v>5686</v>
      </c>
      <c r="G4138" t="s">
        <v>1019</v>
      </c>
      <c r="H4138" t="s">
        <v>1020</v>
      </c>
      <c r="I4138">
        <v>162673000</v>
      </c>
      <c r="J4138" t="s">
        <v>1021</v>
      </c>
      <c r="K4138">
        <v>136.80000000000001</v>
      </c>
      <c r="L4138">
        <v>860.16</v>
      </c>
      <c r="M4138">
        <v>0</v>
      </c>
      <c r="O4138" t="s">
        <v>34</v>
      </c>
    </row>
    <row r="4139" spans="1:15">
      <c r="A4139" t="s">
        <v>5711</v>
      </c>
      <c r="B4139" s="2">
        <v>44192.739363425928</v>
      </c>
      <c r="C4139" s="2">
        <v>44192.749780092592</v>
      </c>
      <c r="D4139" t="s">
        <v>803</v>
      </c>
      <c r="E4139" t="s">
        <v>5688</v>
      </c>
      <c r="F4139" t="s">
        <v>5689</v>
      </c>
      <c r="G4139" t="s">
        <v>1019</v>
      </c>
      <c r="H4139" t="s">
        <v>1043</v>
      </c>
      <c r="I4139">
        <v>33879002</v>
      </c>
      <c r="J4139" t="s">
        <v>1044</v>
      </c>
      <c r="K4139">
        <v>142.58000000000001</v>
      </c>
      <c r="L4139">
        <v>278.58</v>
      </c>
      <c r="M4139">
        <v>0</v>
      </c>
      <c r="O4139" t="s">
        <v>34</v>
      </c>
    </row>
    <row r="4140" spans="1:15">
      <c r="A4140" t="s">
        <v>5712</v>
      </c>
      <c r="B4140" s="2">
        <v>44220.739363425928</v>
      </c>
      <c r="C4140" s="2">
        <v>44220.749780092592</v>
      </c>
      <c r="D4140" t="s">
        <v>803</v>
      </c>
      <c r="E4140" t="s">
        <v>5688</v>
      </c>
      <c r="F4140" t="s">
        <v>5689</v>
      </c>
      <c r="G4140" t="s">
        <v>1019</v>
      </c>
      <c r="H4140" t="s">
        <v>1043</v>
      </c>
      <c r="I4140">
        <v>33879002</v>
      </c>
      <c r="J4140" t="s">
        <v>1044</v>
      </c>
      <c r="K4140">
        <v>142.58000000000001</v>
      </c>
      <c r="L4140">
        <v>278.58</v>
      </c>
      <c r="M4140">
        <v>0</v>
      </c>
      <c r="O4140" t="s">
        <v>34</v>
      </c>
    </row>
    <row r="4141" spans="1:15">
      <c r="A4141" t="s">
        <v>5713</v>
      </c>
      <c r="B4141" s="2">
        <v>44379.822442129633</v>
      </c>
      <c r="C4141" s="2">
        <v>44379.844027777777</v>
      </c>
      <c r="D4141" t="s">
        <v>803</v>
      </c>
      <c r="E4141" t="s">
        <v>5688</v>
      </c>
      <c r="F4141" t="s">
        <v>5689</v>
      </c>
      <c r="G4141" t="s">
        <v>1019</v>
      </c>
      <c r="H4141" t="s">
        <v>1031</v>
      </c>
      <c r="I4141">
        <v>185349003</v>
      </c>
      <c r="J4141" t="s">
        <v>1038</v>
      </c>
      <c r="K4141">
        <v>85.55</v>
      </c>
      <c r="L4141">
        <v>5755.59</v>
      </c>
      <c r="M4141">
        <v>0</v>
      </c>
      <c r="N4141">
        <v>275978004</v>
      </c>
      <c r="O4141" t="s">
        <v>1449</v>
      </c>
    </row>
    <row r="4142" spans="1:15">
      <c r="A4142" t="s">
        <v>5714</v>
      </c>
      <c r="B4142" s="2">
        <v>44549.739363425928</v>
      </c>
      <c r="C4142" s="2">
        <v>44549.772476851853</v>
      </c>
      <c r="D4142" t="s">
        <v>803</v>
      </c>
      <c r="E4142" t="s">
        <v>5685</v>
      </c>
      <c r="F4142" t="s">
        <v>5686</v>
      </c>
      <c r="G4142" t="s">
        <v>1019</v>
      </c>
      <c r="H4142" t="s">
        <v>1020</v>
      </c>
      <c r="I4142">
        <v>162673000</v>
      </c>
      <c r="J4142" t="s">
        <v>1021</v>
      </c>
      <c r="K4142">
        <v>136.80000000000001</v>
      </c>
      <c r="L4142">
        <v>778.78</v>
      </c>
      <c r="M4142">
        <v>0</v>
      </c>
      <c r="O4142" t="s">
        <v>34</v>
      </c>
    </row>
    <row r="4143" spans="1:15">
      <c r="A4143" t="s">
        <v>5715</v>
      </c>
      <c r="B4143" s="2">
        <v>44920.739363425928</v>
      </c>
      <c r="C4143" s="2">
        <v>44920.764803240738</v>
      </c>
      <c r="D4143" t="s">
        <v>803</v>
      </c>
      <c r="E4143" t="s">
        <v>5685</v>
      </c>
      <c r="F4143" t="s">
        <v>5686</v>
      </c>
      <c r="G4143" t="s">
        <v>1019</v>
      </c>
      <c r="H4143" t="s">
        <v>1020</v>
      </c>
      <c r="I4143">
        <v>162673000</v>
      </c>
      <c r="J4143" t="s">
        <v>1021</v>
      </c>
      <c r="K4143">
        <v>136.80000000000001</v>
      </c>
      <c r="L4143">
        <v>1002.96</v>
      </c>
      <c r="M4143">
        <v>0</v>
      </c>
      <c r="O4143" t="s">
        <v>34</v>
      </c>
    </row>
    <row r="4144" spans="1:15">
      <c r="A4144" t="s">
        <v>5716</v>
      </c>
      <c r="B4144" s="2">
        <v>45291.739363425928</v>
      </c>
      <c r="C4144" s="2">
        <v>45291.780995370369</v>
      </c>
      <c r="D4144" t="s">
        <v>803</v>
      </c>
      <c r="E4144" t="s">
        <v>5685</v>
      </c>
      <c r="F4144" t="s">
        <v>5686</v>
      </c>
      <c r="G4144" t="s">
        <v>1019</v>
      </c>
      <c r="H4144" t="s">
        <v>1020</v>
      </c>
      <c r="I4144">
        <v>162673000</v>
      </c>
      <c r="J4144" t="s">
        <v>1021</v>
      </c>
      <c r="K4144">
        <v>136.80000000000001</v>
      </c>
      <c r="L4144">
        <v>778.78</v>
      </c>
      <c r="M4144">
        <v>0</v>
      </c>
      <c r="O4144" t="s">
        <v>34</v>
      </c>
    </row>
    <row r="4145" spans="1:15">
      <c r="A4145" t="s">
        <v>5717</v>
      </c>
      <c r="B4145" s="2">
        <v>45305.739363425928</v>
      </c>
      <c r="C4145" s="2">
        <v>45305.967013888891</v>
      </c>
      <c r="D4145" t="s">
        <v>803</v>
      </c>
      <c r="E4145" t="s">
        <v>5688</v>
      </c>
      <c r="F4145" t="s">
        <v>5689</v>
      </c>
      <c r="G4145" t="s">
        <v>1019</v>
      </c>
      <c r="H4145" t="s">
        <v>1031</v>
      </c>
      <c r="I4145">
        <v>185349003</v>
      </c>
      <c r="J4145" t="s">
        <v>1038</v>
      </c>
      <c r="K4145">
        <v>85.55</v>
      </c>
      <c r="L4145">
        <v>5693.75</v>
      </c>
      <c r="M4145">
        <v>0</v>
      </c>
      <c r="N4145">
        <v>66383009</v>
      </c>
      <c r="O4145" t="s">
        <v>1209</v>
      </c>
    </row>
    <row r="4146" spans="1:15">
      <c r="A4146" t="s">
        <v>5718</v>
      </c>
      <c r="B4146" s="2">
        <v>45411.798680555556</v>
      </c>
      <c r="C4146" s="2">
        <v>45411.84034722222</v>
      </c>
      <c r="D4146" t="s">
        <v>803</v>
      </c>
      <c r="E4146" t="s">
        <v>1412</v>
      </c>
      <c r="F4146" t="s">
        <v>1413</v>
      </c>
      <c r="G4146" t="s">
        <v>1019</v>
      </c>
      <c r="H4146" t="s">
        <v>1076</v>
      </c>
      <c r="I4146">
        <v>50849002</v>
      </c>
      <c r="J4146" t="s">
        <v>1163</v>
      </c>
      <c r="K4146">
        <v>146.18</v>
      </c>
      <c r="L4146">
        <v>4140.8900000000003</v>
      </c>
      <c r="M4146">
        <v>0</v>
      </c>
      <c r="N4146">
        <v>312608009</v>
      </c>
      <c r="O4146" t="s">
        <v>1249</v>
      </c>
    </row>
    <row r="4147" spans="1:15">
      <c r="A4147" t="s">
        <v>5719</v>
      </c>
      <c r="B4147" s="2">
        <v>45438.447696759256</v>
      </c>
      <c r="C4147" s="2">
        <v>45438.458113425928</v>
      </c>
      <c r="D4147" t="s">
        <v>803</v>
      </c>
      <c r="E4147" t="s">
        <v>5688</v>
      </c>
      <c r="F4147" t="s">
        <v>5689</v>
      </c>
      <c r="G4147" t="s">
        <v>1019</v>
      </c>
      <c r="H4147" t="s">
        <v>1031</v>
      </c>
      <c r="I4147">
        <v>185345009</v>
      </c>
      <c r="J4147" t="s">
        <v>1032</v>
      </c>
      <c r="K4147">
        <v>85.55</v>
      </c>
      <c r="L4147">
        <v>85.55</v>
      </c>
      <c r="M4147">
        <v>0</v>
      </c>
      <c r="N4147">
        <v>195662009</v>
      </c>
      <c r="O4147" t="s">
        <v>1130</v>
      </c>
    </row>
    <row r="4148" spans="1:15">
      <c r="A4148" t="s">
        <v>5720</v>
      </c>
      <c r="B4148" s="2">
        <v>45541.072696759256</v>
      </c>
      <c r="C4148" s="2">
        <v>45541.083113425928</v>
      </c>
      <c r="D4148" t="s">
        <v>803</v>
      </c>
      <c r="E4148" t="s">
        <v>5688</v>
      </c>
      <c r="F4148" t="s">
        <v>5689</v>
      </c>
      <c r="G4148" t="s">
        <v>1019</v>
      </c>
      <c r="H4148" t="s">
        <v>1031</v>
      </c>
      <c r="I4148">
        <v>185345009</v>
      </c>
      <c r="J4148" t="s">
        <v>1032</v>
      </c>
      <c r="K4148">
        <v>85.55</v>
      </c>
      <c r="L4148">
        <v>1319.31</v>
      </c>
      <c r="M4148">
        <v>0</v>
      </c>
      <c r="N4148">
        <v>195662009</v>
      </c>
      <c r="O4148" t="s">
        <v>1130</v>
      </c>
    </row>
    <row r="4149" spans="1:15">
      <c r="A4149" t="s">
        <v>5721</v>
      </c>
      <c r="B4149" s="2">
        <v>45550.781030092592</v>
      </c>
      <c r="C4149" s="2">
        <v>45550.816631944443</v>
      </c>
      <c r="D4149" t="s">
        <v>803</v>
      </c>
      <c r="E4149" t="s">
        <v>5688</v>
      </c>
      <c r="F4149" t="s">
        <v>5689</v>
      </c>
      <c r="G4149" t="s">
        <v>1019</v>
      </c>
      <c r="H4149" t="s">
        <v>1043</v>
      </c>
      <c r="I4149">
        <v>185349003</v>
      </c>
      <c r="J4149" t="s">
        <v>1038</v>
      </c>
      <c r="K4149">
        <v>85.55</v>
      </c>
      <c r="L4149">
        <v>950.03</v>
      </c>
      <c r="M4149">
        <v>0</v>
      </c>
      <c r="O4149" t="s">
        <v>34</v>
      </c>
    </row>
    <row r="4150" spans="1:15">
      <c r="A4150" t="s">
        <v>5722</v>
      </c>
      <c r="B4150" s="2">
        <v>45564.781030092592</v>
      </c>
      <c r="C4150" s="2">
        <v>45564.938078703701</v>
      </c>
      <c r="D4150" t="s">
        <v>803</v>
      </c>
      <c r="E4150" t="s">
        <v>5688</v>
      </c>
      <c r="F4150" t="s">
        <v>5689</v>
      </c>
      <c r="G4150" t="s">
        <v>1019</v>
      </c>
      <c r="H4150" t="s">
        <v>1031</v>
      </c>
      <c r="I4150">
        <v>185349003</v>
      </c>
      <c r="J4150" t="s">
        <v>1038</v>
      </c>
      <c r="K4150">
        <v>85.55</v>
      </c>
      <c r="L4150">
        <v>3105.35</v>
      </c>
      <c r="M4150">
        <v>0</v>
      </c>
      <c r="N4150">
        <v>66383009</v>
      </c>
      <c r="O4150" t="s">
        <v>1209</v>
      </c>
    </row>
    <row r="4151" spans="1:15">
      <c r="A4151" t="s">
        <v>5723</v>
      </c>
      <c r="B4151" s="2">
        <v>45662.739363425928</v>
      </c>
      <c r="C4151" s="2">
        <v>45662.764340277776</v>
      </c>
      <c r="D4151" t="s">
        <v>803</v>
      </c>
      <c r="E4151" t="s">
        <v>5685</v>
      </c>
      <c r="F4151" t="s">
        <v>5686</v>
      </c>
      <c r="G4151" t="s">
        <v>1019</v>
      </c>
      <c r="H4151" t="s">
        <v>1020</v>
      </c>
      <c r="I4151">
        <v>162673000</v>
      </c>
      <c r="J4151" t="s">
        <v>1021</v>
      </c>
      <c r="K4151">
        <v>136.80000000000001</v>
      </c>
      <c r="L4151">
        <v>785.58</v>
      </c>
      <c r="M4151">
        <v>0</v>
      </c>
      <c r="O4151" t="s">
        <v>34</v>
      </c>
    </row>
    <row r="4152" spans="1:15">
      <c r="A4152" t="s">
        <v>5724</v>
      </c>
      <c r="B4152" s="2">
        <v>46033.739363425928</v>
      </c>
      <c r="C4152" s="2">
        <v>46033.764178240737</v>
      </c>
      <c r="D4152" t="s">
        <v>803</v>
      </c>
      <c r="E4152" t="s">
        <v>5685</v>
      </c>
      <c r="F4152" t="s">
        <v>5686</v>
      </c>
      <c r="G4152" t="s">
        <v>1019</v>
      </c>
      <c r="H4152" t="s">
        <v>1020</v>
      </c>
      <c r="I4152">
        <v>162673000</v>
      </c>
      <c r="J4152" t="s">
        <v>1021</v>
      </c>
      <c r="K4152">
        <v>136.80000000000001</v>
      </c>
      <c r="L4152">
        <v>1143.6400000000001</v>
      </c>
      <c r="M4152">
        <v>0</v>
      </c>
      <c r="O4152" t="s">
        <v>34</v>
      </c>
    </row>
    <row r="4153" spans="1:15">
      <c r="A4153" t="s">
        <v>5725</v>
      </c>
      <c r="B4153" s="2">
        <v>46047.739363425928</v>
      </c>
      <c r="C4153" s="2">
        <v>46047.850208333337</v>
      </c>
      <c r="D4153" t="s">
        <v>803</v>
      </c>
      <c r="E4153" t="s">
        <v>5688</v>
      </c>
      <c r="F4153" t="s">
        <v>5689</v>
      </c>
      <c r="G4153" t="s">
        <v>1019</v>
      </c>
      <c r="H4153" t="s">
        <v>1031</v>
      </c>
      <c r="I4153">
        <v>185349003</v>
      </c>
      <c r="J4153" t="s">
        <v>1038</v>
      </c>
      <c r="K4153">
        <v>85.55</v>
      </c>
      <c r="L4153">
        <v>3105.35</v>
      </c>
      <c r="M4153">
        <v>0</v>
      </c>
      <c r="N4153">
        <v>66383009</v>
      </c>
      <c r="O4153" t="s">
        <v>1209</v>
      </c>
    </row>
    <row r="4154" spans="1:15">
      <c r="A4154" t="s">
        <v>5726</v>
      </c>
      <c r="B4154" s="2">
        <v>46205.844027777777</v>
      </c>
      <c r="C4154" s="2">
        <v>46205.86209490741</v>
      </c>
      <c r="D4154" t="s">
        <v>803</v>
      </c>
      <c r="E4154" t="s">
        <v>5688</v>
      </c>
      <c r="F4154" t="s">
        <v>5689</v>
      </c>
      <c r="G4154" t="s">
        <v>1019</v>
      </c>
      <c r="H4154" t="s">
        <v>1031</v>
      </c>
      <c r="I4154">
        <v>185349003</v>
      </c>
      <c r="J4154" t="s">
        <v>1038</v>
      </c>
      <c r="K4154">
        <v>85.55</v>
      </c>
      <c r="L4154">
        <v>12300.61</v>
      </c>
      <c r="M4154">
        <v>0</v>
      </c>
      <c r="N4154">
        <v>275978004</v>
      </c>
      <c r="O4154" t="s">
        <v>1449</v>
      </c>
    </row>
    <row r="4155" spans="1:15">
      <c r="A4155" t="s">
        <v>5727</v>
      </c>
      <c r="B4155" s="2">
        <v>24483.042037037038</v>
      </c>
      <c r="C4155" s="2">
        <v>24483.052453703705</v>
      </c>
      <c r="D4155" t="s">
        <v>811</v>
      </c>
      <c r="E4155" t="s">
        <v>1429</v>
      </c>
      <c r="F4155" t="s">
        <v>1430</v>
      </c>
      <c r="G4155" t="s">
        <v>1325</v>
      </c>
      <c r="H4155" t="s">
        <v>1031</v>
      </c>
      <c r="I4155">
        <v>185345009</v>
      </c>
      <c r="J4155" t="s">
        <v>1032</v>
      </c>
      <c r="K4155">
        <v>85.55</v>
      </c>
      <c r="L4155">
        <v>516.95000000000005</v>
      </c>
      <c r="M4155">
        <v>0</v>
      </c>
      <c r="N4155">
        <v>233678006</v>
      </c>
      <c r="O4155" t="s">
        <v>1148</v>
      </c>
    </row>
    <row r="4156" spans="1:15">
      <c r="A4156" t="s">
        <v>5728</v>
      </c>
      <c r="B4156" s="2">
        <v>29404.083703703705</v>
      </c>
      <c r="C4156" s="2">
        <v>29404.117129629631</v>
      </c>
      <c r="D4156" t="s">
        <v>811</v>
      </c>
      <c r="E4156" t="s">
        <v>1391</v>
      </c>
      <c r="F4156" t="s">
        <v>1392</v>
      </c>
      <c r="G4156" t="s">
        <v>1325</v>
      </c>
      <c r="H4156" t="s">
        <v>1020</v>
      </c>
      <c r="I4156">
        <v>162673000</v>
      </c>
      <c r="J4156" t="s">
        <v>1021</v>
      </c>
      <c r="K4156">
        <v>136.80000000000001</v>
      </c>
      <c r="L4156">
        <v>704.2</v>
      </c>
      <c r="M4156">
        <v>0</v>
      </c>
      <c r="O4156" t="s">
        <v>34</v>
      </c>
    </row>
    <row r="4157" spans="1:15">
      <c r="A4157" t="s">
        <v>5729</v>
      </c>
      <c r="B4157" s="2">
        <v>29775.083703703705</v>
      </c>
      <c r="C4157" s="2">
        <v>29775.124479166665</v>
      </c>
      <c r="D4157" t="s">
        <v>811</v>
      </c>
      <c r="E4157" t="s">
        <v>1391</v>
      </c>
      <c r="F4157" t="s">
        <v>1392</v>
      </c>
      <c r="G4157" t="s">
        <v>1325</v>
      </c>
      <c r="H4157" t="s">
        <v>1020</v>
      </c>
      <c r="I4157">
        <v>162673000</v>
      </c>
      <c r="J4157" t="s">
        <v>1021</v>
      </c>
      <c r="K4157">
        <v>136.80000000000001</v>
      </c>
      <c r="L4157">
        <v>991.73</v>
      </c>
      <c r="M4157">
        <v>0</v>
      </c>
      <c r="O4157" t="s">
        <v>34</v>
      </c>
    </row>
    <row r="4158" spans="1:15">
      <c r="A4158" t="s">
        <v>5730</v>
      </c>
      <c r="B4158" s="2">
        <v>37566.042037037034</v>
      </c>
      <c r="C4158" s="2">
        <v>37566.067442129628</v>
      </c>
      <c r="D4158" t="s">
        <v>811</v>
      </c>
      <c r="E4158" t="s">
        <v>1391</v>
      </c>
      <c r="F4158" t="s">
        <v>1392</v>
      </c>
      <c r="G4158" t="s">
        <v>1325</v>
      </c>
      <c r="H4158" t="s">
        <v>1020</v>
      </c>
      <c r="I4158">
        <v>162673000</v>
      </c>
      <c r="J4158" t="s">
        <v>1021</v>
      </c>
      <c r="K4158">
        <v>136.80000000000001</v>
      </c>
      <c r="L4158">
        <v>1223.22</v>
      </c>
      <c r="M4158">
        <v>0</v>
      </c>
      <c r="O4158" t="s">
        <v>34</v>
      </c>
    </row>
    <row r="4159" spans="1:15">
      <c r="A4159" t="s">
        <v>5731</v>
      </c>
      <c r="B4159" s="2">
        <v>37937.042037037034</v>
      </c>
      <c r="C4159" s="2">
        <v>37937.06863425926</v>
      </c>
      <c r="D4159" t="s">
        <v>811</v>
      </c>
      <c r="E4159" t="s">
        <v>1391</v>
      </c>
      <c r="F4159" t="s">
        <v>1392</v>
      </c>
      <c r="G4159" t="s">
        <v>1325</v>
      </c>
      <c r="H4159" t="s">
        <v>1020</v>
      </c>
      <c r="I4159">
        <v>162673000</v>
      </c>
      <c r="J4159" t="s">
        <v>1021</v>
      </c>
      <c r="K4159">
        <v>136.80000000000001</v>
      </c>
      <c r="L4159">
        <v>1856.21</v>
      </c>
      <c r="M4159">
        <v>0</v>
      </c>
      <c r="O4159" t="s">
        <v>34</v>
      </c>
    </row>
    <row r="4160" spans="1:15">
      <c r="A4160" t="s">
        <v>5732</v>
      </c>
      <c r="B4160" s="2">
        <v>38308.042037037034</v>
      </c>
      <c r="C4160" s="2">
        <v>38308.074641203704</v>
      </c>
      <c r="D4160" t="s">
        <v>811</v>
      </c>
      <c r="E4160" t="s">
        <v>1391</v>
      </c>
      <c r="F4160" t="s">
        <v>1392</v>
      </c>
      <c r="G4160" t="s">
        <v>1325</v>
      </c>
      <c r="H4160" t="s">
        <v>1020</v>
      </c>
      <c r="I4160">
        <v>162673000</v>
      </c>
      <c r="J4160" t="s">
        <v>1021</v>
      </c>
      <c r="K4160">
        <v>136.80000000000001</v>
      </c>
      <c r="L4160">
        <v>860.16</v>
      </c>
      <c r="M4160">
        <v>0</v>
      </c>
      <c r="O4160" t="s">
        <v>34</v>
      </c>
    </row>
    <row r="4161" spans="1:15">
      <c r="A4161" t="s">
        <v>5733</v>
      </c>
      <c r="B4161" s="2">
        <v>41038.083703703705</v>
      </c>
      <c r="C4161" s="2">
        <v>41038.118935185186</v>
      </c>
      <c r="D4161" t="s">
        <v>811</v>
      </c>
      <c r="E4161" t="s">
        <v>1429</v>
      </c>
      <c r="F4161" t="s">
        <v>1430</v>
      </c>
      <c r="G4161" t="s">
        <v>1325</v>
      </c>
      <c r="H4161" t="s">
        <v>1031</v>
      </c>
      <c r="I4161">
        <v>185349003</v>
      </c>
      <c r="J4161" t="s">
        <v>1038</v>
      </c>
      <c r="K4161">
        <v>85.55</v>
      </c>
      <c r="L4161">
        <v>24235.56</v>
      </c>
      <c r="M4161">
        <v>10884.94</v>
      </c>
      <c r="N4161">
        <v>275978004</v>
      </c>
      <c r="O4161" t="s">
        <v>1449</v>
      </c>
    </row>
    <row r="4162" spans="1:15">
      <c r="A4162" t="s">
        <v>5734</v>
      </c>
      <c r="B4162" s="2">
        <v>41470.108518518522</v>
      </c>
      <c r="C4162" s="2">
        <v>41470.136678240742</v>
      </c>
      <c r="D4162" t="s">
        <v>811</v>
      </c>
      <c r="E4162" t="s">
        <v>1429</v>
      </c>
      <c r="F4162" t="s">
        <v>1430</v>
      </c>
      <c r="G4162" t="s">
        <v>1325</v>
      </c>
      <c r="H4162" t="s">
        <v>1031</v>
      </c>
      <c r="I4162">
        <v>185349003</v>
      </c>
      <c r="J4162" t="s">
        <v>1038</v>
      </c>
      <c r="K4162">
        <v>85.55</v>
      </c>
      <c r="L4162">
        <v>10592.54</v>
      </c>
      <c r="M4162">
        <v>2699.13</v>
      </c>
      <c r="N4162">
        <v>68496003</v>
      </c>
      <c r="O4162" t="s">
        <v>2188</v>
      </c>
    </row>
    <row r="4163" spans="1:15">
      <c r="A4163" t="s">
        <v>5735</v>
      </c>
      <c r="B4163" s="2">
        <v>41670.042037037034</v>
      </c>
      <c r="C4163" s="2">
        <v>41670.052453703705</v>
      </c>
      <c r="D4163" t="s">
        <v>811</v>
      </c>
      <c r="E4163" t="s">
        <v>1429</v>
      </c>
      <c r="F4163" t="s">
        <v>1430</v>
      </c>
      <c r="G4163" t="s">
        <v>1325</v>
      </c>
      <c r="H4163" t="s">
        <v>1043</v>
      </c>
      <c r="I4163">
        <v>185347001</v>
      </c>
      <c r="J4163" t="s">
        <v>1124</v>
      </c>
      <c r="K4163">
        <v>85.55</v>
      </c>
      <c r="L4163">
        <v>85.55</v>
      </c>
      <c r="M4163">
        <v>85.55</v>
      </c>
      <c r="N4163">
        <v>82423001</v>
      </c>
      <c r="O4163" t="s">
        <v>1542</v>
      </c>
    </row>
    <row r="4164" spans="1:15">
      <c r="A4164" t="s">
        <v>5736</v>
      </c>
      <c r="B4164" s="2">
        <v>42389.042037037034</v>
      </c>
      <c r="C4164" s="2">
        <v>42389.064467592594</v>
      </c>
      <c r="D4164" t="s">
        <v>811</v>
      </c>
      <c r="E4164" t="s">
        <v>1391</v>
      </c>
      <c r="F4164" t="s">
        <v>1392</v>
      </c>
      <c r="G4164" t="s">
        <v>1122</v>
      </c>
      <c r="H4164" t="s">
        <v>1020</v>
      </c>
      <c r="I4164">
        <v>162673000</v>
      </c>
      <c r="J4164" t="s">
        <v>1021</v>
      </c>
      <c r="K4164">
        <v>136.80000000000001</v>
      </c>
      <c r="L4164">
        <v>1648.38</v>
      </c>
      <c r="M4164">
        <v>1318.7</v>
      </c>
      <c r="O4164" t="s">
        <v>34</v>
      </c>
    </row>
    <row r="4165" spans="1:15">
      <c r="A4165" t="s">
        <v>5737</v>
      </c>
      <c r="B4165" s="2">
        <v>42485.083703703705</v>
      </c>
      <c r="C4165" s="2">
        <v>42485.121493055558</v>
      </c>
      <c r="D4165" t="s">
        <v>811</v>
      </c>
      <c r="E4165" t="s">
        <v>1226</v>
      </c>
      <c r="F4165" t="s">
        <v>1227</v>
      </c>
      <c r="G4165" t="s">
        <v>1122</v>
      </c>
      <c r="H4165" t="s">
        <v>1031</v>
      </c>
      <c r="I4165">
        <v>185347001</v>
      </c>
      <c r="J4165" t="s">
        <v>1124</v>
      </c>
      <c r="K4165">
        <v>85.55</v>
      </c>
      <c r="L4165">
        <v>948.35</v>
      </c>
      <c r="M4165">
        <v>758.68</v>
      </c>
      <c r="N4165">
        <v>60573004</v>
      </c>
      <c r="O4165" t="s">
        <v>4932</v>
      </c>
    </row>
    <row r="4166" spans="1:15">
      <c r="A4166" t="s">
        <v>5738</v>
      </c>
      <c r="B4166" s="2">
        <v>42760.042037037034</v>
      </c>
      <c r="C4166" s="2">
        <v>42760.081030092595</v>
      </c>
      <c r="D4166" t="s">
        <v>811</v>
      </c>
      <c r="E4166" t="s">
        <v>1391</v>
      </c>
      <c r="F4166" t="s">
        <v>1392</v>
      </c>
      <c r="G4166" t="s">
        <v>1325</v>
      </c>
      <c r="H4166" t="s">
        <v>1020</v>
      </c>
      <c r="I4166">
        <v>162673000</v>
      </c>
      <c r="J4166" t="s">
        <v>1021</v>
      </c>
      <c r="K4166">
        <v>136.80000000000001</v>
      </c>
      <c r="L4166">
        <v>1391.17</v>
      </c>
      <c r="M4166">
        <v>0</v>
      </c>
      <c r="O4166" t="s">
        <v>34</v>
      </c>
    </row>
    <row r="4167" spans="1:15">
      <c r="A4167" t="s">
        <v>5739</v>
      </c>
      <c r="B4167" s="2">
        <v>42774.042037037034</v>
      </c>
      <c r="C4167" s="2">
        <v>42774.201006944444</v>
      </c>
      <c r="D4167" t="s">
        <v>811</v>
      </c>
      <c r="E4167" t="s">
        <v>1429</v>
      </c>
      <c r="F4167" t="s">
        <v>1430</v>
      </c>
      <c r="G4167" t="s">
        <v>1325</v>
      </c>
      <c r="H4167" t="s">
        <v>1031</v>
      </c>
      <c r="I4167">
        <v>185349003</v>
      </c>
      <c r="J4167" t="s">
        <v>1038</v>
      </c>
      <c r="K4167">
        <v>85.55</v>
      </c>
      <c r="L4167">
        <v>3536.75</v>
      </c>
      <c r="M4167">
        <v>0</v>
      </c>
      <c r="N4167">
        <v>66383009</v>
      </c>
      <c r="O4167" t="s">
        <v>1209</v>
      </c>
    </row>
    <row r="4168" spans="1:15">
      <c r="A4168" t="s">
        <v>5740</v>
      </c>
      <c r="B4168" s="2">
        <v>43079.058993055558</v>
      </c>
      <c r="C4168" s="2">
        <v>43079.083414351851</v>
      </c>
      <c r="D4168" t="s">
        <v>811</v>
      </c>
      <c r="E4168" t="s">
        <v>1226</v>
      </c>
      <c r="F4168" t="s">
        <v>1227</v>
      </c>
      <c r="G4168" t="s">
        <v>1325</v>
      </c>
      <c r="H4168" t="s">
        <v>1031</v>
      </c>
      <c r="I4168">
        <v>185347001</v>
      </c>
      <c r="J4168" t="s">
        <v>1124</v>
      </c>
      <c r="K4168">
        <v>85.55</v>
      </c>
      <c r="L4168">
        <v>948.35</v>
      </c>
      <c r="M4168">
        <v>0</v>
      </c>
      <c r="N4168">
        <v>60573004</v>
      </c>
      <c r="O4168" t="s">
        <v>4932</v>
      </c>
    </row>
    <row r="4169" spans="1:15">
      <c r="A4169" t="s">
        <v>5741</v>
      </c>
      <c r="B4169" s="2">
        <v>43131.042037037034</v>
      </c>
      <c r="C4169" s="2">
        <v>43131.079722222225</v>
      </c>
      <c r="D4169" t="s">
        <v>811</v>
      </c>
      <c r="E4169" t="s">
        <v>1391</v>
      </c>
      <c r="F4169" t="s">
        <v>1392</v>
      </c>
      <c r="G4169" t="s">
        <v>1325</v>
      </c>
      <c r="H4169" t="s">
        <v>1020</v>
      </c>
      <c r="I4169">
        <v>162673000</v>
      </c>
      <c r="J4169" t="s">
        <v>1021</v>
      </c>
      <c r="K4169">
        <v>136.80000000000001</v>
      </c>
      <c r="L4169">
        <v>1001.28</v>
      </c>
      <c r="M4169">
        <v>0</v>
      </c>
      <c r="O4169" t="s">
        <v>34</v>
      </c>
    </row>
    <row r="4170" spans="1:15">
      <c r="A4170" t="s">
        <v>5742</v>
      </c>
      <c r="B4170" s="2">
        <v>43464.25037037037</v>
      </c>
      <c r="C4170" s="2">
        <v>43464.260787037034</v>
      </c>
      <c r="D4170" t="s">
        <v>811</v>
      </c>
      <c r="E4170" t="s">
        <v>1429</v>
      </c>
      <c r="F4170" t="s">
        <v>1430</v>
      </c>
      <c r="G4170" t="s">
        <v>1325</v>
      </c>
      <c r="H4170" t="s">
        <v>1031</v>
      </c>
      <c r="I4170">
        <v>394701000</v>
      </c>
      <c r="J4170" t="s">
        <v>1154</v>
      </c>
      <c r="K4170">
        <v>142.58000000000001</v>
      </c>
      <c r="L4170">
        <v>142.58000000000001</v>
      </c>
      <c r="M4170">
        <v>0</v>
      </c>
      <c r="N4170">
        <v>195967001</v>
      </c>
      <c r="O4170" t="s">
        <v>1676</v>
      </c>
    </row>
    <row r="4171" spans="1:15">
      <c r="A4171" t="s">
        <v>5743</v>
      </c>
      <c r="B4171" s="2">
        <v>43502.042037037034</v>
      </c>
      <c r="C4171" s="2">
        <v>43502.064965277779</v>
      </c>
      <c r="D4171" t="s">
        <v>811</v>
      </c>
      <c r="E4171" t="s">
        <v>1391</v>
      </c>
      <c r="F4171" t="s">
        <v>1392</v>
      </c>
      <c r="G4171" t="s">
        <v>1325</v>
      </c>
      <c r="H4171" t="s">
        <v>1020</v>
      </c>
      <c r="I4171">
        <v>162673000</v>
      </c>
      <c r="J4171" t="s">
        <v>1021</v>
      </c>
      <c r="K4171">
        <v>136.80000000000001</v>
      </c>
      <c r="L4171">
        <v>853.36</v>
      </c>
      <c r="M4171">
        <v>0</v>
      </c>
      <c r="O4171" t="s">
        <v>34</v>
      </c>
    </row>
    <row r="4172" spans="1:15">
      <c r="A4172" t="s">
        <v>5744</v>
      </c>
      <c r="B4172" s="2">
        <v>43516.042037037034</v>
      </c>
      <c r="C4172" s="2">
        <v>43516.176006944443</v>
      </c>
      <c r="D4172" t="s">
        <v>811</v>
      </c>
      <c r="E4172" t="s">
        <v>1429</v>
      </c>
      <c r="F4172" t="s">
        <v>1430</v>
      </c>
      <c r="G4172" t="s">
        <v>1325</v>
      </c>
      <c r="H4172" t="s">
        <v>1031</v>
      </c>
      <c r="I4172">
        <v>185349003</v>
      </c>
      <c r="J4172" t="s">
        <v>1038</v>
      </c>
      <c r="K4172">
        <v>85.55</v>
      </c>
      <c r="L4172">
        <v>3105.35</v>
      </c>
      <c r="M4172">
        <v>0</v>
      </c>
      <c r="N4172">
        <v>103697008</v>
      </c>
      <c r="O4172" t="s">
        <v>1039</v>
      </c>
    </row>
    <row r="4173" spans="1:15">
      <c r="A4173" t="s">
        <v>5745</v>
      </c>
      <c r="B4173" s="2">
        <v>43520.062581018516</v>
      </c>
      <c r="C4173" s="2">
        <v>43520.099050925928</v>
      </c>
      <c r="D4173" t="s">
        <v>811</v>
      </c>
      <c r="E4173" t="s">
        <v>1226</v>
      </c>
      <c r="F4173" t="s">
        <v>1227</v>
      </c>
      <c r="G4173" t="s">
        <v>1325</v>
      </c>
      <c r="H4173" t="s">
        <v>1031</v>
      </c>
      <c r="I4173">
        <v>185347001</v>
      </c>
      <c r="J4173" t="s">
        <v>1124</v>
      </c>
      <c r="K4173">
        <v>85.55</v>
      </c>
      <c r="L4173">
        <v>948.35</v>
      </c>
      <c r="M4173">
        <v>0</v>
      </c>
      <c r="N4173">
        <v>60573004</v>
      </c>
      <c r="O4173" t="s">
        <v>4932</v>
      </c>
    </row>
    <row r="4174" spans="1:15">
      <c r="A4174" t="s">
        <v>5746</v>
      </c>
      <c r="B4174" s="2">
        <v>43813.083703703705</v>
      </c>
      <c r="C4174" s="2">
        <v>43813.09412037037</v>
      </c>
      <c r="D4174" t="s">
        <v>811</v>
      </c>
      <c r="E4174" t="s">
        <v>1429</v>
      </c>
      <c r="F4174" t="s">
        <v>1430</v>
      </c>
      <c r="G4174" t="s">
        <v>1325</v>
      </c>
      <c r="H4174" t="s">
        <v>1031</v>
      </c>
      <c r="I4174">
        <v>185345009</v>
      </c>
      <c r="J4174" t="s">
        <v>1032</v>
      </c>
      <c r="K4174">
        <v>85.55</v>
      </c>
      <c r="L4174">
        <v>85.55</v>
      </c>
      <c r="M4174">
        <v>0</v>
      </c>
      <c r="N4174">
        <v>36971009</v>
      </c>
      <c r="O4174" t="s">
        <v>1278</v>
      </c>
    </row>
    <row r="4175" spans="1:15">
      <c r="A4175" t="s">
        <v>5747</v>
      </c>
      <c r="B4175" s="2">
        <v>43873.042037037034</v>
      </c>
      <c r="C4175" s="2">
        <v>43873.076238425929</v>
      </c>
      <c r="D4175" t="s">
        <v>811</v>
      </c>
      <c r="E4175" t="s">
        <v>1391</v>
      </c>
      <c r="F4175" t="s">
        <v>1392</v>
      </c>
      <c r="G4175" t="s">
        <v>1325</v>
      </c>
      <c r="H4175" t="s">
        <v>1020</v>
      </c>
      <c r="I4175">
        <v>162673000</v>
      </c>
      <c r="J4175" t="s">
        <v>1021</v>
      </c>
      <c r="K4175">
        <v>136.80000000000001</v>
      </c>
      <c r="L4175">
        <v>1069.06</v>
      </c>
      <c r="M4175">
        <v>0</v>
      </c>
      <c r="O4175" t="s">
        <v>34</v>
      </c>
    </row>
    <row r="4176" spans="1:15">
      <c r="A4176" t="s">
        <v>5748</v>
      </c>
      <c r="B4176" s="2">
        <v>43887.042037037034</v>
      </c>
      <c r="C4176" s="2">
        <v>43887.15315972222</v>
      </c>
      <c r="D4176" t="s">
        <v>811</v>
      </c>
      <c r="E4176" t="s">
        <v>1429</v>
      </c>
      <c r="F4176" t="s">
        <v>1430</v>
      </c>
      <c r="G4176" t="s">
        <v>1325</v>
      </c>
      <c r="H4176" t="s">
        <v>1031</v>
      </c>
      <c r="I4176">
        <v>185349003</v>
      </c>
      <c r="J4176" t="s">
        <v>1038</v>
      </c>
      <c r="K4176">
        <v>85.55</v>
      </c>
      <c r="L4176">
        <v>2673.95</v>
      </c>
      <c r="M4176">
        <v>0</v>
      </c>
      <c r="N4176">
        <v>103697008</v>
      </c>
      <c r="O4176" t="s">
        <v>1039</v>
      </c>
    </row>
    <row r="4177" spans="1:15">
      <c r="A4177" t="s">
        <v>5749</v>
      </c>
      <c r="B4177" s="2">
        <v>43958.119884259257</v>
      </c>
      <c r="C4177" s="2">
        <v>43958.152106481481</v>
      </c>
      <c r="D4177" t="s">
        <v>811</v>
      </c>
      <c r="E4177" t="s">
        <v>1226</v>
      </c>
      <c r="F4177" t="s">
        <v>1227</v>
      </c>
      <c r="G4177" t="s">
        <v>1325</v>
      </c>
      <c r="H4177" t="s">
        <v>1031</v>
      </c>
      <c r="I4177">
        <v>185347001</v>
      </c>
      <c r="J4177" t="s">
        <v>1124</v>
      </c>
      <c r="K4177">
        <v>85.55</v>
      </c>
      <c r="L4177">
        <v>948.35</v>
      </c>
      <c r="M4177">
        <v>0</v>
      </c>
      <c r="N4177">
        <v>60573004</v>
      </c>
      <c r="O4177" t="s">
        <v>4932</v>
      </c>
    </row>
    <row r="4178" spans="1:15">
      <c r="A4178" t="s">
        <v>5750</v>
      </c>
      <c r="B4178" s="2">
        <v>44177.089606481481</v>
      </c>
      <c r="C4178" s="2">
        <v>44177.118993055556</v>
      </c>
      <c r="D4178" t="s">
        <v>811</v>
      </c>
      <c r="E4178" t="s">
        <v>1226</v>
      </c>
      <c r="F4178" t="s">
        <v>1227</v>
      </c>
      <c r="G4178" t="s">
        <v>1325</v>
      </c>
      <c r="H4178" t="s">
        <v>1031</v>
      </c>
      <c r="I4178">
        <v>185347001</v>
      </c>
      <c r="J4178" t="s">
        <v>1124</v>
      </c>
      <c r="K4178">
        <v>85.55</v>
      </c>
      <c r="L4178">
        <v>948.35</v>
      </c>
      <c r="M4178">
        <v>0</v>
      </c>
      <c r="N4178">
        <v>60573004</v>
      </c>
      <c r="O4178" t="s">
        <v>4932</v>
      </c>
    </row>
    <row r="4179" spans="1:15">
      <c r="A4179" t="s">
        <v>5751</v>
      </c>
      <c r="B4179" s="2">
        <v>44184.25037037037</v>
      </c>
      <c r="C4179" s="2">
        <v>44184.292037037034</v>
      </c>
      <c r="D4179" t="s">
        <v>811</v>
      </c>
      <c r="E4179" t="s">
        <v>5752</v>
      </c>
      <c r="F4179" t="s">
        <v>5753</v>
      </c>
      <c r="G4179" t="s">
        <v>1325</v>
      </c>
      <c r="H4179" t="s">
        <v>1076</v>
      </c>
      <c r="I4179">
        <v>183478001</v>
      </c>
      <c r="J4179" t="s">
        <v>1267</v>
      </c>
      <c r="K4179">
        <v>146.18</v>
      </c>
      <c r="L4179">
        <v>146.18</v>
      </c>
      <c r="M4179">
        <v>0</v>
      </c>
      <c r="N4179">
        <v>195967001</v>
      </c>
      <c r="O4179" t="s">
        <v>1676</v>
      </c>
    </row>
    <row r="4180" spans="1:15">
      <c r="A4180" t="s">
        <v>5754</v>
      </c>
      <c r="B4180" s="2">
        <v>44185.50037037037</v>
      </c>
      <c r="C4180" s="2">
        <v>44185.510787037034</v>
      </c>
      <c r="D4180" t="s">
        <v>811</v>
      </c>
      <c r="E4180" t="s">
        <v>1429</v>
      </c>
      <c r="F4180" t="s">
        <v>1430</v>
      </c>
      <c r="G4180" t="s">
        <v>1325</v>
      </c>
      <c r="H4180" t="s">
        <v>1031</v>
      </c>
      <c r="I4180">
        <v>394701000</v>
      </c>
      <c r="J4180" t="s">
        <v>1154</v>
      </c>
      <c r="K4180">
        <v>142.58000000000001</v>
      </c>
      <c r="L4180">
        <v>142.58000000000001</v>
      </c>
      <c r="M4180">
        <v>0</v>
      </c>
      <c r="N4180">
        <v>195967001</v>
      </c>
      <c r="O4180" t="s">
        <v>1676</v>
      </c>
    </row>
    <row r="4181" spans="1:15">
      <c r="A4181" t="s">
        <v>5755</v>
      </c>
      <c r="B4181" s="2">
        <v>44244.042037037034</v>
      </c>
      <c r="C4181" s="2">
        <v>44244.065381944441</v>
      </c>
      <c r="D4181" t="s">
        <v>811</v>
      </c>
      <c r="E4181" t="s">
        <v>1391</v>
      </c>
      <c r="F4181" t="s">
        <v>1392</v>
      </c>
      <c r="G4181" t="s">
        <v>1325</v>
      </c>
      <c r="H4181" t="s">
        <v>1020</v>
      </c>
      <c r="I4181">
        <v>162673000</v>
      </c>
      <c r="J4181" t="s">
        <v>1021</v>
      </c>
      <c r="K4181">
        <v>136.80000000000001</v>
      </c>
      <c r="L4181">
        <v>1001.28</v>
      </c>
      <c r="M4181">
        <v>0</v>
      </c>
      <c r="O4181" t="s">
        <v>34</v>
      </c>
    </row>
    <row r="4182" spans="1:15">
      <c r="A4182" t="s">
        <v>5756</v>
      </c>
      <c r="B4182" s="2">
        <v>44258.042037037034</v>
      </c>
      <c r="C4182" s="2">
        <v>44258.192546296297</v>
      </c>
      <c r="D4182" t="s">
        <v>811</v>
      </c>
      <c r="E4182" t="s">
        <v>1429</v>
      </c>
      <c r="F4182" t="s">
        <v>1430</v>
      </c>
      <c r="G4182" t="s">
        <v>1325</v>
      </c>
      <c r="H4182" t="s">
        <v>1031</v>
      </c>
      <c r="I4182">
        <v>185349003</v>
      </c>
      <c r="J4182" t="s">
        <v>1038</v>
      </c>
      <c r="K4182">
        <v>85.55</v>
      </c>
      <c r="L4182">
        <v>3105.35</v>
      </c>
      <c r="M4182">
        <v>0</v>
      </c>
      <c r="N4182">
        <v>66383009</v>
      </c>
      <c r="O4182" t="s">
        <v>1209</v>
      </c>
    </row>
    <row r="4183" spans="1:15">
      <c r="A4183" t="s">
        <v>5757</v>
      </c>
      <c r="B4183" s="2">
        <v>44526.09815972222</v>
      </c>
      <c r="C4183" s="2">
        <v>44526.135451388887</v>
      </c>
      <c r="D4183" t="s">
        <v>811</v>
      </c>
      <c r="E4183" t="s">
        <v>1226</v>
      </c>
      <c r="F4183" t="s">
        <v>1227</v>
      </c>
      <c r="G4183" t="s">
        <v>1325</v>
      </c>
      <c r="H4183" t="s">
        <v>1031</v>
      </c>
      <c r="I4183">
        <v>185347001</v>
      </c>
      <c r="J4183" t="s">
        <v>1124</v>
      </c>
      <c r="K4183">
        <v>85.55</v>
      </c>
      <c r="L4183">
        <v>948.35</v>
      </c>
      <c r="M4183">
        <v>0</v>
      </c>
      <c r="N4183">
        <v>60573004</v>
      </c>
      <c r="O4183" t="s">
        <v>4932</v>
      </c>
    </row>
    <row r="4184" spans="1:15">
      <c r="A4184" t="s">
        <v>5758</v>
      </c>
      <c r="B4184" s="2">
        <v>44526.114618055559</v>
      </c>
      <c r="C4184" s="2">
        <v>44527.114618055559</v>
      </c>
      <c r="D4184" t="s">
        <v>811</v>
      </c>
      <c r="E4184" t="s">
        <v>1226</v>
      </c>
      <c r="F4184" t="s">
        <v>1227</v>
      </c>
      <c r="G4184" t="s">
        <v>1325</v>
      </c>
      <c r="H4184" t="s">
        <v>1431</v>
      </c>
      <c r="I4184">
        <v>185347001</v>
      </c>
      <c r="J4184" t="s">
        <v>1124</v>
      </c>
      <c r="K4184">
        <v>87.71</v>
      </c>
      <c r="L4184">
        <v>1813.31</v>
      </c>
      <c r="M4184">
        <v>0</v>
      </c>
      <c r="N4184">
        <v>60573004</v>
      </c>
      <c r="O4184" t="s">
        <v>4932</v>
      </c>
    </row>
    <row r="4185" spans="1:15">
      <c r="A4185" t="s">
        <v>5759</v>
      </c>
      <c r="B4185" s="2">
        <v>44530.143993055557</v>
      </c>
      <c r="C4185" s="2">
        <v>44530.154409722221</v>
      </c>
      <c r="D4185" t="s">
        <v>811</v>
      </c>
      <c r="E4185" t="s">
        <v>1226</v>
      </c>
      <c r="F4185" t="s">
        <v>1227</v>
      </c>
      <c r="G4185" t="s">
        <v>1325</v>
      </c>
      <c r="H4185" t="s">
        <v>1031</v>
      </c>
      <c r="I4185">
        <v>185347001</v>
      </c>
      <c r="J4185" t="s">
        <v>1124</v>
      </c>
      <c r="K4185">
        <v>85.55</v>
      </c>
      <c r="L4185">
        <v>1379.75</v>
      </c>
      <c r="M4185">
        <v>0</v>
      </c>
      <c r="N4185">
        <v>60573004</v>
      </c>
      <c r="O4185" t="s">
        <v>4932</v>
      </c>
    </row>
    <row r="4186" spans="1:15">
      <c r="A4186" t="s">
        <v>5760</v>
      </c>
      <c r="B4186" s="2">
        <v>44545.143993055557</v>
      </c>
      <c r="C4186" s="2">
        <v>44545.217361111114</v>
      </c>
      <c r="D4186" t="s">
        <v>811</v>
      </c>
      <c r="E4186" t="s">
        <v>1226</v>
      </c>
      <c r="F4186" t="s">
        <v>1227</v>
      </c>
      <c r="G4186" t="s">
        <v>1325</v>
      </c>
      <c r="H4186" t="s">
        <v>1031</v>
      </c>
      <c r="I4186">
        <v>390906007</v>
      </c>
      <c r="J4186" t="s">
        <v>1255</v>
      </c>
      <c r="K4186">
        <v>85.55</v>
      </c>
      <c r="L4186">
        <v>19396.86</v>
      </c>
      <c r="M4186">
        <v>10466.57</v>
      </c>
      <c r="N4186">
        <v>60573004</v>
      </c>
      <c r="O4186" t="s">
        <v>4932</v>
      </c>
    </row>
    <row r="4187" spans="1:15">
      <c r="A4187" t="s">
        <v>5761</v>
      </c>
      <c r="B4187" s="2">
        <v>44559.042037037034</v>
      </c>
      <c r="C4187" s="2">
        <v>44559.149039351854</v>
      </c>
      <c r="D4187" t="s">
        <v>811</v>
      </c>
      <c r="E4187" t="s">
        <v>1429</v>
      </c>
      <c r="F4187" t="s">
        <v>1430</v>
      </c>
      <c r="G4187" t="s">
        <v>1325</v>
      </c>
      <c r="H4187" t="s">
        <v>1031</v>
      </c>
      <c r="I4187">
        <v>185349003</v>
      </c>
      <c r="J4187" t="s">
        <v>1038</v>
      </c>
      <c r="K4187">
        <v>85.55</v>
      </c>
      <c r="L4187">
        <v>2673.95</v>
      </c>
      <c r="M4187">
        <v>2673.95</v>
      </c>
      <c r="N4187">
        <v>60573004</v>
      </c>
      <c r="O4187" t="s">
        <v>4932</v>
      </c>
    </row>
    <row r="4188" spans="1:15">
      <c r="A4188" t="s">
        <v>5762</v>
      </c>
      <c r="B4188" s="2">
        <v>44586.279861111114</v>
      </c>
      <c r="C4188" s="2">
        <v>44587.279861111114</v>
      </c>
      <c r="D4188" t="s">
        <v>811</v>
      </c>
      <c r="E4188" t="s">
        <v>1226</v>
      </c>
      <c r="F4188" t="s">
        <v>1227</v>
      </c>
      <c r="G4188" t="s">
        <v>1325</v>
      </c>
      <c r="H4188" t="s">
        <v>1431</v>
      </c>
      <c r="I4188">
        <v>32485007</v>
      </c>
      <c r="J4188" t="s">
        <v>1837</v>
      </c>
      <c r="K4188">
        <v>146.18</v>
      </c>
      <c r="L4188">
        <v>6681.02</v>
      </c>
      <c r="M4188">
        <v>6681.02</v>
      </c>
      <c r="N4188">
        <v>60573004</v>
      </c>
      <c r="O4188" t="s">
        <v>4932</v>
      </c>
    </row>
    <row r="4189" spans="1:15">
      <c r="A4189" t="s">
        <v>5763</v>
      </c>
      <c r="B4189" s="2">
        <v>44586.561550925922</v>
      </c>
      <c r="C4189" s="2">
        <v>44587.59202546296</v>
      </c>
      <c r="D4189" t="s">
        <v>811</v>
      </c>
      <c r="E4189" t="s">
        <v>1226</v>
      </c>
      <c r="F4189" t="s">
        <v>1227</v>
      </c>
      <c r="G4189" t="s">
        <v>1325</v>
      </c>
      <c r="H4189" t="s">
        <v>1431</v>
      </c>
      <c r="I4189">
        <v>305351004</v>
      </c>
      <c r="J4189" t="s">
        <v>2387</v>
      </c>
      <c r="K4189">
        <v>146.18</v>
      </c>
      <c r="L4189">
        <v>1185.25</v>
      </c>
      <c r="M4189">
        <v>1185.25</v>
      </c>
      <c r="N4189">
        <v>1231000119100</v>
      </c>
      <c r="O4189" t="s">
        <v>5764</v>
      </c>
    </row>
    <row r="4190" spans="1:15">
      <c r="A4190" t="s">
        <v>5765</v>
      </c>
      <c r="B4190" s="2">
        <v>44587.581608796296</v>
      </c>
      <c r="C4190" s="2">
        <v>44588.581608796296</v>
      </c>
      <c r="D4190" t="s">
        <v>811</v>
      </c>
      <c r="E4190" t="s">
        <v>1226</v>
      </c>
      <c r="F4190" t="s">
        <v>1227</v>
      </c>
      <c r="G4190" t="s">
        <v>1325</v>
      </c>
      <c r="H4190" t="s">
        <v>1431</v>
      </c>
      <c r="I4190">
        <v>305342007</v>
      </c>
      <c r="J4190" t="s">
        <v>2049</v>
      </c>
      <c r="K4190">
        <v>146.18</v>
      </c>
      <c r="L4190">
        <v>801.32</v>
      </c>
      <c r="M4190">
        <v>801.32</v>
      </c>
      <c r="N4190">
        <v>1231000119100</v>
      </c>
      <c r="O4190" t="s">
        <v>5764</v>
      </c>
    </row>
    <row r="4191" spans="1:15">
      <c r="A4191" t="s">
        <v>5766</v>
      </c>
      <c r="B4191" s="2">
        <v>44615.042037037034</v>
      </c>
      <c r="C4191" s="2">
        <v>44615.065972222219</v>
      </c>
      <c r="D4191" t="s">
        <v>811</v>
      </c>
      <c r="E4191" t="s">
        <v>1391</v>
      </c>
      <c r="F4191" t="s">
        <v>1392</v>
      </c>
      <c r="G4191" t="s">
        <v>1325</v>
      </c>
      <c r="H4191" t="s">
        <v>1020</v>
      </c>
      <c r="I4191">
        <v>162673000</v>
      </c>
      <c r="J4191" t="s">
        <v>1021</v>
      </c>
      <c r="K4191">
        <v>136.80000000000001</v>
      </c>
      <c r="L4191">
        <v>785.58</v>
      </c>
      <c r="M4191">
        <v>785.58</v>
      </c>
      <c r="O4191" t="s">
        <v>34</v>
      </c>
    </row>
    <row r="4192" spans="1:15">
      <c r="A4192" t="s">
        <v>5767</v>
      </c>
      <c r="B4192" s="2">
        <v>44629.042037037034</v>
      </c>
      <c r="C4192" s="2">
        <v>44629.174293981479</v>
      </c>
      <c r="D4192" t="s">
        <v>811</v>
      </c>
      <c r="E4192" t="s">
        <v>1429</v>
      </c>
      <c r="F4192" t="s">
        <v>1430</v>
      </c>
      <c r="G4192" t="s">
        <v>1325</v>
      </c>
      <c r="H4192" t="s">
        <v>1031</v>
      </c>
      <c r="I4192">
        <v>185349003</v>
      </c>
      <c r="J4192" t="s">
        <v>1038</v>
      </c>
      <c r="K4192">
        <v>85.55</v>
      </c>
      <c r="L4192">
        <v>3536.75</v>
      </c>
      <c r="M4192">
        <v>3536.75</v>
      </c>
      <c r="N4192">
        <v>103697008</v>
      </c>
      <c r="O4192" t="s">
        <v>1039</v>
      </c>
    </row>
    <row r="4193" spans="1:15">
      <c r="A4193" t="s">
        <v>5768</v>
      </c>
      <c r="B4193" s="2">
        <v>44725.542037037034</v>
      </c>
      <c r="C4193" s="2">
        <v>44725.552453703705</v>
      </c>
      <c r="D4193" t="s">
        <v>811</v>
      </c>
      <c r="E4193" t="s">
        <v>1429</v>
      </c>
      <c r="F4193" t="s">
        <v>1430</v>
      </c>
      <c r="G4193" t="s">
        <v>1325</v>
      </c>
      <c r="H4193" t="s">
        <v>1031</v>
      </c>
      <c r="I4193">
        <v>394701000</v>
      </c>
      <c r="J4193" t="s">
        <v>1154</v>
      </c>
      <c r="K4193">
        <v>142.58000000000001</v>
      </c>
      <c r="L4193">
        <v>142.58000000000001</v>
      </c>
      <c r="M4193">
        <v>0</v>
      </c>
      <c r="N4193">
        <v>195967001</v>
      </c>
      <c r="O4193" t="s">
        <v>1676</v>
      </c>
    </row>
    <row r="4194" spans="1:15">
      <c r="A4194" t="s">
        <v>5769</v>
      </c>
      <c r="B4194" s="2">
        <v>44986.042037037034</v>
      </c>
      <c r="C4194" s="2">
        <v>44986.074745370373</v>
      </c>
      <c r="D4194" t="s">
        <v>811</v>
      </c>
      <c r="E4194" t="s">
        <v>1391</v>
      </c>
      <c r="F4194" t="s">
        <v>1392</v>
      </c>
      <c r="G4194" t="s">
        <v>1325</v>
      </c>
      <c r="H4194" t="s">
        <v>1020</v>
      </c>
      <c r="I4194">
        <v>162673000</v>
      </c>
      <c r="J4194" t="s">
        <v>1021</v>
      </c>
      <c r="K4194">
        <v>136.80000000000001</v>
      </c>
      <c r="L4194">
        <v>1075.8599999999999</v>
      </c>
      <c r="M4194">
        <v>0</v>
      </c>
      <c r="O4194" t="s">
        <v>34</v>
      </c>
    </row>
    <row r="4195" spans="1:15">
      <c r="A4195" t="s">
        <v>5770</v>
      </c>
      <c r="B4195" s="2">
        <v>45265.50037037037</v>
      </c>
      <c r="C4195" s="2">
        <v>45265.510787037034</v>
      </c>
      <c r="D4195" t="s">
        <v>811</v>
      </c>
      <c r="E4195" t="s">
        <v>1429</v>
      </c>
      <c r="F4195" t="s">
        <v>1430</v>
      </c>
      <c r="G4195" t="s">
        <v>1325</v>
      </c>
      <c r="H4195" t="s">
        <v>1031</v>
      </c>
      <c r="I4195">
        <v>394701000</v>
      </c>
      <c r="J4195" t="s">
        <v>1154</v>
      </c>
      <c r="K4195">
        <v>142.58000000000001</v>
      </c>
      <c r="L4195">
        <v>142.58000000000001</v>
      </c>
      <c r="M4195">
        <v>0</v>
      </c>
      <c r="N4195">
        <v>195967001</v>
      </c>
      <c r="O4195" t="s">
        <v>1676</v>
      </c>
    </row>
    <row r="4196" spans="1:15">
      <c r="A4196" t="s">
        <v>5771</v>
      </c>
      <c r="B4196" s="2">
        <v>45357.042037037034</v>
      </c>
      <c r="C4196" s="2">
        <v>45357.063506944447</v>
      </c>
      <c r="D4196" t="s">
        <v>811</v>
      </c>
      <c r="E4196" t="s">
        <v>1391</v>
      </c>
      <c r="F4196" t="s">
        <v>1392</v>
      </c>
      <c r="G4196" t="s">
        <v>1325</v>
      </c>
      <c r="H4196" t="s">
        <v>1020</v>
      </c>
      <c r="I4196">
        <v>162673000</v>
      </c>
      <c r="J4196" t="s">
        <v>1021</v>
      </c>
      <c r="K4196">
        <v>136.80000000000001</v>
      </c>
      <c r="L4196">
        <v>1591.25</v>
      </c>
      <c r="M4196">
        <v>0</v>
      </c>
      <c r="O4196" t="s">
        <v>34</v>
      </c>
    </row>
    <row r="4197" spans="1:15">
      <c r="A4197" t="s">
        <v>5772</v>
      </c>
      <c r="B4197" s="2">
        <v>38249.281111111108</v>
      </c>
      <c r="C4197" s="2">
        <v>38249.322777777779</v>
      </c>
      <c r="D4197" t="s">
        <v>819</v>
      </c>
      <c r="E4197" t="s">
        <v>5773</v>
      </c>
      <c r="F4197" t="s">
        <v>5774</v>
      </c>
      <c r="G4197" t="s">
        <v>1019</v>
      </c>
      <c r="H4197" t="s">
        <v>1076</v>
      </c>
      <c r="I4197">
        <v>50849002</v>
      </c>
      <c r="J4197" t="s">
        <v>1163</v>
      </c>
      <c r="K4197">
        <v>146.18</v>
      </c>
      <c r="L4197">
        <v>146.18</v>
      </c>
      <c r="M4197">
        <v>0</v>
      </c>
      <c r="N4197">
        <v>124171000119105</v>
      </c>
      <c r="O4197" t="s">
        <v>5276</v>
      </c>
    </row>
    <row r="4198" spans="1:15">
      <c r="A4198" t="s">
        <v>5775</v>
      </c>
      <c r="B4198" s="2">
        <v>39551.281111111108</v>
      </c>
      <c r="C4198" s="2">
        <v>39551.314699074072</v>
      </c>
      <c r="D4198" t="s">
        <v>819</v>
      </c>
      <c r="E4198" t="s">
        <v>5776</v>
      </c>
      <c r="F4198" t="s">
        <v>5777</v>
      </c>
      <c r="G4198" t="s">
        <v>1561</v>
      </c>
      <c r="H4198" t="s">
        <v>1020</v>
      </c>
      <c r="I4198">
        <v>162673000</v>
      </c>
      <c r="J4198" t="s">
        <v>1021</v>
      </c>
      <c r="K4198">
        <v>136.80000000000001</v>
      </c>
      <c r="L4198">
        <v>704.2</v>
      </c>
      <c r="M4198">
        <v>0</v>
      </c>
      <c r="O4198" t="s">
        <v>34</v>
      </c>
    </row>
    <row r="4199" spans="1:15">
      <c r="A4199" t="s">
        <v>5778</v>
      </c>
      <c r="B4199" s="2">
        <v>41021.281111111108</v>
      </c>
      <c r="C4199" s="2">
        <v>41021.318437499998</v>
      </c>
      <c r="D4199" t="s">
        <v>819</v>
      </c>
      <c r="E4199" t="s">
        <v>5776</v>
      </c>
      <c r="F4199" t="s">
        <v>5777</v>
      </c>
      <c r="G4199" t="s">
        <v>1561</v>
      </c>
      <c r="H4199" t="s">
        <v>1020</v>
      </c>
      <c r="I4199">
        <v>162673000</v>
      </c>
      <c r="J4199" t="s">
        <v>1021</v>
      </c>
      <c r="K4199">
        <v>136.80000000000001</v>
      </c>
      <c r="L4199">
        <v>1547.5</v>
      </c>
      <c r="M4199">
        <v>0</v>
      </c>
      <c r="O4199" t="s">
        <v>34</v>
      </c>
    </row>
    <row r="4200" spans="1:15">
      <c r="A4200" t="s">
        <v>5779</v>
      </c>
      <c r="B4200" s="2">
        <v>41674.239444444444</v>
      </c>
      <c r="C4200" s="2">
        <v>41674.249861111108</v>
      </c>
      <c r="D4200" t="s">
        <v>819</v>
      </c>
      <c r="E4200" t="s">
        <v>5780</v>
      </c>
      <c r="F4200" t="s">
        <v>5781</v>
      </c>
      <c r="G4200" t="s">
        <v>1561</v>
      </c>
      <c r="H4200" t="s">
        <v>1043</v>
      </c>
      <c r="I4200">
        <v>185347001</v>
      </c>
      <c r="J4200" t="s">
        <v>1124</v>
      </c>
      <c r="K4200">
        <v>85.55</v>
      </c>
      <c r="L4200">
        <v>85.55</v>
      </c>
      <c r="M4200">
        <v>0</v>
      </c>
      <c r="N4200">
        <v>82423001</v>
      </c>
      <c r="O4200" t="s">
        <v>1542</v>
      </c>
    </row>
    <row r="4201" spans="1:15">
      <c r="A4201" t="s">
        <v>5782</v>
      </c>
      <c r="B4201" s="2">
        <v>42120.281111111108</v>
      </c>
      <c r="C4201" s="2">
        <v>42120.313275462962</v>
      </c>
      <c r="D4201" t="s">
        <v>819</v>
      </c>
      <c r="E4201" t="s">
        <v>5776</v>
      </c>
      <c r="F4201" t="s">
        <v>5777</v>
      </c>
      <c r="G4201" t="s">
        <v>1561</v>
      </c>
      <c r="H4201" t="s">
        <v>1020</v>
      </c>
      <c r="I4201">
        <v>162673000</v>
      </c>
      <c r="J4201" t="s">
        <v>1021</v>
      </c>
      <c r="K4201">
        <v>136.80000000000001</v>
      </c>
      <c r="L4201">
        <v>1539.05</v>
      </c>
      <c r="M4201">
        <v>0</v>
      </c>
      <c r="O4201" t="s">
        <v>34</v>
      </c>
    </row>
    <row r="4202" spans="1:15">
      <c r="A4202" t="s">
        <v>5783</v>
      </c>
      <c r="B4202" s="2">
        <v>43219.281111111108</v>
      </c>
      <c r="C4202" s="2">
        <v>43219.315092592595</v>
      </c>
      <c r="D4202" t="s">
        <v>819</v>
      </c>
      <c r="E4202" t="s">
        <v>5776</v>
      </c>
      <c r="F4202" t="s">
        <v>5777</v>
      </c>
      <c r="G4202" t="s">
        <v>1561</v>
      </c>
      <c r="H4202" t="s">
        <v>1020</v>
      </c>
      <c r="I4202">
        <v>162673000</v>
      </c>
      <c r="J4202" t="s">
        <v>1021</v>
      </c>
      <c r="K4202">
        <v>136.80000000000001</v>
      </c>
      <c r="L4202">
        <v>853.36</v>
      </c>
      <c r="M4202">
        <v>0</v>
      </c>
      <c r="O4202" t="s">
        <v>34</v>
      </c>
    </row>
    <row r="4203" spans="1:15">
      <c r="A4203" t="s">
        <v>5784</v>
      </c>
      <c r="B4203" s="2">
        <v>43233.281111111108</v>
      </c>
      <c r="C4203" s="2">
        <v>43233.384074074071</v>
      </c>
      <c r="D4203" t="s">
        <v>819</v>
      </c>
      <c r="E4203" t="s">
        <v>5780</v>
      </c>
      <c r="F4203" t="s">
        <v>5781</v>
      </c>
      <c r="G4203" t="s">
        <v>1561</v>
      </c>
      <c r="H4203" t="s">
        <v>1031</v>
      </c>
      <c r="I4203">
        <v>185349003</v>
      </c>
      <c r="J4203" t="s">
        <v>1038</v>
      </c>
      <c r="K4203">
        <v>85.55</v>
      </c>
      <c r="L4203">
        <v>3105.35</v>
      </c>
      <c r="M4203">
        <v>0</v>
      </c>
      <c r="N4203">
        <v>103697008</v>
      </c>
      <c r="O4203" t="s">
        <v>1039</v>
      </c>
    </row>
    <row r="4204" spans="1:15">
      <c r="A4204" t="s">
        <v>5785</v>
      </c>
      <c r="B4204" s="2">
        <v>44318.281111111108</v>
      </c>
      <c r="C4204" s="2">
        <v>44318.316458333335</v>
      </c>
      <c r="D4204" t="s">
        <v>819</v>
      </c>
      <c r="E4204" t="s">
        <v>5776</v>
      </c>
      <c r="F4204" t="s">
        <v>5777</v>
      </c>
      <c r="G4204" t="s">
        <v>1561</v>
      </c>
      <c r="H4204" t="s">
        <v>1020</v>
      </c>
      <c r="I4204">
        <v>162673000</v>
      </c>
      <c r="J4204" t="s">
        <v>1021</v>
      </c>
      <c r="K4204">
        <v>136.80000000000001</v>
      </c>
      <c r="L4204">
        <v>989.36</v>
      </c>
      <c r="M4204">
        <v>0</v>
      </c>
      <c r="O4204" t="s">
        <v>34</v>
      </c>
    </row>
    <row r="4205" spans="1:15">
      <c r="A4205" t="s">
        <v>5786</v>
      </c>
      <c r="B4205" s="2">
        <v>45417.281111111108</v>
      </c>
      <c r="C4205" s="2">
        <v>45417.309236111112</v>
      </c>
      <c r="D4205" t="s">
        <v>819</v>
      </c>
      <c r="E4205" t="s">
        <v>5776</v>
      </c>
      <c r="F4205" t="s">
        <v>5777</v>
      </c>
      <c r="G4205" t="s">
        <v>1561</v>
      </c>
      <c r="H4205" t="s">
        <v>1020</v>
      </c>
      <c r="I4205">
        <v>162673000</v>
      </c>
      <c r="J4205" t="s">
        <v>1021</v>
      </c>
      <c r="K4205">
        <v>136.80000000000001</v>
      </c>
      <c r="L4205">
        <v>1205.92</v>
      </c>
      <c r="M4205">
        <v>0</v>
      </c>
      <c r="O4205" t="s">
        <v>34</v>
      </c>
    </row>
    <row r="4206" spans="1:15">
      <c r="A4206" t="s">
        <v>5787</v>
      </c>
      <c r="B4206" s="2">
        <v>45431.281111111108</v>
      </c>
      <c r="C4206" s="2">
        <v>45431.417199074072</v>
      </c>
      <c r="D4206" t="s">
        <v>819</v>
      </c>
      <c r="E4206" t="s">
        <v>5780</v>
      </c>
      <c r="F4206" t="s">
        <v>5781</v>
      </c>
      <c r="G4206" t="s">
        <v>1561</v>
      </c>
      <c r="H4206" t="s">
        <v>1031</v>
      </c>
      <c r="I4206">
        <v>185349003</v>
      </c>
      <c r="J4206" t="s">
        <v>1038</v>
      </c>
      <c r="K4206">
        <v>85.55</v>
      </c>
      <c r="L4206">
        <v>2673.95</v>
      </c>
      <c r="M4206">
        <v>0</v>
      </c>
      <c r="N4206">
        <v>66383009</v>
      </c>
      <c r="O4206" t="s">
        <v>1209</v>
      </c>
    </row>
    <row r="4207" spans="1:15">
      <c r="A4207" t="s">
        <v>5788</v>
      </c>
      <c r="B4207" s="2">
        <v>45371.083703703705</v>
      </c>
      <c r="C4207" s="2">
        <v>45371.180231481485</v>
      </c>
      <c r="D4207" t="s">
        <v>811</v>
      </c>
      <c r="E4207" t="s">
        <v>1429</v>
      </c>
      <c r="F4207" t="s">
        <v>1430</v>
      </c>
      <c r="G4207" t="s">
        <v>1325</v>
      </c>
      <c r="H4207" t="s">
        <v>1031</v>
      </c>
      <c r="I4207">
        <v>185349003</v>
      </c>
      <c r="J4207" t="s">
        <v>1038</v>
      </c>
      <c r="K4207">
        <v>85.55</v>
      </c>
      <c r="L4207">
        <v>3105.35</v>
      </c>
      <c r="M4207">
        <v>0</v>
      </c>
      <c r="N4207">
        <v>66383009</v>
      </c>
      <c r="O4207" t="s">
        <v>1209</v>
      </c>
    </row>
    <row r="4208" spans="1:15">
      <c r="A4208" t="s">
        <v>5789</v>
      </c>
      <c r="B4208" s="2">
        <v>45698.739444444444</v>
      </c>
      <c r="C4208" s="2">
        <v>45698.749861111108</v>
      </c>
      <c r="D4208" t="s">
        <v>819</v>
      </c>
      <c r="E4208" t="s">
        <v>5780</v>
      </c>
      <c r="F4208" t="s">
        <v>5781</v>
      </c>
      <c r="G4208" t="s">
        <v>1561</v>
      </c>
      <c r="H4208" t="s">
        <v>1031</v>
      </c>
      <c r="I4208">
        <v>185345009</v>
      </c>
      <c r="J4208" t="s">
        <v>1032</v>
      </c>
      <c r="K4208">
        <v>85.55</v>
      </c>
      <c r="L4208">
        <v>85.55</v>
      </c>
      <c r="M4208">
        <v>0</v>
      </c>
      <c r="N4208">
        <v>195662009</v>
      </c>
      <c r="O4208" t="s">
        <v>1130</v>
      </c>
    </row>
    <row r="4209" spans="1:15">
      <c r="A4209" t="s">
        <v>5790</v>
      </c>
      <c r="B4209" s="2">
        <v>45803.614444444444</v>
      </c>
      <c r="C4209" s="2">
        <v>45803.624861111108</v>
      </c>
      <c r="D4209" t="s">
        <v>819</v>
      </c>
      <c r="E4209" t="s">
        <v>5780</v>
      </c>
      <c r="F4209" t="s">
        <v>5781</v>
      </c>
      <c r="G4209" t="s">
        <v>1561</v>
      </c>
      <c r="H4209" t="s">
        <v>1031</v>
      </c>
      <c r="I4209">
        <v>185345009</v>
      </c>
      <c r="J4209" t="s">
        <v>1032</v>
      </c>
      <c r="K4209">
        <v>85.55</v>
      </c>
      <c r="L4209">
        <v>948.35</v>
      </c>
      <c r="M4209">
        <v>0</v>
      </c>
      <c r="N4209">
        <v>195662009</v>
      </c>
      <c r="O4209" t="s">
        <v>1130</v>
      </c>
    </row>
    <row r="4210" spans="1:15">
      <c r="A4210" t="s">
        <v>5791</v>
      </c>
      <c r="B4210" s="2">
        <v>45728.083703703705</v>
      </c>
      <c r="C4210" s="2">
        <v>45728.124374999999</v>
      </c>
      <c r="D4210" t="s">
        <v>811</v>
      </c>
      <c r="E4210" t="s">
        <v>1391</v>
      </c>
      <c r="F4210" t="s">
        <v>1392</v>
      </c>
      <c r="G4210" t="s">
        <v>1325</v>
      </c>
      <c r="H4210" t="s">
        <v>1020</v>
      </c>
      <c r="I4210">
        <v>162673000</v>
      </c>
      <c r="J4210" t="s">
        <v>1021</v>
      </c>
      <c r="K4210">
        <v>136.80000000000001</v>
      </c>
      <c r="L4210">
        <v>785.58</v>
      </c>
      <c r="M4210">
        <v>0</v>
      </c>
      <c r="O4210" t="s">
        <v>34</v>
      </c>
    </row>
    <row r="4211" spans="1:15">
      <c r="A4211" t="s">
        <v>5792</v>
      </c>
      <c r="B4211" s="2">
        <v>45805.542037037034</v>
      </c>
      <c r="C4211" s="2">
        <v>45805.552453703705</v>
      </c>
      <c r="D4211" t="s">
        <v>811</v>
      </c>
      <c r="E4211" t="s">
        <v>1429</v>
      </c>
      <c r="F4211" t="s">
        <v>1430</v>
      </c>
      <c r="G4211" t="s">
        <v>1325</v>
      </c>
      <c r="H4211" t="s">
        <v>1031</v>
      </c>
      <c r="I4211">
        <v>394701000</v>
      </c>
      <c r="J4211" t="s">
        <v>1154</v>
      </c>
      <c r="K4211">
        <v>142.58000000000001</v>
      </c>
      <c r="L4211">
        <v>142.58000000000001</v>
      </c>
      <c r="M4211">
        <v>0</v>
      </c>
      <c r="N4211">
        <v>195967001</v>
      </c>
      <c r="O4211" t="s">
        <v>1676</v>
      </c>
    </row>
    <row r="4212" spans="1:15">
      <c r="A4212" t="s">
        <v>5793</v>
      </c>
      <c r="B4212" s="2">
        <v>46045.119398148148</v>
      </c>
      <c r="C4212" s="2">
        <v>46045.161064814813</v>
      </c>
      <c r="D4212" t="s">
        <v>811</v>
      </c>
      <c r="E4212" t="s">
        <v>5752</v>
      </c>
      <c r="F4212" t="s">
        <v>5753</v>
      </c>
      <c r="G4212" t="s">
        <v>1325</v>
      </c>
      <c r="H4212" t="s">
        <v>1076</v>
      </c>
      <c r="I4212">
        <v>50849002</v>
      </c>
      <c r="J4212" t="s">
        <v>1163</v>
      </c>
      <c r="K4212">
        <v>146.18</v>
      </c>
      <c r="L4212">
        <v>4140.8900000000003</v>
      </c>
      <c r="M4212">
        <v>0</v>
      </c>
      <c r="N4212">
        <v>312608009</v>
      </c>
      <c r="O4212" t="s">
        <v>1249</v>
      </c>
    </row>
    <row r="4213" spans="1:15">
      <c r="A4213" t="s">
        <v>5794</v>
      </c>
      <c r="B4213" s="2">
        <v>46099.083703703705</v>
      </c>
      <c r="C4213" s="2">
        <v>46099.111076388886</v>
      </c>
      <c r="D4213" t="s">
        <v>811</v>
      </c>
      <c r="E4213" t="s">
        <v>1391</v>
      </c>
      <c r="F4213" t="s">
        <v>1392</v>
      </c>
      <c r="G4213" t="s">
        <v>1325</v>
      </c>
      <c r="H4213" t="s">
        <v>1020</v>
      </c>
      <c r="I4213">
        <v>162673000</v>
      </c>
      <c r="J4213" t="s">
        <v>1021</v>
      </c>
      <c r="K4213">
        <v>136.80000000000001</v>
      </c>
      <c r="L4213">
        <v>860.16</v>
      </c>
      <c r="M4213">
        <v>0</v>
      </c>
      <c r="O4213" t="s">
        <v>34</v>
      </c>
    </row>
    <row r="4214" spans="1:15">
      <c r="A4214" t="s">
        <v>5795</v>
      </c>
      <c r="B4214" s="2">
        <v>37118.272569444445</v>
      </c>
      <c r="C4214" s="2">
        <v>37118.282986111109</v>
      </c>
      <c r="D4214" t="s">
        <v>828</v>
      </c>
      <c r="E4214" t="s">
        <v>1869</v>
      </c>
      <c r="F4214" t="s">
        <v>1870</v>
      </c>
      <c r="G4214" t="s">
        <v>1019</v>
      </c>
      <c r="H4214" t="s">
        <v>1031</v>
      </c>
      <c r="I4214">
        <v>185345009</v>
      </c>
      <c r="J4214" t="s">
        <v>1032</v>
      </c>
      <c r="K4214">
        <v>85.55</v>
      </c>
      <c r="L4214">
        <v>85.55</v>
      </c>
      <c r="M4214">
        <v>0</v>
      </c>
      <c r="N4214">
        <v>232353008</v>
      </c>
      <c r="O4214" t="s">
        <v>1196</v>
      </c>
    </row>
    <row r="4215" spans="1:15">
      <c r="A4215" t="s">
        <v>5796</v>
      </c>
      <c r="B4215" s="2">
        <v>37119.480902777781</v>
      </c>
      <c r="C4215" s="2">
        <v>37119.500706018516</v>
      </c>
      <c r="D4215" t="s">
        <v>828</v>
      </c>
      <c r="E4215" t="s">
        <v>1869</v>
      </c>
      <c r="F4215" t="s">
        <v>1870</v>
      </c>
      <c r="G4215" t="s">
        <v>1019</v>
      </c>
      <c r="H4215" t="s">
        <v>1031</v>
      </c>
      <c r="I4215">
        <v>185347001</v>
      </c>
      <c r="J4215" t="s">
        <v>1124</v>
      </c>
      <c r="K4215">
        <v>85.55</v>
      </c>
      <c r="L4215">
        <v>516.95000000000005</v>
      </c>
      <c r="M4215">
        <v>0</v>
      </c>
      <c r="N4215">
        <v>609328004</v>
      </c>
      <c r="O4215" t="s">
        <v>1137</v>
      </c>
    </row>
    <row r="4216" spans="1:15">
      <c r="A4216" t="s">
        <v>5797</v>
      </c>
      <c r="B4216" s="2">
        <v>41143.272569444445</v>
      </c>
      <c r="C4216" s="2">
        <v>41143.282986111109</v>
      </c>
      <c r="D4216" t="s">
        <v>828</v>
      </c>
      <c r="E4216" t="s">
        <v>1945</v>
      </c>
      <c r="F4216" t="s">
        <v>1946</v>
      </c>
      <c r="G4216" t="s">
        <v>1561</v>
      </c>
      <c r="H4216" t="s">
        <v>1020</v>
      </c>
      <c r="I4216">
        <v>410620009</v>
      </c>
      <c r="J4216" t="s">
        <v>1054</v>
      </c>
      <c r="K4216">
        <v>136.80000000000001</v>
      </c>
      <c r="L4216">
        <v>704.2</v>
      </c>
      <c r="M4216">
        <v>0</v>
      </c>
      <c r="O4216" t="s">
        <v>34</v>
      </c>
    </row>
    <row r="4217" spans="1:15">
      <c r="A4217" t="s">
        <v>5798</v>
      </c>
      <c r="B4217" s="2">
        <v>42256.272569444445</v>
      </c>
      <c r="C4217" s="2">
        <v>42256.282986111109</v>
      </c>
      <c r="D4217" t="s">
        <v>828</v>
      </c>
      <c r="E4217" t="s">
        <v>1945</v>
      </c>
      <c r="F4217" t="s">
        <v>1946</v>
      </c>
      <c r="G4217" t="s">
        <v>1561</v>
      </c>
      <c r="H4217" t="s">
        <v>1020</v>
      </c>
      <c r="I4217">
        <v>410620009</v>
      </c>
      <c r="J4217" t="s">
        <v>1054</v>
      </c>
      <c r="K4217">
        <v>136.80000000000001</v>
      </c>
      <c r="L4217">
        <v>704.2</v>
      </c>
      <c r="M4217">
        <v>704.2</v>
      </c>
      <c r="O4217" t="s">
        <v>34</v>
      </c>
    </row>
    <row r="4218" spans="1:15">
      <c r="A4218" t="s">
        <v>5799</v>
      </c>
      <c r="B4218" s="2">
        <v>42551.272569444445</v>
      </c>
      <c r="C4218" s="2">
        <v>42551.282986111109</v>
      </c>
      <c r="D4218" t="s">
        <v>828</v>
      </c>
      <c r="E4218" t="s">
        <v>1854</v>
      </c>
      <c r="F4218" t="s">
        <v>1855</v>
      </c>
      <c r="G4218" t="s">
        <v>1561</v>
      </c>
      <c r="H4218" t="s">
        <v>1043</v>
      </c>
      <c r="I4218">
        <v>698314001</v>
      </c>
      <c r="J4218" t="s">
        <v>1190</v>
      </c>
      <c r="K4218">
        <v>142.58000000000001</v>
      </c>
      <c r="L4218">
        <v>142.58000000000001</v>
      </c>
      <c r="M4218">
        <v>142.58000000000001</v>
      </c>
      <c r="N4218">
        <v>389095005</v>
      </c>
      <c r="O4218" t="s">
        <v>1191</v>
      </c>
    </row>
    <row r="4219" spans="1:15">
      <c r="A4219" t="s">
        <v>5800</v>
      </c>
      <c r="B4219" s="2">
        <v>42608.272569444445</v>
      </c>
      <c r="C4219" s="2">
        <v>42608.282986111109</v>
      </c>
      <c r="D4219" t="s">
        <v>828</v>
      </c>
      <c r="E4219" t="s">
        <v>1854</v>
      </c>
      <c r="F4219" t="s">
        <v>1855</v>
      </c>
      <c r="G4219" t="s">
        <v>1561</v>
      </c>
      <c r="H4219" t="s">
        <v>1043</v>
      </c>
      <c r="I4219">
        <v>185347001</v>
      </c>
      <c r="J4219" t="s">
        <v>1124</v>
      </c>
      <c r="K4219">
        <v>85.55</v>
      </c>
      <c r="L4219">
        <v>85.55</v>
      </c>
      <c r="M4219">
        <v>0</v>
      </c>
      <c r="N4219">
        <v>82423001</v>
      </c>
      <c r="O4219" t="s">
        <v>1542</v>
      </c>
    </row>
    <row r="4220" spans="1:15">
      <c r="A4220" t="s">
        <v>5801</v>
      </c>
      <c r="B4220" s="2">
        <v>42611.272569444445</v>
      </c>
      <c r="C4220" s="2">
        <v>42611.310891203706</v>
      </c>
      <c r="D4220" t="s">
        <v>828</v>
      </c>
      <c r="E4220" t="s">
        <v>1869</v>
      </c>
      <c r="F4220" t="s">
        <v>1870</v>
      </c>
      <c r="G4220" t="s">
        <v>1561</v>
      </c>
      <c r="H4220" t="s">
        <v>1031</v>
      </c>
      <c r="I4220">
        <v>308335008</v>
      </c>
      <c r="J4220" t="s">
        <v>1194</v>
      </c>
      <c r="K4220">
        <v>142.58000000000001</v>
      </c>
      <c r="L4220">
        <v>573.98</v>
      </c>
      <c r="M4220">
        <v>0</v>
      </c>
      <c r="N4220">
        <v>82423001</v>
      </c>
      <c r="O4220" t="s">
        <v>1542</v>
      </c>
    </row>
    <row r="4221" spans="1:15">
      <c r="A4221" t="s">
        <v>5802</v>
      </c>
      <c r="B4221" s="2">
        <v>42614.310891203706</v>
      </c>
      <c r="C4221" s="2">
        <v>42614.347870370373</v>
      </c>
      <c r="D4221" t="s">
        <v>828</v>
      </c>
      <c r="E4221" t="s">
        <v>1869</v>
      </c>
      <c r="F4221" t="s">
        <v>1870</v>
      </c>
      <c r="G4221" t="s">
        <v>1561</v>
      </c>
      <c r="H4221" t="s">
        <v>1031</v>
      </c>
      <c r="I4221">
        <v>308335008</v>
      </c>
      <c r="J4221" t="s">
        <v>1194</v>
      </c>
      <c r="K4221">
        <v>142.58000000000001</v>
      </c>
      <c r="L4221">
        <v>573.98</v>
      </c>
      <c r="M4221">
        <v>0</v>
      </c>
      <c r="N4221">
        <v>82423001</v>
      </c>
      <c r="O4221" t="s">
        <v>1542</v>
      </c>
    </row>
    <row r="4222" spans="1:15">
      <c r="A4222" t="s">
        <v>5803</v>
      </c>
      <c r="B4222" s="2">
        <v>42617.347870370373</v>
      </c>
      <c r="C4222" s="2">
        <v>42617.38559027778</v>
      </c>
      <c r="D4222" t="s">
        <v>828</v>
      </c>
      <c r="E4222" t="s">
        <v>1869</v>
      </c>
      <c r="F4222" t="s">
        <v>1870</v>
      </c>
      <c r="G4222" t="s">
        <v>1561</v>
      </c>
      <c r="H4222" t="s">
        <v>1031</v>
      </c>
      <c r="I4222">
        <v>308335008</v>
      </c>
      <c r="J4222" t="s">
        <v>1194</v>
      </c>
      <c r="K4222">
        <v>142.58000000000001</v>
      </c>
      <c r="L4222">
        <v>573.98</v>
      </c>
      <c r="M4222">
        <v>0</v>
      </c>
      <c r="N4222">
        <v>82423001</v>
      </c>
      <c r="O4222" t="s">
        <v>1542</v>
      </c>
    </row>
    <row r="4223" spans="1:15">
      <c r="A4223" t="s">
        <v>5804</v>
      </c>
      <c r="B4223" s="2">
        <v>42627.272569444445</v>
      </c>
      <c r="C4223" s="2">
        <v>42627.299872685187</v>
      </c>
      <c r="D4223" t="s">
        <v>828</v>
      </c>
      <c r="E4223" t="s">
        <v>1945</v>
      </c>
      <c r="F4223" t="s">
        <v>1946</v>
      </c>
      <c r="G4223" t="s">
        <v>1561</v>
      </c>
      <c r="H4223" t="s">
        <v>1020</v>
      </c>
      <c r="I4223">
        <v>162673000</v>
      </c>
      <c r="J4223" t="s">
        <v>1021</v>
      </c>
      <c r="K4223">
        <v>136.80000000000001</v>
      </c>
      <c r="L4223">
        <v>1264.8699999999999</v>
      </c>
      <c r="M4223">
        <v>0</v>
      </c>
      <c r="O4223" t="s">
        <v>34</v>
      </c>
    </row>
    <row r="4224" spans="1:15">
      <c r="A4224" t="s">
        <v>5805</v>
      </c>
      <c r="B4224" s="2">
        <v>42634.272569444445</v>
      </c>
      <c r="C4224" s="2">
        <v>42634.306226851855</v>
      </c>
      <c r="D4224" t="s">
        <v>828</v>
      </c>
      <c r="E4224" t="s">
        <v>1869</v>
      </c>
      <c r="F4224" t="s">
        <v>1870</v>
      </c>
      <c r="G4224" t="s">
        <v>1561</v>
      </c>
      <c r="H4224" t="s">
        <v>1031</v>
      </c>
      <c r="I4224">
        <v>308335008</v>
      </c>
      <c r="J4224" t="s">
        <v>1194</v>
      </c>
      <c r="K4224">
        <v>142.58000000000001</v>
      </c>
      <c r="L4224">
        <v>573.98</v>
      </c>
      <c r="M4224">
        <v>0</v>
      </c>
      <c r="N4224">
        <v>82423001</v>
      </c>
      <c r="O4224" t="s">
        <v>1542</v>
      </c>
    </row>
    <row r="4225" spans="1:15">
      <c r="A4225" t="s">
        <v>5806</v>
      </c>
      <c r="B4225" s="2">
        <v>42637.306226851855</v>
      </c>
      <c r="C4225" s="2">
        <v>42637.34480324074</v>
      </c>
      <c r="D4225" t="s">
        <v>828</v>
      </c>
      <c r="E4225" t="s">
        <v>1869</v>
      </c>
      <c r="F4225" t="s">
        <v>1870</v>
      </c>
      <c r="G4225" t="s">
        <v>1561</v>
      </c>
      <c r="H4225" t="s">
        <v>1031</v>
      </c>
      <c r="I4225">
        <v>308335008</v>
      </c>
      <c r="J4225" t="s">
        <v>1194</v>
      </c>
      <c r="K4225">
        <v>142.58000000000001</v>
      </c>
      <c r="L4225">
        <v>573.98</v>
      </c>
      <c r="M4225">
        <v>0</v>
      </c>
      <c r="N4225">
        <v>82423001</v>
      </c>
      <c r="O4225" t="s">
        <v>1542</v>
      </c>
    </row>
    <row r="4226" spans="1:15">
      <c r="A4226" t="s">
        <v>5807</v>
      </c>
      <c r="B4226" s="2">
        <v>42640.34480324074</v>
      </c>
      <c r="C4226" s="2">
        <v>42640.381736111114</v>
      </c>
      <c r="D4226" t="s">
        <v>828</v>
      </c>
      <c r="E4226" t="s">
        <v>1869</v>
      </c>
      <c r="F4226" t="s">
        <v>1870</v>
      </c>
      <c r="G4226" t="s">
        <v>1561</v>
      </c>
      <c r="H4226" t="s">
        <v>1031</v>
      </c>
      <c r="I4226">
        <v>308335008</v>
      </c>
      <c r="J4226" t="s">
        <v>1194</v>
      </c>
      <c r="K4226">
        <v>142.58000000000001</v>
      </c>
      <c r="L4226">
        <v>573.98</v>
      </c>
      <c r="M4226">
        <v>206.01</v>
      </c>
      <c r="N4226">
        <v>82423001</v>
      </c>
      <c r="O4226" t="s">
        <v>1542</v>
      </c>
    </row>
    <row r="4227" spans="1:15">
      <c r="A4227" t="s">
        <v>5808</v>
      </c>
      <c r="B4227" s="2">
        <v>42648.272569444445</v>
      </c>
      <c r="C4227" s="2">
        <v>42648.422696759262</v>
      </c>
      <c r="D4227" t="s">
        <v>828</v>
      </c>
      <c r="E4227" t="s">
        <v>1869</v>
      </c>
      <c r="F4227" t="s">
        <v>1870</v>
      </c>
      <c r="G4227" t="s">
        <v>1561</v>
      </c>
      <c r="H4227" t="s">
        <v>1031</v>
      </c>
      <c r="I4227">
        <v>185349003</v>
      </c>
      <c r="J4227" t="s">
        <v>1038</v>
      </c>
      <c r="K4227">
        <v>85.55</v>
      </c>
      <c r="L4227">
        <v>3536.75</v>
      </c>
      <c r="M4227">
        <v>2475.7199999999998</v>
      </c>
      <c r="N4227">
        <v>66383009</v>
      </c>
      <c r="O4227" t="s">
        <v>1209</v>
      </c>
    </row>
    <row r="4228" spans="1:15">
      <c r="A4228" t="s">
        <v>5809</v>
      </c>
      <c r="B4228" s="2">
        <v>42655.272569444445</v>
      </c>
      <c r="C4228" s="2">
        <v>42655.305555555555</v>
      </c>
      <c r="D4228" t="s">
        <v>828</v>
      </c>
      <c r="E4228" t="s">
        <v>1869</v>
      </c>
      <c r="F4228" t="s">
        <v>1870</v>
      </c>
      <c r="G4228" t="s">
        <v>1561</v>
      </c>
      <c r="H4228" t="s">
        <v>1031</v>
      </c>
      <c r="I4228">
        <v>308335008</v>
      </c>
      <c r="J4228" t="s">
        <v>1194</v>
      </c>
      <c r="K4228">
        <v>142.58000000000001</v>
      </c>
      <c r="L4228">
        <v>573.98</v>
      </c>
      <c r="M4228">
        <v>401.79</v>
      </c>
      <c r="N4228">
        <v>82423001</v>
      </c>
      <c r="O4228" t="s">
        <v>1542</v>
      </c>
    </row>
    <row r="4229" spans="1:15">
      <c r="A4229" t="s">
        <v>5810</v>
      </c>
      <c r="B4229" s="2">
        <v>42658.305555555555</v>
      </c>
      <c r="C4229" s="2">
        <v>42658.338935185187</v>
      </c>
      <c r="D4229" t="s">
        <v>828</v>
      </c>
      <c r="E4229" t="s">
        <v>1869</v>
      </c>
      <c r="F4229" t="s">
        <v>1870</v>
      </c>
      <c r="G4229" t="s">
        <v>1561</v>
      </c>
      <c r="H4229" t="s">
        <v>1031</v>
      </c>
      <c r="I4229">
        <v>308335008</v>
      </c>
      <c r="J4229" t="s">
        <v>1194</v>
      </c>
      <c r="K4229">
        <v>142.58000000000001</v>
      </c>
      <c r="L4229">
        <v>573.98</v>
      </c>
      <c r="M4229">
        <v>401.79</v>
      </c>
      <c r="N4229">
        <v>82423001</v>
      </c>
      <c r="O4229" t="s">
        <v>1542</v>
      </c>
    </row>
    <row r="4230" spans="1:15">
      <c r="A4230" t="s">
        <v>5811</v>
      </c>
      <c r="B4230" s="2">
        <v>42661.338935185187</v>
      </c>
      <c r="C4230" s="2">
        <v>42661.372094907405</v>
      </c>
      <c r="D4230" t="s">
        <v>828</v>
      </c>
      <c r="E4230" t="s">
        <v>1869</v>
      </c>
      <c r="F4230" t="s">
        <v>1870</v>
      </c>
      <c r="G4230" t="s">
        <v>1561</v>
      </c>
      <c r="H4230" t="s">
        <v>1031</v>
      </c>
      <c r="I4230">
        <v>308335008</v>
      </c>
      <c r="J4230" t="s">
        <v>1194</v>
      </c>
      <c r="K4230">
        <v>142.58000000000001</v>
      </c>
      <c r="L4230">
        <v>573.98</v>
      </c>
      <c r="M4230">
        <v>401.79</v>
      </c>
      <c r="N4230">
        <v>82423001</v>
      </c>
      <c r="O4230" t="s">
        <v>1542</v>
      </c>
    </row>
    <row r="4231" spans="1:15">
      <c r="A4231" t="s">
        <v>5812</v>
      </c>
      <c r="B4231" s="2">
        <v>42664.372094907405</v>
      </c>
      <c r="C4231" s="2">
        <v>42664.411944444444</v>
      </c>
      <c r="D4231" t="s">
        <v>828</v>
      </c>
      <c r="E4231" t="s">
        <v>1869</v>
      </c>
      <c r="F4231" t="s">
        <v>1870</v>
      </c>
      <c r="G4231" t="s">
        <v>1561</v>
      </c>
      <c r="H4231" t="s">
        <v>1031</v>
      </c>
      <c r="I4231">
        <v>308335008</v>
      </c>
      <c r="J4231" t="s">
        <v>1194</v>
      </c>
      <c r="K4231">
        <v>142.58000000000001</v>
      </c>
      <c r="L4231">
        <v>573.98</v>
      </c>
      <c r="M4231">
        <v>401.79</v>
      </c>
      <c r="N4231">
        <v>82423001</v>
      </c>
      <c r="O4231" t="s">
        <v>1542</v>
      </c>
    </row>
    <row r="4232" spans="1:15">
      <c r="A4232" t="s">
        <v>5813</v>
      </c>
      <c r="B4232" s="2">
        <v>42911.272569444445</v>
      </c>
      <c r="C4232" s="2">
        <v>42911.282986111109</v>
      </c>
      <c r="D4232" t="s">
        <v>828</v>
      </c>
      <c r="E4232" t="s">
        <v>1854</v>
      </c>
      <c r="F4232" t="s">
        <v>1855</v>
      </c>
      <c r="G4232" t="s">
        <v>1561</v>
      </c>
      <c r="H4232" t="s">
        <v>1043</v>
      </c>
      <c r="I4232">
        <v>698314001</v>
      </c>
      <c r="J4232" t="s">
        <v>1190</v>
      </c>
      <c r="K4232">
        <v>142.58000000000001</v>
      </c>
      <c r="L4232">
        <v>142.58000000000001</v>
      </c>
      <c r="M4232">
        <v>99.81</v>
      </c>
      <c r="N4232">
        <v>389095005</v>
      </c>
      <c r="O4232" t="s">
        <v>1191</v>
      </c>
    </row>
    <row r="4233" spans="1:15">
      <c r="A4233" t="s">
        <v>5814</v>
      </c>
      <c r="B4233" s="2">
        <v>42923.360717592594</v>
      </c>
      <c r="C4233" s="2">
        <v>42923.402384259258</v>
      </c>
      <c r="D4233" t="s">
        <v>828</v>
      </c>
      <c r="E4233" t="s">
        <v>1949</v>
      </c>
      <c r="F4233" t="s">
        <v>1950</v>
      </c>
      <c r="G4233" t="s">
        <v>1561</v>
      </c>
      <c r="H4233" t="s">
        <v>1076</v>
      </c>
      <c r="I4233">
        <v>50849002</v>
      </c>
      <c r="J4233" t="s">
        <v>1163</v>
      </c>
      <c r="K4233">
        <v>146.18</v>
      </c>
      <c r="L4233">
        <v>146.18</v>
      </c>
      <c r="M4233">
        <v>102.33</v>
      </c>
      <c r="N4233">
        <v>110030002</v>
      </c>
      <c r="O4233" t="s">
        <v>2628</v>
      </c>
    </row>
    <row r="4234" spans="1:15">
      <c r="A4234" t="s">
        <v>5815</v>
      </c>
      <c r="B4234" s="2">
        <v>42982.360717592594</v>
      </c>
      <c r="C4234" s="2">
        <v>42982.371134259258</v>
      </c>
      <c r="D4234" t="s">
        <v>828</v>
      </c>
      <c r="E4234" t="s">
        <v>1869</v>
      </c>
      <c r="F4234" t="s">
        <v>1870</v>
      </c>
      <c r="G4234" t="s">
        <v>1561</v>
      </c>
      <c r="H4234" t="s">
        <v>1031</v>
      </c>
      <c r="I4234">
        <v>185349003</v>
      </c>
      <c r="J4234" t="s">
        <v>1038</v>
      </c>
      <c r="K4234">
        <v>85.55</v>
      </c>
      <c r="L4234">
        <v>85.55</v>
      </c>
      <c r="M4234">
        <v>0</v>
      </c>
      <c r="N4234">
        <v>62106007</v>
      </c>
      <c r="O4234" t="s">
        <v>3730</v>
      </c>
    </row>
    <row r="4235" spans="1:15">
      <c r="A4235" t="s">
        <v>5816</v>
      </c>
      <c r="B4235" s="2">
        <v>42998.272569444445</v>
      </c>
      <c r="C4235" s="2">
        <v>42998.295520833337</v>
      </c>
      <c r="D4235" t="s">
        <v>828</v>
      </c>
      <c r="E4235" t="s">
        <v>1945</v>
      </c>
      <c r="F4235" t="s">
        <v>1946</v>
      </c>
      <c r="G4235" t="s">
        <v>1561</v>
      </c>
      <c r="H4235" t="s">
        <v>1020</v>
      </c>
      <c r="I4235">
        <v>162673000</v>
      </c>
      <c r="J4235" t="s">
        <v>1021</v>
      </c>
      <c r="K4235">
        <v>136.80000000000001</v>
      </c>
      <c r="L4235">
        <v>1224.0899999999999</v>
      </c>
      <c r="M4235">
        <v>0</v>
      </c>
      <c r="O4235" t="s">
        <v>34</v>
      </c>
    </row>
    <row r="4236" spans="1:15">
      <c r="A4236" t="s">
        <v>5817</v>
      </c>
      <c r="B4236" s="2">
        <v>43012.272569444445</v>
      </c>
      <c r="C4236" s="2">
        <v>43012.381064814814</v>
      </c>
      <c r="D4236" t="s">
        <v>828</v>
      </c>
      <c r="E4236" t="s">
        <v>1869</v>
      </c>
      <c r="F4236" t="s">
        <v>1870</v>
      </c>
      <c r="G4236" t="s">
        <v>1561</v>
      </c>
      <c r="H4236" t="s">
        <v>1031</v>
      </c>
      <c r="I4236">
        <v>185349003</v>
      </c>
      <c r="J4236" t="s">
        <v>1038</v>
      </c>
      <c r="K4236">
        <v>85.55</v>
      </c>
      <c r="L4236">
        <v>2673.95</v>
      </c>
      <c r="M4236">
        <v>0</v>
      </c>
      <c r="N4236">
        <v>103697008</v>
      </c>
      <c r="O4236" t="s">
        <v>1039</v>
      </c>
    </row>
    <row r="4237" spans="1:15">
      <c r="A4237" t="s">
        <v>5818</v>
      </c>
      <c r="B4237" s="2">
        <v>43271.272569444445</v>
      </c>
      <c r="C4237" s="2">
        <v>43271.282986111109</v>
      </c>
      <c r="D4237" t="s">
        <v>828</v>
      </c>
      <c r="E4237" t="s">
        <v>1854</v>
      </c>
      <c r="F4237" t="s">
        <v>1855</v>
      </c>
      <c r="G4237" t="s">
        <v>1561</v>
      </c>
      <c r="H4237" t="s">
        <v>1043</v>
      </c>
      <c r="I4237">
        <v>698314001</v>
      </c>
      <c r="J4237" t="s">
        <v>1190</v>
      </c>
      <c r="K4237">
        <v>142.58000000000001</v>
      </c>
      <c r="L4237">
        <v>142.58000000000001</v>
      </c>
      <c r="M4237">
        <v>0</v>
      </c>
      <c r="N4237">
        <v>389095005</v>
      </c>
      <c r="O4237" t="s">
        <v>1191</v>
      </c>
    </row>
    <row r="4238" spans="1:15">
      <c r="A4238" t="s">
        <v>5819</v>
      </c>
      <c r="B4238" s="2">
        <v>43707.360717592594</v>
      </c>
      <c r="C4238" s="2">
        <v>43707.402384259258</v>
      </c>
      <c r="D4238" t="s">
        <v>828</v>
      </c>
      <c r="E4238" t="s">
        <v>1949</v>
      </c>
      <c r="F4238" t="s">
        <v>1950</v>
      </c>
      <c r="G4238" t="s">
        <v>1561</v>
      </c>
      <c r="H4238" t="s">
        <v>1076</v>
      </c>
      <c r="I4238">
        <v>50849002</v>
      </c>
      <c r="J4238" t="s">
        <v>1163</v>
      </c>
      <c r="K4238">
        <v>146.18</v>
      </c>
      <c r="L4238">
        <v>4140.8900000000003</v>
      </c>
      <c r="M4238">
        <v>0</v>
      </c>
      <c r="N4238">
        <v>312608009</v>
      </c>
      <c r="O4238" t="s">
        <v>1249</v>
      </c>
    </row>
    <row r="4239" spans="1:15">
      <c r="A4239" t="s">
        <v>5820</v>
      </c>
      <c r="B4239" s="2">
        <v>43775.230902777781</v>
      </c>
      <c r="C4239" s="2">
        <v>43775.241319444445</v>
      </c>
      <c r="D4239" t="s">
        <v>828</v>
      </c>
      <c r="E4239" t="s">
        <v>1869</v>
      </c>
      <c r="F4239" t="s">
        <v>1870</v>
      </c>
      <c r="G4239" t="s">
        <v>1561</v>
      </c>
      <c r="H4239" t="s">
        <v>1031</v>
      </c>
      <c r="I4239">
        <v>424441002</v>
      </c>
      <c r="J4239" t="s">
        <v>1059</v>
      </c>
      <c r="K4239">
        <v>142.58000000000001</v>
      </c>
      <c r="L4239">
        <v>47574.65</v>
      </c>
      <c r="M4239">
        <v>33082.97</v>
      </c>
      <c r="N4239">
        <v>72892002</v>
      </c>
      <c r="O4239" t="s">
        <v>1060</v>
      </c>
    </row>
    <row r="4240" spans="1:15">
      <c r="A4240" t="s">
        <v>5821</v>
      </c>
      <c r="B4240" s="2">
        <v>43775.230902777781</v>
      </c>
      <c r="C4240" s="2">
        <v>43775.275659722225</v>
      </c>
      <c r="D4240" t="s">
        <v>828</v>
      </c>
      <c r="E4240" t="s">
        <v>1869</v>
      </c>
      <c r="F4240" t="s">
        <v>1870</v>
      </c>
      <c r="G4240" t="s">
        <v>1561</v>
      </c>
      <c r="H4240" t="s">
        <v>1031</v>
      </c>
      <c r="I4240">
        <v>185347001</v>
      </c>
      <c r="J4240" t="s">
        <v>1124</v>
      </c>
      <c r="K4240">
        <v>85.55</v>
      </c>
      <c r="L4240">
        <v>1557.86</v>
      </c>
      <c r="M4240">
        <v>1557.86</v>
      </c>
      <c r="N4240">
        <v>271737000</v>
      </c>
      <c r="O4240" t="s">
        <v>1479</v>
      </c>
    </row>
    <row r="4241" spans="1:15">
      <c r="A4241" t="s">
        <v>5822</v>
      </c>
      <c r="B4241" s="2">
        <v>43803.275659722225</v>
      </c>
      <c r="C4241" s="2">
        <v>43803.286076388889</v>
      </c>
      <c r="D4241" t="s">
        <v>828</v>
      </c>
      <c r="E4241" t="s">
        <v>1869</v>
      </c>
      <c r="F4241" t="s">
        <v>1870</v>
      </c>
      <c r="G4241" t="s">
        <v>1561</v>
      </c>
      <c r="H4241" t="s">
        <v>1031</v>
      </c>
      <c r="I4241">
        <v>424619006</v>
      </c>
      <c r="J4241" t="s">
        <v>1062</v>
      </c>
      <c r="K4241">
        <v>142.58000000000001</v>
      </c>
      <c r="L4241">
        <v>13743.11</v>
      </c>
      <c r="M4241">
        <v>13743.11</v>
      </c>
      <c r="N4241">
        <v>72892002</v>
      </c>
      <c r="O4241" t="s">
        <v>1060</v>
      </c>
    </row>
    <row r="4242" spans="1:15">
      <c r="A4242" t="s">
        <v>5823</v>
      </c>
      <c r="B4242" s="2">
        <v>43831.275659722225</v>
      </c>
      <c r="C4242" s="2">
        <v>43831.286076388889</v>
      </c>
      <c r="D4242" t="s">
        <v>828</v>
      </c>
      <c r="E4242" t="s">
        <v>1869</v>
      </c>
      <c r="F4242" t="s">
        <v>1870</v>
      </c>
      <c r="G4242" t="s">
        <v>1561</v>
      </c>
      <c r="H4242" t="s">
        <v>1031</v>
      </c>
      <c r="I4242">
        <v>424619006</v>
      </c>
      <c r="J4242" t="s">
        <v>1062</v>
      </c>
      <c r="K4242">
        <v>142.58000000000001</v>
      </c>
      <c r="L4242">
        <v>7502.27</v>
      </c>
      <c r="M4242">
        <v>7502.27</v>
      </c>
      <c r="N4242">
        <v>72892002</v>
      </c>
      <c r="O4242" t="s">
        <v>1060</v>
      </c>
    </row>
    <row r="4243" spans="1:15">
      <c r="A4243" t="s">
        <v>5824</v>
      </c>
      <c r="B4243" s="2">
        <v>43859.275659722225</v>
      </c>
      <c r="C4243" s="2">
        <v>43859.286076388889</v>
      </c>
      <c r="D4243" t="s">
        <v>828</v>
      </c>
      <c r="E4243" t="s">
        <v>1869</v>
      </c>
      <c r="F4243" t="s">
        <v>1870</v>
      </c>
      <c r="G4243" t="s">
        <v>1561</v>
      </c>
      <c r="H4243" t="s">
        <v>1031</v>
      </c>
      <c r="I4243">
        <v>424619006</v>
      </c>
      <c r="J4243" t="s">
        <v>1062</v>
      </c>
      <c r="K4243">
        <v>142.58000000000001</v>
      </c>
      <c r="L4243">
        <v>7576.02</v>
      </c>
      <c r="M4243">
        <v>7576.02</v>
      </c>
      <c r="N4243">
        <v>72892002</v>
      </c>
      <c r="O4243" t="s">
        <v>1060</v>
      </c>
    </row>
    <row r="4244" spans="1:15">
      <c r="A4244" t="s">
        <v>5825</v>
      </c>
      <c r="B4244" s="2">
        <v>43887.275659722225</v>
      </c>
      <c r="C4244" s="2">
        <v>43887.286076388889</v>
      </c>
      <c r="D4244" t="s">
        <v>828</v>
      </c>
      <c r="E4244" t="s">
        <v>1869</v>
      </c>
      <c r="F4244" t="s">
        <v>1870</v>
      </c>
      <c r="G4244" t="s">
        <v>1561</v>
      </c>
      <c r="H4244" t="s">
        <v>1031</v>
      </c>
      <c r="I4244">
        <v>424619006</v>
      </c>
      <c r="J4244" t="s">
        <v>1062</v>
      </c>
      <c r="K4244">
        <v>142.58000000000001</v>
      </c>
      <c r="L4244">
        <v>11451.02</v>
      </c>
      <c r="M4244">
        <v>11451.02</v>
      </c>
      <c r="N4244">
        <v>72892002</v>
      </c>
      <c r="O4244" t="s">
        <v>1060</v>
      </c>
    </row>
    <row r="4245" spans="1:15">
      <c r="A4245" t="s">
        <v>5826</v>
      </c>
      <c r="B4245" s="2">
        <v>43915.317326388889</v>
      </c>
      <c r="C4245" s="2">
        <v>43915.327743055554</v>
      </c>
      <c r="D4245" t="s">
        <v>828</v>
      </c>
      <c r="E4245" t="s">
        <v>1869</v>
      </c>
      <c r="F4245" t="s">
        <v>1870</v>
      </c>
      <c r="G4245" t="s">
        <v>1561</v>
      </c>
      <c r="H4245" t="s">
        <v>1031</v>
      </c>
      <c r="I4245">
        <v>424619006</v>
      </c>
      <c r="J4245" t="s">
        <v>1062</v>
      </c>
      <c r="K4245">
        <v>142.58000000000001</v>
      </c>
      <c r="L4245">
        <v>10538.66</v>
      </c>
      <c r="M4245">
        <v>10538.66</v>
      </c>
      <c r="N4245">
        <v>72892002</v>
      </c>
      <c r="O4245" t="s">
        <v>1060</v>
      </c>
    </row>
    <row r="4246" spans="1:15">
      <c r="A4246" t="s">
        <v>5827</v>
      </c>
      <c r="B4246" s="2">
        <v>43943.317326388889</v>
      </c>
      <c r="C4246" s="2">
        <v>43943.327743055554</v>
      </c>
      <c r="D4246" t="s">
        <v>828</v>
      </c>
      <c r="E4246" t="s">
        <v>1869</v>
      </c>
      <c r="F4246" t="s">
        <v>1870</v>
      </c>
      <c r="G4246" t="s">
        <v>1561</v>
      </c>
      <c r="H4246" t="s">
        <v>1031</v>
      </c>
      <c r="I4246">
        <v>424619006</v>
      </c>
      <c r="J4246" t="s">
        <v>1062</v>
      </c>
      <c r="K4246">
        <v>142.58000000000001</v>
      </c>
      <c r="L4246">
        <v>6420.45</v>
      </c>
      <c r="M4246">
        <v>6420.45</v>
      </c>
      <c r="N4246">
        <v>72892002</v>
      </c>
      <c r="O4246" t="s">
        <v>1060</v>
      </c>
    </row>
    <row r="4247" spans="1:15">
      <c r="A4247" t="s">
        <v>5828</v>
      </c>
      <c r="B4247" s="2">
        <v>43971.317326388889</v>
      </c>
      <c r="C4247" s="2">
        <v>43971.327743055554</v>
      </c>
      <c r="D4247" t="s">
        <v>828</v>
      </c>
      <c r="E4247" t="s">
        <v>1869</v>
      </c>
      <c r="F4247" t="s">
        <v>1870</v>
      </c>
      <c r="G4247" t="s">
        <v>1561</v>
      </c>
      <c r="H4247" t="s">
        <v>1031</v>
      </c>
      <c r="I4247">
        <v>424619006</v>
      </c>
      <c r="J4247" t="s">
        <v>1062</v>
      </c>
      <c r="K4247">
        <v>142.58000000000001</v>
      </c>
      <c r="L4247">
        <v>9422.94</v>
      </c>
      <c r="M4247">
        <v>9422.94</v>
      </c>
      <c r="N4247">
        <v>72892002</v>
      </c>
      <c r="O4247" t="s">
        <v>1060</v>
      </c>
    </row>
    <row r="4248" spans="1:15">
      <c r="A4248" t="s">
        <v>5829</v>
      </c>
      <c r="B4248" s="2">
        <v>43985.317326388889</v>
      </c>
      <c r="C4248" s="2">
        <v>43985.327743055554</v>
      </c>
      <c r="D4248" t="s">
        <v>828</v>
      </c>
      <c r="E4248" t="s">
        <v>1869</v>
      </c>
      <c r="F4248" t="s">
        <v>1870</v>
      </c>
      <c r="G4248" t="s">
        <v>1561</v>
      </c>
      <c r="H4248" t="s">
        <v>1031</v>
      </c>
      <c r="I4248">
        <v>424619006</v>
      </c>
      <c r="J4248" t="s">
        <v>1062</v>
      </c>
      <c r="K4248">
        <v>142.58000000000001</v>
      </c>
      <c r="L4248">
        <v>5329.58</v>
      </c>
      <c r="M4248">
        <v>5329.58</v>
      </c>
      <c r="N4248">
        <v>72892002</v>
      </c>
      <c r="O4248" t="s">
        <v>1060</v>
      </c>
    </row>
    <row r="4249" spans="1:15">
      <c r="A4249" t="s">
        <v>5830</v>
      </c>
      <c r="B4249" s="2">
        <v>43992.317326388889</v>
      </c>
      <c r="C4249" s="2">
        <v>43992.358993055554</v>
      </c>
      <c r="D4249" t="s">
        <v>828</v>
      </c>
      <c r="E4249" t="s">
        <v>1949</v>
      </c>
      <c r="F4249" t="s">
        <v>1950</v>
      </c>
      <c r="G4249" t="s">
        <v>1561</v>
      </c>
      <c r="H4249" t="s">
        <v>1076</v>
      </c>
      <c r="I4249">
        <v>183460006</v>
      </c>
      <c r="J4249" t="s">
        <v>1077</v>
      </c>
      <c r="K4249">
        <v>146.18</v>
      </c>
      <c r="L4249">
        <v>2341.3000000000002</v>
      </c>
      <c r="M4249">
        <v>2341.3000000000002</v>
      </c>
      <c r="N4249">
        <v>72892002</v>
      </c>
      <c r="O4249" t="s">
        <v>1060</v>
      </c>
    </row>
    <row r="4250" spans="1:15">
      <c r="A4250" t="s">
        <v>5831</v>
      </c>
      <c r="B4250" s="2">
        <v>44034.317326388889</v>
      </c>
      <c r="C4250" s="2">
        <v>44034.327743055554</v>
      </c>
      <c r="D4250" t="s">
        <v>828</v>
      </c>
      <c r="E4250" t="s">
        <v>1869</v>
      </c>
      <c r="F4250" t="s">
        <v>1870</v>
      </c>
      <c r="G4250" t="s">
        <v>1561</v>
      </c>
      <c r="H4250" t="s">
        <v>1031</v>
      </c>
      <c r="I4250">
        <v>169762003</v>
      </c>
      <c r="J4250" t="s">
        <v>1079</v>
      </c>
      <c r="K4250">
        <v>142.58000000000001</v>
      </c>
      <c r="L4250">
        <v>1005.38</v>
      </c>
      <c r="M4250">
        <v>0</v>
      </c>
      <c r="O4250" t="s">
        <v>34</v>
      </c>
    </row>
    <row r="4251" spans="1:15">
      <c r="A4251" t="s">
        <v>5832</v>
      </c>
      <c r="B4251" s="2">
        <v>44097.272569444445</v>
      </c>
      <c r="C4251" s="2">
        <v>44097.293425925927</v>
      </c>
      <c r="D4251" t="s">
        <v>828</v>
      </c>
      <c r="E4251" t="s">
        <v>1945</v>
      </c>
      <c r="F4251" t="s">
        <v>1946</v>
      </c>
      <c r="G4251" t="s">
        <v>1561</v>
      </c>
      <c r="H4251" t="s">
        <v>1020</v>
      </c>
      <c r="I4251">
        <v>162673000</v>
      </c>
      <c r="J4251" t="s">
        <v>1021</v>
      </c>
      <c r="K4251">
        <v>136.80000000000001</v>
      </c>
      <c r="L4251">
        <v>1186.78</v>
      </c>
      <c r="M4251">
        <v>0</v>
      </c>
      <c r="O4251" t="s">
        <v>34</v>
      </c>
    </row>
    <row r="4252" spans="1:15">
      <c r="A4252" t="s">
        <v>5833</v>
      </c>
      <c r="B4252" s="2">
        <v>44384.272569444445</v>
      </c>
      <c r="C4252" s="2">
        <v>44384.282986111109</v>
      </c>
      <c r="D4252" t="s">
        <v>828</v>
      </c>
      <c r="E4252" t="s">
        <v>1869</v>
      </c>
      <c r="F4252" t="s">
        <v>1870</v>
      </c>
      <c r="G4252" t="s">
        <v>1561</v>
      </c>
      <c r="H4252" t="s">
        <v>1031</v>
      </c>
      <c r="I4252">
        <v>424441002</v>
      </c>
      <c r="J4252" t="s">
        <v>1059</v>
      </c>
      <c r="K4252">
        <v>142.58000000000001</v>
      </c>
      <c r="L4252">
        <v>44180.49</v>
      </c>
      <c r="M4252">
        <v>29310.84</v>
      </c>
      <c r="N4252">
        <v>72892002</v>
      </c>
      <c r="O4252" t="s">
        <v>1060</v>
      </c>
    </row>
    <row r="4253" spans="1:15">
      <c r="A4253" t="s">
        <v>5834</v>
      </c>
      <c r="B4253" s="2">
        <v>44412.272569444445</v>
      </c>
      <c r="C4253" s="2">
        <v>44412.282986111109</v>
      </c>
      <c r="D4253" t="s">
        <v>828</v>
      </c>
      <c r="E4253" t="s">
        <v>1854</v>
      </c>
      <c r="F4253" t="s">
        <v>1855</v>
      </c>
      <c r="G4253" t="s">
        <v>1561</v>
      </c>
      <c r="H4253" t="s">
        <v>1043</v>
      </c>
      <c r="I4253">
        <v>33879002</v>
      </c>
      <c r="J4253" t="s">
        <v>1044</v>
      </c>
      <c r="K4253">
        <v>142.58000000000001</v>
      </c>
      <c r="L4253">
        <v>278.58</v>
      </c>
      <c r="M4253">
        <v>0</v>
      </c>
      <c r="O4253" t="s">
        <v>34</v>
      </c>
    </row>
    <row r="4254" spans="1:15">
      <c r="A4254" t="s">
        <v>5835</v>
      </c>
      <c r="B4254" s="2">
        <v>44412.272569444445</v>
      </c>
      <c r="C4254" s="2">
        <v>44412.282986111109</v>
      </c>
      <c r="D4254" t="s">
        <v>828</v>
      </c>
      <c r="E4254" t="s">
        <v>1869</v>
      </c>
      <c r="F4254" t="s">
        <v>1870</v>
      </c>
      <c r="G4254" t="s">
        <v>1561</v>
      </c>
      <c r="H4254" t="s">
        <v>1031</v>
      </c>
      <c r="I4254">
        <v>424619006</v>
      </c>
      <c r="J4254" t="s">
        <v>1062</v>
      </c>
      <c r="K4254">
        <v>142.58000000000001</v>
      </c>
      <c r="L4254">
        <v>17488.45</v>
      </c>
      <c r="M4254">
        <v>9286.92</v>
      </c>
      <c r="N4254">
        <v>72892002</v>
      </c>
      <c r="O4254" t="s">
        <v>1060</v>
      </c>
    </row>
    <row r="4255" spans="1:15">
      <c r="A4255" t="s">
        <v>5836</v>
      </c>
      <c r="B4255" s="2">
        <v>44440.272569444445</v>
      </c>
      <c r="C4255" s="2">
        <v>44440.282986111109</v>
      </c>
      <c r="D4255" t="s">
        <v>828</v>
      </c>
      <c r="E4255" t="s">
        <v>1854</v>
      </c>
      <c r="F4255" t="s">
        <v>1855</v>
      </c>
      <c r="G4255" t="s">
        <v>1561</v>
      </c>
      <c r="H4255" t="s">
        <v>1043</v>
      </c>
      <c r="I4255">
        <v>33879002</v>
      </c>
      <c r="J4255" t="s">
        <v>1044</v>
      </c>
      <c r="K4255">
        <v>142.58000000000001</v>
      </c>
      <c r="L4255">
        <v>278.58</v>
      </c>
      <c r="M4255">
        <v>195.01</v>
      </c>
      <c r="O4255" t="s">
        <v>34</v>
      </c>
    </row>
    <row r="4256" spans="1:15">
      <c r="A4256" t="s">
        <v>5837</v>
      </c>
      <c r="B4256" s="2">
        <v>44440.272569444445</v>
      </c>
      <c r="C4256" s="2">
        <v>44440.282986111109</v>
      </c>
      <c r="D4256" t="s">
        <v>828</v>
      </c>
      <c r="E4256" t="s">
        <v>1869</v>
      </c>
      <c r="F4256" t="s">
        <v>1870</v>
      </c>
      <c r="G4256" t="s">
        <v>1561</v>
      </c>
      <c r="H4256" t="s">
        <v>1031</v>
      </c>
      <c r="I4256">
        <v>424619006</v>
      </c>
      <c r="J4256" t="s">
        <v>1062</v>
      </c>
      <c r="K4256">
        <v>142.58000000000001</v>
      </c>
      <c r="L4256">
        <v>9012.56</v>
      </c>
      <c r="M4256">
        <v>6308.79</v>
      </c>
      <c r="N4256">
        <v>72892002</v>
      </c>
      <c r="O4256" t="s">
        <v>1060</v>
      </c>
    </row>
    <row r="4257" spans="1:15">
      <c r="A4257" t="s">
        <v>5838</v>
      </c>
      <c r="B4257" s="2">
        <v>44468.272569444445</v>
      </c>
      <c r="C4257" s="2">
        <v>44468.282986111109</v>
      </c>
      <c r="D4257" t="s">
        <v>828</v>
      </c>
      <c r="E4257" t="s">
        <v>1869</v>
      </c>
      <c r="F4257" t="s">
        <v>1870</v>
      </c>
      <c r="G4257" t="s">
        <v>1561</v>
      </c>
      <c r="H4257" t="s">
        <v>1031</v>
      </c>
      <c r="I4257">
        <v>424619006</v>
      </c>
      <c r="J4257" t="s">
        <v>1062</v>
      </c>
      <c r="K4257">
        <v>142.58000000000001</v>
      </c>
      <c r="L4257">
        <v>11451.02</v>
      </c>
      <c r="M4257">
        <v>11451.02</v>
      </c>
      <c r="N4257">
        <v>72892002</v>
      </c>
      <c r="O4257" t="s">
        <v>1060</v>
      </c>
    </row>
    <row r="4258" spans="1:15">
      <c r="A4258" t="s">
        <v>5839</v>
      </c>
      <c r="B4258" s="2">
        <v>44496.272569444445</v>
      </c>
      <c r="C4258" s="2">
        <v>44496.282986111109</v>
      </c>
      <c r="D4258" t="s">
        <v>828</v>
      </c>
      <c r="E4258" t="s">
        <v>1869</v>
      </c>
      <c r="F4258" t="s">
        <v>1870</v>
      </c>
      <c r="G4258" t="s">
        <v>1561</v>
      </c>
      <c r="H4258" t="s">
        <v>1031</v>
      </c>
      <c r="I4258">
        <v>424619006</v>
      </c>
      <c r="J4258" t="s">
        <v>1062</v>
      </c>
      <c r="K4258">
        <v>142.58000000000001</v>
      </c>
      <c r="L4258">
        <v>18236.080000000002</v>
      </c>
      <c r="M4258">
        <v>18236.080000000002</v>
      </c>
      <c r="N4258">
        <v>72892002</v>
      </c>
      <c r="O4258" t="s">
        <v>1060</v>
      </c>
    </row>
    <row r="4259" spans="1:15">
      <c r="A4259" t="s">
        <v>5840</v>
      </c>
      <c r="B4259" s="2">
        <v>44524.230902777781</v>
      </c>
      <c r="C4259" s="2">
        <v>44524.241319444445</v>
      </c>
      <c r="D4259" t="s">
        <v>828</v>
      </c>
      <c r="E4259" t="s">
        <v>1869</v>
      </c>
      <c r="F4259" t="s">
        <v>1870</v>
      </c>
      <c r="G4259" t="s">
        <v>1561</v>
      </c>
      <c r="H4259" t="s">
        <v>1031</v>
      </c>
      <c r="I4259">
        <v>424619006</v>
      </c>
      <c r="J4259" t="s">
        <v>1062</v>
      </c>
      <c r="K4259">
        <v>142.58000000000001</v>
      </c>
      <c r="L4259">
        <v>15506.22</v>
      </c>
      <c r="M4259">
        <v>15506.22</v>
      </c>
      <c r="N4259">
        <v>72892002</v>
      </c>
      <c r="O4259" t="s">
        <v>1060</v>
      </c>
    </row>
    <row r="4260" spans="1:15">
      <c r="A4260" t="s">
        <v>5841</v>
      </c>
      <c r="B4260" s="2">
        <v>44552.230902777781</v>
      </c>
      <c r="C4260" s="2">
        <v>44552.241319444445</v>
      </c>
      <c r="D4260" t="s">
        <v>828</v>
      </c>
      <c r="E4260" t="s">
        <v>1869</v>
      </c>
      <c r="F4260" t="s">
        <v>1870</v>
      </c>
      <c r="G4260" t="s">
        <v>1561</v>
      </c>
      <c r="H4260" t="s">
        <v>1031</v>
      </c>
      <c r="I4260">
        <v>424619006</v>
      </c>
      <c r="J4260" t="s">
        <v>1062</v>
      </c>
      <c r="K4260">
        <v>142.58000000000001</v>
      </c>
      <c r="L4260">
        <v>11451.02</v>
      </c>
      <c r="M4260">
        <v>11451.02</v>
      </c>
      <c r="N4260">
        <v>72892002</v>
      </c>
      <c r="O4260" t="s">
        <v>1060</v>
      </c>
    </row>
    <row r="4261" spans="1:15">
      <c r="A4261" t="s">
        <v>5842</v>
      </c>
      <c r="B4261" s="2">
        <v>44580.230902777781</v>
      </c>
      <c r="C4261" s="2">
        <v>44580.241319444445</v>
      </c>
      <c r="D4261" t="s">
        <v>828</v>
      </c>
      <c r="E4261" t="s">
        <v>1869</v>
      </c>
      <c r="F4261" t="s">
        <v>1870</v>
      </c>
      <c r="G4261" t="s">
        <v>1561</v>
      </c>
      <c r="H4261" t="s">
        <v>1031</v>
      </c>
      <c r="I4261">
        <v>424619006</v>
      </c>
      <c r="J4261" t="s">
        <v>1062</v>
      </c>
      <c r="K4261">
        <v>142.58000000000001</v>
      </c>
      <c r="L4261">
        <v>9711.18</v>
      </c>
      <c r="M4261">
        <v>9711.18</v>
      </c>
      <c r="N4261">
        <v>72892002</v>
      </c>
      <c r="O4261" t="s">
        <v>1060</v>
      </c>
    </row>
    <row r="4262" spans="1:15">
      <c r="A4262" t="s">
        <v>5843</v>
      </c>
      <c r="B4262" s="2">
        <v>44594.230902777781</v>
      </c>
      <c r="C4262" s="2">
        <v>44594.241319444445</v>
      </c>
      <c r="D4262" t="s">
        <v>828</v>
      </c>
      <c r="E4262" t="s">
        <v>1869</v>
      </c>
      <c r="F4262" t="s">
        <v>1870</v>
      </c>
      <c r="G4262" t="s">
        <v>1561</v>
      </c>
      <c r="H4262" t="s">
        <v>1031</v>
      </c>
      <c r="I4262">
        <v>424619006</v>
      </c>
      <c r="J4262" t="s">
        <v>1062</v>
      </c>
      <c r="K4262">
        <v>142.58000000000001</v>
      </c>
      <c r="L4262">
        <v>11358.64</v>
      </c>
      <c r="M4262">
        <v>11358.64</v>
      </c>
      <c r="N4262">
        <v>72892002</v>
      </c>
      <c r="O4262" t="s">
        <v>1060</v>
      </c>
    </row>
    <row r="4263" spans="1:15">
      <c r="A4263" t="s">
        <v>5844</v>
      </c>
      <c r="B4263" s="2">
        <v>44601.230902777781</v>
      </c>
      <c r="C4263" s="2">
        <v>44601.241319444445</v>
      </c>
      <c r="D4263" t="s">
        <v>828</v>
      </c>
      <c r="E4263" t="s">
        <v>1869</v>
      </c>
      <c r="F4263" t="s">
        <v>1870</v>
      </c>
      <c r="G4263" t="s">
        <v>1561</v>
      </c>
      <c r="H4263" t="s">
        <v>1031</v>
      </c>
      <c r="I4263">
        <v>424619006</v>
      </c>
      <c r="J4263" t="s">
        <v>1062</v>
      </c>
      <c r="K4263">
        <v>142.58000000000001</v>
      </c>
      <c r="L4263">
        <v>5067.13</v>
      </c>
      <c r="M4263">
        <v>5067.13</v>
      </c>
      <c r="N4263">
        <v>72892002</v>
      </c>
      <c r="O4263" t="s">
        <v>1060</v>
      </c>
    </row>
    <row r="4264" spans="1:15">
      <c r="A4264" t="s">
        <v>5845</v>
      </c>
      <c r="B4264" s="2">
        <v>44608.230902777781</v>
      </c>
      <c r="C4264" s="2">
        <v>44608.241319444445</v>
      </c>
      <c r="D4264" t="s">
        <v>828</v>
      </c>
      <c r="E4264" t="s">
        <v>1869</v>
      </c>
      <c r="F4264" t="s">
        <v>1870</v>
      </c>
      <c r="G4264" t="s">
        <v>1561</v>
      </c>
      <c r="H4264" t="s">
        <v>1031</v>
      </c>
      <c r="I4264">
        <v>424619006</v>
      </c>
      <c r="J4264" t="s">
        <v>1062</v>
      </c>
      <c r="K4264">
        <v>142.58000000000001</v>
      </c>
      <c r="L4264">
        <v>18236.080000000002</v>
      </c>
      <c r="M4264">
        <v>18236.080000000002</v>
      </c>
      <c r="N4264">
        <v>72892002</v>
      </c>
      <c r="O4264" t="s">
        <v>1060</v>
      </c>
    </row>
    <row r="4265" spans="1:15">
      <c r="A4265" t="s">
        <v>5846</v>
      </c>
      <c r="B4265" s="2">
        <v>44615.230902777781</v>
      </c>
      <c r="C4265" s="2">
        <v>44615.272569444445</v>
      </c>
      <c r="D4265" t="s">
        <v>828</v>
      </c>
      <c r="E4265" t="s">
        <v>1949</v>
      </c>
      <c r="F4265" t="s">
        <v>1950</v>
      </c>
      <c r="G4265" t="s">
        <v>1561</v>
      </c>
      <c r="H4265" t="s">
        <v>1076</v>
      </c>
      <c r="I4265">
        <v>183460006</v>
      </c>
      <c r="J4265" t="s">
        <v>1077</v>
      </c>
      <c r="K4265">
        <v>146.18</v>
      </c>
      <c r="L4265">
        <v>2925.6</v>
      </c>
      <c r="M4265">
        <v>2925.6</v>
      </c>
      <c r="N4265">
        <v>72892002</v>
      </c>
      <c r="O4265" t="s">
        <v>1060</v>
      </c>
    </row>
    <row r="4266" spans="1:15">
      <c r="A4266" t="s">
        <v>5847</v>
      </c>
      <c r="B4266" s="2">
        <v>44657.272569444445</v>
      </c>
      <c r="C4266" s="2">
        <v>44657.282986111109</v>
      </c>
      <c r="D4266" t="s">
        <v>828</v>
      </c>
      <c r="E4266" t="s">
        <v>1869</v>
      </c>
      <c r="F4266" t="s">
        <v>1870</v>
      </c>
      <c r="G4266" t="s">
        <v>1561</v>
      </c>
      <c r="H4266" t="s">
        <v>1031</v>
      </c>
      <c r="I4266">
        <v>169762003</v>
      </c>
      <c r="J4266" t="s">
        <v>1079</v>
      </c>
      <c r="K4266">
        <v>142.58000000000001</v>
      </c>
      <c r="L4266">
        <v>1005.38</v>
      </c>
      <c r="M4266">
        <v>1005.38</v>
      </c>
      <c r="O4266" t="s">
        <v>34</v>
      </c>
    </row>
    <row r="4267" spans="1:15">
      <c r="A4267" t="s">
        <v>5848</v>
      </c>
      <c r="B4267" s="2">
        <v>44888.230902777781</v>
      </c>
      <c r="C4267" s="2">
        <v>44888.241319444445</v>
      </c>
      <c r="D4267" t="s">
        <v>828</v>
      </c>
      <c r="E4267" t="s">
        <v>1869</v>
      </c>
      <c r="F4267" t="s">
        <v>1870</v>
      </c>
      <c r="G4267" t="s">
        <v>1561</v>
      </c>
      <c r="H4267" t="s">
        <v>1031</v>
      </c>
      <c r="I4267">
        <v>424441002</v>
      </c>
      <c r="J4267" t="s">
        <v>1059</v>
      </c>
      <c r="K4267">
        <v>142.58000000000001</v>
      </c>
      <c r="L4267">
        <v>16240.27</v>
      </c>
      <c r="M4267">
        <v>8218.19</v>
      </c>
      <c r="N4267">
        <v>72892002</v>
      </c>
      <c r="O4267" t="s">
        <v>1060</v>
      </c>
    </row>
    <row r="4268" spans="1:15">
      <c r="A4268" t="s">
        <v>5849</v>
      </c>
      <c r="B4268" s="2">
        <v>44896.230902777781</v>
      </c>
      <c r="C4268" s="2">
        <v>44896.241319444445</v>
      </c>
      <c r="D4268" t="s">
        <v>828</v>
      </c>
      <c r="E4268" t="s">
        <v>1869</v>
      </c>
      <c r="F4268" t="s">
        <v>1870</v>
      </c>
      <c r="G4268" t="s">
        <v>1561</v>
      </c>
      <c r="H4268" t="s">
        <v>1031</v>
      </c>
      <c r="I4268">
        <v>270427003</v>
      </c>
      <c r="J4268" t="s">
        <v>1179</v>
      </c>
      <c r="K4268">
        <v>85.55</v>
      </c>
      <c r="L4268">
        <v>4444.9799999999996</v>
      </c>
      <c r="M4268">
        <v>3111.48</v>
      </c>
      <c r="N4268">
        <v>72892002</v>
      </c>
      <c r="O4268" t="s">
        <v>1060</v>
      </c>
    </row>
    <row r="4269" spans="1:15">
      <c r="A4269" t="s">
        <v>5850</v>
      </c>
      <c r="B4269" s="2">
        <v>44905.230902777781</v>
      </c>
      <c r="C4269" s="2">
        <v>44905.241319444445</v>
      </c>
      <c r="D4269" t="s">
        <v>828</v>
      </c>
      <c r="E4269" t="s">
        <v>1869</v>
      </c>
      <c r="F4269" t="s">
        <v>1870</v>
      </c>
      <c r="G4269" t="s">
        <v>1561</v>
      </c>
      <c r="H4269" t="s">
        <v>1031</v>
      </c>
      <c r="I4269">
        <v>424619006</v>
      </c>
      <c r="J4269" t="s">
        <v>1062</v>
      </c>
      <c r="K4269">
        <v>142.58000000000001</v>
      </c>
      <c r="L4269">
        <v>1868.18</v>
      </c>
      <c r="M4269">
        <v>1868.18</v>
      </c>
      <c r="N4269">
        <v>72892002</v>
      </c>
      <c r="O4269" t="s">
        <v>1060</v>
      </c>
    </row>
    <row r="4270" spans="1:15">
      <c r="A4270" t="s">
        <v>5851</v>
      </c>
      <c r="B4270" s="2">
        <v>45035.272569444445</v>
      </c>
      <c r="C4270" s="2">
        <v>45035.282986111109</v>
      </c>
      <c r="D4270" t="s">
        <v>828</v>
      </c>
      <c r="E4270" t="s">
        <v>1869</v>
      </c>
      <c r="F4270" t="s">
        <v>1870</v>
      </c>
      <c r="G4270" t="s">
        <v>1561</v>
      </c>
      <c r="H4270" t="s">
        <v>1031</v>
      </c>
      <c r="I4270">
        <v>424441002</v>
      </c>
      <c r="J4270" t="s">
        <v>1059</v>
      </c>
      <c r="K4270">
        <v>142.58000000000001</v>
      </c>
      <c r="L4270">
        <v>43102.46</v>
      </c>
      <c r="M4270">
        <v>43102.46</v>
      </c>
      <c r="N4270">
        <v>72892002</v>
      </c>
      <c r="O4270" t="s">
        <v>1060</v>
      </c>
    </row>
    <row r="4271" spans="1:15">
      <c r="A4271" t="s">
        <v>5852</v>
      </c>
      <c r="B4271" s="2">
        <v>45063.272569444445</v>
      </c>
      <c r="C4271" s="2">
        <v>45063.282986111109</v>
      </c>
      <c r="D4271" t="s">
        <v>828</v>
      </c>
      <c r="E4271" t="s">
        <v>1869</v>
      </c>
      <c r="F4271" t="s">
        <v>1870</v>
      </c>
      <c r="G4271" t="s">
        <v>1561</v>
      </c>
      <c r="H4271" t="s">
        <v>1031</v>
      </c>
      <c r="I4271">
        <v>424619006</v>
      </c>
      <c r="J4271" t="s">
        <v>1062</v>
      </c>
      <c r="K4271">
        <v>142.58000000000001</v>
      </c>
      <c r="L4271">
        <v>10283.450000000001</v>
      </c>
      <c r="M4271">
        <v>10283.450000000001</v>
      </c>
      <c r="N4271">
        <v>72892002</v>
      </c>
      <c r="O4271" t="s">
        <v>1060</v>
      </c>
    </row>
    <row r="4272" spans="1:15">
      <c r="A4272" t="s">
        <v>5853</v>
      </c>
      <c r="B4272" s="2">
        <v>45091.272569444445</v>
      </c>
      <c r="C4272" s="2">
        <v>45091.282986111109</v>
      </c>
      <c r="D4272" t="s">
        <v>828</v>
      </c>
      <c r="E4272" t="s">
        <v>1869</v>
      </c>
      <c r="F4272" t="s">
        <v>1870</v>
      </c>
      <c r="G4272" t="s">
        <v>1561</v>
      </c>
      <c r="H4272" t="s">
        <v>1031</v>
      </c>
      <c r="I4272">
        <v>424619006</v>
      </c>
      <c r="J4272" t="s">
        <v>1062</v>
      </c>
      <c r="K4272">
        <v>142.58000000000001</v>
      </c>
      <c r="L4272">
        <v>13945.14</v>
      </c>
      <c r="M4272">
        <v>13945.14</v>
      </c>
      <c r="N4272">
        <v>72892002</v>
      </c>
      <c r="O4272" t="s">
        <v>1060</v>
      </c>
    </row>
    <row r="4273" spans="1:15">
      <c r="A4273" t="s">
        <v>5854</v>
      </c>
      <c r="B4273" s="2">
        <v>45119.272569444445</v>
      </c>
      <c r="C4273" s="2">
        <v>45119.282986111109</v>
      </c>
      <c r="D4273" t="s">
        <v>828</v>
      </c>
      <c r="E4273" t="s">
        <v>1869</v>
      </c>
      <c r="F4273" t="s">
        <v>1870</v>
      </c>
      <c r="G4273" t="s">
        <v>1561</v>
      </c>
      <c r="H4273" t="s">
        <v>1031</v>
      </c>
      <c r="I4273">
        <v>424619006</v>
      </c>
      <c r="J4273" t="s">
        <v>1062</v>
      </c>
      <c r="K4273">
        <v>142.58000000000001</v>
      </c>
      <c r="L4273">
        <v>10686.12</v>
      </c>
      <c r="M4273">
        <v>10686.12</v>
      </c>
      <c r="N4273">
        <v>72892002</v>
      </c>
      <c r="O4273" t="s">
        <v>1060</v>
      </c>
    </row>
    <row r="4274" spans="1:15">
      <c r="A4274" t="s">
        <v>5855</v>
      </c>
      <c r="B4274" s="2">
        <v>45147.272569444445</v>
      </c>
      <c r="C4274" s="2">
        <v>45147.282986111109</v>
      </c>
      <c r="D4274" t="s">
        <v>828</v>
      </c>
      <c r="E4274" t="s">
        <v>1869</v>
      </c>
      <c r="F4274" t="s">
        <v>1870</v>
      </c>
      <c r="G4274" t="s">
        <v>1561</v>
      </c>
      <c r="H4274" t="s">
        <v>1031</v>
      </c>
      <c r="I4274">
        <v>424619006</v>
      </c>
      <c r="J4274" t="s">
        <v>1062</v>
      </c>
      <c r="K4274">
        <v>142.58000000000001</v>
      </c>
      <c r="L4274">
        <v>13466.33</v>
      </c>
      <c r="M4274">
        <v>6276.43</v>
      </c>
      <c r="N4274">
        <v>72892002</v>
      </c>
      <c r="O4274" t="s">
        <v>1060</v>
      </c>
    </row>
    <row r="4275" spans="1:15">
      <c r="A4275" t="s">
        <v>5856</v>
      </c>
      <c r="B4275" s="2">
        <v>45175.272569444445</v>
      </c>
      <c r="C4275" s="2">
        <v>45175.282986111109</v>
      </c>
      <c r="D4275" t="s">
        <v>828</v>
      </c>
      <c r="E4275" t="s">
        <v>1869</v>
      </c>
      <c r="F4275" t="s">
        <v>1870</v>
      </c>
      <c r="G4275" t="s">
        <v>1561</v>
      </c>
      <c r="H4275" t="s">
        <v>1031</v>
      </c>
      <c r="I4275">
        <v>424619006</v>
      </c>
      <c r="J4275" t="s">
        <v>1062</v>
      </c>
      <c r="K4275">
        <v>142.58000000000001</v>
      </c>
      <c r="L4275">
        <v>14800.07</v>
      </c>
      <c r="M4275">
        <v>10360.06</v>
      </c>
      <c r="N4275">
        <v>72892002</v>
      </c>
      <c r="O4275" t="s">
        <v>1060</v>
      </c>
    </row>
    <row r="4276" spans="1:15">
      <c r="A4276" t="s">
        <v>5857</v>
      </c>
      <c r="B4276" s="2">
        <v>45196.272569444445</v>
      </c>
      <c r="C4276" s="2">
        <v>45196.308634259258</v>
      </c>
      <c r="D4276" t="s">
        <v>828</v>
      </c>
      <c r="E4276" t="s">
        <v>1945</v>
      </c>
      <c r="F4276" t="s">
        <v>1946</v>
      </c>
      <c r="G4276" t="s">
        <v>1561</v>
      </c>
      <c r="H4276" t="s">
        <v>1020</v>
      </c>
      <c r="I4276">
        <v>162673000</v>
      </c>
      <c r="J4276" t="s">
        <v>1021</v>
      </c>
      <c r="K4276">
        <v>136.80000000000001</v>
      </c>
      <c r="L4276">
        <v>704.2</v>
      </c>
      <c r="M4276">
        <v>704.2</v>
      </c>
      <c r="O4276" t="s">
        <v>34</v>
      </c>
    </row>
    <row r="4277" spans="1:15">
      <c r="A4277" t="s">
        <v>5858</v>
      </c>
      <c r="B4277" s="2">
        <v>45203.272569444445</v>
      </c>
      <c r="C4277" s="2">
        <v>45203.282986111109</v>
      </c>
      <c r="D4277" t="s">
        <v>828</v>
      </c>
      <c r="E4277" t="s">
        <v>1869</v>
      </c>
      <c r="F4277" t="s">
        <v>1870</v>
      </c>
      <c r="G4277" t="s">
        <v>1561</v>
      </c>
      <c r="H4277" t="s">
        <v>1031</v>
      </c>
      <c r="I4277">
        <v>424619006</v>
      </c>
      <c r="J4277" t="s">
        <v>1062</v>
      </c>
      <c r="K4277">
        <v>142.58000000000001</v>
      </c>
      <c r="L4277">
        <v>11660.14</v>
      </c>
      <c r="M4277">
        <v>11660.14</v>
      </c>
      <c r="N4277">
        <v>72892002</v>
      </c>
      <c r="O4277" t="s">
        <v>1060</v>
      </c>
    </row>
    <row r="4278" spans="1:15">
      <c r="A4278" t="s">
        <v>5859</v>
      </c>
      <c r="B4278" s="2">
        <v>45231.272569444445</v>
      </c>
      <c r="C4278" s="2">
        <v>45231.282986111109</v>
      </c>
      <c r="D4278" t="s">
        <v>828</v>
      </c>
      <c r="E4278" t="s">
        <v>1869</v>
      </c>
      <c r="F4278" t="s">
        <v>1870</v>
      </c>
      <c r="G4278" t="s">
        <v>1561</v>
      </c>
      <c r="H4278" t="s">
        <v>1031</v>
      </c>
      <c r="I4278">
        <v>424619006</v>
      </c>
      <c r="J4278" t="s">
        <v>1062</v>
      </c>
      <c r="K4278">
        <v>142.58000000000001</v>
      </c>
      <c r="L4278">
        <v>8117.16</v>
      </c>
      <c r="M4278">
        <v>8117.16</v>
      </c>
      <c r="N4278">
        <v>72892002</v>
      </c>
      <c r="O4278" t="s">
        <v>1060</v>
      </c>
    </row>
    <row r="4279" spans="1:15">
      <c r="A4279" t="s">
        <v>5860</v>
      </c>
      <c r="B4279" s="2">
        <v>45245.230902777781</v>
      </c>
      <c r="C4279" s="2">
        <v>45245.241319444445</v>
      </c>
      <c r="D4279" t="s">
        <v>828</v>
      </c>
      <c r="E4279" t="s">
        <v>1869</v>
      </c>
      <c r="F4279" t="s">
        <v>1870</v>
      </c>
      <c r="G4279" t="s">
        <v>1561</v>
      </c>
      <c r="H4279" t="s">
        <v>1031</v>
      </c>
      <c r="I4279">
        <v>424619006</v>
      </c>
      <c r="J4279" t="s">
        <v>1062</v>
      </c>
      <c r="K4279">
        <v>142.58000000000001</v>
      </c>
      <c r="L4279">
        <v>11451.02</v>
      </c>
      <c r="M4279">
        <v>11451.02</v>
      </c>
      <c r="N4279">
        <v>72892002</v>
      </c>
      <c r="O4279" t="s">
        <v>1060</v>
      </c>
    </row>
    <row r="4280" spans="1:15">
      <c r="A4280" t="s">
        <v>5861</v>
      </c>
      <c r="B4280" s="2">
        <v>45252.230902777781</v>
      </c>
      <c r="C4280" s="2">
        <v>45252.241319444445</v>
      </c>
      <c r="D4280" t="s">
        <v>828</v>
      </c>
      <c r="E4280" t="s">
        <v>1869</v>
      </c>
      <c r="F4280" t="s">
        <v>1870</v>
      </c>
      <c r="G4280" t="s">
        <v>1561</v>
      </c>
      <c r="H4280" t="s">
        <v>1031</v>
      </c>
      <c r="I4280">
        <v>424619006</v>
      </c>
      <c r="J4280" t="s">
        <v>1062</v>
      </c>
      <c r="K4280">
        <v>142.58000000000001</v>
      </c>
      <c r="L4280">
        <v>6133.42</v>
      </c>
      <c r="M4280">
        <v>6133.42</v>
      </c>
      <c r="N4280">
        <v>72892002</v>
      </c>
      <c r="O4280" t="s">
        <v>1060</v>
      </c>
    </row>
    <row r="4281" spans="1:15">
      <c r="A4281" t="s">
        <v>5862</v>
      </c>
      <c r="B4281" s="2">
        <v>45259.230902777781</v>
      </c>
      <c r="C4281" s="2">
        <v>45259.241319444445</v>
      </c>
      <c r="D4281" t="s">
        <v>828</v>
      </c>
      <c r="E4281" t="s">
        <v>1869</v>
      </c>
      <c r="F4281" t="s">
        <v>1870</v>
      </c>
      <c r="G4281" t="s">
        <v>1561</v>
      </c>
      <c r="H4281" t="s">
        <v>1031</v>
      </c>
      <c r="I4281">
        <v>424619006</v>
      </c>
      <c r="J4281" t="s">
        <v>1062</v>
      </c>
      <c r="K4281">
        <v>142.58000000000001</v>
      </c>
      <c r="L4281">
        <v>7714.49</v>
      </c>
      <c r="M4281">
        <v>7714.49</v>
      </c>
      <c r="N4281">
        <v>72892002</v>
      </c>
      <c r="O4281" t="s">
        <v>1060</v>
      </c>
    </row>
    <row r="4282" spans="1:15">
      <c r="A4282" t="s">
        <v>5863</v>
      </c>
      <c r="B4282" s="2">
        <v>45266.230902777781</v>
      </c>
      <c r="C4282" s="2">
        <v>45266.272569444445</v>
      </c>
      <c r="D4282" t="s">
        <v>828</v>
      </c>
      <c r="E4282" t="s">
        <v>1949</v>
      </c>
      <c r="F4282" t="s">
        <v>1950</v>
      </c>
      <c r="G4282" t="s">
        <v>1561</v>
      </c>
      <c r="H4282" t="s">
        <v>1076</v>
      </c>
      <c r="I4282">
        <v>183460006</v>
      </c>
      <c r="J4282" t="s">
        <v>1077</v>
      </c>
      <c r="K4282">
        <v>146.18</v>
      </c>
      <c r="L4282">
        <v>3610.7</v>
      </c>
      <c r="M4282">
        <v>3610.7</v>
      </c>
      <c r="N4282">
        <v>72892002</v>
      </c>
      <c r="O4282" t="s">
        <v>1060</v>
      </c>
    </row>
    <row r="4283" spans="1:15">
      <c r="A4283" t="s">
        <v>5864</v>
      </c>
      <c r="B4283" s="2">
        <v>45308.230902777781</v>
      </c>
      <c r="C4283" s="2">
        <v>45308.241319444445</v>
      </c>
      <c r="D4283" t="s">
        <v>828</v>
      </c>
      <c r="E4283" t="s">
        <v>1869</v>
      </c>
      <c r="F4283" t="s">
        <v>1870</v>
      </c>
      <c r="G4283" t="s">
        <v>1561</v>
      </c>
      <c r="H4283" t="s">
        <v>1031</v>
      </c>
      <c r="I4283">
        <v>169762003</v>
      </c>
      <c r="J4283" t="s">
        <v>1079</v>
      </c>
      <c r="K4283">
        <v>142.58000000000001</v>
      </c>
      <c r="L4283">
        <v>1005.38</v>
      </c>
      <c r="M4283">
        <v>1005.38</v>
      </c>
      <c r="O4283" t="s">
        <v>34</v>
      </c>
    </row>
    <row r="4284" spans="1:15">
      <c r="A4284" t="s">
        <v>5865</v>
      </c>
      <c r="B4284" s="2">
        <v>45406.272569444445</v>
      </c>
      <c r="C4284" s="2">
        <v>45406.282986111109</v>
      </c>
      <c r="D4284" t="s">
        <v>828</v>
      </c>
      <c r="E4284" t="s">
        <v>1869</v>
      </c>
      <c r="F4284" t="s">
        <v>1870</v>
      </c>
      <c r="G4284" t="s">
        <v>1561</v>
      </c>
      <c r="H4284" t="s">
        <v>1031</v>
      </c>
      <c r="I4284">
        <v>424441002</v>
      </c>
      <c r="J4284" t="s">
        <v>1059</v>
      </c>
      <c r="K4284">
        <v>142.58000000000001</v>
      </c>
      <c r="L4284">
        <v>13239.03</v>
      </c>
      <c r="M4284">
        <v>13239.03</v>
      </c>
      <c r="N4284">
        <v>72892002</v>
      </c>
      <c r="O4284" t="s">
        <v>1060</v>
      </c>
    </row>
    <row r="4285" spans="1:15">
      <c r="A4285" t="s">
        <v>5866</v>
      </c>
      <c r="B4285" s="2">
        <v>45424.272569444445</v>
      </c>
      <c r="C4285" s="2">
        <v>45424.282986111109</v>
      </c>
      <c r="D4285" t="s">
        <v>828</v>
      </c>
      <c r="E4285" t="s">
        <v>1869</v>
      </c>
      <c r="F4285" t="s">
        <v>1870</v>
      </c>
      <c r="G4285" t="s">
        <v>1561</v>
      </c>
      <c r="H4285" t="s">
        <v>1031</v>
      </c>
      <c r="I4285">
        <v>270427003</v>
      </c>
      <c r="J4285" t="s">
        <v>1179</v>
      </c>
      <c r="K4285">
        <v>85.55</v>
      </c>
      <c r="L4285">
        <v>4444.9799999999996</v>
      </c>
      <c r="M4285">
        <v>4444.9799999999996</v>
      </c>
      <c r="N4285">
        <v>72892002</v>
      </c>
      <c r="O4285" t="s">
        <v>1060</v>
      </c>
    </row>
    <row r="4286" spans="1:15">
      <c r="A4286" t="s">
        <v>5867</v>
      </c>
      <c r="B4286" s="2">
        <v>45434.272569444445</v>
      </c>
      <c r="C4286" s="2">
        <v>45434.282986111109</v>
      </c>
      <c r="D4286" t="s">
        <v>828</v>
      </c>
      <c r="E4286" t="s">
        <v>1869</v>
      </c>
      <c r="F4286" t="s">
        <v>1870</v>
      </c>
      <c r="G4286" t="s">
        <v>1561</v>
      </c>
      <c r="H4286" t="s">
        <v>1031</v>
      </c>
      <c r="I4286">
        <v>424619006</v>
      </c>
      <c r="J4286" t="s">
        <v>1062</v>
      </c>
      <c r="K4286">
        <v>142.58000000000001</v>
      </c>
      <c r="L4286">
        <v>1868.18</v>
      </c>
      <c r="M4286">
        <v>1868.18</v>
      </c>
      <c r="N4286">
        <v>72892002</v>
      </c>
      <c r="O4286" t="s">
        <v>1060</v>
      </c>
    </row>
    <row r="4287" spans="1:15">
      <c r="A4287" t="s">
        <v>5868</v>
      </c>
      <c r="B4287" s="2">
        <v>45489.379907407405</v>
      </c>
      <c r="C4287" s="2">
        <v>45489.421574074076</v>
      </c>
      <c r="D4287" t="s">
        <v>828</v>
      </c>
      <c r="E4287" t="s">
        <v>1949</v>
      </c>
      <c r="F4287" t="s">
        <v>1950</v>
      </c>
      <c r="G4287" t="s">
        <v>1561</v>
      </c>
      <c r="H4287" t="s">
        <v>1076</v>
      </c>
      <c r="I4287">
        <v>50849002</v>
      </c>
      <c r="J4287" t="s">
        <v>1163</v>
      </c>
      <c r="K4287">
        <v>146.18</v>
      </c>
      <c r="L4287">
        <v>1008.98</v>
      </c>
      <c r="M4287">
        <v>1008.98</v>
      </c>
      <c r="N4287">
        <v>125605004</v>
      </c>
      <c r="O4287" t="s">
        <v>1644</v>
      </c>
    </row>
    <row r="4288" spans="1:15">
      <c r="A4288" t="s">
        <v>5869</v>
      </c>
      <c r="B4288" s="2">
        <v>45605.356226851851</v>
      </c>
      <c r="C4288" s="2">
        <v>45605.366643518515</v>
      </c>
      <c r="D4288" t="s">
        <v>828</v>
      </c>
      <c r="E4288" t="s">
        <v>1869</v>
      </c>
      <c r="F4288" t="s">
        <v>1870</v>
      </c>
      <c r="G4288" t="s">
        <v>1561</v>
      </c>
      <c r="H4288" t="s">
        <v>1031</v>
      </c>
      <c r="I4288">
        <v>185349003</v>
      </c>
      <c r="J4288" t="s">
        <v>1038</v>
      </c>
      <c r="K4288">
        <v>85.55</v>
      </c>
      <c r="L4288">
        <v>85.55</v>
      </c>
      <c r="M4288">
        <v>0</v>
      </c>
      <c r="N4288">
        <v>65966004</v>
      </c>
      <c r="O4288" t="s">
        <v>1647</v>
      </c>
    </row>
    <row r="4289" spans="1:15">
      <c r="A4289" t="s">
        <v>5870</v>
      </c>
      <c r="B4289" s="2">
        <v>45679.230902777781</v>
      </c>
      <c r="C4289" s="2">
        <v>45679.241319444445</v>
      </c>
      <c r="D4289" t="s">
        <v>828</v>
      </c>
      <c r="E4289" t="s">
        <v>1869</v>
      </c>
      <c r="F4289" t="s">
        <v>1870</v>
      </c>
      <c r="G4289" t="s">
        <v>1561</v>
      </c>
      <c r="H4289" t="s">
        <v>1031</v>
      </c>
      <c r="I4289">
        <v>424441002</v>
      </c>
      <c r="J4289" t="s">
        <v>1059</v>
      </c>
      <c r="K4289">
        <v>142.58000000000001</v>
      </c>
      <c r="L4289">
        <v>6453.97</v>
      </c>
      <c r="M4289">
        <v>1427.66</v>
      </c>
      <c r="N4289">
        <v>72892002</v>
      </c>
      <c r="O4289" t="s">
        <v>1060</v>
      </c>
    </row>
    <row r="4290" spans="1:15">
      <c r="A4290" t="s">
        <v>5871</v>
      </c>
      <c r="B4290" s="2">
        <v>45693.230902777781</v>
      </c>
      <c r="C4290" s="2">
        <v>45693.241319444445</v>
      </c>
      <c r="D4290" t="s">
        <v>828</v>
      </c>
      <c r="E4290" t="s">
        <v>1869</v>
      </c>
      <c r="F4290" t="s">
        <v>1870</v>
      </c>
      <c r="G4290" t="s">
        <v>1561</v>
      </c>
      <c r="H4290" t="s">
        <v>1031</v>
      </c>
      <c r="I4290">
        <v>270427003</v>
      </c>
      <c r="J4290" t="s">
        <v>1179</v>
      </c>
      <c r="K4290">
        <v>85.55</v>
      </c>
      <c r="L4290">
        <v>8149.9</v>
      </c>
      <c r="M4290">
        <v>5704.92</v>
      </c>
      <c r="N4290">
        <v>72892002</v>
      </c>
      <c r="O4290" t="s">
        <v>1060</v>
      </c>
    </row>
    <row r="4291" spans="1:15">
      <c r="A4291" t="s">
        <v>5872</v>
      </c>
      <c r="B4291" s="2">
        <v>45708.230902777781</v>
      </c>
      <c r="C4291" s="2">
        <v>45708.241319444445</v>
      </c>
      <c r="D4291" t="s">
        <v>828</v>
      </c>
      <c r="E4291" t="s">
        <v>1869</v>
      </c>
      <c r="F4291" t="s">
        <v>1870</v>
      </c>
      <c r="G4291" t="s">
        <v>1561</v>
      </c>
      <c r="H4291" t="s">
        <v>1031</v>
      </c>
      <c r="I4291">
        <v>424619006</v>
      </c>
      <c r="J4291" t="s">
        <v>1062</v>
      </c>
      <c r="K4291">
        <v>142.58000000000001</v>
      </c>
      <c r="L4291">
        <v>1443.68</v>
      </c>
      <c r="M4291">
        <v>1010.58</v>
      </c>
      <c r="N4291">
        <v>72892002</v>
      </c>
      <c r="O4291" t="s">
        <v>1060</v>
      </c>
    </row>
    <row r="4292" spans="1:15">
      <c r="A4292" t="s">
        <v>5873</v>
      </c>
      <c r="B4292" s="2">
        <v>45709.647569444445</v>
      </c>
      <c r="C4292" s="2">
        <v>45709.657986111109</v>
      </c>
      <c r="D4292" t="s">
        <v>828</v>
      </c>
      <c r="E4292" t="s">
        <v>1869</v>
      </c>
      <c r="F4292" t="s">
        <v>1870</v>
      </c>
      <c r="G4292" t="s">
        <v>1561</v>
      </c>
      <c r="H4292" t="s">
        <v>1031</v>
      </c>
      <c r="I4292">
        <v>185345009</v>
      </c>
      <c r="J4292" t="s">
        <v>1032</v>
      </c>
      <c r="K4292">
        <v>85.55</v>
      </c>
      <c r="L4292">
        <v>85.55</v>
      </c>
      <c r="M4292">
        <v>59.88</v>
      </c>
      <c r="N4292">
        <v>444814009</v>
      </c>
      <c r="O4292" t="s">
        <v>1035</v>
      </c>
    </row>
    <row r="4293" spans="1:15">
      <c r="A4293" t="s">
        <v>5874</v>
      </c>
      <c r="B4293" s="2">
        <v>45779.314236111109</v>
      </c>
      <c r="C4293" s="2">
        <v>45779.325972222221</v>
      </c>
      <c r="D4293" t="s">
        <v>828</v>
      </c>
      <c r="E4293" t="s">
        <v>1869</v>
      </c>
      <c r="F4293" t="s">
        <v>1870</v>
      </c>
      <c r="G4293" t="s">
        <v>1561</v>
      </c>
      <c r="H4293" t="s">
        <v>1031</v>
      </c>
      <c r="I4293">
        <v>185345009</v>
      </c>
      <c r="J4293" t="s">
        <v>1032</v>
      </c>
      <c r="K4293">
        <v>85.55</v>
      </c>
      <c r="L4293">
        <v>411.1</v>
      </c>
      <c r="M4293">
        <v>287.76</v>
      </c>
      <c r="N4293">
        <v>10509002</v>
      </c>
      <c r="O4293" t="s">
        <v>1033</v>
      </c>
    </row>
    <row r="4294" spans="1:15">
      <c r="A4294" t="s">
        <v>5875</v>
      </c>
      <c r="B4294" s="2">
        <v>45791.272569444445</v>
      </c>
      <c r="C4294" s="2">
        <v>45791.296793981484</v>
      </c>
      <c r="D4294" t="s">
        <v>828</v>
      </c>
      <c r="E4294" t="s">
        <v>3390</v>
      </c>
      <c r="F4294" t="s">
        <v>3391</v>
      </c>
      <c r="G4294" t="s">
        <v>1561</v>
      </c>
      <c r="H4294" t="s">
        <v>1159</v>
      </c>
      <c r="I4294">
        <v>702927004</v>
      </c>
      <c r="J4294" t="s">
        <v>1160</v>
      </c>
      <c r="K4294">
        <v>142.58000000000001</v>
      </c>
      <c r="L4294">
        <v>709.98</v>
      </c>
      <c r="M4294">
        <v>496.99</v>
      </c>
      <c r="O4294" t="s">
        <v>34</v>
      </c>
    </row>
    <row r="4295" spans="1:15">
      <c r="A4295" t="s">
        <v>5876</v>
      </c>
      <c r="B4295" s="2">
        <v>45861.272569444445</v>
      </c>
      <c r="C4295" s="2">
        <v>45861.282986111109</v>
      </c>
      <c r="D4295" t="s">
        <v>828</v>
      </c>
      <c r="E4295" t="s">
        <v>1869</v>
      </c>
      <c r="F4295" t="s">
        <v>1870</v>
      </c>
      <c r="G4295" t="s">
        <v>1561</v>
      </c>
      <c r="H4295" t="s">
        <v>1031</v>
      </c>
      <c r="I4295">
        <v>424441002</v>
      </c>
      <c r="J4295" t="s">
        <v>1059</v>
      </c>
      <c r="K4295">
        <v>142.58000000000001</v>
      </c>
      <c r="L4295">
        <v>40157.480000000003</v>
      </c>
      <c r="M4295">
        <v>24960.22</v>
      </c>
      <c r="N4295">
        <v>72892002</v>
      </c>
      <c r="O4295" t="s">
        <v>1060</v>
      </c>
    </row>
    <row r="4296" spans="1:15">
      <c r="A4296" t="s">
        <v>5877</v>
      </c>
      <c r="B4296" s="2">
        <v>45889.272569444445</v>
      </c>
      <c r="C4296" s="2">
        <v>45889.282986111109</v>
      </c>
      <c r="D4296" t="s">
        <v>828</v>
      </c>
      <c r="E4296" t="s">
        <v>1869</v>
      </c>
      <c r="F4296" t="s">
        <v>1870</v>
      </c>
      <c r="G4296" t="s">
        <v>1561</v>
      </c>
      <c r="H4296" t="s">
        <v>1031</v>
      </c>
      <c r="I4296">
        <v>424619006</v>
      </c>
      <c r="J4296" t="s">
        <v>1062</v>
      </c>
      <c r="K4296">
        <v>142.58000000000001</v>
      </c>
      <c r="L4296">
        <v>8117.16</v>
      </c>
      <c r="M4296">
        <v>8117.16</v>
      </c>
      <c r="N4296">
        <v>72892002</v>
      </c>
      <c r="O4296" t="s">
        <v>1060</v>
      </c>
    </row>
    <row r="4297" spans="1:15">
      <c r="A4297" t="s">
        <v>5878</v>
      </c>
      <c r="B4297" s="2">
        <v>45917.272569444445</v>
      </c>
      <c r="C4297" s="2">
        <v>45917.282986111109</v>
      </c>
      <c r="D4297" t="s">
        <v>828</v>
      </c>
      <c r="E4297" t="s">
        <v>1869</v>
      </c>
      <c r="F4297" t="s">
        <v>1870</v>
      </c>
      <c r="G4297" t="s">
        <v>1561</v>
      </c>
      <c r="H4297" t="s">
        <v>1031</v>
      </c>
      <c r="I4297">
        <v>424619006</v>
      </c>
      <c r="J4297" t="s">
        <v>1062</v>
      </c>
      <c r="K4297">
        <v>142.58000000000001</v>
      </c>
      <c r="L4297">
        <v>142.58000000000001</v>
      </c>
      <c r="M4297">
        <v>142.58000000000001</v>
      </c>
      <c r="N4297">
        <v>72892002</v>
      </c>
      <c r="O4297" t="s">
        <v>1060</v>
      </c>
    </row>
    <row r="4298" spans="1:15">
      <c r="A4298" t="s">
        <v>5879</v>
      </c>
      <c r="B4298" s="2">
        <v>45937.272569444445</v>
      </c>
      <c r="C4298" s="2">
        <v>45937.282986111109</v>
      </c>
      <c r="D4298" t="s">
        <v>828</v>
      </c>
      <c r="E4298" t="s">
        <v>1869</v>
      </c>
      <c r="F4298" t="s">
        <v>1870</v>
      </c>
      <c r="G4298" t="s">
        <v>1561</v>
      </c>
      <c r="H4298" t="s">
        <v>1031</v>
      </c>
      <c r="I4298">
        <v>424619006</v>
      </c>
      <c r="J4298" t="s">
        <v>1062</v>
      </c>
      <c r="K4298">
        <v>142.58000000000001</v>
      </c>
      <c r="L4298">
        <v>1005.38</v>
      </c>
      <c r="M4298">
        <v>1005.38</v>
      </c>
      <c r="N4298">
        <v>267253006</v>
      </c>
      <c r="O4298" t="s">
        <v>1593</v>
      </c>
    </row>
    <row r="4299" spans="1:15">
      <c r="A4299" t="s">
        <v>5880</v>
      </c>
      <c r="B4299" s="2">
        <v>46120.272569444445</v>
      </c>
      <c r="C4299" s="2">
        <v>46120.282986111109</v>
      </c>
      <c r="D4299" t="s">
        <v>828</v>
      </c>
      <c r="E4299" t="s">
        <v>1869</v>
      </c>
      <c r="F4299" t="s">
        <v>1870</v>
      </c>
      <c r="G4299" t="s">
        <v>1561</v>
      </c>
      <c r="H4299" t="s">
        <v>1031</v>
      </c>
      <c r="I4299">
        <v>424441002</v>
      </c>
      <c r="J4299" t="s">
        <v>1059</v>
      </c>
      <c r="K4299">
        <v>142.58000000000001</v>
      </c>
      <c r="L4299">
        <v>46623.3</v>
      </c>
      <c r="M4299">
        <v>46623.3</v>
      </c>
      <c r="N4299">
        <v>72892002</v>
      </c>
      <c r="O4299" t="s">
        <v>1060</v>
      </c>
    </row>
    <row r="4300" spans="1:15">
      <c r="A4300" t="s">
        <v>5881</v>
      </c>
      <c r="B4300" s="2">
        <v>46148.272569444445</v>
      </c>
      <c r="C4300" s="2">
        <v>46148.282986111109</v>
      </c>
      <c r="D4300" t="s">
        <v>828</v>
      </c>
      <c r="E4300" t="s">
        <v>1869</v>
      </c>
      <c r="F4300" t="s">
        <v>1870</v>
      </c>
      <c r="G4300" t="s">
        <v>1561</v>
      </c>
      <c r="H4300" t="s">
        <v>1031</v>
      </c>
      <c r="I4300">
        <v>424619006</v>
      </c>
      <c r="J4300" t="s">
        <v>1062</v>
      </c>
      <c r="K4300">
        <v>142.58000000000001</v>
      </c>
      <c r="L4300">
        <v>6150.3</v>
      </c>
      <c r="M4300">
        <v>6150.3</v>
      </c>
      <c r="N4300">
        <v>72892002</v>
      </c>
      <c r="O4300" t="s">
        <v>1060</v>
      </c>
    </row>
    <row r="4301" spans="1:15">
      <c r="A4301" t="s">
        <v>5882</v>
      </c>
      <c r="B4301" s="2">
        <v>46176.272569444445</v>
      </c>
      <c r="C4301" s="2">
        <v>46176.282986111109</v>
      </c>
      <c r="D4301" t="s">
        <v>828</v>
      </c>
      <c r="E4301" t="s">
        <v>1869</v>
      </c>
      <c r="F4301" t="s">
        <v>1870</v>
      </c>
      <c r="G4301" t="s">
        <v>1561</v>
      </c>
      <c r="H4301" t="s">
        <v>1031</v>
      </c>
      <c r="I4301">
        <v>424619006</v>
      </c>
      <c r="J4301" t="s">
        <v>1062</v>
      </c>
      <c r="K4301">
        <v>142.58000000000001</v>
      </c>
      <c r="L4301">
        <v>14446.87</v>
      </c>
      <c r="M4301">
        <v>14446.87</v>
      </c>
      <c r="N4301">
        <v>72892002</v>
      </c>
      <c r="O4301" t="s">
        <v>1060</v>
      </c>
    </row>
    <row r="4302" spans="1:15">
      <c r="A4302" t="s">
        <v>5883</v>
      </c>
      <c r="B4302" s="2">
        <v>46204.272569444445</v>
      </c>
      <c r="C4302" s="2">
        <v>46204.282986111109</v>
      </c>
      <c r="D4302" t="s">
        <v>828</v>
      </c>
      <c r="E4302" t="s">
        <v>1869</v>
      </c>
      <c r="F4302" t="s">
        <v>1870</v>
      </c>
      <c r="G4302" t="s">
        <v>1561</v>
      </c>
      <c r="H4302" t="s">
        <v>1031</v>
      </c>
      <c r="I4302">
        <v>424619006</v>
      </c>
      <c r="J4302" t="s">
        <v>1062</v>
      </c>
      <c r="K4302">
        <v>142.58000000000001</v>
      </c>
      <c r="L4302">
        <v>8322.19</v>
      </c>
      <c r="M4302">
        <v>8322.19</v>
      </c>
      <c r="N4302">
        <v>72892002</v>
      </c>
      <c r="O4302" t="s">
        <v>1060</v>
      </c>
    </row>
    <row r="4303" spans="1:15">
      <c r="A4303" t="s">
        <v>5884</v>
      </c>
      <c r="B4303" s="2">
        <v>46232.272569444445</v>
      </c>
      <c r="C4303" s="2">
        <v>46232.282986111109</v>
      </c>
      <c r="D4303" t="s">
        <v>828</v>
      </c>
      <c r="E4303" t="s">
        <v>1869</v>
      </c>
      <c r="F4303" t="s">
        <v>1870</v>
      </c>
      <c r="G4303" t="s">
        <v>1561</v>
      </c>
      <c r="H4303" t="s">
        <v>1031</v>
      </c>
      <c r="I4303">
        <v>424619006</v>
      </c>
      <c r="J4303" t="s">
        <v>1062</v>
      </c>
      <c r="K4303">
        <v>142.58000000000001</v>
      </c>
      <c r="L4303">
        <v>5919.65</v>
      </c>
      <c r="M4303">
        <v>993.76</v>
      </c>
      <c r="N4303">
        <v>72892002</v>
      </c>
      <c r="O4303" t="s">
        <v>1060</v>
      </c>
    </row>
    <row r="4304" spans="1:15">
      <c r="A4304" t="s">
        <v>5885</v>
      </c>
      <c r="B4304" s="2">
        <v>32967.955613425926</v>
      </c>
      <c r="C4304" s="2">
        <v>32967.96603009259</v>
      </c>
      <c r="D4304" t="s">
        <v>836</v>
      </c>
      <c r="E4304" t="s">
        <v>5653</v>
      </c>
      <c r="F4304" t="s">
        <v>5654</v>
      </c>
      <c r="G4304" t="s">
        <v>1107</v>
      </c>
      <c r="H4304" t="s">
        <v>1031</v>
      </c>
      <c r="I4304">
        <v>185345009</v>
      </c>
      <c r="J4304" t="s">
        <v>1032</v>
      </c>
      <c r="K4304">
        <v>85.55</v>
      </c>
      <c r="L4304">
        <v>85.55</v>
      </c>
      <c r="M4304">
        <v>0</v>
      </c>
      <c r="N4304">
        <v>367498001</v>
      </c>
      <c r="O4304" t="s">
        <v>2140</v>
      </c>
    </row>
    <row r="4305" spans="1:15">
      <c r="A4305" t="s">
        <v>5886</v>
      </c>
      <c r="B4305" s="2">
        <v>32979.705613425926</v>
      </c>
      <c r="C4305" s="2">
        <v>32979.728993055556</v>
      </c>
      <c r="D4305" t="s">
        <v>836</v>
      </c>
      <c r="E4305" t="s">
        <v>5653</v>
      </c>
      <c r="F4305" t="s">
        <v>5654</v>
      </c>
      <c r="G4305" t="s">
        <v>1107</v>
      </c>
      <c r="H4305" t="s">
        <v>1031</v>
      </c>
      <c r="I4305">
        <v>185347001</v>
      </c>
      <c r="J4305" t="s">
        <v>1124</v>
      </c>
      <c r="K4305">
        <v>85.55</v>
      </c>
      <c r="L4305">
        <v>516.95000000000005</v>
      </c>
      <c r="M4305">
        <v>0</v>
      </c>
      <c r="N4305">
        <v>609328004</v>
      </c>
      <c r="O4305" t="s">
        <v>1137</v>
      </c>
    </row>
    <row r="4306" spans="1:15">
      <c r="A4306" t="s">
        <v>5887</v>
      </c>
      <c r="B4306" s="2">
        <v>37096.955613425926</v>
      </c>
      <c r="C4306" s="2">
        <v>37096.967037037037</v>
      </c>
      <c r="D4306" t="s">
        <v>836</v>
      </c>
      <c r="E4306" t="s">
        <v>5645</v>
      </c>
      <c r="F4306" t="s">
        <v>5646</v>
      </c>
      <c r="G4306" t="s">
        <v>1026</v>
      </c>
      <c r="H4306" t="s">
        <v>1020</v>
      </c>
      <c r="I4306">
        <v>410620009</v>
      </c>
      <c r="J4306" t="s">
        <v>1054</v>
      </c>
      <c r="K4306">
        <v>136.80000000000001</v>
      </c>
      <c r="L4306">
        <v>642.78</v>
      </c>
      <c r="M4306">
        <v>385.67</v>
      </c>
      <c r="O4306" t="s">
        <v>34</v>
      </c>
    </row>
    <row r="4307" spans="1:15">
      <c r="A4307" t="s">
        <v>5888</v>
      </c>
      <c r="B4307" s="2">
        <v>37838.955613425926</v>
      </c>
      <c r="C4307" s="2">
        <v>37838.979259259257</v>
      </c>
      <c r="D4307" t="s">
        <v>836</v>
      </c>
      <c r="E4307" t="s">
        <v>5645</v>
      </c>
      <c r="F4307" t="s">
        <v>5646</v>
      </c>
      <c r="G4307" t="s">
        <v>1026</v>
      </c>
      <c r="H4307" t="s">
        <v>1020</v>
      </c>
      <c r="I4307">
        <v>162673000</v>
      </c>
      <c r="J4307" t="s">
        <v>1021</v>
      </c>
      <c r="K4307">
        <v>136.80000000000001</v>
      </c>
      <c r="L4307">
        <v>704.2</v>
      </c>
      <c r="M4307">
        <v>0</v>
      </c>
      <c r="O4307" t="s">
        <v>34</v>
      </c>
    </row>
    <row r="4308" spans="1:15">
      <c r="A4308" t="s">
        <v>5889</v>
      </c>
      <c r="B4308" s="2">
        <v>39738.955613425926</v>
      </c>
      <c r="C4308" s="2">
        <v>39738.96603009259</v>
      </c>
      <c r="D4308" t="s">
        <v>836</v>
      </c>
      <c r="E4308" t="s">
        <v>5653</v>
      </c>
      <c r="F4308" t="s">
        <v>5654</v>
      </c>
      <c r="G4308" t="s">
        <v>1026</v>
      </c>
      <c r="H4308" t="s">
        <v>1031</v>
      </c>
      <c r="I4308">
        <v>424619006</v>
      </c>
      <c r="J4308" t="s">
        <v>1062</v>
      </c>
      <c r="K4308">
        <v>142.58000000000001</v>
      </c>
      <c r="L4308">
        <v>1005.38</v>
      </c>
      <c r="M4308">
        <v>603.23</v>
      </c>
      <c r="N4308">
        <v>156073000</v>
      </c>
      <c r="O4308" t="s">
        <v>1397</v>
      </c>
    </row>
    <row r="4309" spans="1:15">
      <c r="A4309" t="s">
        <v>5890</v>
      </c>
      <c r="B4309" s="2">
        <v>41669.913946759261</v>
      </c>
      <c r="C4309" s="2">
        <v>41669.924363425926</v>
      </c>
      <c r="D4309" t="s">
        <v>836</v>
      </c>
      <c r="E4309" t="s">
        <v>5653</v>
      </c>
      <c r="F4309" t="s">
        <v>5654</v>
      </c>
      <c r="G4309" t="s">
        <v>1026</v>
      </c>
      <c r="H4309" t="s">
        <v>1043</v>
      </c>
      <c r="I4309">
        <v>185347001</v>
      </c>
      <c r="J4309" t="s">
        <v>1124</v>
      </c>
      <c r="K4309">
        <v>85.55</v>
      </c>
      <c r="L4309">
        <v>85.55</v>
      </c>
      <c r="M4309">
        <v>51.33</v>
      </c>
      <c r="N4309">
        <v>82423001</v>
      </c>
      <c r="O4309" t="s">
        <v>1542</v>
      </c>
    </row>
    <row r="4310" spans="1:15">
      <c r="A4310" t="s">
        <v>5891</v>
      </c>
      <c r="B4310" s="2">
        <v>41751.538946759261</v>
      </c>
      <c r="C4310" s="2">
        <v>41751.549363425926</v>
      </c>
      <c r="D4310" t="s">
        <v>836</v>
      </c>
      <c r="E4310" t="s">
        <v>5653</v>
      </c>
      <c r="F4310" t="s">
        <v>5654</v>
      </c>
      <c r="G4310" t="s">
        <v>1026</v>
      </c>
      <c r="H4310" t="s">
        <v>1031</v>
      </c>
      <c r="I4310">
        <v>390906007</v>
      </c>
      <c r="J4310" t="s">
        <v>1255</v>
      </c>
      <c r="K4310">
        <v>85.55</v>
      </c>
      <c r="L4310">
        <v>85.55</v>
      </c>
      <c r="M4310">
        <v>51.33</v>
      </c>
      <c r="N4310">
        <v>82423001</v>
      </c>
      <c r="O4310" t="s">
        <v>1542</v>
      </c>
    </row>
    <row r="4311" spans="1:15">
      <c r="A4311" t="s">
        <v>5892</v>
      </c>
      <c r="B4311" s="2">
        <v>42038.913946759261</v>
      </c>
      <c r="C4311" s="2">
        <v>42038.935069444444</v>
      </c>
      <c r="D4311" t="s">
        <v>836</v>
      </c>
      <c r="E4311" t="s">
        <v>1299</v>
      </c>
      <c r="F4311" t="s">
        <v>1300</v>
      </c>
      <c r="G4311" t="s">
        <v>1122</v>
      </c>
      <c r="H4311" t="s">
        <v>1159</v>
      </c>
      <c r="I4311">
        <v>702927004</v>
      </c>
      <c r="J4311" t="s">
        <v>1160</v>
      </c>
      <c r="K4311">
        <v>142.58000000000001</v>
      </c>
      <c r="L4311">
        <v>709.98</v>
      </c>
      <c r="M4311">
        <v>567.98</v>
      </c>
      <c r="O4311" t="s">
        <v>34</v>
      </c>
    </row>
    <row r="4312" spans="1:15">
      <c r="A4312" t="s">
        <v>5893</v>
      </c>
      <c r="B4312" s="2">
        <v>42248.955613425926</v>
      </c>
      <c r="C4312" s="2">
        <v>42248.993136574078</v>
      </c>
      <c r="D4312" t="s">
        <v>836</v>
      </c>
      <c r="E4312" t="s">
        <v>5645</v>
      </c>
      <c r="F4312" t="s">
        <v>5646</v>
      </c>
      <c r="G4312" t="s">
        <v>1122</v>
      </c>
      <c r="H4312" t="s">
        <v>1020</v>
      </c>
      <c r="I4312">
        <v>162673000</v>
      </c>
      <c r="J4312" t="s">
        <v>1021</v>
      </c>
      <c r="K4312">
        <v>136.80000000000001</v>
      </c>
      <c r="L4312">
        <v>778.78</v>
      </c>
      <c r="M4312">
        <v>623.02</v>
      </c>
      <c r="O4312" t="s">
        <v>34</v>
      </c>
    </row>
    <row r="4313" spans="1:15">
      <c r="A4313" t="s">
        <v>5894</v>
      </c>
      <c r="B4313" s="2">
        <v>42444.955613425926</v>
      </c>
      <c r="C4313" s="2">
        <v>42444.96603009259</v>
      </c>
      <c r="D4313" t="s">
        <v>836</v>
      </c>
      <c r="E4313" t="s">
        <v>5653</v>
      </c>
      <c r="F4313" t="s">
        <v>5654</v>
      </c>
      <c r="G4313" t="s">
        <v>1122</v>
      </c>
      <c r="H4313" t="s">
        <v>1031</v>
      </c>
      <c r="I4313">
        <v>424441002</v>
      </c>
      <c r="J4313" t="s">
        <v>1059</v>
      </c>
      <c r="K4313">
        <v>142.58000000000001</v>
      </c>
      <c r="L4313">
        <v>46494.99</v>
      </c>
      <c r="M4313">
        <v>46494.99</v>
      </c>
      <c r="N4313">
        <v>72892002</v>
      </c>
      <c r="O4313" t="s">
        <v>1060</v>
      </c>
    </row>
    <row r="4314" spans="1:15">
      <c r="A4314" t="s">
        <v>5895</v>
      </c>
      <c r="B4314" s="2">
        <v>42612.955613425926</v>
      </c>
      <c r="C4314" s="2">
        <v>42612.96603009259</v>
      </c>
      <c r="D4314" t="s">
        <v>836</v>
      </c>
      <c r="E4314" t="s">
        <v>5653</v>
      </c>
      <c r="F4314" t="s">
        <v>5654</v>
      </c>
      <c r="G4314" t="s">
        <v>1974</v>
      </c>
      <c r="H4314" t="s">
        <v>1031</v>
      </c>
      <c r="I4314">
        <v>424619006</v>
      </c>
      <c r="J4314" t="s">
        <v>1062</v>
      </c>
      <c r="K4314">
        <v>142.58000000000001</v>
      </c>
      <c r="L4314">
        <v>10241.82</v>
      </c>
      <c r="M4314">
        <v>10206.82</v>
      </c>
      <c r="N4314">
        <v>72892002</v>
      </c>
      <c r="O4314" t="s">
        <v>1060</v>
      </c>
    </row>
    <row r="4315" spans="1:15">
      <c r="A4315" t="s">
        <v>5896</v>
      </c>
      <c r="B4315" s="2">
        <v>42619.955613425926</v>
      </c>
      <c r="C4315" s="2">
        <v>42619.996342592596</v>
      </c>
      <c r="D4315" t="s">
        <v>836</v>
      </c>
      <c r="E4315" t="s">
        <v>5645</v>
      </c>
      <c r="F4315" t="s">
        <v>5646</v>
      </c>
      <c r="G4315" t="s">
        <v>1974</v>
      </c>
      <c r="H4315" t="s">
        <v>1020</v>
      </c>
      <c r="I4315">
        <v>162673000</v>
      </c>
      <c r="J4315" t="s">
        <v>1021</v>
      </c>
      <c r="K4315">
        <v>136.80000000000001</v>
      </c>
      <c r="L4315">
        <v>1055.9000000000001</v>
      </c>
      <c r="M4315">
        <v>1055.9000000000001</v>
      </c>
      <c r="O4315" t="s">
        <v>34</v>
      </c>
    </row>
    <row r="4316" spans="1:15">
      <c r="A4316" t="s">
        <v>5897</v>
      </c>
      <c r="B4316" s="2">
        <v>42640.955613425926</v>
      </c>
      <c r="C4316" s="2">
        <v>42640.96603009259</v>
      </c>
      <c r="D4316" t="s">
        <v>836</v>
      </c>
      <c r="E4316" t="s">
        <v>5653</v>
      </c>
      <c r="F4316" t="s">
        <v>5654</v>
      </c>
      <c r="G4316" t="s">
        <v>1974</v>
      </c>
      <c r="H4316" t="s">
        <v>1031</v>
      </c>
      <c r="I4316">
        <v>424619006</v>
      </c>
      <c r="J4316" t="s">
        <v>1062</v>
      </c>
      <c r="K4316">
        <v>142.58000000000001</v>
      </c>
      <c r="L4316">
        <v>6988.97</v>
      </c>
      <c r="M4316">
        <v>6953.97</v>
      </c>
      <c r="N4316">
        <v>72892002</v>
      </c>
      <c r="O4316" t="s">
        <v>1060</v>
      </c>
    </row>
    <row r="4317" spans="1:15">
      <c r="A4317" t="s">
        <v>5898</v>
      </c>
      <c r="B4317" s="2">
        <v>42654.955613425926</v>
      </c>
      <c r="C4317" s="2">
        <v>42654.99728009259</v>
      </c>
      <c r="D4317" t="s">
        <v>836</v>
      </c>
      <c r="E4317" t="s">
        <v>5650</v>
      </c>
      <c r="F4317" t="s">
        <v>5651</v>
      </c>
      <c r="G4317" t="s">
        <v>1974</v>
      </c>
      <c r="H4317" t="s">
        <v>1076</v>
      </c>
      <c r="I4317">
        <v>183460006</v>
      </c>
      <c r="J4317" t="s">
        <v>1077</v>
      </c>
      <c r="K4317">
        <v>146.18</v>
      </c>
      <c r="L4317">
        <v>14589.21</v>
      </c>
      <c r="M4317">
        <v>14554.21</v>
      </c>
      <c r="N4317">
        <v>72892002</v>
      </c>
      <c r="O4317" t="s">
        <v>1060</v>
      </c>
    </row>
    <row r="4318" spans="1:15">
      <c r="A4318" t="s">
        <v>5899</v>
      </c>
      <c r="B4318" s="2">
        <v>42696.913946759261</v>
      </c>
      <c r="C4318" s="2">
        <v>42696.924363425926</v>
      </c>
      <c r="D4318" t="s">
        <v>836</v>
      </c>
      <c r="E4318" t="s">
        <v>5653</v>
      </c>
      <c r="F4318" t="s">
        <v>5654</v>
      </c>
      <c r="G4318" t="s">
        <v>1974</v>
      </c>
      <c r="H4318" t="s">
        <v>1031</v>
      </c>
      <c r="I4318">
        <v>169762003</v>
      </c>
      <c r="J4318" t="s">
        <v>1079</v>
      </c>
      <c r="K4318">
        <v>142.58000000000001</v>
      </c>
      <c r="L4318">
        <v>1005.38</v>
      </c>
      <c r="M4318">
        <v>970.38</v>
      </c>
      <c r="O4318" t="s">
        <v>34</v>
      </c>
    </row>
    <row r="4319" spans="1:15">
      <c r="A4319" t="s">
        <v>5900</v>
      </c>
      <c r="B4319" s="2">
        <v>42990.955613425926</v>
      </c>
      <c r="C4319" s="2">
        <v>42990.980219907404</v>
      </c>
      <c r="D4319" t="s">
        <v>836</v>
      </c>
      <c r="E4319" t="s">
        <v>5645</v>
      </c>
      <c r="F4319" t="s">
        <v>5646</v>
      </c>
      <c r="G4319" t="s">
        <v>1122</v>
      </c>
      <c r="H4319" t="s">
        <v>1020</v>
      </c>
      <c r="I4319">
        <v>162673000</v>
      </c>
      <c r="J4319" t="s">
        <v>1021</v>
      </c>
      <c r="K4319">
        <v>136.80000000000001</v>
      </c>
      <c r="L4319">
        <v>704.2</v>
      </c>
      <c r="M4319">
        <v>480.91</v>
      </c>
      <c r="O4319" t="s">
        <v>34</v>
      </c>
    </row>
    <row r="4320" spans="1:15">
      <c r="A4320" t="s">
        <v>5901</v>
      </c>
      <c r="B4320" s="2">
        <v>43004.955613425926</v>
      </c>
      <c r="C4320" s="2">
        <v>43005.187488425923</v>
      </c>
      <c r="D4320" t="s">
        <v>836</v>
      </c>
      <c r="E4320" t="s">
        <v>5653</v>
      </c>
      <c r="F4320" t="s">
        <v>5654</v>
      </c>
      <c r="G4320" t="s">
        <v>1122</v>
      </c>
      <c r="H4320" t="s">
        <v>1031</v>
      </c>
      <c r="I4320">
        <v>185349003</v>
      </c>
      <c r="J4320" t="s">
        <v>1038</v>
      </c>
      <c r="K4320">
        <v>85.55</v>
      </c>
      <c r="L4320">
        <v>4830.95</v>
      </c>
      <c r="M4320">
        <v>3864.76</v>
      </c>
      <c r="N4320">
        <v>66383009</v>
      </c>
      <c r="O4320" t="s">
        <v>1209</v>
      </c>
    </row>
    <row r="4321" spans="1:15">
      <c r="A4321" t="s">
        <v>5902</v>
      </c>
      <c r="B4321" s="2">
        <v>43361.955613425926</v>
      </c>
      <c r="C4321" s="2">
        <v>43361.994930555556</v>
      </c>
      <c r="D4321" t="s">
        <v>836</v>
      </c>
      <c r="E4321" t="s">
        <v>5645</v>
      </c>
      <c r="F4321" t="s">
        <v>5646</v>
      </c>
      <c r="G4321" t="s">
        <v>1122</v>
      </c>
      <c r="H4321" t="s">
        <v>1020</v>
      </c>
      <c r="I4321">
        <v>162673000</v>
      </c>
      <c r="J4321" t="s">
        <v>1021</v>
      </c>
      <c r="K4321">
        <v>136.80000000000001</v>
      </c>
      <c r="L4321">
        <v>853.36</v>
      </c>
      <c r="M4321">
        <v>600.23</v>
      </c>
      <c r="O4321" t="s">
        <v>34</v>
      </c>
    </row>
    <row r="4322" spans="1:15">
      <c r="A4322" t="s">
        <v>5903</v>
      </c>
      <c r="B4322" s="2">
        <v>43375.955613425926</v>
      </c>
      <c r="C4322" s="2">
        <v>43376.185347222221</v>
      </c>
      <c r="D4322" t="s">
        <v>836</v>
      </c>
      <c r="E4322" t="s">
        <v>5653</v>
      </c>
      <c r="F4322" t="s">
        <v>5654</v>
      </c>
      <c r="G4322" t="s">
        <v>1122</v>
      </c>
      <c r="H4322" t="s">
        <v>1031</v>
      </c>
      <c r="I4322">
        <v>185349003</v>
      </c>
      <c r="J4322" t="s">
        <v>1038</v>
      </c>
      <c r="K4322">
        <v>85.55</v>
      </c>
      <c r="L4322">
        <v>4399.55</v>
      </c>
      <c r="M4322">
        <v>3519.64</v>
      </c>
      <c r="N4322">
        <v>66383009</v>
      </c>
      <c r="O4322" t="s">
        <v>1209</v>
      </c>
    </row>
    <row r="4323" spans="1:15">
      <c r="A4323" t="s">
        <v>5904</v>
      </c>
      <c r="B4323" s="2">
        <v>43433.913946759261</v>
      </c>
      <c r="C4323" s="2">
        <v>43433.924363425926</v>
      </c>
      <c r="D4323" t="s">
        <v>836</v>
      </c>
      <c r="E4323" t="s">
        <v>5653</v>
      </c>
      <c r="F4323" t="s">
        <v>5654</v>
      </c>
      <c r="G4323" t="s">
        <v>1122</v>
      </c>
      <c r="H4323" t="s">
        <v>1043</v>
      </c>
      <c r="I4323">
        <v>698314001</v>
      </c>
      <c r="J4323" t="s">
        <v>1190</v>
      </c>
      <c r="K4323">
        <v>142.58000000000001</v>
      </c>
      <c r="L4323">
        <v>142.58000000000001</v>
      </c>
      <c r="M4323">
        <v>114.06</v>
      </c>
      <c r="N4323">
        <v>389095005</v>
      </c>
      <c r="O4323" t="s">
        <v>1191</v>
      </c>
    </row>
    <row r="4324" spans="1:15">
      <c r="A4324" t="s">
        <v>5905</v>
      </c>
      <c r="B4324" s="2">
        <v>43438.288946759261</v>
      </c>
      <c r="C4324" s="2">
        <v>43438.335405092592</v>
      </c>
      <c r="D4324" t="s">
        <v>836</v>
      </c>
      <c r="E4324" t="s">
        <v>5653</v>
      </c>
      <c r="F4324" t="s">
        <v>5654</v>
      </c>
      <c r="G4324" t="s">
        <v>1122</v>
      </c>
      <c r="H4324" t="s">
        <v>1043</v>
      </c>
      <c r="I4324">
        <v>308335008</v>
      </c>
      <c r="J4324" t="s">
        <v>1194</v>
      </c>
      <c r="K4324">
        <v>142.58000000000001</v>
      </c>
      <c r="L4324">
        <v>7230.64</v>
      </c>
      <c r="M4324">
        <v>5784.51</v>
      </c>
      <c r="N4324">
        <v>389095005</v>
      </c>
      <c r="O4324" t="s">
        <v>1191</v>
      </c>
    </row>
    <row r="4325" spans="1:15">
      <c r="A4325" t="s">
        <v>5906</v>
      </c>
      <c r="B4325" s="2">
        <v>43732.955613425926</v>
      </c>
      <c r="C4325" s="2">
        <v>43732.996967592589</v>
      </c>
      <c r="D4325" t="s">
        <v>836</v>
      </c>
      <c r="E4325" t="s">
        <v>5645</v>
      </c>
      <c r="F4325" t="s">
        <v>5646</v>
      </c>
      <c r="G4325" t="s">
        <v>1122</v>
      </c>
      <c r="H4325" t="s">
        <v>1020</v>
      </c>
      <c r="I4325">
        <v>162673000</v>
      </c>
      <c r="J4325" t="s">
        <v>1021</v>
      </c>
      <c r="K4325">
        <v>136.80000000000001</v>
      </c>
      <c r="L4325">
        <v>704.2</v>
      </c>
      <c r="M4325">
        <v>480.91</v>
      </c>
      <c r="O4325" t="s">
        <v>34</v>
      </c>
    </row>
    <row r="4326" spans="1:15">
      <c r="A4326" t="s">
        <v>5907</v>
      </c>
      <c r="B4326" s="2">
        <v>43746.955613425926</v>
      </c>
      <c r="C4326" s="2">
        <v>43747.121365740742</v>
      </c>
      <c r="D4326" t="s">
        <v>836</v>
      </c>
      <c r="E4326" t="s">
        <v>5653</v>
      </c>
      <c r="F4326" t="s">
        <v>5654</v>
      </c>
      <c r="G4326" t="s">
        <v>1122</v>
      </c>
      <c r="H4326" t="s">
        <v>1031</v>
      </c>
      <c r="I4326">
        <v>185349003</v>
      </c>
      <c r="J4326" t="s">
        <v>1038</v>
      </c>
      <c r="K4326">
        <v>85.55</v>
      </c>
      <c r="L4326">
        <v>3536.75</v>
      </c>
      <c r="M4326">
        <v>2829.4</v>
      </c>
      <c r="N4326">
        <v>66383009</v>
      </c>
      <c r="O4326" t="s">
        <v>1209</v>
      </c>
    </row>
    <row r="4327" spans="1:15">
      <c r="A4327" t="s">
        <v>5908</v>
      </c>
      <c r="B4327" s="2">
        <v>43802.913946759261</v>
      </c>
      <c r="C4327" s="2">
        <v>43802.938159722224</v>
      </c>
      <c r="D4327" t="s">
        <v>836</v>
      </c>
      <c r="E4327" t="s">
        <v>5653</v>
      </c>
      <c r="F4327" t="s">
        <v>5654</v>
      </c>
      <c r="G4327" t="s">
        <v>1122</v>
      </c>
      <c r="H4327" t="s">
        <v>1043</v>
      </c>
      <c r="I4327">
        <v>185349003</v>
      </c>
      <c r="J4327" t="s">
        <v>1038</v>
      </c>
      <c r="K4327">
        <v>85.55</v>
      </c>
      <c r="L4327">
        <v>516.95000000000005</v>
      </c>
      <c r="M4327">
        <v>413.56</v>
      </c>
      <c r="O4327" t="s">
        <v>34</v>
      </c>
    </row>
    <row r="4328" spans="1:15">
      <c r="A4328" t="s">
        <v>5909</v>
      </c>
      <c r="B4328" s="2">
        <v>43809.913946759261</v>
      </c>
      <c r="C4328" s="2">
        <v>43809.924363425926</v>
      </c>
      <c r="D4328" t="s">
        <v>836</v>
      </c>
      <c r="E4328" t="s">
        <v>5653</v>
      </c>
      <c r="F4328" t="s">
        <v>5654</v>
      </c>
      <c r="G4328" t="s">
        <v>1122</v>
      </c>
      <c r="H4328" t="s">
        <v>1043</v>
      </c>
      <c r="I4328">
        <v>698314001</v>
      </c>
      <c r="J4328" t="s">
        <v>1190</v>
      </c>
      <c r="K4328">
        <v>142.58000000000001</v>
      </c>
      <c r="L4328">
        <v>142.58000000000001</v>
      </c>
      <c r="M4328">
        <v>114.06</v>
      </c>
      <c r="N4328">
        <v>389095005</v>
      </c>
      <c r="O4328" t="s">
        <v>1191</v>
      </c>
    </row>
    <row r="4329" spans="1:15">
      <c r="A4329" t="s">
        <v>5910</v>
      </c>
      <c r="B4329" s="2">
        <v>43809.913946759261</v>
      </c>
      <c r="C4329" s="2">
        <v>43809.924363425926</v>
      </c>
      <c r="D4329" t="s">
        <v>836</v>
      </c>
      <c r="E4329" t="s">
        <v>5653</v>
      </c>
      <c r="F4329" t="s">
        <v>5654</v>
      </c>
      <c r="G4329" t="s">
        <v>1122</v>
      </c>
      <c r="H4329" t="s">
        <v>1031</v>
      </c>
      <c r="I4329">
        <v>185345009</v>
      </c>
      <c r="J4329" t="s">
        <v>1032</v>
      </c>
      <c r="K4329">
        <v>85.55</v>
      </c>
      <c r="L4329">
        <v>85.55</v>
      </c>
      <c r="M4329">
        <v>68.44</v>
      </c>
      <c r="N4329">
        <v>444814009</v>
      </c>
      <c r="O4329" t="s">
        <v>1035</v>
      </c>
    </row>
    <row r="4330" spans="1:15">
      <c r="A4330" t="s">
        <v>5911</v>
      </c>
      <c r="B4330" s="2">
        <v>43816.913946759261</v>
      </c>
      <c r="C4330" s="2">
        <v>43817.094837962963</v>
      </c>
      <c r="D4330" t="s">
        <v>836</v>
      </c>
      <c r="E4330" t="s">
        <v>5653</v>
      </c>
      <c r="F4330" t="s">
        <v>5654</v>
      </c>
      <c r="G4330" t="s">
        <v>1122</v>
      </c>
      <c r="H4330" t="s">
        <v>1031</v>
      </c>
      <c r="I4330">
        <v>185349003</v>
      </c>
      <c r="J4330" t="s">
        <v>1038</v>
      </c>
      <c r="K4330">
        <v>85.55</v>
      </c>
      <c r="L4330">
        <v>3536.75</v>
      </c>
      <c r="M4330">
        <v>2829.4</v>
      </c>
      <c r="N4330">
        <v>103697008</v>
      </c>
      <c r="O4330" t="s">
        <v>1039</v>
      </c>
    </row>
    <row r="4331" spans="1:15">
      <c r="A4331" t="s">
        <v>5912</v>
      </c>
      <c r="B4331" s="2">
        <v>44103.955613425926</v>
      </c>
      <c r="C4331" s="2">
        <v>44103.996261574073</v>
      </c>
      <c r="D4331" t="s">
        <v>836</v>
      </c>
      <c r="E4331" t="s">
        <v>5645</v>
      </c>
      <c r="F4331" t="s">
        <v>5646</v>
      </c>
      <c r="G4331" t="s">
        <v>1122</v>
      </c>
      <c r="H4331" t="s">
        <v>1020</v>
      </c>
      <c r="I4331">
        <v>162673000</v>
      </c>
      <c r="J4331" t="s">
        <v>1021</v>
      </c>
      <c r="K4331">
        <v>136.80000000000001</v>
      </c>
      <c r="L4331">
        <v>966.28</v>
      </c>
      <c r="M4331">
        <v>690.57</v>
      </c>
      <c r="O4331" t="s">
        <v>34</v>
      </c>
    </row>
    <row r="4332" spans="1:15">
      <c r="A4332" t="s">
        <v>5913</v>
      </c>
      <c r="B4332" s="2">
        <v>44169.913946759261</v>
      </c>
      <c r="C4332" s="2">
        <v>44169.937511574077</v>
      </c>
      <c r="D4332" t="s">
        <v>836</v>
      </c>
      <c r="E4332" t="s">
        <v>5653</v>
      </c>
      <c r="F4332" t="s">
        <v>5654</v>
      </c>
      <c r="G4332" t="s">
        <v>1122</v>
      </c>
      <c r="H4332" t="s">
        <v>1043</v>
      </c>
      <c r="I4332">
        <v>698314001</v>
      </c>
      <c r="J4332" t="s">
        <v>1190</v>
      </c>
      <c r="K4332">
        <v>142.58000000000001</v>
      </c>
      <c r="L4332">
        <v>15783.94</v>
      </c>
      <c r="M4332">
        <v>12627.15</v>
      </c>
      <c r="N4332">
        <v>389095005</v>
      </c>
      <c r="O4332" t="s">
        <v>1191</v>
      </c>
    </row>
    <row r="4333" spans="1:15">
      <c r="A4333" t="s">
        <v>5914</v>
      </c>
      <c r="B4333" s="2">
        <v>44285.955613425926</v>
      </c>
      <c r="C4333" s="2">
        <v>44285.96603009259</v>
      </c>
      <c r="D4333" t="s">
        <v>836</v>
      </c>
      <c r="E4333" t="s">
        <v>5653</v>
      </c>
      <c r="F4333" t="s">
        <v>5654</v>
      </c>
      <c r="G4333" t="s">
        <v>1122</v>
      </c>
      <c r="H4333" t="s">
        <v>1043</v>
      </c>
      <c r="I4333">
        <v>33879002</v>
      </c>
      <c r="J4333" t="s">
        <v>1044</v>
      </c>
      <c r="K4333">
        <v>142.58000000000001</v>
      </c>
      <c r="L4333">
        <v>278.58</v>
      </c>
      <c r="M4333">
        <v>222.86</v>
      </c>
      <c r="O4333" t="s">
        <v>34</v>
      </c>
    </row>
    <row r="4334" spans="1:15">
      <c r="A4334" t="s">
        <v>5915</v>
      </c>
      <c r="B4334" s="2">
        <v>44474.955613425926</v>
      </c>
      <c r="C4334" s="2">
        <v>44474.987210648149</v>
      </c>
      <c r="D4334" t="s">
        <v>836</v>
      </c>
      <c r="E4334" t="s">
        <v>5645</v>
      </c>
      <c r="F4334" t="s">
        <v>5646</v>
      </c>
      <c r="G4334" t="s">
        <v>1122</v>
      </c>
      <c r="H4334" t="s">
        <v>1020</v>
      </c>
      <c r="I4334">
        <v>162673000</v>
      </c>
      <c r="J4334" t="s">
        <v>1021</v>
      </c>
      <c r="K4334">
        <v>136.80000000000001</v>
      </c>
      <c r="L4334">
        <v>994.48</v>
      </c>
      <c r="M4334">
        <v>713.13</v>
      </c>
      <c r="O4334" t="s">
        <v>34</v>
      </c>
    </row>
    <row r="4335" spans="1:15">
      <c r="A4335" t="s">
        <v>5916</v>
      </c>
      <c r="B4335" s="2">
        <v>44529.937511574077</v>
      </c>
      <c r="C4335" s="2">
        <v>44529.947928240741</v>
      </c>
      <c r="D4335" t="s">
        <v>836</v>
      </c>
      <c r="E4335" t="s">
        <v>5653</v>
      </c>
      <c r="F4335" t="s">
        <v>5654</v>
      </c>
      <c r="G4335" t="s">
        <v>1122</v>
      </c>
      <c r="H4335" t="s">
        <v>1043</v>
      </c>
      <c r="I4335">
        <v>698314001</v>
      </c>
      <c r="J4335" t="s">
        <v>1190</v>
      </c>
      <c r="K4335">
        <v>142.58000000000001</v>
      </c>
      <c r="L4335">
        <v>142.58000000000001</v>
      </c>
      <c r="M4335">
        <v>114.06</v>
      </c>
      <c r="N4335">
        <v>389095005</v>
      </c>
      <c r="O4335" t="s">
        <v>1191</v>
      </c>
    </row>
    <row r="4336" spans="1:15">
      <c r="A4336" t="s">
        <v>5917</v>
      </c>
      <c r="B4336" s="2">
        <v>44534.770844907405</v>
      </c>
      <c r="C4336" s="2">
        <v>44534.812337962961</v>
      </c>
      <c r="D4336" t="s">
        <v>836</v>
      </c>
      <c r="E4336" t="s">
        <v>5653</v>
      </c>
      <c r="F4336" t="s">
        <v>5654</v>
      </c>
      <c r="G4336" t="s">
        <v>1122</v>
      </c>
      <c r="H4336" t="s">
        <v>1043</v>
      </c>
      <c r="I4336">
        <v>308335008</v>
      </c>
      <c r="J4336" t="s">
        <v>1194</v>
      </c>
      <c r="K4336">
        <v>142.58000000000001</v>
      </c>
      <c r="L4336">
        <v>4052.91</v>
      </c>
      <c r="M4336">
        <v>3242.32</v>
      </c>
      <c r="N4336">
        <v>389095005</v>
      </c>
      <c r="O4336" t="s">
        <v>1191</v>
      </c>
    </row>
    <row r="4337" spans="1:15">
      <c r="A4337" t="s">
        <v>5918</v>
      </c>
      <c r="B4337" s="2">
        <v>44845.955613425926</v>
      </c>
      <c r="C4337" s="2">
        <v>44845.979270833333</v>
      </c>
      <c r="D4337" t="s">
        <v>836</v>
      </c>
      <c r="E4337" t="s">
        <v>5645</v>
      </c>
      <c r="F4337" t="s">
        <v>5646</v>
      </c>
      <c r="G4337" t="s">
        <v>1122</v>
      </c>
      <c r="H4337" t="s">
        <v>1020</v>
      </c>
      <c r="I4337">
        <v>162673000</v>
      </c>
      <c r="J4337" t="s">
        <v>1021</v>
      </c>
      <c r="K4337">
        <v>136.80000000000001</v>
      </c>
      <c r="L4337">
        <v>704.2</v>
      </c>
      <c r="M4337">
        <v>480.91</v>
      </c>
      <c r="O4337" t="s">
        <v>34</v>
      </c>
    </row>
    <row r="4338" spans="1:15">
      <c r="A4338" t="s">
        <v>5919</v>
      </c>
      <c r="B4338" s="2">
        <v>44859.955613425926</v>
      </c>
      <c r="C4338" s="2">
        <v>44860.082499999997</v>
      </c>
      <c r="D4338" t="s">
        <v>836</v>
      </c>
      <c r="E4338" t="s">
        <v>5653</v>
      </c>
      <c r="F4338" t="s">
        <v>5654</v>
      </c>
      <c r="G4338" t="s">
        <v>1122</v>
      </c>
      <c r="H4338" t="s">
        <v>1031</v>
      </c>
      <c r="I4338">
        <v>185349003</v>
      </c>
      <c r="J4338" t="s">
        <v>1038</v>
      </c>
      <c r="K4338">
        <v>85.55</v>
      </c>
      <c r="L4338">
        <v>3536.75</v>
      </c>
      <c r="M4338">
        <v>2829.4</v>
      </c>
      <c r="N4338">
        <v>66383009</v>
      </c>
      <c r="O4338" t="s">
        <v>1209</v>
      </c>
    </row>
    <row r="4339" spans="1:15">
      <c r="A4339" t="s">
        <v>5920</v>
      </c>
      <c r="B4339" s="2">
        <v>44894.812337962961</v>
      </c>
      <c r="C4339" s="2">
        <v>44894.822754629633</v>
      </c>
      <c r="D4339" t="s">
        <v>836</v>
      </c>
      <c r="E4339" t="s">
        <v>5653</v>
      </c>
      <c r="F4339" t="s">
        <v>5654</v>
      </c>
      <c r="G4339" t="s">
        <v>1122</v>
      </c>
      <c r="H4339" t="s">
        <v>1043</v>
      </c>
      <c r="I4339">
        <v>698314001</v>
      </c>
      <c r="J4339" t="s">
        <v>1190</v>
      </c>
      <c r="K4339">
        <v>142.58000000000001</v>
      </c>
      <c r="L4339">
        <v>142.58000000000001</v>
      </c>
      <c r="M4339">
        <v>114.06</v>
      </c>
      <c r="N4339">
        <v>389095005</v>
      </c>
      <c r="O4339" t="s">
        <v>1191</v>
      </c>
    </row>
    <row r="4340" spans="1:15">
      <c r="A4340" t="s">
        <v>5921</v>
      </c>
      <c r="B4340" s="2">
        <v>45216.955613425926</v>
      </c>
      <c r="C4340" s="2">
        <v>45216.988807870373</v>
      </c>
      <c r="D4340" t="s">
        <v>836</v>
      </c>
      <c r="E4340" t="s">
        <v>5645</v>
      </c>
      <c r="F4340" t="s">
        <v>5646</v>
      </c>
      <c r="G4340" t="s">
        <v>1122</v>
      </c>
      <c r="H4340" t="s">
        <v>1020</v>
      </c>
      <c r="I4340">
        <v>162673000</v>
      </c>
      <c r="J4340" t="s">
        <v>1021</v>
      </c>
      <c r="K4340">
        <v>136.80000000000001</v>
      </c>
      <c r="L4340">
        <v>994.48</v>
      </c>
      <c r="M4340">
        <v>713.13</v>
      </c>
      <c r="O4340" t="s">
        <v>34</v>
      </c>
    </row>
    <row r="4341" spans="1:15">
      <c r="A4341" t="s">
        <v>5922</v>
      </c>
      <c r="B4341" s="2">
        <v>45230.955613425926</v>
      </c>
      <c r="C4341" s="2">
        <v>45231.262974537036</v>
      </c>
      <c r="D4341" t="s">
        <v>836</v>
      </c>
      <c r="E4341" t="s">
        <v>5653</v>
      </c>
      <c r="F4341" t="s">
        <v>5654</v>
      </c>
      <c r="G4341" t="s">
        <v>1122</v>
      </c>
      <c r="H4341" t="s">
        <v>1031</v>
      </c>
      <c r="I4341">
        <v>185349003</v>
      </c>
      <c r="J4341" t="s">
        <v>1038</v>
      </c>
      <c r="K4341">
        <v>85.55</v>
      </c>
      <c r="L4341">
        <v>4830.95</v>
      </c>
      <c r="M4341">
        <v>3864.76</v>
      </c>
      <c r="N4341">
        <v>66383009</v>
      </c>
      <c r="O4341" t="s">
        <v>1209</v>
      </c>
    </row>
    <row r="4342" spans="1:15">
      <c r="A4342" t="s">
        <v>5923</v>
      </c>
      <c r="B4342" s="2">
        <v>45272.913946759261</v>
      </c>
      <c r="C4342" s="2">
        <v>45272.959097222221</v>
      </c>
      <c r="D4342" t="s">
        <v>836</v>
      </c>
      <c r="E4342" t="s">
        <v>5653</v>
      </c>
      <c r="F4342" t="s">
        <v>5654</v>
      </c>
      <c r="G4342" t="s">
        <v>1122</v>
      </c>
      <c r="H4342" t="s">
        <v>1043</v>
      </c>
      <c r="I4342">
        <v>308335008</v>
      </c>
      <c r="J4342" t="s">
        <v>1194</v>
      </c>
      <c r="K4342">
        <v>142.58000000000001</v>
      </c>
      <c r="L4342">
        <v>15783.94</v>
      </c>
      <c r="M4342">
        <v>12627.15</v>
      </c>
      <c r="N4342">
        <v>389095005</v>
      </c>
      <c r="O4342" t="s">
        <v>1191</v>
      </c>
    </row>
    <row r="4343" spans="1:15">
      <c r="A4343" t="s">
        <v>5924</v>
      </c>
      <c r="B4343" s="2">
        <v>45587.955613425926</v>
      </c>
      <c r="C4343" s="2">
        <v>45587.986319444448</v>
      </c>
      <c r="D4343" t="s">
        <v>836</v>
      </c>
      <c r="E4343" t="s">
        <v>5645</v>
      </c>
      <c r="F4343" t="s">
        <v>5646</v>
      </c>
      <c r="G4343" t="s">
        <v>1122</v>
      </c>
      <c r="H4343" t="s">
        <v>1020</v>
      </c>
      <c r="I4343">
        <v>162673000</v>
      </c>
      <c r="J4343" t="s">
        <v>1021</v>
      </c>
      <c r="K4343">
        <v>136.80000000000001</v>
      </c>
      <c r="L4343">
        <v>994.48</v>
      </c>
      <c r="M4343">
        <v>713.13</v>
      </c>
      <c r="O4343" t="s">
        <v>34</v>
      </c>
    </row>
    <row r="4344" spans="1:15">
      <c r="A4344" t="s">
        <v>5925</v>
      </c>
      <c r="B4344" s="2">
        <v>45614.812337962961</v>
      </c>
      <c r="C4344" s="2">
        <v>45614.822754629633</v>
      </c>
      <c r="D4344" t="s">
        <v>836</v>
      </c>
      <c r="E4344" t="s">
        <v>5653</v>
      </c>
      <c r="F4344" t="s">
        <v>5654</v>
      </c>
      <c r="G4344" t="s">
        <v>1122</v>
      </c>
      <c r="H4344" t="s">
        <v>1043</v>
      </c>
      <c r="I4344">
        <v>698314001</v>
      </c>
      <c r="J4344" t="s">
        <v>1190</v>
      </c>
      <c r="K4344">
        <v>142.58000000000001</v>
      </c>
      <c r="L4344">
        <v>142.58000000000001</v>
      </c>
      <c r="M4344">
        <v>114.06</v>
      </c>
      <c r="N4344">
        <v>389095005</v>
      </c>
      <c r="O4344" t="s">
        <v>1191</v>
      </c>
    </row>
    <row r="4345" spans="1:15">
      <c r="A4345" t="s">
        <v>5926</v>
      </c>
      <c r="B4345" s="2">
        <v>45958.955613425926</v>
      </c>
      <c r="C4345" s="2">
        <v>45958.991215277776</v>
      </c>
      <c r="D4345" t="s">
        <v>836</v>
      </c>
      <c r="E4345" t="s">
        <v>5645</v>
      </c>
      <c r="F4345" t="s">
        <v>5646</v>
      </c>
      <c r="G4345" t="s">
        <v>1122</v>
      </c>
      <c r="H4345" t="s">
        <v>1020</v>
      </c>
      <c r="I4345">
        <v>162673000</v>
      </c>
      <c r="J4345" t="s">
        <v>1021</v>
      </c>
      <c r="K4345">
        <v>136.80000000000001</v>
      </c>
      <c r="L4345">
        <v>840.2</v>
      </c>
      <c r="M4345">
        <v>589.71</v>
      </c>
      <c r="O4345" t="s">
        <v>34</v>
      </c>
    </row>
    <row r="4346" spans="1:15">
      <c r="A4346" t="s">
        <v>5927</v>
      </c>
      <c r="B4346" s="2">
        <v>45972.913946759261</v>
      </c>
      <c r="C4346" s="2">
        <v>45973.201064814813</v>
      </c>
      <c r="D4346" t="s">
        <v>836</v>
      </c>
      <c r="E4346" t="s">
        <v>5653</v>
      </c>
      <c r="F4346" t="s">
        <v>5654</v>
      </c>
      <c r="G4346" t="s">
        <v>1122</v>
      </c>
      <c r="H4346" t="s">
        <v>1031</v>
      </c>
      <c r="I4346">
        <v>185349003</v>
      </c>
      <c r="J4346" t="s">
        <v>1038</v>
      </c>
      <c r="K4346">
        <v>85.55</v>
      </c>
      <c r="L4346">
        <v>5262.35</v>
      </c>
      <c r="M4346">
        <v>4209.88</v>
      </c>
      <c r="N4346">
        <v>66383009</v>
      </c>
      <c r="O4346" t="s">
        <v>1209</v>
      </c>
    </row>
    <row r="4347" spans="1:15">
      <c r="A4347" t="s">
        <v>5928</v>
      </c>
      <c r="B4347" s="2">
        <v>45986.913946759261</v>
      </c>
      <c r="C4347" s="2">
        <v>45986.924363425926</v>
      </c>
      <c r="D4347" t="s">
        <v>836</v>
      </c>
      <c r="E4347" t="s">
        <v>5653</v>
      </c>
      <c r="F4347" t="s">
        <v>5654</v>
      </c>
      <c r="G4347" t="s">
        <v>1122</v>
      </c>
      <c r="H4347" t="s">
        <v>1043</v>
      </c>
      <c r="I4347">
        <v>698314001</v>
      </c>
      <c r="J4347" t="s">
        <v>1190</v>
      </c>
      <c r="K4347">
        <v>142.58000000000001</v>
      </c>
      <c r="L4347">
        <v>142.58000000000001</v>
      </c>
      <c r="M4347">
        <v>114.06</v>
      </c>
      <c r="N4347">
        <v>389095005</v>
      </c>
      <c r="O4347" t="s">
        <v>1191</v>
      </c>
    </row>
    <row r="4348" spans="1:15">
      <c r="A4348" t="s">
        <v>5929</v>
      </c>
      <c r="B4348" s="2">
        <v>45989.12228009259</v>
      </c>
      <c r="C4348" s="2">
        <v>45989.163668981484</v>
      </c>
      <c r="D4348" t="s">
        <v>836</v>
      </c>
      <c r="E4348" t="s">
        <v>5653</v>
      </c>
      <c r="F4348" t="s">
        <v>5654</v>
      </c>
      <c r="G4348" t="s">
        <v>1122</v>
      </c>
      <c r="H4348" t="s">
        <v>1043</v>
      </c>
      <c r="I4348">
        <v>308335008</v>
      </c>
      <c r="J4348" t="s">
        <v>1194</v>
      </c>
      <c r="K4348">
        <v>142.58000000000001</v>
      </c>
      <c r="L4348">
        <v>4052.91</v>
      </c>
      <c r="M4348">
        <v>3242.32</v>
      </c>
      <c r="N4348">
        <v>389095005</v>
      </c>
      <c r="O4348" t="s">
        <v>1191</v>
      </c>
    </row>
    <row r="4349" spans="1:15">
      <c r="A4349" t="s">
        <v>5930</v>
      </c>
      <c r="B4349" s="2">
        <v>37539.224942129629</v>
      </c>
      <c r="C4349" s="2">
        <v>37539.235358796293</v>
      </c>
      <c r="D4349" t="s">
        <v>847</v>
      </c>
      <c r="E4349" t="s">
        <v>1333</v>
      </c>
      <c r="F4349" t="s">
        <v>1334</v>
      </c>
      <c r="G4349" t="s">
        <v>1093</v>
      </c>
      <c r="H4349" t="s">
        <v>1031</v>
      </c>
      <c r="I4349">
        <v>185345009</v>
      </c>
      <c r="J4349" t="s">
        <v>1032</v>
      </c>
      <c r="K4349">
        <v>85.55</v>
      </c>
      <c r="L4349">
        <v>92.93</v>
      </c>
      <c r="M4349">
        <v>42.93</v>
      </c>
      <c r="N4349">
        <v>75498004</v>
      </c>
      <c r="O4349" t="s">
        <v>1174</v>
      </c>
    </row>
    <row r="4350" spans="1:15">
      <c r="A4350" t="s">
        <v>5931</v>
      </c>
      <c r="B4350" s="2">
        <v>38010.516608796293</v>
      </c>
      <c r="C4350" s="2">
        <v>38010.553831018522</v>
      </c>
      <c r="D4350" t="s">
        <v>847</v>
      </c>
      <c r="E4350" t="s">
        <v>5932</v>
      </c>
      <c r="F4350" t="s">
        <v>5933</v>
      </c>
      <c r="G4350" t="s">
        <v>1093</v>
      </c>
      <c r="H4350" t="s">
        <v>1020</v>
      </c>
      <c r="I4350">
        <v>162673000</v>
      </c>
      <c r="J4350" t="s">
        <v>1021</v>
      </c>
      <c r="K4350">
        <v>136.80000000000001</v>
      </c>
      <c r="L4350">
        <v>704.2</v>
      </c>
      <c r="M4350">
        <v>554.20000000000005</v>
      </c>
      <c r="O4350" t="s">
        <v>34</v>
      </c>
    </row>
    <row r="4351" spans="1:15">
      <c r="A4351" t="s">
        <v>5934</v>
      </c>
      <c r="B4351" s="2">
        <v>39480.516608796293</v>
      </c>
      <c r="C4351" s="2">
        <v>39480.542442129627</v>
      </c>
      <c r="D4351" t="s">
        <v>847</v>
      </c>
      <c r="E4351" t="s">
        <v>5932</v>
      </c>
      <c r="F4351" t="s">
        <v>5933</v>
      </c>
      <c r="G4351" t="s">
        <v>1093</v>
      </c>
      <c r="H4351" t="s">
        <v>1020</v>
      </c>
      <c r="I4351">
        <v>162673000</v>
      </c>
      <c r="J4351" t="s">
        <v>1021</v>
      </c>
      <c r="K4351">
        <v>136.80000000000001</v>
      </c>
      <c r="L4351">
        <v>1402.48</v>
      </c>
      <c r="M4351">
        <v>1302.48</v>
      </c>
      <c r="O4351" t="s">
        <v>34</v>
      </c>
    </row>
    <row r="4352" spans="1:15">
      <c r="A4352" t="s">
        <v>5935</v>
      </c>
      <c r="B4352" s="2">
        <v>41678.516608796293</v>
      </c>
      <c r="C4352" s="2">
        <v>41678.54855324074</v>
      </c>
      <c r="D4352" t="s">
        <v>847</v>
      </c>
      <c r="E4352" t="s">
        <v>5932</v>
      </c>
      <c r="F4352" t="s">
        <v>5933</v>
      </c>
      <c r="G4352" t="s">
        <v>1093</v>
      </c>
      <c r="H4352" t="s">
        <v>1020</v>
      </c>
      <c r="I4352">
        <v>162673000</v>
      </c>
      <c r="J4352" t="s">
        <v>1021</v>
      </c>
      <c r="K4352">
        <v>136.80000000000001</v>
      </c>
      <c r="L4352">
        <v>1158.1500000000001</v>
      </c>
      <c r="M4352">
        <v>1058.1500000000001</v>
      </c>
      <c r="O4352" t="s">
        <v>34</v>
      </c>
    </row>
    <row r="4353" spans="1:15">
      <c r="A4353" t="s">
        <v>5936</v>
      </c>
      <c r="B4353" s="2">
        <v>42777.516608796293</v>
      </c>
      <c r="C4353" s="2">
        <v>42777.538055555553</v>
      </c>
      <c r="D4353" t="s">
        <v>847</v>
      </c>
      <c r="E4353" t="s">
        <v>5932</v>
      </c>
      <c r="F4353" t="s">
        <v>5933</v>
      </c>
      <c r="G4353" t="s">
        <v>1093</v>
      </c>
      <c r="H4353" t="s">
        <v>1020</v>
      </c>
      <c r="I4353">
        <v>162673000</v>
      </c>
      <c r="J4353" t="s">
        <v>1021</v>
      </c>
      <c r="K4353">
        <v>136.80000000000001</v>
      </c>
      <c r="L4353">
        <v>914.78</v>
      </c>
      <c r="M4353">
        <v>814.78</v>
      </c>
      <c r="O4353" t="s">
        <v>34</v>
      </c>
    </row>
    <row r="4354" spans="1:15">
      <c r="A4354" t="s">
        <v>5937</v>
      </c>
      <c r="B4354" s="2">
        <v>42791.516608796293</v>
      </c>
      <c r="C4354" s="2">
        <v>42791.65320601852</v>
      </c>
      <c r="D4354" t="s">
        <v>847</v>
      </c>
      <c r="E4354" t="s">
        <v>1333</v>
      </c>
      <c r="F4354" t="s">
        <v>1334</v>
      </c>
      <c r="G4354" t="s">
        <v>1093</v>
      </c>
      <c r="H4354" t="s">
        <v>1031</v>
      </c>
      <c r="I4354">
        <v>185349003</v>
      </c>
      <c r="J4354" t="s">
        <v>1038</v>
      </c>
      <c r="K4354">
        <v>85.55</v>
      </c>
      <c r="L4354">
        <v>3105.35</v>
      </c>
      <c r="M4354">
        <v>3055.35</v>
      </c>
      <c r="N4354">
        <v>103697008</v>
      </c>
      <c r="O4354" t="s">
        <v>1039</v>
      </c>
    </row>
    <row r="4355" spans="1:15">
      <c r="A4355" t="s">
        <v>5938</v>
      </c>
      <c r="B4355" s="2">
        <v>43755.683275462965</v>
      </c>
      <c r="C4355" s="2">
        <v>43755.693692129629</v>
      </c>
      <c r="D4355" t="s">
        <v>847</v>
      </c>
      <c r="E4355" t="s">
        <v>1333</v>
      </c>
      <c r="F4355" t="s">
        <v>1334</v>
      </c>
      <c r="G4355" t="s">
        <v>1093</v>
      </c>
      <c r="H4355" t="s">
        <v>1031</v>
      </c>
      <c r="I4355">
        <v>185345009</v>
      </c>
      <c r="J4355" t="s">
        <v>1032</v>
      </c>
      <c r="K4355">
        <v>85.55</v>
      </c>
      <c r="L4355">
        <v>3536.75</v>
      </c>
      <c r="M4355">
        <v>3386.75</v>
      </c>
      <c r="N4355">
        <v>195662009</v>
      </c>
      <c r="O4355" t="s">
        <v>1130</v>
      </c>
    </row>
    <row r="4356" spans="1:15">
      <c r="A4356" t="s">
        <v>5939</v>
      </c>
      <c r="B4356" s="2">
        <v>43876.516608796293</v>
      </c>
      <c r="C4356" s="2">
        <v>43876.54146990741</v>
      </c>
      <c r="D4356" t="s">
        <v>847</v>
      </c>
      <c r="E4356" t="s">
        <v>5932</v>
      </c>
      <c r="F4356" t="s">
        <v>5933</v>
      </c>
      <c r="G4356" t="s">
        <v>1093</v>
      </c>
      <c r="H4356" t="s">
        <v>1020</v>
      </c>
      <c r="I4356">
        <v>162673000</v>
      </c>
      <c r="J4356" t="s">
        <v>1021</v>
      </c>
      <c r="K4356">
        <v>136.80000000000001</v>
      </c>
      <c r="L4356">
        <v>1214.08</v>
      </c>
      <c r="M4356">
        <v>1114.08</v>
      </c>
      <c r="O4356" t="s">
        <v>34</v>
      </c>
    </row>
    <row r="4357" spans="1:15">
      <c r="A4357" t="s">
        <v>5940</v>
      </c>
      <c r="B4357" s="2">
        <v>43883.516608796293</v>
      </c>
      <c r="C4357" s="2">
        <v>43883.563773148147</v>
      </c>
      <c r="D4357" t="s">
        <v>847</v>
      </c>
      <c r="E4357" t="s">
        <v>1333</v>
      </c>
      <c r="F4357" t="s">
        <v>1334</v>
      </c>
      <c r="G4357" t="s">
        <v>1093</v>
      </c>
      <c r="H4357" t="s">
        <v>1031</v>
      </c>
      <c r="I4357">
        <v>185347001</v>
      </c>
      <c r="J4357" t="s">
        <v>1124</v>
      </c>
      <c r="K4357">
        <v>85.55</v>
      </c>
      <c r="L4357">
        <v>1184.58</v>
      </c>
      <c r="M4357">
        <v>1134.58</v>
      </c>
      <c r="N4357">
        <v>271737000</v>
      </c>
      <c r="O4357" t="s">
        <v>1479</v>
      </c>
    </row>
    <row r="4358" spans="1:15">
      <c r="A4358" t="s">
        <v>5941</v>
      </c>
      <c r="B4358" s="2">
        <v>43897.516608796293</v>
      </c>
      <c r="C4358" s="2">
        <v>43897.774537037039</v>
      </c>
      <c r="D4358" t="s">
        <v>847</v>
      </c>
      <c r="E4358" t="s">
        <v>1333</v>
      </c>
      <c r="F4358" t="s">
        <v>1334</v>
      </c>
      <c r="G4358" t="s">
        <v>1093</v>
      </c>
      <c r="H4358" t="s">
        <v>1031</v>
      </c>
      <c r="I4358">
        <v>185349003</v>
      </c>
      <c r="J4358" t="s">
        <v>1038</v>
      </c>
      <c r="K4358">
        <v>85.55</v>
      </c>
      <c r="L4358">
        <v>4399.55</v>
      </c>
      <c r="M4358">
        <v>4349.55</v>
      </c>
      <c r="N4358">
        <v>66383009</v>
      </c>
      <c r="O4358" t="s">
        <v>1209</v>
      </c>
    </row>
    <row r="4359" spans="1:15">
      <c r="A4359" t="s">
        <v>5942</v>
      </c>
      <c r="B4359" s="2">
        <v>44233.516608796293</v>
      </c>
      <c r="C4359" s="2">
        <v>44233.527025462965</v>
      </c>
      <c r="D4359" t="s">
        <v>847</v>
      </c>
      <c r="E4359" t="s">
        <v>1333</v>
      </c>
      <c r="F4359" t="s">
        <v>1334</v>
      </c>
      <c r="G4359" t="s">
        <v>1093</v>
      </c>
      <c r="H4359" t="s">
        <v>1043</v>
      </c>
      <c r="I4359">
        <v>33879002</v>
      </c>
      <c r="J4359" t="s">
        <v>1044</v>
      </c>
      <c r="K4359">
        <v>142.58000000000001</v>
      </c>
      <c r="L4359">
        <v>278.58</v>
      </c>
      <c r="M4359">
        <v>128.58000000000001</v>
      </c>
      <c r="O4359" t="s">
        <v>34</v>
      </c>
    </row>
    <row r="4360" spans="1:15">
      <c r="A4360" t="s">
        <v>5943</v>
      </c>
      <c r="B4360" s="2">
        <v>44254.516608796293</v>
      </c>
      <c r="C4360" s="2">
        <v>44254.527025462965</v>
      </c>
      <c r="D4360" t="s">
        <v>847</v>
      </c>
      <c r="E4360" t="s">
        <v>1333</v>
      </c>
      <c r="F4360" t="s">
        <v>1334</v>
      </c>
      <c r="G4360" t="s">
        <v>1093</v>
      </c>
      <c r="H4360" t="s">
        <v>1043</v>
      </c>
      <c r="I4360">
        <v>33879002</v>
      </c>
      <c r="J4360" t="s">
        <v>1044</v>
      </c>
      <c r="K4360">
        <v>142.58000000000001</v>
      </c>
      <c r="L4360">
        <v>278.58</v>
      </c>
      <c r="M4360">
        <v>228.58</v>
      </c>
      <c r="O4360" t="s">
        <v>34</v>
      </c>
    </row>
    <row r="4361" spans="1:15">
      <c r="A4361" t="s">
        <v>5944</v>
      </c>
      <c r="B4361" s="2">
        <v>44975.516608796293</v>
      </c>
      <c r="C4361" s="2">
        <v>44975.544398148151</v>
      </c>
      <c r="D4361" t="s">
        <v>847</v>
      </c>
      <c r="E4361" t="s">
        <v>5932</v>
      </c>
      <c r="F4361" t="s">
        <v>5933</v>
      </c>
      <c r="G4361" t="s">
        <v>1093</v>
      </c>
      <c r="H4361" t="s">
        <v>1020</v>
      </c>
      <c r="I4361">
        <v>162673000</v>
      </c>
      <c r="J4361" t="s">
        <v>1021</v>
      </c>
      <c r="K4361">
        <v>136.80000000000001</v>
      </c>
      <c r="L4361">
        <v>860.16</v>
      </c>
      <c r="M4361">
        <v>760.16</v>
      </c>
      <c r="O4361" t="s">
        <v>34</v>
      </c>
    </row>
    <row r="4362" spans="1:15">
      <c r="A4362" t="s">
        <v>5945</v>
      </c>
      <c r="B4362" s="2">
        <v>45997.516608796293</v>
      </c>
      <c r="C4362" s="2">
        <v>45997.54587962963</v>
      </c>
      <c r="D4362" t="s">
        <v>847</v>
      </c>
      <c r="E4362" t="s">
        <v>5932</v>
      </c>
      <c r="F4362" t="s">
        <v>5933</v>
      </c>
      <c r="G4362" t="s">
        <v>1093</v>
      </c>
      <c r="H4362" t="s">
        <v>1020</v>
      </c>
      <c r="I4362">
        <v>162673000</v>
      </c>
      <c r="J4362" t="s">
        <v>1021</v>
      </c>
      <c r="K4362">
        <v>136.80000000000001</v>
      </c>
      <c r="L4362">
        <v>1238.32</v>
      </c>
      <c r="M4362">
        <v>1138.32</v>
      </c>
      <c r="O4362" t="s">
        <v>34</v>
      </c>
    </row>
    <row r="4363" spans="1:15">
      <c r="A4363" t="s">
        <v>5946</v>
      </c>
      <c r="B4363" s="2">
        <v>22000.235983796298</v>
      </c>
      <c r="C4363" s="2">
        <v>22000.246400462962</v>
      </c>
      <c r="D4363" t="s">
        <v>856</v>
      </c>
      <c r="E4363" t="s">
        <v>5947</v>
      </c>
      <c r="F4363" t="s">
        <v>5948</v>
      </c>
      <c r="G4363" t="s">
        <v>1019</v>
      </c>
      <c r="H4363" t="s">
        <v>1020</v>
      </c>
      <c r="I4363">
        <v>410620009</v>
      </c>
      <c r="J4363" t="s">
        <v>1054</v>
      </c>
      <c r="K4363">
        <v>136.80000000000001</v>
      </c>
      <c r="L4363">
        <v>733.34</v>
      </c>
      <c r="M4363">
        <v>0</v>
      </c>
      <c r="O4363" t="s">
        <v>34</v>
      </c>
    </row>
    <row r="4364" spans="1:15">
      <c r="A4364" t="s">
        <v>5949</v>
      </c>
      <c r="B4364" s="2">
        <v>22007.235983796298</v>
      </c>
      <c r="C4364" s="2">
        <v>22007.350405092591</v>
      </c>
      <c r="D4364" t="s">
        <v>856</v>
      </c>
      <c r="E4364" t="s">
        <v>3411</v>
      </c>
      <c r="F4364" t="s">
        <v>3412</v>
      </c>
      <c r="G4364" t="s">
        <v>1019</v>
      </c>
      <c r="H4364" t="s">
        <v>1076</v>
      </c>
      <c r="I4364">
        <v>50849002</v>
      </c>
      <c r="J4364" t="s">
        <v>1163</v>
      </c>
      <c r="K4364">
        <v>146.18</v>
      </c>
      <c r="L4364">
        <v>4407.08</v>
      </c>
      <c r="M4364">
        <v>0</v>
      </c>
      <c r="N4364">
        <v>128613002</v>
      </c>
      <c r="O4364" t="s">
        <v>5950</v>
      </c>
    </row>
    <row r="4365" spans="1:15">
      <c r="A4365" t="s">
        <v>5951</v>
      </c>
      <c r="B4365" s="2">
        <v>22035.277650462962</v>
      </c>
      <c r="C4365" s="2">
        <v>22035.28806712963</v>
      </c>
      <c r="D4365" t="s">
        <v>856</v>
      </c>
      <c r="E4365" t="s">
        <v>5947</v>
      </c>
      <c r="F4365" t="s">
        <v>5948</v>
      </c>
      <c r="G4365" t="s">
        <v>1019</v>
      </c>
      <c r="H4365" t="s">
        <v>1020</v>
      </c>
      <c r="I4365">
        <v>410620009</v>
      </c>
      <c r="J4365" t="s">
        <v>1054</v>
      </c>
      <c r="K4365">
        <v>136.80000000000001</v>
      </c>
      <c r="L4365">
        <v>136.80000000000001</v>
      </c>
      <c r="M4365">
        <v>0</v>
      </c>
      <c r="O4365" t="s">
        <v>34</v>
      </c>
    </row>
    <row r="4366" spans="1:15">
      <c r="A4366" t="s">
        <v>5952</v>
      </c>
      <c r="B4366" s="2">
        <v>22098.277650462962</v>
      </c>
      <c r="C4366" s="2">
        <v>22098.28806712963</v>
      </c>
      <c r="D4366" t="s">
        <v>856</v>
      </c>
      <c r="E4366" t="s">
        <v>5947</v>
      </c>
      <c r="F4366" t="s">
        <v>5948</v>
      </c>
      <c r="G4366" t="s">
        <v>1019</v>
      </c>
      <c r="H4366" t="s">
        <v>1020</v>
      </c>
      <c r="I4366">
        <v>410620009</v>
      </c>
      <c r="J4366" t="s">
        <v>1054</v>
      </c>
      <c r="K4366">
        <v>136.80000000000001</v>
      </c>
      <c r="L4366">
        <v>636.87</v>
      </c>
      <c r="M4366">
        <v>0</v>
      </c>
      <c r="O4366" t="s">
        <v>34</v>
      </c>
    </row>
    <row r="4367" spans="1:15">
      <c r="A4367" t="s">
        <v>5953</v>
      </c>
      <c r="B4367" s="2">
        <v>22161.277650462962</v>
      </c>
      <c r="C4367" s="2">
        <v>22161.28806712963</v>
      </c>
      <c r="D4367" t="s">
        <v>856</v>
      </c>
      <c r="E4367" t="s">
        <v>5947</v>
      </c>
      <c r="F4367" t="s">
        <v>5948</v>
      </c>
      <c r="G4367" t="s">
        <v>1019</v>
      </c>
      <c r="H4367" t="s">
        <v>1020</v>
      </c>
      <c r="I4367">
        <v>410620009</v>
      </c>
      <c r="J4367" t="s">
        <v>1054</v>
      </c>
      <c r="K4367">
        <v>136.80000000000001</v>
      </c>
      <c r="L4367">
        <v>272.8</v>
      </c>
      <c r="M4367">
        <v>0</v>
      </c>
      <c r="O4367" t="s">
        <v>34</v>
      </c>
    </row>
    <row r="4368" spans="1:15">
      <c r="A4368" t="s">
        <v>5954</v>
      </c>
      <c r="B4368" s="2">
        <v>22252.235983796298</v>
      </c>
      <c r="C4368" s="2">
        <v>22252.246400462962</v>
      </c>
      <c r="D4368" t="s">
        <v>856</v>
      </c>
      <c r="E4368" t="s">
        <v>5947</v>
      </c>
      <c r="F4368" t="s">
        <v>5948</v>
      </c>
      <c r="G4368" t="s">
        <v>1019</v>
      </c>
      <c r="H4368" t="s">
        <v>1020</v>
      </c>
      <c r="I4368">
        <v>410620009</v>
      </c>
      <c r="J4368" t="s">
        <v>1054</v>
      </c>
      <c r="K4368">
        <v>136.80000000000001</v>
      </c>
      <c r="L4368">
        <v>408.8</v>
      </c>
      <c r="M4368">
        <v>0</v>
      </c>
      <c r="O4368" t="s">
        <v>34</v>
      </c>
    </row>
    <row r="4369" spans="1:15">
      <c r="A4369" t="s">
        <v>5955</v>
      </c>
      <c r="B4369" s="2">
        <v>22343.235983796298</v>
      </c>
      <c r="C4369" s="2">
        <v>22343.246400462962</v>
      </c>
      <c r="D4369" t="s">
        <v>856</v>
      </c>
      <c r="E4369" t="s">
        <v>5947</v>
      </c>
      <c r="F4369" t="s">
        <v>5948</v>
      </c>
      <c r="G4369" t="s">
        <v>1019</v>
      </c>
      <c r="H4369" t="s">
        <v>1020</v>
      </c>
      <c r="I4369">
        <v>410620009</v>
      </c>
      <c r="J4369" t="s">
        <v>1054</v>
      </c>
      <c r="K4369">
        <v>136.80000000000001</v>
      </c>
      <c r="L4369">
        <v>136.80000000000001</v>
      </c>
      <c r="M4369">
        <v>0</v>
      </c>
      <c r="O4369" t="s">
        <v>34</v>
      </c>
    </row>
    <row r="4370" spans="1:15">
      <c r="A4370" t="s">
        <v>5956</v>
      </c>
      <c r="B4370" s="2">
        <v>22434.277650462962</v>
      </c>
      <c r="C4370" s="2">
        <v>22434.28806712963</v>
      </c>
      <c r="D4370" t="s">
        <v>856</v>
      </c>
      <c r="E4370" t="s">
        <v>5947</v>
      </c>
      <c r="F4370" t="s">
        <v>5948</v>
      </c>
      <c r="G4370" t="s">
        <v>1122</v>
      </c>
      <c r="H4370" t="s">
        <v>1020</v>
      </c>
      <c r="I4370">
        <v>410620009</v>
      </c>
      <c r="J4370" t="s">
        <v>1054</v>
      </c>
      <c r="K4370">
        <v>136.80000000000001</v>
      </c>
      <c r="L4370">
        <v>504.51</v>
      </c>
      <c r="M4370">
        <v>217.21</v>
      </c>
      <c r="O4370" t="s">
        <v>34</v>
      </c>
    </row>
    <row r="4371" spans="1:15">
      <c r="A4371" t="s">
        <v>5957</v>
      </c>
      <c r="B4371" s="2">
        <v>22490.277650462962</v>
      </c>
      <c r="C4371" s="2">
        <v>22516.277650462962</v>
      </c>
      <c r="D4371" t="s">
        <v>856</v>
      </c>
      <c r="E4371" t="s">
        <v>5958</v>
      </c>
      <c r="F4371" t="s">
        <v>5959</v>
      </c>
      <c r="G4371" t="s">
        <v>1122</v>
      </c>
      <c r="H4371" t="s">
        <v>1263</v>
      </c>
      <c r="I4371">
        <v>305336008</v>
      </c>
      <c r="J4371" t="s">
        <v>1264</v>
      </c>
      <c r="K4371">
        <v>137.53</v>
      </c>
      <c r="L4371">
        <v>11353.93</v>
      </c>
      <c r="M4371">
        <v>9083.14</v>
      </c>
      <c r="O4371" t="s">
        <v>34</v>
      </c>
    </row>
    <row r="4372" spans="1:15">
      <c r="A4372" t="s">
        <v>5960</v>
      </c>
      <c r="B4372" s="2">
        <v>22518.277650462962</v>
      </c>
      <c r="C4372" s="2">
        <v>22518.28806712963</v>
      </c>
      <c r="D4372" t="s">
        <v>856</v>
      </c>
      <c r="E4372" t="s">
        <v>5947</v>
      </c>
      <c r="F4372" t="s">
        <v>5948</v>
      </c>
      <c r="G4372" t="s">
        <v>1122</v>
      </c>
      <c r="H4372" t="s">
        <v>1020</v>
      </c>
      <c r="I4372">
        <v>308646001</v>
      </c>
      <c r="J4372" t="s">
        <v>1708</v>
      </c>
      <c r="K4372">
        <v>136.80000000000001</v>
      </c>
      <c r="L4372">
        <v>211.38</v>
      </c>
      <c r="M4372">
        <v>169.1</v>
      </c>
      <c r="N4372">
        <v>95281009</v>
      </c>
      <c r="O4372" t="s">
        <v>5961</v>
      </c>
    </row>
    <row r="4373" spans="1:15">
      <c r="A4373" t="s">
        <v>5962</v>
      </c>
      <c r="B4373" s="2">
        <v>40547.81523148148</v>
      </c>
      <c r="C4373" s="2">
        <v>40547.825648148151</v>
      </c>
      <c r="D4373" t="s">
        <v>863</v>
      </c>
      <c r="E4373" t="s">
        <v>5963</v>
      </c>
      <c r="F4373" t="s">
        <v>5964</v>
      </c>
      <c r="G4373" t="s">
        <v>1093</v>
      </c>
      <c r="H4373" t="s">
        <v>1020</v>
      </c>
      <c r="I4373">
        <v>410620009</v>
      </c>
      <c r="J4373" t="s">
        <v>1054</v>
      </c>
      <c r="K4373">
        <v>136.80000000000001</v>
      </c>
      <c r="L4373">
        <v>940.76</v>
      </c>
      <c r="M4373">
        <v>840.76</v>
      </c>
      <c r="O4373" t="s">
        <v>34</v>
      </c>
    </row>
    <row r="4374" spans="1:15">
      <c r="A4374" t="s">
        <v>5965</v>
      </c>
      <c r="B4374" s="2">
        <v>41289.81523148148</v>
      </c>
      <c r="C4374" s="2">
        <v>41289.855787037035</v>
      </c>
      <c r="D4374" t="s">
        <v>863</v>
      </c>
      <c r="E4374" t="s">
        <v>5963</v>
      </c>
      <c r="F4374" t="s">
        <v>5964</v>
      </c>
      <c r="G4374" t="s">
        <v>1093</v>
      </c>
      <c r="H4374" t="s">
        <v>1020</v>
      </c>
      <c r="I4374">
        <v>162673000</v>
      </c>
      <c r="J4374" t="s">
        <v>1021</v>
      </c>
      <c r="K4374">
        <v>136.80000000000001</v>
      </c>
      <c r="L4374">
        <v>704.2</v>
      </c>
      <c r="M4374">
        <v>604.20000000000005</v>
      </c>
      <c r="O4374" t="s">
        <v>34</v>
      </c>
    </row>
    <row r="4375" spans="1:15">
      <c r="A4375" t="s">
        <v>5966</v>
      </c>
      <c r="B4375" s="2">
        <v>41669.81523148148</v>
      </c>
      <c r="C4375" s="2">
        <v>41669.825648148151</v>
      </c>
      <c r="D4375" t="s">
        <v>863</v>
      </c>
      <c r="E4375" t="s">
        <v>2327</v>
      </c>
      <c r="F4375" t="s">
        <v>2328</v>
      </c>
      <c r="G4375" t="s">
        <v>1093</v>
      </c>
      <c r="H4375" t="s">
        <v>1043</v>
      </c>
      <c r="I4375">
        <v>185347001</v>
      </c>
      <c r="J4375" t="s">
        <v>1124</v>
      </c>
      <c r="K4375">
        <v>85.55</v>
      </c>
      <c r="L4375">
        <v>85.55</v>
      </c>
      <c r="M4375">
        <v>35.549999999999997</v>
      </c>
      <c r="N4375">
        <v>82423001</v>
      </c>
      <c r="O4375" t="s">
        <v>1542</v>
      </c>
    </row>
    <row r="4376" spans="1:15">
      <c r="A4376" t="s">
        <v>5967</v>
      </c>
      <c r="B4376" s="2">
        <v>42052.81523148148</v>
      </c>
      <c r="C4376" s="2">
        <v>42052.841793981483</v>
      </c>
      <c r="D4376" t="s">
        <v>863</v>
      </c>
      <c r="E4376" t="s">
        <v>5963</v>
      </c>
      <c r="F4376" t="s">
        <v>5964</v>
      </c>
      <c r="G4376" t="s">
        <v>1093</v>
      </c>
      <c r="H4376" t="s">
        <v>1020</v>
      </c>
      <c r="I4376">
        <v>162673000</v>
      </c>
      <c r="J4376" t="s">
        <v>1021</v>
      </c>
      <c r="K4376">
        <v>136.80000000000001</v>
      </c>
      <c r="L4376">
        <v>1186.78</v>
      </c>
      <c r="M4376">
        <v>1166.72</v>
      </c>
      <c r="O4376" t="s">
        <v>34</v>
      </c>
    </row>
    <row r="4377" spans="1:15">
      <c r="A4377" t="s">
        <v>5968</v>
      </c>
      <c r="B4377" s="2">
        <v>42282.856898148151</v>
      </c>
      <c r="C4377" s="2">
        <v>42282.867314814815</v>
      </c>
      <c r="D4377" t="s">
        <v>863</v>
      </c>
      <c r="E4377" t="s">
        <v>2327</v>
      </c>
      <c r="F4377" t="s">
        <v>2328</v>
      </c>
      <c r="G4377" t="s">
        <v>1093</v>
      </c>
      <c r="H4377" t="s">
        <v>1043</v>
      </c>
      <c r="I4377">
        <v>698314001</v>
      </c>
      <c r="J4377" t="s">
        <v>1190</v>
      </c>
      <c r="K4377">
        <v>142.58000000000001</v>
      </c>
      <c r="L4377">
        <v>142.58000000000001</v>
      </c>
      <c r="M4377">
        <v>92.58</v>
      </c>
      <c r="N4377">
        <v>389095005</v>
      </c>
      <c r="O4377" t="s">
        <v>1191</v>
      </c>
    </row>
    <row r="4378" spans="1:15">
      <c r="A4378" t="s">
        <v>5969</v>
      </c>
      <c r="B4378" s="2">
        <v>42423.81523148148</v>
      </c>
      <c r="C4378" s="2">
        <v>42423.852777777778</v>
      </c>
      <c r="D4378" t="s">
        <v>863</v>
      </c>
      <c r="E4378" t="s">
        <v>5963</v>
      </c>
      <c r="F4378" t="s">
        <v>5964</v>
      </c>
      <c r="G4378" t="s">
        <v>1093</v>
      </c>
      <c r="H4378" t="s">
        <v>1020</v>
      </c>
      <c r="I4378">
        <v>162673000</v>
      </c>
      <c r="J4378" t="s">
        <v>1021</v>
      </c>
      <c r="K4378">
        <v>136.80000000000001</v>
      </c>
      <c r="L4378">
        <v>840.2</v>
      </c>
      <c r="M4378">
        <v>820.14</v>
      </c>
      <c r="O4378" t="s">
        <v>34</v>
      </c>
    </row>
    <row r="4379" spans="1:15">
      <c r="A4379" t="s">
        <v>5970</v>
      </c>
      <c r="B4379" s="2">
        <v>42589.481898148151</v>
      </c>
      <c r="C4379" s="2">
        <v>42589.492314814815</v>
      </c>
      <c r="D4379" t="s">
        <v>863</v>
      </c>
      <c r="E4379" t="s">
        <v>2327</v>
      </c>
      <c r="F4379" t="s">
        <v>2328</v>
      </c>
      <c r="G4379" t="s">
        <v>1093</v>
      </c>
      <c r="H4379" t="s">
        <v>1031</v>
      </c>
      <c r="I4379">
        <v>185345009</v>
      </c>
      <c r="J4379" t="s">
        <v>1032</v>
      </c>
      <c r="K4379">
        <v>85.55</v>
      </c>
      <c r="L4379">
        <v>85.55</v>
      </c>
      <c r="M4379">
        <v>35.549999999999997</v>
      </c>
      <c r="N4379">
        <v>444814009</v>
      </c>
      <c r="O4379" t="s">
        <v>1035</v>
      </c>
    </row>
    <row r="4380" spans="1:15">
      <c r="A4380" t="s">
        <v>5971</v>
      </c>
      <c r="B4380" s="2">
        <v>42646.09815972222</v>
      </c>
      <c r="C4380" s="2">
        <v>42646.108576388891</v>
      </c>
      <c r="D4380" t="s">
        <v>863</v>
      </c>
      <c r="E4380" t="s">
        <v>2327</v>
      </c>
      <c r="F4380" t="s">
        <v>2328</v>
      </c>
      <c r="G4380" t="s">
        <v>1093</v>
      </c>
      <c r="H4380" t="s">
        <v>1043</v>
      </c>
      <c r="I4380">
        <v>698314001</v>
      </c>
      <c r="J4380" t="s">
        <v>1190</v>
      </c>
      <c r="K4380">
        <v>142.58000000000001</v>
      </c>
      <c r="L4380">
        <v>142.58000000000001</v>
      </c>
      <c r="M4380">
        <v>92.58</v>
      </c>
      <c r="N4380">
        <v>389095005</v>
      </c>
      <c r="O4380" t="s">
        <v>1191</v>
      </c>
    </row>
    <row r="4381" spans="1:15">
      <c r="A4381" t="s">
        <v>5972</v>
      </c>
      <c r="B4381" s="2">
        <v>42794.81523148148</v>
      </c>
      <c r="C4381" s="2">
        <v>42794.84202546296</v>
      </c>
      <c r="D4381" t="s">
        <v>863</v>
      </c>
      <c r="E4381" t="s">
        <v>5963</v>
      </c>
      <c r="F4381" t="s">
        <v>5964</v>
      </c>
      <c r="G4381" t="s">
        <v>1093</v>
      </c>
      <c r="H4381" t="s">
        <v>1020</v>
      </c>
      <c r="I4381">
        <v>162673000</v>
      </c>
      <c r="J4381" t="s">
        <v>1021</v>
      </c>
      <c r="K4381">
        <v>136.80000000000001</v>
      </c>
      <c r="L4381">
        <v>1318.2</v>
      </c>
      <c r="M4381">
        <v>1298.1400000000001</v>
      </c>
      <c r="O4381" t="s">
        <v>34</v>
      </c>
    </row>
    <row r="4382" spans="1:15">
      <c r="A4382" t="s">
        <v>5973</v>
      </c>
      <c r="B4382" s="2">
        <v>43006.06523148148</v>
      </c>
      <c r="C4382" s="2">
        <v>43006.075648148151</v>
      </c>
      <c r="D4382" t="s">
        <v>863</v>
      </c>
      <c r="E4382" t="s">
        <v>2327</v>
      </c>
      <c r="F4382" t="s">
        <v>2328</v>
      </c>
      <c r="G4382" t="s">
        <v>1093</v>
      </c>
      <c r="H4382" t="s">
        <v>1031</v>
      </c>
      <c r="I4382">
        <v>185345009</v>
      </c>
      <c r="J4382" t="s">
        <v>1032</v>
      </c>
      <c r="K4382">
        <v>85.55</v>
      </c>
      <c r="L4382">
        <v>85.55</v>
      </c>
      <c r="M4382">
        <v>35.549999999999997</v>
      </c>
      <c r="N4382">
        <v>444814009</v>
      </c>
      <c r="O4382" t="s">
        <v>1035</v>
      </c>
    </row>
    <row r="4383" spans="1:15">
      <c r="A4383" t="s">
        <v>5974</v>
      </c>
      <c r="B4383" s="2">
        <v>43165.81523148148</v>
      </c>
      <c r="C4383" s="2">
        <v>43165.844236111108</v>
      </c>
      <c r="D4383" t="s">
        <v>863</v>
      </c>
      <c r="E4383" t="s">
        <v>5963</v>
      </c>
      <c r="F4383" t="s">
        <v>5964</v>
      </c>
      <c r="G4383" t="s">
        <v>1093</v>
      </c>
      <c r="H4383" t="s">
        <v>1020</v>
      </c>
      <c r="I4383">
        <v>162673000</v>
      </c>
      <c r="J4383" t="s">
        <v>1021</v>
      </c>
      <c r="K4383">
        <v>136.80000000000001</v>
      </c>
      <c r="L4383">
        <v>704.2</v>
      </c>
      <c r="M4383">
        <v>684.14</v>
      </c>
      <c r="O4383" t="s">
        <v>34</v>
      </c>
    </row>
    <row r="4384" spans="1:15">
      <c r="A4384" t="s">
        <v>5975</v>
      </c>
      <c r="B4384" s="2">
        <v>43366.09815972222</v>
      </c>
      <c r="C4384" s="2">
        <v>43366.108576388891</v>
      </c>
      <c r="D4384" t="s">
        <v>863</v>
      </c>
      <c r="E4384" t="s">
        <v>2327</v>
      </c>
      <c r="F4384" t="s">
        <v>2328</v>
      </c>
      <c r="G4384" t="s">
        <v>1093</v>
      </c>
      <c r="H4384" t="s">
        <v>1043</v>
      </c>
      <c r="I4384">
        <v>698314001</v>
      </c>
      <c r="J4384" t="s">
        <v>1190</v>
      </c>
      <c r="K4384">
        <v>142.58000000000001</v>
      </c>
      <c r="L4384">
        <v>142.58000000000001</v>
      </c>
      <c r="M4384">
        <v>92.58</v>
      </c>
      <c r="N4384">
        <v>389095005</v>
      </c>
      <c r="O4384" t="s">
        <v>1191</v>
      </c>
    </row>
    <row r="4385" spans="1:15">
      <c r="A4385" t="s">
        <v>5976</v>
      </c>
      <c r="B4385" s="2">
        <v>43536.856898148151</v>
      </c>
      <c r="C4385" s="2">
        <v>43536.880532407406</v>
      </c>
      <c r="D4385" t="s">
        <v>863</v>
      </c>
      <c r="E4385" t="s">
        <v>5963</v>
      </c>
      <c r="F4385" t="s">
        <v>5964</v>
      </c>
      <c r="G4385" t="s">
        <v>1093</v>
      </c>
      <c r="H4385" t="s">
        <v>1020</v>
      </c>
      <c r="I4385">
        <v>162673000</v>
      </c>
      <c r="J4385" t="s">
        <v>1021</v>
      </c>
      <c r="K4385">
        <v>136.80000000000001</v>
      </c>
      <c r="L4385">
        <v>1064.92</v>
      </c>
      <c r="M4385">
        <v>1044.8599999999999</v>
      </c>
      <c r="O4385" t="s">
        <v>34</v>
      </c>
    </row>
    <row r="4386" spans="1:15">
      <c r="A4386" t="s">
        <v>5977</v>
      </c>
      <c r="B4386" s="2">
        <v>43543.856898148151</v>
      </c>
      <c r="C4386" s="2">
        <v>43543.903402777774</v>
      </c>
      <c r="D4386" t="s">
        <v>863</v>
      </c>
      <c r="E4386" t="s">
        <v>2327</v>
      </c>
      <c r="F4386" t="s">
        <v>2328</v>
      </c>
      <c r="G4386" t="s">
        <v>1093</v>
      </c>
      <c r="H4386" t="s">
        <v>1031</v>
      </c>
      <c r="I4386">
        <v>185347001</v>
      </c>
      <c r="J4386" t="s">
        <v>1124</v>
      </c>
      <c r="K4386">
        <v>85.55</v>
      </c>
      <c r="L4386">
        <v>1059.1600000000001</v>
      </c>
      <c r="M4386">
        <v>1009.16</v>
      </c>
      <c r="N4386">
        <v>271737000</v>
      </c>
      <c r="O4386" t="s">
        <v>1479</v>
      </c>
    </row>
    <row r="4387" spans="1:15">
      <c r="A4387" t="s">
        <v>5978</v>
      </c>
      <c r="B4387" s="2">
        <v>43557.856898148151</v>
      </c>
      <c r="C4387" s="2">
        <v>43557.973993055559</v>
      </c>
      <c r="D4387" t="s">
        <v>863</v>
      </c>
      <c r="E4387" t="s">
        <v>2327</v>
      </c>
      <c r="F4387" t="s">
        <v>2328</v>
      </c>
      <c r="G4387" t="s">
        <v>1093</v>
      </c>
      <c r="H4387" t="s">
        <v>1031</v>
      </c>
      <c r="I4387">
        <v>185349003</v>
      </c>
      <c r="J4387" t="s">
        <v>1038</v>
      </c>
      <c r="K4387">
        <v>85.55</v>
      </c>
      <c r="L4387">
        <v>3105.35</v>
      </c>
      <c r="M4387">
        <v>3055.35</v>
      </c>
      <c r="N4387">
        <v>103697008</v>
      </c>
      <c r="O4387" t="s">
        <v>1039</v>
      </c>
    </row>
    <row r="4388" spans="1:15">
      <c r="A4388" t="s">
        <v>5979</v>
      </c>
      <c r="B4388" s="2">
        <v>43726.09815972222</v>
      </c>
      <c r="C4388" s="2">
        <v>43726.131099537037</v>
      </c>
      <c r="D4388" t="s">
        <v>863</v>
      </c>
      <c r="E4388" t="s">
        <v>2327</v>
      </c>
      <c r="F4388" t="s">
        <v>2328</v>
      </c>
      <c r="G4388" t="s">
        <v>1093</v>
      </c>
      <c r="H4388" t="s">
        <v>1043</v>
      </c>
      <c r="I4388">
        <v>698314001</v>
      </c>
      <c r="J4388" t="s">
        <v>1190</v>
      </c>
      <c r="K4388">
        <v>142.58000000000001</v>
      </c>
      <c r="L4388">
        <v>573.98</v>
      </c>
      <c r="M4388">
        <v>523.98</v>
      </c>
      <c r="N4388">
        <v>183996000</v>
      </c>
      <c r="O4388" t="s">
        <v>1622</v>
      </c>
    </row>
    <row r="4389" spans="1:15">
      <c r="A4389" t="s">
        <v>5980</v>
      </c>
      <c r="B4389" s="2">
        <v>43737.131099537037</v>
      </c>
      <c r="C4389" s="2">
        <v>43738.131099537037</v>
      </c>
      <c r="D4389" t="s">
        <v>863</v>
      </c>
      <c r="E4389" t="s">
        <v>2327</v>
      </c>
      <c r="F4389" t="s">
        <v>2328</v>
      </c>
      <c r="G4389" t="s">
        <v>1093</v>
      </c>
      <c r="H4389" t="s">
        <v>1431</v>
      </c>
      <c r="I4389">
        <v>305408004</v>
      </c>
      <c r="J4389" t="s">
        <v>1626</v>
      </c>
      <c r="K4389">
        <v>146.18</v>
      </c>
      <c r="L4389">
        <v>3817.64</v>
      </c>
      <c r="M4389">
        <v>3767.64</v>
      </c>
      <c r="N4389">
        <v>183996000</v>
      </c>
      <c r="O4389" t="s">
        <v>1622</v>
      </c>
    </row>
    <row r="4390" spans="1:15">
      <c r="A4390" t="s">
        <v>5981</v>
      </c>
      <c r="B4390" s="2">
        <v>43907.856898148151</v>
      </c>
      <c r="C4390" s="2">
        <v>43907.895671296297</v>
      </c>
      <c r="D4390" t="s">
        <v>863</v>
      </c>
      <c r="E4390" t="s">
        <v>5963</v>
      </c>
      <c r="F4390" t="s">
        <v>5964</v>
      </c>
      <c r="G4390" t="s">
        <v>1093</v>
      </c>
      <c r="H4390" t="s">
        <v>1020</v>
      </c>
      <c r="I4390">
        <v>162673000</v>
      </c>
      <c r="J4390" t="s">
        <v>1021</v>
      </c>
      <c r="K4390">
        <v>136.80000000000001</v>
      </c>
      <c r="L4390">
        <v>1634.3</v>
      </c>
      <c r="M4390">
        <v>1614.24</v>
      </c>
      <c r="O4390" t="s">
        <v>34</v>
      </c>
    </row>
    <row r="4391" spans="1:15">
      <c r="A4391" t="s">
        <v>5982</v>
      </c>
      <c r="B4391" s="2">
        <v>43921.856898148151</v>
      </c>
      <c r="C4391" s="2">
        <v>43922.004594907405</v>
      </c>
      <c r="D4391" t="s">
        <v>863</v>
      </c>
      <c r="E4391" t="s">
        <v>2327</v>
      </c>
      <c r="F4391" t="s">
        <v>2328</v>
      </c>
      <c r="G4391" t="s">
        <v>1093</v>
      </c>
      <c r="H4391" t="s">
        <v>1031</v>
      </c>
      <c r="I4391">
        <v>185349003</v>
      </c>
      <c r="J4391" t="s">
        <v>1038</v>
      </c>
      <c r="K4391">
        <v>85.55</v>
      </c>
      <c r="L4391">
        <v>3536.75</v>
      </c>
      <c r="M4391">
        <v>3486.75</v>
      </c>
      <c r="N4391">
        <v>66383009</v>
      </c>
      <c r="O4391" t="s">
        <v>1209</v>
      </c>
    </row>
    <row r="4392" spans="1:15">
      <c r="A4392" t="s">
        <v>5983</v>
      </c>
      <c r="B4392" s="2">
        <v>44117.856898148151</v>
      </c>
      <c r="C4392" s="2">
        <v>44117.899444444447</v>
      </c>
      <c r="D4392" t="s">
        <v>863</v>
      </c>
      <c r="E4392" t="s">
        <v>2327</v>
      </c>
      <c r="F4392" t="s">
        <v>2328</v>
      </c>
      <c r="G4392" t="s">
        <v>1093</v>
      </c>
      <c r="H4392" t="s">
        <v>1043</v>
      </c>
      <c r="I4392">
        <v>308335008</v>
      </c>
      <c r="J4392" t="s">
        <v>1194</v>
      </c>
      <c r="K4392">
        <v>142.58000000000001</v>
      </c>
      <c r="L4392">
        <v>4052.91</v>
      </c>
      <c r="M4392">
        <v>4002.91</v>
      </c>
      <c r="N4392">
        <v>389095005</v>
      </c>
      <c r="O4392" t="s">
        <v>1191</v>
      </c>
    </row>
    <row r="4393" spans="1:15">
      <c r="A4393" t="s">
        <v>5984</v>
      </c>
      <c r="B4393" s="2">
        <v>44261.981898148151</v>
      </c>
      <c r="C4393" s="2">
        <v>44261.992314814815</v>
      </c>
      <c r="D4393" t="s">
        <v>863</v>
      </c>
      <c r="E4393" t="s">
        <v>2327</v>
      </c>
      <c r="F4393" t="s">
        <v>2328</v>
      </c>
      <c r="G4393" t="s">
        <v>1093</v>
      </c>
      <c r="H4393" t="s">
        <v>1031</v>
      </c>
      <c r="I4393">
        <v>185345009</v>
      </c>
      <c r="J4393" t="s">
        <v>1032</v>
      </c>
      <c r="K4393">
        <v>85.55</v>
      </c>
      <c r="L4393">
        <v>85.55</v>
      </c>
      <c r="M4393">
        <v>0</v>
      </c>
      <c r="N4393">
        <v>444814009</v>
      </c>
      <c r="O4393" t="s">
        <v>1035</v>
      </c>
    </row>
    <row r="4394" spans="1:15">
      <c r="A4394" t="s">
        <v>5985</v>
      </c>
      <c r="B4394" s="2">
        <v>44278.856898148151</v>
      </c>
      <c r="C4394" s="2">
        <v>44278.882893518516</v>
      </c>
      <c r="D4394" t="s">
        <v>863</v>
      </c>
      <c r="E4394" t="s">
        <v>5963</v>
      </c>
      <c r="F4394" t="s">
        <v>5964</v>
      </c>
      <c r="G4394" t="s">
        <v>1093</v>
      </c>
      <c r="H4394" t="s">
        <v>1020</v>
      </c>
      <c r="I4394">
        <v>162673000</v>
      </c>
      <c r="J4394" t="s">
        <v>1021</v>
      </c>
      <c r="K4394">
        <v>136.80000000000001</v>
      </c>
      <c r="L4394">
        <v>1648.38</v>
      </c>
      <c r="M4394">
        <v>1648.38</v>
      </c>
      <c r="O4394" t="s">
        <v>34</v>
      </c>
    </row>
    <row r="4395" spans="1:15">
      <c r="A4395" t="s">
        <v>5986</v>
      </c>
      <c r="B4395" s="2">
        <v>44285.856898148151</v>
      </c>
      <c r="C4395" s="2">
        <v>44285.867314814815</v>
      </c>
      <c r="D4395" t="s">
        <v>863</v>
      </c>
      <c r="E4395" t="s">
        <v>2327</v>
      </c>
      <c r="F4395" t="s">
        <v>2328</v>
      </c>
      <c r="G4395" t="s">
        <v>1093</v>
      </c>
      <c r="H4395" t="s">
        <v>1043</v>
      </c>
      <c r="I4395">
        <v>33879002</v>
      </c>
      <c r="J4395" t="s">
        <v>1044</v>
      </c>
      <c r="K4395">
        <v>142.58000000000001</v>
      </c>
      <c r="L4395">
        <v>278.58</v>
      </c>
      <c r="M4395">
        <v>228.58</v>
      </c>
      <c r="O4395" t="s">
        <v>34</v>
      </c>
    </row>
    <row r="4396" spans="1:15">
      <c r="A4396" t="s">
        <v>5987</v>
      </c>
      <c r="B4396" s="2">
        <v>44313.856898148151</v>
      </c>
      <c r="C4396" s="2">
        <v>44313.867314814815</v>
      </c>
      <c r="D4396" t="s">
        <v>863</v>
      </c>
      <c r="E4396" t="s">
        <v>2327</v>
      </c>
      <c r="F4396" t="s">
        <v>2328</v>
      </c>
      <c r="G4396" t="s">
        <v>1093</v>
      </c>
      <c r="H4396" t="s">
        <v>1043</v>
      </c>
      <c r="I4396">
        <v>33879002</v>
      </c>
      <c r="J4396" t="s">
        <v>1044</v>
      </c>
      <c r="K4396">
        <v>142.58000000000001</v>
      </c>
      <c r="L4396">
        <v>278.58</v>
      </c>
      <c r="M4396">
        <v>228.58</v>
      </c>
      <c r="O4396" t="s">
        <v>34</v>
      </c>
    </row>
    <row r="4397" spans="1:15">
      <c r="A4397" t="s">
        <v>5988</v>
      </c>
      <c r="B4397" s="2">
        <v>44649.856898148151</v>
      </c>
      <c r="C4397" s="2">
        <v>44649.881851851853</v>
      </c>
      <c r="D4397" t="s">
        <v>863</v>
      </c>
      <c r="E4397" t="s">
        <v>5963</v>
      </c>
      <c r="F4397" t="s">
        <v>5964</v>
      </c>
      <c r="G4397" t="s">
        <v>1093</v>
      </c>
      <c r="H4397" t="s">
        <v>1020</v>
      </c>
      <c r="I4397">
        <v>162673000</v>
      </c>
      <c r="J4397" t="s">
        <v>1021</v>
      </c>
      <c r="K4397">
        <v>136.80000000000001</v>
      </c>
      <c r="L4397">
        <v>778.78</v>
      </c>
      <c r="M4397">
        <v>758.72</v>
      </c>
      <c r="O4397" t="s">
        <v>34</v>
      </c>
    </row>
    <row r="4398" spans="1:15">
      <c r="A4398" t="s">
        <v>5989</v>
      </c>
      <c r="B4398" s="2">
        <v>45020.856898148151</v>
      </c>
      <c r="C4398" s="2">
        <v>45020.890324074076</v>
      </c>
      <c r="D4398" t="s">
        <v>863</v>
      </c>
      <c r="E4398" t="s">
        <v>5963</v>
      </c>
      <c r="F4398" t="s">
        <v>5964</v>
      </c>
      <c r="G4398" t="s">
        <v>1093</v>
      </c>
      <c r="H4398" t="s">
        <v>1020</v>
      </c>
      <c r="I4398">
        <v>162673000</v>
      </c>
      <c r="J4398" t="s">
        <v>1021</v>
      </c>
      <c r="K4398">
        <v>136.80000000000001</v>
      </c>
      <c r="L4398">
        <v>1001.28</v>
      </c>
      <c r="M4398">
        <v>981.22</v>
      </c>
      <c r="O4398" t="s">
        <v>34</v>
      </c>
    </row>
    <row r="4399" spans="1:15">
      <c r="A4399" t="s">
        <v>5990</v>
      </c>
      <c r="B4399" s="2">
        <v>45391.856898148151</v>
      </c>
      <c r="C4399" s="2">
        <v>45391.892812500002</v>
      </c>
      <c r="D4399" t="s">
        <v>863</v>
      </c>
      <c r="E4399" t="s">
        <v>5963</v>
      </c>
      <c r="F4399" t="s">
        <v>5964</v>
      </c>
      <c r="G4399" t="s">
        <v>1093</v>
      </c>
      <c r="H4399" t="s">
        <v>1020</v>
      </c>
      <c r="I4399">
        <v>162673000</v>
      </c>
      <c r="J4399" t="s">
        <v>1021</v>
      </c>
      <c r="K4399">
        <v>136.80000000000001</v>
      </c>
      <c r="L4399">
        <v>1722.96</v>
      </c>
      <c r="M4399">
        <v>1702.9</v>
      </c>
      <c r="O4399" t="s">
        <v>34</v>
      </c>
    </row>
    <row r="4400" spans="1:15">
      <c r="A4400" t="s">
        <v>5991</v>
      </c>
      <c r="B4400" s="2">
        <v>45762.856898148151</v>
      </c>
      <c r="C4400" s="2">
        <v>45762.881620370368</v>
      </c>
      <c r="D4400" t="s">
        <v>863</v>
      </c>
      <c r="E4400" t="s">
        <v>5963</v>
      </c>
      <c r="F4400" t="s">
        <v>5964</v>
      </c>
      <c r="G4400" t="s">
        <v>1093</v>
      </c>
      <c r="H4400" t="s">
        <v>1020</v>
      </c>
      <c r="I4400">
        <v>162673000</v>
      </c>
      <c r="J4400" t="s">
        <v>1021</v>
      </c>
      <c r="K4400">
        <v>136.80000000000001</v>
      </c>
      <c r="L4400">
        <v>996.16</v>
      </c>
      <c r="M4400">
        <v>976.1</v>
      </c>
      <c r="O4400" t="s">
        <v>34</v>
      </c>
    </row>
    <row r="4401" spans="1:15">
      <c r="A4401" t="s">
        <v>5992</v>
      </c>
      <c r="B4401" s="2">
        <v>45944.856898148151</v>
      </c>
      <c r="C4401" s="2">
        <v>45944.888831018521</v>
      </c>
      <c r="D4401" t="s">
        <v>863</v>
      </c>
      <c r="E4401" t="s">
        <v>2327</v>
      </c>
      <c r="F4401" t="s">
        <v>2328</v>
      </c>
      <c r="G4401" t="s">
        <v>1093</v>
      </c>
      <c r="H4401" t="s">
        <v>1043</v>
      </c>
      <c r="I4401">
        <v>308335008</v>
      </c>
      <c r="J4401" t="s">
        <v>1194</v>
      </c>
      <c r="K4401">
        <v>142.58000000000001</v>
      </c>
      <c r="L4401">
        <v>5826.56</v>
      </c>
      <c r="M4401">
        <v>5776.56</v>
      </c>
      <c r="N4401">
        <v>389095005</v>
      </c>
      <c r="O4401" t="s">
        <v>1191</v>
      </c>
    </row>
    <row r="4402" spans="1:15">
      <c r="A4402" t="s">
        <v>5993</v>
      </c>
      <c r="B4402" s="2">
        <v>45945.481898148151</v>
      </c>
      <c r="C4402" s="2">
        <v>45945.492314814815</v>
      </c>
      <c r="D4402" t="s">
        <v>863</v>
      </c>
      <c r="E4402" t="s">
        <v>2327</v>
      </c>
      <c r="F4402" t="s">
        <v>2328</v>
      </c>
      <c r="G4402" t="s">
        <v>1093</v>
      </c>
      <c r="H4402" t="s">
        <v>1031</v>
      </c>
      <c r="I4402">
        <v>185345009</v>
      </c>
      <c r="J4402" t="s">
        <v>1032</v>
      </c>
      <c r="K4402">
        <v>85.55</v>
      </c>
      <c r="L4402">
        <v>85.55</v>
      </c>
      <c r="M4402">
        <v>35.549999999999997</v>
      </c>
      <c r="N4402">
        <v>444814009</v>
      </c>
      <c r="O4402" t="s">
        <v>1035</v>
      </c>
    </row>
    <row r="4403" spans="1:15">
      <c r="A4403" t="s">
        <v>5994</v>
      </c>
      <c r="B4403" s="2">
        <v>46133.856898148151</v>
      </c>
      <c r="C4403" s="2">
        <v>46133.884560185186</v>
      </c>
      <c r="D4403" t="s">
        <v>863</v>
      </c>
      <c r="E4403" t="s">
        <v>5963</v>
      </c>
      <c r="F4403" t="s">
        <v>5964</v>
      </c>
      <c r="G4403" t="s">
        <v>1093</v>
      </c>
      <c r="H4403" t="s">
        <v>1020</v>
      </c>
      <c r="I4403">
        <v>162673000</v>
      </c>
      <c r="J4403" t="s">
        <v>1021</v>
      </c>
      <c r="K4403">
        <v>136.80000000000001</v>
      </c>
      <c r="L4403">
        <v>785.58</v>
      </c>
      <c r="M4403">
        <v>765.52</v>
      </c>
      <c r="O4403" t="s">
        <v>34</v>
      </c>
    </row>
    <row r="4404" spans="1:15">
      <c r="A4404" t="s">
        <v>5995</v>
      </c>
      <c r="B4404" s="2">
        <v>46147.856898148151</v>
      </c>
      <c r="C4404" s="2">
        <v>46148.1016087963</v>
      </c>
      <c r="D4404" t="s">
        <v>863</v>
      </c>
      <c r="E4404" t="s">
        <v>2327</v>
      </c>
      <c r="F4404" t="s">
        <v>2328</v>
      </c>
      <c r="G4404" t="s">
        <v>1093</v>
      </c>
      <c r="H4404" t="s">
        <v>1031</v>
      </c>
      <c r="I4404">
        <v>185349003</v>
      </c>
      <c r="J4404" t="s">
        <v>1038</v>
      </c>
      <c r="K4404">
        <v>85.55</v>
      </c>
      <c r="L4404">
        <v>4399.55</v>
      </c>
      <c r="M4404">
        <v>4349.55</v>
      </c>
      <c r="N4404">
        <v>103697008</v>
      </c>
      <c r="O4404" t="s">
        <v>1039</v>
      </c>
    </row>
    <row r="4405" spans="1:15">
      <c r="A4405" t="s">
        <v>5996</v>
      </c>
      <c r="B4405" s="2">
        <v>46168.972418981481</v>
      </c>
      <c r="C4405" s="2">
        <v>46168.982835648145</v>
      </c>
      <c r="D4405" t="s">
        <v>872</v>
      </c>
      <c r="E4405" t="s">
        <v>5997</v>
      </c>
      <c r="F4405" t="s">
        <v>5998</v>
      </c>
      <c r="G4405" t="s">
        <v>1325</v>
      </c>
      <c r="H4405" t="s">
        <v>1020</v>
      </c>
      <c r="I4405">
        <v>410620009</v>
      </c>
      <c r="J4405" t="s">
        <v>1054</v>
      </c>
      <c r="K4405">
        <v>136.80000000000001</v>
      </c>
      <c r="L4405">
        <v>347.38</v>
      </c>
      <c r="M4405">
        <v>0</v>
      </c>
      <c r="O4405" t="s">
        <v>34</v>
      </c>
    </row>
    <row r="4406" spans="1:15">
      <c r="A4406" t="s">
        <v>5999</v>
      </c>
      <c r="B4406" s="2">
        <v>46203.972418981481</v>
      </c>
      <c r="C4406" s="2">
        <v>46203.982835648145</v>
      </c>
      <c r="D4406" t="s">
        <v>872</v>
      </c>
      <c r="E4406" t="s">
        <v>5997</v>
      </c>
      <c r="F4406" t="s">
        <v>5998</v>
      </c>
      <c r="G4406" t="s">
        <v>1325</v>
      </c>
      <c r="H4406" t="s">
        <v>1020</v>
      </c>
      <c r="I4406">
        <v>410620009</v>
      </c>
      <c r="J4406" t="s">
        <v>1054</v>
      </c>
      <c r="K4406">
        <v>136.80000000000001</v>
      </c>
      <c r="L4406">
        <v>272.8</v>
      </c>
      <c r="M4406">
        <v>0</v>
      </c>
      <c r="O4406" t="s">
        <v>34</v>
      </c>
    </row>
    <row r="4407" spans="1:15">
      <c r="A4407" t="s">
        <v>6000</v>
      </c>
      <c r="B4407" s="2">
        <v>29886.535983796297</v>
      </c>
      <c r="C4407" s="2">
        <v>29886.555</v>
      </c>
      <c r="D4407" t="s">
        <v>881</v>
      </c>
      <c r="E4407" t="s">
        <v>5056</v>
      </c>
      <c r="F4407" t="s">
        <v>5057</v>
      </c>
      <c r="G4407" t="s">
        <v>1093</v>
      </c>
      <c r="H4407" t="s">
        <v>1020</v>
      </c>
      <c r="I4407">
        <v>410620009</v>
      </c>
      <c r="J4407" t="s">
        <v>1054</v>
      </c>
      <c r="K4407">
        <v>136.80000000000001</v>
      </c>
      <c r="L4407">
        <v>1567</v>
      </c>
      <c r="M4407">
        <v>1417</v>
      </c>
      <c r="O4407" t="s">
        <v>34</v>
      </c>
    </row>
    <row r="4408" spans="1:15">
      <c r="A4408" t="s">
        <v>6001</v>
      </c>
      <c r="B4408" s="2">
        <v>31741.535983796297</v>
      </c>
      <c r="C4408" s="2">
        <v>31741.565497685184</v>
      </c>
      <c r="D4408" t="s">
        <v>881</v>
      </c>
      <c r="E4408" t="s">
        <v>5056</v>
      </c>
      <c r="F4408" t="s">
        <v>5057</v>
      </c>
      <c r="G4408" t="s">
        <v>1093</v>
      </c>
      <c r="H4408" t="s">
        <v>1020</v>
      </c>
      <c r="I4408">
        <v>162673000</v>
      </c>
      <c r="J4408" t="s">
        <v>1021</v>
      </c>
      <c r="K4408">
        <v>136.80000000000001</v>
      </c>
      <c r="L4408">
        <v>704.2</v>
      </c>
      <c r="M4408">
        <v>554.20000000000005</v>
      </c>
      <c r="O4408" t="s">
        <v>34</v>
      </c>
    </row>
    <row r="4409" spans="1:15">
      <c r="A4409" t="s">
        <v>6002</v>
      </c>
      <c r="B4409" s="2">
        <v>32713.035983796297</v>
      </c>
      <c r="C4409" s="2">
        <v>32717.488287037038</v>
      </c>
      <c r="D4409" t="s">
        <v>881</v>
      </c>
      <c r="E4409" t="s">
        <v>6003</v>
      </c>
      <c r="F4409" t="s">
        <v>6004</v>
      </c>
      <c r="G4409" t="s">
        <v>1093</v>
      </c>
      <c r="H4409" t="s">
        <v>1431</v>
      </c>
      <c r="I4409">
        <v>185347001</v>
      </c>
      <c r="J4409" t="s">
        <v>1124</v>
      </c>
      <c r="K4409">
        <v>87.71</v>
      </c>
      <c r="L4409">
        <v>7266.96</v>
      </c>
      <c r="M4409">
        <v>7213.14</v>
      </c>
      <c r="N4409">
        <v>74400008</v>
      </c>
      <c r="O4409" t="s">
        <v>1427</v>
      </c>
    </row>
    <row r="4410" spans="1:15">
      <c r="A4410" t="s">
        <v>6005</v>
      </c>
      <c r="B4410" s="2">
        <v>34310.535983796297</v>
      </c>
      <c r="C4410" s="2">
        <v>34310.561053240737</v>
      </c>
      <c r="D4410" t="s">
        <v>881</v>
      </c>
      <c r="E4410" t="s">
        <v>5056</v>
      </c>
      <c r="F4410" t="s">
        <v>5057</v>
      </c>
      <c r="G4410" t="s">
        <v>1093</v>
      </c>
      <c r="H4410" t="s">
        <v>1020</v>
      </c>
      <c r="I4410">
        <v>162673000</v>
      </c>
      <c r="J4410" t="s">
        <v>1021</v>
      </c>
      <c r="K4410">
        <v>136.80000000000001</v>
      </c>
      <c r="L4410">
        <v>704.2</v>
      </c>
      <c r="M4410">
        <v>554.20000000000005</v>
      </c>
      <c r="O4410" t="s">
        <v>34</v>
      </c>
    </row>
    <row r="4411" spans="1:15">
      <c r="A4411" t="s">
        <v>6006</v>
      </c>
      <c r="B4411" s="2">
        <v>35018.648958333331</v>
      </c>
      <c r="C4411" s="2">
        <v>35018.659375000003</v>
      </c>
      <c r="D4411" t="s">
        <v>881</v>
      </c>
      <c r="E4411" t="s">
        <v>6003</v>
      </c>
      <c r="F4411" t="s">
        <v>6004</v>
      </c>
      <c r="G4411" t="s">
        <v>1093</v>
      </c>
      <c r="H4411" t="s">
        <v>1031</v>
      </c>
      <c r="I4411">
        <v>185347001</v>
      </c>
      <c r="J4411" t="s">
        <v>1124</v>
      </c>
      <c r="K4411">
        <v>85.55</v>
      </c>
      <c r="L4411">
        <v>160.13</v>
      </c>
      <c r="M4411">
        <v>110.13</v>
      </c>
      <c r="N4411">
        <v>271737000</v>
      </c>
      <c r="O4411" t="s">
        <v>1479</v>
      </c>
    </row>
    <row r="4412" spans="1:15">
      <c r="A4412" t="s">
        <v>6007</v>
      </c>
      <c r="B4412" s="2">
        <v>35967.577650462961</v>
      </c>
      <c r="C4412" s="2">
        <v>35967.588067129633</v>
      </c>
      <c r="D4412" t="s">
        <v>881</v>
      </c>
      <c r="E4412" t="s">
        <v>6003</v>
      </c>
      <c r="F4412" t="s">
        <v>6004</v>
      </c>
      <c r="G4412" t="s">
        <v>1093</v>
      </c>
      <c r="H4412" t="s">
        <v>1031</v>
      </c>
      <c r="I4412">
        <v>424619006</v>
      </c>
      <c r="J4412" t="s">
        <v>1062</v>
      </c>
      <c r="K4412">
        <v>142.58000000000001</v>
      </c>
      <c r="L4412">
        <v>2842.05</v>
      </c>
      <c r="M4412">
        <v>2792.05</v>
      </c>
      <c r="N4412">
        <v>156073000</v>
      </c>
      <c r="O4412" t="s">
        <v>1397</v>
      </c>
    </row>
    <row r="4413" spans="1:15">
      <c r="A4413" t="s">
        <v>6008</v>
      </c>
      <c r="B4413" s="2">
        <v>37940.622523148151</v>
      </c>
      <c r="C4413" s="2">
        <v>37941.622523148151</v>
      </c>
      <c r="D4413" t="s">
        <v>881</v>
      </c>
      <c r="E4413" t="s">
        <v>6003</v>
      </c>
      <c r="F4413" t="s">
        <v>6004</v>
      </c>
      <c r="G4413" t="s">
        <v>1093</v>
      </c>
      <c r="H4413" t="s">
        <v>1431</v>
      </c>
      <c r="I4413">
        <v>305408004</v>
      </c>
      <c r="J4413" t="s">
        <v>1626</v>
      </c>
      <c r="K4413">
        <v>146.18</v>
      </c>
      <c r="L4413">
        <v>3817.64</v>
      </c>
      <c r="M4413">
        <v>3767.64</v>
      </c>
      <c r="N4413">
        <v>183996000</v>
      </c>
      <c r="O4413" t="s">
        <v>1622</v>
      </c>
    </row>
    <row r="4414" spans="1:15">
      <c r="A4414" t="s">
        <v>6009</v>
      </c>
      <c r="B4414" s="2">
        <v>39721.577650462961</v>
      </c>
      <c r="C4414" s="2">
        <v>39721.604560185187</v>
      </c>
      <c r="D4414" t="s">
        <v>881</v>
      </c>
      <c r="E4414" t="s">
        <v>5056</v>
      </c>
      <c r="F4414" t="s">
        <v>5057</v>
      </c>
      <c r="G4414" t="s">
        <v>1093</v>
      </c>
      <c r="H4414" t="s">
        <v>1020</v>
      </c>
      <c r="I4414">
        <v>162673000</v>
      </c>
      <c r="J4414" t="s">
        <v>1021</v>
      </c>
      <c r="K4414">
        <v>136.80000000000001</v>
      </c>
      <c r="L4414">
        <v>914.78</v>
      </c>
      <c r="M4414">
        <v>814.78</v>
      </c>
      <c r="O4414" t="s">
        <v>34</v>
      </c>
    </row>
    <row r="4415" spans="1:15">
      <c r="A4415" t="s">
        <v>6010</v>
      </c>
      <c r="B4415" s="2">
        <v>39896.577650462961</v>
      </c>
      <c r="C4415" s="2">
        <v>39896.588067129633</v>
      </c>
      <c r="D4415" t="s">
        <v>881</v>
      </c>
      <c r="E4415" t="s">
        <v>6003</v>
      </c>
      <c r="F4415" t="s">
        <v>6004</v>
      </c>
      <c r="G4415" t="s">
        <v>1093</v>
      </c>
      <c r="H4415" t="s">
        <v>1031</v>
      </c>
      <c r="I4415">
        <v>185347001</v>
      </c>
      <c r="J4415" t="s">
        <v>1124</v>
      </c>
      <c r="K4415">
        <v>85.55</v>
      </c>
      <c r="L4415">
        <v>85.55</v>
      </c>
      <c r="M4415">
        <v>35.549999999999997</v>
      </c>
      <c r="N4415">
        <v>239873007</v>
      </c>
      <c r="O4415" t="s">
        <v>2007</v>
      </c>
    </row>
    <row r="4416" spans="1:15">
      <c r="A4416" t="s">
        <v>6011</v>
      </c>
      <c r="B4416" s="2">
        <v>41191.577650462961</v>
      </c>
      <c r="C4416" s="2">
        <v>41191.615752314814</v>
      </c>
      <c r="D4416" t="s">
        <v>881</v>
      </c>
      <c r="E4416" t="s">
        <v>5056</v>
      </c>
      <c r="F4416" t="s">
        <v>5057</v>
      </c>
      <c r="G4416" t="s">
        <v>1093</v>
      </c>
      <c r="H4416" t="s">
        <v>1020</v>
      </c>
      <c r="I4416">
        <v>162673000</v>
      </c>
      <c r="J4416" t="s">
        <v>1021</v>
      </c>
      <c r="K4416">
        <v>136.80000000000001</v>
      </c>
      <c r="L4416">
        <v>1695.61</v>
      </c>
      <c r="M4416">
        <v>1595.61</v>
      </c>
      <c r="O4416" t="s">
        <v>34</v>
      </c>
    </row>
    <row r="4417" spans="1:15">
      <c r="A4417" t="s">
        <v>6012</v>
      </c>
      <c r="B4417" s="2">
        <v>41212.577650462961</v>
      </c>
      <c r="C4417" s="2">
        <v>41212.588067129633</v>
      </c>
      <c r="D4417" t="s">
        <v>881</v>
      </c>
      <c r="E4417" t="s">
        <v>6003</v>
      </c>
      <c r="F4417" t="s">
        <v>6004</v>
      </c>
      <c r="G4417" t="s">
        <v>1093</v>
      </c>
      <c r="H4417" t="s">
        <v>1031</v>
      </c>
      <c r="I4417">
        <v>390906007</v>
      </c>
      <c r="J4417" t="s">
        <v>1255</v>
      </c>
      <c r="K4417">
        <v>85.55</v>
      </c>
      <c r="L4417">
        <v>85.55</v>
      </c>
      <c r="M4417">
        <v>35.549999999999997</v>
      </c>
      <c r="N4417">
        <v>55822004</v>
      </c>
      <c r="O4417" t="s">
        <v>2010</v>
      </c>
    </row>
    <row r="4418" spans="1:15">
      <c r="A4418" t="s">
        <v>6013</v>
      </c>
      <c r="B4418" s="2">
        <v>41926.577650462961</v>
      </c>
      <c r="C4418" s="2">
        <v>41926.614942129629</v>
      </c>
      <c r="D4418" t="s">
        <v>881</v>
      </c>
      <c r="E4418" t="s">
        <v>5056</v>
      </c>
      <c r="F4418" t="s">
        <v>5057</v>
      </c>
      <c r="G4418" t="s">
        <v>1093</v>
      </c>
      <c r="H4418" t="s">
        <v>1020</v>
      </c>
      <c r="I4418">
        <v>162673000</v>
      </c>
      <c r="J4418" t="s">
        <v>1021</v>
      </c>
      <c r="K4418">
        <v>136.80000000000001</v>
      </c>
      <c r="L4418">
        <v>1633.89</v>
      </c>
      <c r="M4418">
        <v>1533.89</v>
      </c>
      <c r="O4418" t="s">
        <v>34</v>
      </c>
    </row>
    <row r="4419" spans="1:15">
      <c r="A4419" t="s">
        <v>6014</v>
      </c>
      <c r="B4419" s="2">
        <v>42307.577650462961</v>
      </c>
      <c r="C4419" s="2">
        <v>42307.588067129633</v>
      </c>
      <c r="D4419" t="s">
        <v>881</v>
      </c>
      <c r="E4419" t="s">
        <v>6003</v>
      </c>
      <c r="F4419" t="s">
        <v>6004</v>
      </c>
      <c r="G4419" t="s">
        <v>1093</v>
      </c>
      <c r="H4419" t="s">
        <v>1031</v>
      </c>
      <c r="I4419">
        <v>390906007</v>
      </c>
      <c r="J4419" t="s">
        <v>1255</v>
      </c>
      <c r="K4419">
        <v>85.55</v>
      </c>
      <c r="L4419">
        <v>234.71</v>
      </c>
      <c r="M4419">
        <v>84.71</v>
      </c>
      <c r="N4419">
        <v>55822004</v>
      </c>
      <c r="O4419" t="s">
        <v>2010</v>
      </c>
    </row>
    <row r="4420" spans="1:15">
      <c r="A4420" t="s">
        <v>6015</v>
      </c>
      <c r="B4420" s="2">
        <v>42661.577650462961</v>
      </c>
      <c r="C4420" s="2">
        <v>42661.61513888889</v>
      </c>
      <c r="D4420" t="s">
        <v>881</v>
      </c>
      <c r="E4420" t="s">
        <v>5056</v>
      </c>
      <c r="F4420" t="s">
        <v>5057</v>
      </c>
      <c r="G4420" t="s">
        <v>1093</v>
      </c>
      <c r="H4420" t="s">
        <v>1020</v>
      </c>
      <c r="I4420">
        <v>162673000</v>
      </c>
      <c r="J4420" t="s">
        <v>1021</v>
      </c>
      <c r="K4420">
        <v>136.80000000000001</v>
      </c>
      <c r="L4420">
        <v>1103.76</v>
      </c>
      <c r="M4420">
        <v>1003.76</v>
      </c>
      <c r="O4420" t="s">
        <v>34</v>
      </c>
    </row>
    <row r="4421" spans="1:15">
      <c r="A4421" t="s">
        <v>6016</v>
      </c>
      <c r="B4421" s="2">
        <v>42672.577650462961</v>
      </c>
      <c r="C4421" s="2">
        <v>42672.588067129633</v>
      </c>
      <c r="D4421" t="s">
        <v>881</v>
      </c>
      <c r="E4421" t="s">
        <v>6003</v>
      </c>
      <c r="F4421" t="s">
        <v>6004</v>
      </c>
      <c r="G4421" t="s">
        <v>1093</v>
      </c>
      <c r="H4421" t="s">
        <v>1031</v>
      </c>
      <c r="I4421">
        <v>390906007</v>
      </c>
      <c r="J4421" t="s">
        <v>1255</v>
      </c>
      <c r="K4421">
        <v>85.55</v>
      </c>
      <c r="L4421">
        <v>234.71</v>
      </c>
      <c r="M4421">
        <v>184.71</v>
      </c>
      <c r="N4421">
        <v>55822004</v>
      </c>
      <c r="O4421" t="s">
        <v>2010</v>
      </c>
    </row>
    <row r="4422" spans="1:15">
      <c r="A4422" t="s">
        <v>6017</v>
      </c>
      <c r="B4422" s="2">
        <v>43037.577650462961</v>
      </c>
      <c r="C4422" s="2">
        <v>43037.588067129633</v>
      </c>
      <c r="D4422" t="s">
        <v>881</v>
      </c>
      <c r="E4422" t="s">
        <v>6003</v>
      </c>
      <c r="F4422" t="s">
        <v>6004</v>
      </c>
      <c r="G4422" t="s">
        <v>1093</v>
      </c>
      <c r="H4422" t="s">
        <v>1031</v>
      </c>
      <c r="I4422">
        <v>390906007</v>
      </c>
      <c r="J4422" t="s">
        <v>1255</v>
      </c>
      <c r="K4422">
        <v>85.55</v>
      </c>
      <c r="L4422">
        <v>234.71</v>
      </c>
      <c r="M4422">
        <v>84.71</v>
      </c>
      <c r="N4422">
        <v>55822004</v>
      </c>
      <c r="O4422" t="s">
        <v>2010</v>
      </c>
    </row>
    <row r="4423" spans="1:15">
      <c r="A4423" t="s">
        <v>6018</v>
      </c>
      <c r="B4423" s="2">
        <v>43052.553877314815</v>
      </c>
      <c r="C4423" s="2">
        <v>43052.595543981479</v>
      </c>
      <c r="D4423" t="s">
        <v>881</v>
      </c>
      <c r="E4423" t="s">
        <v>6019</v>
      </c>
      <c r="F4423" t="s">
        <v>6020</v>
      </c>
      <c r="G4423" t="s">
        <v>1093</v>
      </c>
      <c r="H4423" t="s">
        <v>1076</v>
      </c>
      <c r="I4423">
        <v>50849002</v>
      </c>
      <c r="J4423" t="s">
        <v>1163</v>
      </c>
      <c r="K4423">
        <v>146.18</v>
      </c>
      <c r="L4423">
        <v>1008.98</v>
      </c>
      <c r="M4423">
        <v>958.98</v>
      </c>
      <c r="N4423">
        <v>125605004</v>
      </c>
      <c r="O4423" t="s">
        <v>1644</v>
      </c>
    </row>
    <row r="4424" spans="1:15">
      <c r="A4424" t="s">
        <v>6021</v>
      </c>
      <c r="B4424" s="2">
        <v>43060.535983796297</v>
      </c>
      <c r="C4424" s="2">
        <v>43060.568159722221</v>
      </c>
      <c r="D4424" t="s">
        <v>881</v>
      </c>
      <c r="E4424" t="s">
        <v>6003</v>
      </c>
      <c r="F4424" t="s">
        <v>6004</v>
      </c>
      <c r="G4424" t="s">
        <v>1093</v>
      </c>
      <c r="H4424" t="s">
        <v>1043</v>
      </c>
      <c r="I4424">
        <v>308335008</v>
      </c>
      <c r="J4424" t="s">
        <v>1194</v>
      </c>
      <c r="K4424">
        <v>142.58000000000001</v>
      </c>
      <c r="L4424">
        <v>18227.599999999999</v>
      </c>
      <c r="M4424">
        <v>18177.599999999999</v>
      </c>
      <c r="N4424">
        <v>389095005</v>
      </c>
      <c r="O4424" t="s">
        <v>1191</v>
      </c>
    </row>
    <row r="4425" spans="1:15">
      <c r="A4425" t="s">
        <v>6022</v>
      </c>
      <c r="B4425" s="2">
        <v>43093.578587962962</v>
      </c>
      <c r="C4425" s="2">
        <v>43093.589004629626</v>
      </c>
      <c r="D4425" t="s">
        <v>881</v>
      </c>
      <c r="E4425" t="s">
        <v>6003</v>
      </c>
      <c r="F4425" t="s">
        <v>6004</v>
      </c>
      <c r="G4425" t="s">
        <v>1093</v>
      </c>
      <c r="H4425" t="s">
        <v>1031</v>
      </c>
      <c r="I4425">
        <v>185349003</v>
      </c>
      <c r="J4425" t="s">
        <v>1038</v>
      </c>
      <c r="K4425">
        <v>85.55</v>
      </c>
      <c r="L4425">
        <v>85.55</v>
      </c>
      <c r="M4425">
        <v>35.549999999999997</v>
      </c>
      <c r="N4425">
        <v>16114001</v>
      </c>
      <c r="O4425" t="s">
        <v>1858</v>
      </c>
    </row>
    <row r="4426" spans="1:15">
      <c r="A4426" t="s">
        <v>6023</v>
      </c>
      <c r="B4426" s="2">
        <v>43368.577650462961</v>
      </c>
      <c r="C4426" s="2">
        <v>43368.604027777779</v>
      </c>
      <c r="D4426" t="s">
        <v>881</v>
      </c>
      <c r="E4426" t="s">
        <v>5056</v>
      </c>
      <c r="F4426" t="s">
        <v>5057</v>
      </c>
      <c r="G4426" t="s">
        <v>1093</v>
      </c>
      <c r="H4426" t="s">
        <v>1020</v>
      </c>
      <c r="I4426">
        <v>162673000</v>
      </c>
      <c r="J4426" t="s">
        <v>1021</v>
      </c>
      <c r="K4426">
        <v>136.80000000000001</v>
      </c>
      <c r="L4426">
        <v>1423.92</v>
      </c>
      <c r="M4426">
        <v>1323.92</v>
      </c>
      <c r="O4426" t="s">
        <v>34</v>
      </c>
    </row>
    <row r="4427" spans="1:15">
      <c r="A4427" t="s">
        <v>6024</v>
      </c>
      <c r="B4427" s="2">
        <v>43375.577650462961</v>
      </c>
      <c r="C4427" s="2">
        <v>43375.601898148147</v>
      </c>
      <c r="D4427" t="s">
        <v>881</v>
      </c>
      <c r="E4427" t="s">
        <v>6003</v>
      </c>
      <c r="F4427" t="s">
        <v>6004</v>
      </c>
      <c r="G4427" t="s">
        <v>1093</v>
      </c>
      <c r="H4427" t="s">
        <v>1031</v>
      </c>
      <c r="I4427">
        <v>185349003</v>
      </c>
      <c r="J4427" t="s">
        <v>1038</v>
      </c>
      <c r="K4427">
        <v>85.55</v>
      </c>
      <c r="L4427">
        <v>12980.02</v>
      </c>
      <c r="M4427">
        <v>12930.02</v>
      </c>
      <c r="N4427">
        <v>275978004</v>
      </c>
      <c r="O4427" t="s">
        <v>1449</v>
      </c>
    </row>
    <row r="4428" spans="1:15">
      <c r="A4428" t="s">
        <v>6025</v>
      </c>
      <c r="B4428" s="2">
        <v>43402.577650462961</v>
      </c>
      <c r="C4428" s="2">
        <v>43402.588067129633</v>
      </c>
      <c r="D4428" t="s">
        <v>881</v>
      </c>
      <c r="E4428" t="s">
        <v>6003</v>
      </c>
      <c r="F4428" t="s">
        <v>6004</v>
      </c>
      <c r="G4428" t="s">
        <v>1093</v>
      </c>
      <c r="H4428" t="s">
        <v>1031</v>
      </c>
      <c r="I4428">
        <v>390906007</v>
      </c>
      <c r="J4428" t="s">
        <v>1255</v>
      </c>
      <c r="K4428">
        <v>85.55</v>
      </c>
      <c r="L4428">
        <v>234.71</v>
      </c>
      <c r="M4428">
        <v>184.71</v>
      </c>
      <c r="N4428">
        <v>55822004</v>
      </c>
      <c r="O4428" t="s">
        <v>2010</v>
      </c>
    </row>
    <row r="4429" spans="1:15">
      <c r="A4429" t="s">
        <v>6026</v>
      </c>
      <c r="B4429" s="2">
        <v>43739.577650462961</v>
      </c>
      <c r="C4429" s="2">
        <v>43739.602361111109</v>
      </c>
      <c r="D4429" t="s">
        <v>881</v>
      </c>
      <c r="E4429" t="s">
        <v>5056</v>
      </c>
      <c r="F4429" t="s">
        <v>5057</v>
      </c>
      <c r="G4429" t="s">
        <v>1093</v>
      </c>
      <c r="H4429" t="s">
        <v>1020</v>
      </c>
      <c r="I4429">
        <v>162673000</v>
      </c>
      <c r="J4429" t="s">
        <v>1021</v>
      </c>
      <c r="K4429">
        <v>136.80000000000001</v>
      </c>
      <c r="L4429">
        <v>1559.1</v>
      </c>
      <c r="M4429">
        <v>1459.1</v>
      </c>
      <c r="O4429" t="s">
        <v>34</v>
      </c>
    </row>
    <row r="4430" spans="1:15">
      <c r="A4430" t="s">
        <v>6027</v>
      </c>
      <c r="B4430" s="2">
        <v>43767.577650462961</v>
      </c>
      <c r="C4430" s="2">
        <v>43767.588067129633</v>
      </c>
      <c r="D4430" t="s">
        <v>881</v>
      </c>
      <c r="E4430" t="s">
        <v>6003</v>
      </c>
      <c r="F4430" t="s">
        <v>6004</v>
      </c>
      <c r="G4430" t="s">
        <v>1093</v>
      </c>
      <c r="H4430" t="s">
        <v>1031</v>
      </c>
      <c r="I4430">
        <v>390906007</v>
      </c>
      <c r="J4430" t="s">
        <v>1255</v>
      </c>
      <c r="K4430">
        <v>85.55</v>
      </c>
      <c r="L4430">
        <v>234.71</v>
      </c>
      <c r="M4430">
        <v>184.71</v>
      </c>
      <c r="N4430">
        <v>55822004</v>
      </c>
      <c r="O4430" t="s">
        <v>2010</v>
      </c>
    </row>
    <row r="4431" spans="1:15">
      <c r="A4431" t="s">
        <v>6028</v>
      </c>
      <c r="B4431" s="2">
        <v>44110.577650462961</v>
      </c>
      <c r="C4431" s="2">
        <v>44110.615300925929</v>
      </c>
      <c r="D4431" t="s">
        <v>881</v>
      </c>
      <c r="E4431" t="s">
        <v>5056</v>
      </c>
      <c r="F4431" t="s">
        <v>5057</v>
      </c>
      <c r="G4431" t="s">
        <v>1093</v>
      </c>
      <c r="H4431" t="s">
        <v>1020</v>
      </c>
      <c r="I4431">
        <v>162673000</v>
      </c>
      <c r="J4431" t="s">
        <v>1021</v>
      </c>
      <c r="K4431">
        <v>136.80000000000001</v>
      </c>
      <c r="L4431">
        <v>778.78</v>
      </c>
      <c r="M4431">
        <v>678.78</v>
      </c>
      <c r="O4431" t="s">
        <v>34</v>
      </c>
    </row>
    <row r="4432" spans="1:15">
      <c r="A4432" t="s">
        <v>6029</v>
      </c>
      <c r="B4432" s="2">
        <v>44132.577650462961</v>
      </c>
      <c r="C4432" s="2">
        <v>44132.588067129633</v>
      </c>
      <c r="D4432" t="s">
        <v>881</v>
      </c>
      <c r="E4432" t="s">
        <v>6003</v>
      </c>
      <c r="F4432" t="s">
        <v>6004</v>
      </c>
      <c r="G4432" t="s">
        <v>1093</v>
      </c>
      <c r="H4432" t="s">
        <v>1031</v>
      </c>
      <c r="I4432">
        <v>390906007</v>
      </c>
      <c r="J4432" t="s">
        <v>1255</v>
      </c>
      <c r="K4432">
        <v>85.55</v>
      </c>
      <c r="L4432">
        <v>234.71</v>
      </c>
      <c r="M4432">
        <v>184.71</v>
      </c>
      <c r="N4432">
        <v>55822004</v>
      </c>
      <c r="O4432" t="s">
        <v>2010</v>
      </c>
    </row>
    <row r="4433" spans="1:15">
      <c r="A4433" t="s">
        <v>6030</v>
      </c>
      <c r="B4433" s="2">
        <v>44278.577650462961</v>
      </c>
      <c r="C4433" s="2">
        <v>44278.588067129633</v>
      </c>
      <c r="D4433" t="s">
        <v>881</v>
      </c>
      <c r="E4433" t="s">
        <v>6003</v>
      </c>
      <c r="F4433" t="s">
        <v>6004</v>
      </c>
      <c r="G4433" t="s">
        <v>1093</v>
      </c>
      <c r="H4433" t="s">
        <v>1043</v>
      </c>
      <c r="I4433">
        <v>33879002</v>
      </c>
      <c r="J4433" t="s">
        <v>1044</v>
      </c>
      <c r="K4433">
        <v>142.58000000000001</v>
      </c>
      <c r="L4433">
        <v>278.58</v>
      </c>
      <c r="M4433">
        <v>228.58</v>
      </c>
      <c r="O4433" t="s">
        <v>34</v>
      </c>
    </row>
    <row r="4434" spans="1:15">
      <c r="A4434" t="s">
        <v>6031</v>
      </c>
      <c r="B4434" s="2">
        <v>44306.577650462961</v>
      </c>
      <c r="C4434" s="2">
        <v>44306.588067129633</v>
      </c>
      <c r="D4434" t="s">
        <v>881</v>
      </c>
      <c r="E4434" t="s">
        <v>6003</v>
      </c>
      <c r="F4434" t="s">
        <v>6004</v>
      </c>
      <c r="G4434" t="s">
        <v>1093</v>
      </c>
      <c r="H4434" t="s">
        <v>1043</v>
      </c>
      <c r="I4434">
        <v>33879002</v>
      </c>
      <c r="J4434" t="s">
        <v>1044</v>
      </c>
      <c r="K4434">
        <v>142.58000000000001</v>
      </c>
      <c r="L4434">
        <v>278.58</v>
      </c>
      <c r="M4434">
        <v>228.58</v>
      </c>
      <c r="O4434" t="s">
        <v>34</v>
      </c>
    </row>
    <row r="4435" spans="1:15">
      <c r="A4435" t="s">
        <v>6032</v>
      </c>
      <c r="B4435" s="2">
        <v>44399.577650462961</v>
      </c>
      <c r="C4435" s="2">
        <v>44401.125636574077</v>
      </c>
      <c r="D4435" t="s">
        <v>881</v>
      </c>
      <c r="E4435" t="s">
        <v>6003</v>
      </c>
      <c r="F4435" t="s">
        <v>6004</v>
      </c>
      <c r="G4435" t="s">
        <v>1093</v>
      </c>
      <c r="H4435" t="s">
        <v>1031</v>
      </c>
      <c r="I4435">
        <v>86013001</v>
      </c>
      <c r="J4435" t="s">
        <v>6033</v>
      </c>
      <c r="K4435">
        <v>142.58000000000001</v>
      </c>
      <c r="L4435">
        <v>5487.97</v>
      </c>
      <c r="M4435">
        <v>5437.97</v>
      </c>
      <c r="N4435">
        <v>268547008</v>
      </c>
      <c r="O4435" t="s">
        <v>6034</v>
      </c>
    </row>
    <row r="4436" spans="1:15">
      <c r="A4436" t="s">
        <v>6035</v>
      </c>
      <c r="B4436" s="2">
        <v>44404.500636574077</v>
      </c>
      <c r="C4436" s="2">
        <v>44404.5391087963</v>
      </c>
      <c r="D4436" t="s">
        <v>881</v>
      </c>
      <c r="E4436" t="s">
        <v>6003</v>
      </c>
      <c r="F4436" t="s">
        <v>6004</v>
      </c>
      <c r="G4436" t="s">
        <v>1093</v>
      </c>
      <c r="H4436" t="s">
        <v>1031</v>
      </c>
      <c r="I4436">
        <v>223484005</v>
      </c>
      <c r="J4436" t="s">
        <v>6036</v>
      </c>
      <c r="K4436">
        <v>142.58000000000001</v>
      </c>
      <c r="L4436">
        <v>573.98</v>
      </c>
      <c r="M4436">
        <v>523.98</v>
      </c>
      <c r="N4436">
        <v>254837009</v>
      </c>
      <c r="O4436" t="s">
        <v>6037</v>
      </c>
    </row>
    <row r="4437" spans="1:15">
      <c r="A4437" t="s">
        <v>6038</v>
      </c>
      <c r="B4437" s="2">
        <v>44410.330775462964</v>
      </c>
      <c r="C4437" s="2">
        <v>44412.518275462964</v>
      </c>
      <c r="D4437" t="s">
        <v>881</v>
      </c>
      <c r="E4437" t="s">
        <v>6003</v>
      </c>
      <c r="F4437" t="s">
        <v>6004</v>
      </c>
      <c r="G4437" t="s">
        <v>1093</v>
      </c>
      <c r="H4437" t="s">
        <v>1431</v>
      </c>
      <c r="I4437">
        <v>185347001</v>
      </c>
      <c r="J4437" t="s">
        <v>1124</v>
      </c>
      <c r="K4437">
        <v>87.71</v>
      </c>
      <c r="L4437">
        <v>519.11</v>
      </c>
      <c r="M4437">
        <v>469.11</v>
      </c>
      <c r="N4437">
        <v>254837009</v>
      </c>
      <c r="O4437" t="s">
        <v>6037</v>
      </c>
    </row>
    <row r="4438" spans="1:15">
      <c r="A4438" t="s">
        <v>6039</v>
      </c>
      <c r="B4438" s="2">
        <v>44419.893275462964</v>
      </c>
      <c r="C4438" s="2">
        <v>44419.909456018519</v>
      </c>
      <c r="D4438" t="s">
        <v>881</v>
      </c>
      <c r="E4438" t="s">
        <v>6003</v>
      </c>
      <c r="F4438" t="s">
        <v>6004</v>
      </c>
      <c r="G4438" t="s">
        <v>1093</v>
      </c>
      <c r="H4438" t="s">
        <v>1031</v>
      </c>
      <c r="I4438">
        <v>185347001</v>
      </c>
      <c r="J4438" t="s">
        <v>1124</v>
      </c>
      <c r="K4438">
        <v>85.55</v>
      </c>
      <c r="L4438">
        <v>1359.9</v>
      </c>
      <c r="M4438">
        <v>1309.9000000000001</v>
      </c>
      <c r="N4438">
        <v>254837009</v>
      </c>
      <c r="O4438" t="s">
        <v>6037</v>
      </c>
    </row>
    <row r="4439" spans="1:15">
      <c r="A4439" t="s">
        <v>6040</v>
      </c>
      <c r="B4439" s="2">
        <v>44421.107372685183</v>
      </c>
      <c r="C4439" s="2">
        <v>44421.124328703707</v>
      </c>
      <c r="D4439" t="s">
        <v>881</v>
      </c>
      <c r="E4439" t="s">
        <v>6003</v>
      </c>
      <c r="F4439" t="s">
        <v>6004</v>
      </c>
      <c r="G4439" t="s">
        <v>1093</v>
      </c>
      <c r="H4439" t="s">
        <v>1031</v>
      </c>
      <c r="I4439">
        <v>185347001</v>
      </c>
      <c r="J4439" t="s">
        <v>1124</v>
      </c>
      <c r="K4439">
        <v>85.55</v>
      </c>
      <c r="L4439">
        <v>1359.9</v>
      </c>
      <c r="M4439">
        <v>1309.9000000000001</v>
      </c>
      <c r="N4439">
        <v>254837009</v>
      </c>
      <c r="O4439" t="s">
        <v>6037</v>
      </c>
    </row>
    <row r="4440" spans="1:15">
      <c r="A4440" t="s">
        <v>6041</v>
      </c>
      <c r="B4440" s="2">
        <v>44422.363912037035</v>
      </c>
      <c r="C4440" s="2">
        <v>44422.385000000002</v>
      </c>
      <c r="D4440" t="s">
        <v>881</v>
      </c>
      <c r="E4440" t="s">
        <v>6003</v>
      </c>
      <c r="F4440" t="s">
        <v>6004</v>
      </c>
      <c r="G4440" t="s">
        <v>1093</v>
      </c>
      <c r="H4440" t="s">
        <v>1031</v>
      </c>
      <c r="I4440">
        <v>185347001</v>
      </c>
      <c r="J4440" t="s">
        <v>1124</v>
      </c>
      <c r="K4440">
        <v>85.55</v>
      </c>
      <c r="L4440">
        <v>512.63</v>
      </c>
      <c r="M4440">
        <v>462.63</v>
      </c>
      <c r="N4440">
        <v>254837009</v>
      </c>
      <c r="O4440" t="s">
        <v>6037</v>
      </c>
    </row>
    <row r="4441" spans="1:15">
      <c r="A4441" t="s">
        <v>6042</v>
      </c>
      <c r="B4441" s="2">
        <v>44423.591944444444</v>
      </c>
      <c r="C4441" s="2">
        <v>44423.60701388889</v>
      </c>
      <c r="D4441" t="s">
        <v>881</v>
      </c>
      <c r="E4441" t="s">
        <v>6003</v>
      </c>
      <c r="F4441" t="s">
        <v>6004</v>
      </c>
      <c r="G4441" t="s">
        <v>1093</v>
      </c>
      <c r="H4441" t="s">
        <v>1031</v>
      </c>
      <c r="I4441">
        <v>185347001</v>
      </c>
      <c r="J4441" t="s">
        <v>1124</v>
      </c>
      <c r="K4441">
        <v>85.55</v>
      </c>
      <c r="L4441">
        <v>1243.03</v>
      </c>
      <c r="M4441">
        <v>1193.03</v>
      </c>
      <c r="N4441">
        <v>254837009</v>
      </c>
      <c r="O4441" t="s">
        <v>6037</v>
      </c>
    </row>
    <row r="4442" spans="1:15">
      <c r="A4442" t="s">
        <v>6043</v>
      </c>
      <c r="B4442" s="2">
        <v>44425.053541666668</v>
      </c>
      <c r="C4442" s="2">
        <v>44425.074814814812</v>
      </c>
      <c r="D4442" t="s">
        <v>881</v>
      </c>
      <c r="E4442" t="s">
        <v>6003</v>
      </c>
      <c r="F4442" t="s">
        <v>6004</v>
      </c>
      <c r="G4442" t="s">
        <v>1093</v>
      </c>
      <c r="H4442" t="s">
        <v>1031</v>
      </c>
      <c r="I4442">
        <v>185347001</v>
      </c>
      <c r="J4442" t="s">
        <v>1124</v>
      </c>
      <c r="K4442">
        <v>85.55</v>
      </c>
      <c r="L4442">
        <v>512.63</v>
      </c>
      <c r="M4442">
        <v>462.63</v>
      </c>
      <c r="N4442">
        <v>254837009</v>
      </c>
      <c r="O4442" t="s">
        <v>6037</v>
      </c>
    </row>
    <row r="4443" spans="1:15">
      <c r="A4443" t="s">
        <v>6044</v>
      </c>
      <c r="B4443" s="2">
        <v>44426.338009259256</v>
      </c>
      <c r="C4443" s="2">
        <v>44426.360254629632</v>
      </c>
      <c r="D4443" t="s">
        <v>881</v>
      </c>
      <c r="E4443" t="s">
        <v>6003</v>
      </c>
      <c r="F4443" t="s">
        <v>6004</v>
      </c>
      <c r="G4443" t="s">
        <v>1093</v>
      </c>
      <c r="H4443" t="s">
        <v>1031</v>
      </c>
      <c r="I4443">
        <v>185347001</v>
      </c>
      <c r="J4443" t="s">
        <v>1124</v>
      </c>
      <c r="K4443">
        <v>85.55</v>
      </c>
      <c r="L4443">
        <v>1359.9</v>
      </c>
      <c r="M4443">
        <v>1309.9000000000001</v>
      </c>
      <c r="N4443">
        <v>254837009</v>
      </c>
      <c r="O4443" t="s">
        <v>6037</v>
      </c>
    </row>
    <row r="4444" spans="1:15">
      <c r="A4444" t="s">
        <v>6045</v>
      </c>
      <c r="B4444" s="2">
        <v>44427.40053240741</v>
      </c>
      <c r="C4444" s="2">
        <v>44427.412152777775</v>
      </c>
      <c r="D4444" t="s">
        <v>881</v>
      </c>
      <c r="E4444" t="s">
        <v>6003</v>
      </c>
      <c r="F4444" t="s">
        <v>6004</v>
      </c>
      <c r="G4444" t="s">
        <v>1093</v>
      </c>
      <c r="H4444" t="s">
        <v>1031</v>
      </c>
      <c r="I4444">
        <v>185347001</v>
      </c>
      <c r="J4444" t="s">
        <v>1124</v>
      </c>
      <c r="K4444">
        <v>85.55</v>
      </c>
      <c r="L4444">
        <v>1359.9</v>
      </c>
      <c r="M4444">
        <v>1309.9000000000001</v>
      </c>
      <c r="N4444">
        <v>254837009</v>
      </c>
      <c r="O4444" t="s">
        <v>6037</v>
      </c>
    </row>
    <row r="4445" spans="1:15">
      <c r="A4445" t="s">
        <v>6046</v>
      </c>
      <c r="B4445" s="2">
        <v>44428.81145833333</v>
      </c>
      <c r="C4445" s="2">
        <v>44428.837939814817</v>
      </c>
      <c r="D4445" t="s">
        <v>881</v>
      </c>
      <c r="E4445" t="s">
        <v>6003</v>
      </c>
      <c r="F4445" t="s">
        <v>6004</v>
      </c>
      <c r="G4445" t="s">
        <v>1093</v>
      </c>
      <c r="H4445" t="s">
        <v>1031</v>
      </c>
      <c r="I4445">
        <v>185347001</v>
      </c>
      <c r="J4445" t="s">
        <v>1124</v>
      </c>
      <c r="K4445">
        <v>85.55</v>
      </c>
      <c r="L4445">
        <v>1359.9</v>
      </c>
      <c r="M4445">
        <v>1309.9000000000001</v>
      </c>
      <c r="N4445">
        <v>254837009</v>
      </c>
      <c r="O4445" t="s">
        <v>6037</v>
      </c>
    </row>
    <row r="4446" spans="1:15">
      <c r="A4446" t="s">
        <v>6047</v>
      </c>
      <c r="B4446" s="2">
        <v>44430.241412037038</v>
      </c>
      <c r="C4446" s="2">
        <v>44430.25372685185</v>
      </c>
      <c r="D4446" t="s">
        <v>881</v>
      </c>
      <c r="E4446" t="s">
        <v>6003</v>
      </c>
      <c r="F4446" t="s">
        <v>6004</v>
      </c>
      <c r="G4446" t="s">
        <v>1093</v>
      </c>
      <c r="H4446" t="s">
        <v>1031</v>
      </c>
      <c r="I4446">
        <v>185347001</v>
      </c>
      <c r="J4446" t="s">
        <v>1124</v>
      </c>
      <c r="K4446">
        <v>85.55</v>
      </c>
      <c r="L4446">
        <v>1359.9</v>
      </c>
      <c r="M4446">
        <v>1309.9000000000001</v>
      </c>
      <c r="N4446">
        <v>254837009</v>
      </c>
      <c r="O4446" t="s">
        <v>6037</v>
      </c>
    </row>
    <row r="4447" spans="1:15">
      <c r="A4447" t="s">
        <v>6048</v>
      </c>
      <c r="B4447" s="2">
        <v>44431.752337962964</v>
      </c>
      <c r="C4447" s="2">
        <v>44431.776446759257</v>
      </c>
      <c r="D4447" t="s">
        <v>881</v>
      </c>
      <c r="E4447" t="s">
        <v>6003</v>
      </c>
      <c r="F4447" t="s">
        <v>6004</v>
      </c>
      <c r="G4447" t="s">
        <v>1093</v>
      </c>
      <c r="H4447" t="s">
        <v>1031</v>
      </c>
      <c r="I4447">
        <v>185347001</v>
      </c>
      <c r="J4447" t="s">
        <v>1124</v>
      </c>
      <c r="K4447">
        <v>85.55</v>
      </c>
      <c r="L4447">
        <v>512.63</v>
      </c>
      <c r="M4447">
        <v>462.63</v>
      </c>
      <c r="N4447">
        <v>254837009</v>
      </c>
      <c r="O4447" t="s">
        <v>6037</v>
      </c>
    </row>
    <row r="4448" spans="1:15">
      <c r="A4448" t="s">
        <v>6049</v>
      </c>
      <c r="B4448" s="2">
        <v>44431.202650462961</v>
      </c>
      <c r="C4448" s="2">
        <v>44431.213067129633</v>
      </c>
      <c r="D4448" t="s">
        <v>881</v>
      </c>
      <c r="E4448" t="s">
        <v>6003</v>
      </c>
      <c r="F4448" t="s">
        <v>6004</v>
      </c>
      <c r="G4448" t="s">
        <v>1093</v>
      </c>
      <c r="H4448" t="s">
        <v>1031</v>
      </c>
      <c r="I4448">
        <v>185345009</v>
      </c>
      <c r="J4448" t="s">
        <v>1032</v>
      </c>
      <c r="K4448">
        <v>85.55</v>
      </c>
      <c r="L4448">
        <v>85.55</v>
      </c>
      <c r="M4448">
        <v>35.549999999999997</v>
      </c>
      <c r="N4448">
        <v>444814009</v>
      </c>
      <c r="O4448" t="s">
        <v>1035</v>
      </c>
    </row>
    <row r="4449" spans="1:15">
      <c r="A4449" t="s">
        <v>6050</v>
      </c>
      <c r="B4449" s="2">
        <v>44433.256307870368</v>
      </c>
      <c r="C4449" s="2">
        <v>44433.278333333335</v>
      </c>
      <c r="D4449" t="s">
        <v>881</v>
      </c>
      <c r="E4449" t="s">
        <v>6003</v>
      </c>
      <c r="F4449" t="s">
        <v>6004</v>
      </c>
      <c r="G4449" t="s">
        <v>1093</v>
      </c>
      <c r="H4449" t="s">
        <v>1031</v>
      </c>
      <c r="I4449">
        <v>185347001</v>
      </c>
      <c r="J4449" t="s">
        <v>1124</v>
      </c>
      <c r="K4449">
        <v>85.55</v>
      </c>
      <c r="L4449">
        <v>824.36</v>
      </c>
      <c r="M4449">
        <v>774.36</v>
      </c>
      <c r="N4449">
        <v>254837009</v>
      </c>
      <c r="O4449" t="s">
        <v>6037</v>
      </c>
    </row>
    <row r="4450" spans="1:15">
      <c r="A4450" t="s">
        <v>6051</v>
      </c>
      <c r="B4450" s="2">
        <v>44434.344305555554</v>
      </c>
      <c r="C4450" s="2">
        <v>44434.368472222224</v>
      </c>
      <c r="D4450" t="s">
        <v>881</v>
      </c>
      <c r="E4450" t="s">
        <v>6003</v>
      </c>
      <c r="F4450" t="s">
        <v>6004</v>
      </c>
      <c r="G4450" t="s">
        <v>1093</v>
      </c>
      <c r="H4450" t="s">
        <v>1031</v>
      </c>
      <c r="I4450">
        <v>185347001</v>
      </c>
      <c r="J4450" t="s">
        <v>1124</v>
      </c>
      <c r="K4450">
        <v>85.55</v>
      </c>
      <c r="L4450">
        <v>839.26</v>
      </c>
      <c r="M4450">
        <v>789.26</v>
      </c>
      <c r="N4450">
        <v>254837009</v>
      </c>
      <c r="O4450" t="s">
        <v>6037</v>
      </c>
    </row>
    <row r="4451" spans="1:15">
      <c r="A4451" t="s">
        <v>6052</v>
      </c>
      <c r="B4451" s="2">
        <v>44435.370555555557</v>
      </c>
      <c r="C4451" s="2">
        <v>44435.38621527778</v>
      </c>
      <c r="D4451" t="s">
        <v>881</v>
      </c>
      <c r="E4451" t="s">
        <v>6003</v>
      </c>
      <c r="F4451" t="s">
        <v>6004</v>
      </c>
      <c r="G4451" t="s">
        <v>1093</v>
      </c>
      <c r="H4451" t="s">
        <v>1031</v>
      </c>
      <c r="I4451">
        <v>185347001</v>
      </c>
      <c r="J4451" t="s">
        <v>1124</v>
      </c>
      <c r="K4451">
        <v>85.55</v>
      </c>
      <c r="L4451">
        <v>1267.24</v>
      </c>
      <c r="M4451">
        <v>1217.24</v>
      </c>
      <c r="N4451">
        <v>254837009</v>
      </c>
      <c r="O4451" t="s">
        <v>6037</v>
      </c>
    </row>
    <row r="4452" spans="1:15">
      <c r="A4452" t="s">
        <v>6053</v>
      </c>
      <c r="B4452" s="2">
        <v>44436.679965277777</v>
      </c>
      <c r="C4452" s="2">
        <v>44436.699826388889</v>
      </c>
      <c r="D4452" t="s">
        <v>881</v>
      </c>
      <c r="E4452" t="s">
        <v>6003</v>
      </c>
      <c r="F4452" t="s">
        <v>6004</v>
      </c>
      <c r="G4452" t="s">
        <v>1093</v>
      </c>
      <c r="H4452" t="s">
        <v>1031</v>
      </c>
      <c r="I4452">
        <v>185347001</v>
      </c>
      <c r="J4452" t="s">
        <v>1124</v>
      </c>
      <c r="K4452">
        <v>85.55</v>
      </c>
      <c r="L4452">
        <v>512.63</v>
      </c>
      <c r="M4452">
        <v>462.63</v>
      </c>
      <c r="N4452">
        <v>254837009</v>
      </c>
      <c r="O4452" t="s">
        <v>6037</v>
      </c>
    </row>
    <row r="4453" spans="1:15">
      <c r="A4453" t="s">
        <v>6054</v>
      </c>
      <c r="B4453" s="2">
        <v>44437.98940972222</v>
      </c>
      <c r="C4453" s="2">
        <v>44438.010740740741</v>
      </c>
      <c r="D4453" t="s">
        <v>881</v>
      </c>
      <c r="E4453" t="s">
        <v>6003</v>
      </c>
      <c r="F4453" t="s">
        <v>6004</v>
      </c>
      <c r="G4453" t="s">
        <v>1093</v>
      </c>
      <c r="H4453" t="s">
        <v>1031</v>
      </c>
      <c r="I4453">
        <v>185347001</v>
      </c>
      <c r="J4453" t="s">
        <v>1124</v>
      </c>
      <c r="K4453">
        <v>85.55</v>
      </c>
      <c r="L4453">
        <v>512.63</v>
      </c>
      <c r="M4453">
        <v>462.63</v>
      </c>
      <c r="N4453">
        <v>254837009</v>
      </c>
      <c r="O4453" t="s">
        <v>6037</v>
      </c>
    </row>
    <row r="4454" spans="1:15">
      <c r="A4454" t="s">
        <v>6055</v>
      </c>
      <c r="B4454" s="2">
        <v>44439.042685185188</v>
      </c>
      <c r="C4454" s="2">
        <v>44439.057881944442</v>
      </c>
      <c r="D4454" t="s">
        <v>881</v>
      </c>
      <c r="E4454" t="s">
        <v>6003</v>
      </c>
      <c r="F4454" t="s">
        <v>6004</v>
      </c>
      <c r="G4454" t="s">
        <v>1093</v>
      </c>
      <c r="H4454" t="s">
        <v>1031</v>
      </c>
      <c r="I4454">
        <v>185347001</v>
      </c>
      <c r="J4454" t="s">
        <v>1124</v>
      </c>
      <c r="K4454">
        <v>85.55</v>
      </c>
      <c r="L4454">
        <v>1359.9</v>
      </c>
      <c r="M4454">
        <v>1309.9000000000001</v>
      </c>
      <c r="N4454">
        <v>254837009</v>
      </c>
      <c r="O4454" t="s">
        <v>6037</v>
      </c>
    </row>
    <row r="4455" spans="1:15">
      <c r="A4455" t="s">
        <v>6056</v>
      </c>
      <c r="B4455" s="2">
        <v>44440.426631944443</v>
      </c>
      <c r="C4455" s="2">
        <v>44440.440196759257</v>
      </c>
      <c r="D4455" t="s">
        <v>881</v>
      </c>
      <c r="E4455" t="s">
        <v>6003</v>
      </c>
      <c r="F4455" t="s">
        <v>6004</v>
      </c>
      <c r="G4455" t="s">
        <v>1093</v>
      </c>
      <c r="H4455" t="s">
        <v>1031</v>
      </c>
      <c r="I4455">
        <v>185347001</v>
      </c>
      <c r="J4455" t="s">
        <v>1124</v>
      </c>
      <c r="K4455">
        <v>85.55</v>
      </c>
      <c r="L4455">
        <v>1359.9</v>
      </c>
      <c r="M4455">
        <v>1309.9000000000001</v>
      </c>
      <c r="N4455">
        <v>254837009</v>
      </c>
      <c r="O4455" t="s">
        <v>6037</v>
      </c>
    </row>
    <row r="4456" spans="1:15">
      <c r="A4456" t="s">
        <v>6057</v>
      </c>
      <c r="B4456" s="2">
        <v>44441.722141203703</v>
      </c>
      <c r="C4456" s="2">
        <v>44441.739479166667</v>
      </c>
      <c r="D4456" t="s">
        <v>881</v>
      </c>
      <c r="E4456" t="s">
        <v>6003</v>
      </c>
      <c r="F4456" t="s">
        <v>6004</v>
      </c>
      <c r="G4456" t="s">
        <v>1093</v>
      </c>
      <c r="H4456" t="s">
        <v>1031</v>
      </c>
      <c r="I4456">
        <v>185347001</v>
      </c>
      <c r="J4456" t="s">
        <v>1124</v>
      </c>
      <c r="K4456">
        <v>85.55</v>
      </c>
      <c r="L4456">
        <v>512.63</v>
      </c>
      <c r="M4456">
        <v>462.63</v>
      </c>
      <c r="N4456">
        <v>254837009</v>
      </c>
      <c r="O4456" t="s">
        <v>6037</v>
      </c>
    </row>
    <row r="4457" spans="1:15">
      <c r="A4457" t="s">
        <v>6058</v>
      </c>
      <c r="B4457" s="2">
        <v>44442.876979166664</v>
      </c>
      <c r="C4457" s="2">
        <v>44442.891273148147</v>
      </c>
      <c r="D4457" t="s">
        <v>881</v>
      </c>
      <c r="E4457" t="s">
        <v>6003</v>
      </c>
      <c r="F4457" t="s">
        <v>6004</v>
      </c>
      <c r="G4457" t="s">
        <v>1093</v>
      </c>
      <c r="H4457" t="s">
        <v>1031</v>
      </c>
      <c r="I4457">
        <v>185347001</v>
      </c>
      <c r="J4457" t="s">
        <v>1124</v>
      </c>
      <c r="K4457">
        <v>85.55</v>
      </c>
      <c r="L4457">
        <v>1359.9</v>
      </c>
      <c r="M4457">
        <v>1309.9000000000001</v>
      </c>
      <c r="N4457">
        <v>254837009</v>
      </c>
      <c r="O4457" t="s">
        <v>6037</v>
      </c>
    </row>
    <row r="4458" spans="1:15">
      <c r="A4458" t="s">
        <v>6059</v>
      </c>
      <c r="B4458" s="2">
        <v>44444.17460648148</v>
      </c>
      <c r="C4458" s="2">
        <v>44444.199594907404</v>
      </c>
      <c r="D4458" t="s">
        <v>881</v>
      </c>
      <c r="E4458" t="s">
        <v>6003</v>
      </c>
      <c r="F4458" t="s">
        <v>6004</v>
      </c>
      <c r="G4458" t="s">
        <v>1093</v>
      </c>
      <c r="H4458" t="s">
        <v>1031</v>
      </c>
      <c r="I4458">
        <v>185347001</v>
      </c>
      <c r="J4458" t="s">
        <v>1124</v>
      </c>
      <c r="K4458">
        <v>85.55</v>
      </c>
      <c r="L4458">
        <v>991.73</v>
      </c>
      <c r="M4458">
        <v>941.73</v>
      </c>
      <c r="N4458">
        <v>254837009</v>
      </c>
      <c r="O4458" t="s">
        <v>6037</v>
      </c>
    </row>
    <row r="4459" spans="1:15">
      <c r="A4459" t="s">
        <v>6060</v>
      </c>
      <c r="B4459" s="2">
        <v>44445.44195601852</v>
      </c>
      <c r="C4459" s="2">
        <v>44445.464884259258</v>
      </c>
      <c r="D4459" t="s">
        <v>881</v>
      </c>
      <c r="E4459" t="s">
        <v>6003</v>
      </c>
      <c r="F4459" t="s">
        <v>6004</v>
      </c>
      <c r="G4459" t="s">
        <v>1093</v>
      </c>
      <c r="H4459" t="s">
        <v>1031</v>
      </c>
      <c r="I4459">
        <v>185347001</v>
      </c>
      <c r="J4459" t="s">
        <v>1124</v>
      </c>
      <c r="K4459">
        <v>85.55</v>
      </c>
      <c r="L4459">
        <v>512.63</v>
      </c>
      <c r="M4459">
        <v>462.63</v>
      </c>
      <c r="N4459">
        <v>254837009</v>
      </c>
      <c r="O4459" t="s">
        <v>6037</v>
      </c>
    </row>
    <row r="4460" spans="1:15">
      <c r="A4460" t="s">
        <v>6061</v>
      </c>
      <c r="B4460" s="2">
        <v>44446.769745370373</v>
      </c>
      <c r="C4460" s="2">
        <v>44446.790717592594</v>
      </c>
      <c r="D4460" t="s">
        <v>881</v>
      </c>
      <c r="E4460" t="s">
        <v>6003</v>
      </c>
      <c r="F4460" t="s">
        <v>6004</v>
      </c>
      <c r="G4460" t="s">
        <v>1093</v>
      </c>
      <c r="H4460" t="s">
        <v>1031</v>
      </c>
      <c r="I4460">
        <v>185347001</v>
      </c>
      <c r="J4460" t="s">
        <v>1124</v>
      </c>
      <c r="K4460">
        <v>85.55</v>
      </c>
      <c r="L4460">
        <v>1258.51</v>
      </c>
      <c r="M4460">
        <v>1208.51</v>
      </c>
      <c r="N4460">
        <v>254837009</v>
      </c>
      <c r="O4460" t="s">
        <v>6037</v>
      </c>
    </row>
    <row r="4461" spans="1:15">
      <c r="A4461" t="s">
        <v>6062</v>
      </c>
      <c r="B4461" s="2">
        <v>44448.065023148149</v>
      </c>
      <c r="C4461" s="2">
        <v>44448.076458333337</v>
      </c>
      <c r="D4461" t="s">
        <v>881</v>
      </c>
      <c r="E4461" t="s">
        <v>6003</v>
      </c>
      <c r="F4461" t="s">
        <v>6004</v>
      </c>
      <c r="G4461" t="s">
        <v>1093</v>
      </c>
      <c r="H4461" t="s">
        <v>1031</v>
      </c>
      <c r="I4461">
        <v>185347001</v>
      </c>
      <c r="J4461" t="s">
        <v>1124</v>
      </c>
      <c r="K4461">
        <v>85.55</v>
      </c>
      <c r="L4461">
        <v>1231.17</v>
      </c>
      <c r="M4461">
        <v>1181.17</v>
      </c>
      <c r="N4461">
        <v>254837009</v>
      </c>
      <c r="O4461" t="s">
        <v>6037</v>
      </c>
    </row>
    <row r="4462" spans="1:15">
      <c r="A4462" t="s">
        <v>6063</v>
      </c>
      <c r="B4462" s="2">
        <v>44449.268819444442</v>
      </c>
      <c r="C4462" s="2">
        <v>44449.283171296294</v>
      </c>
      <c r="D4462" t="s">
        <v>881</v>
      </c>
      <c r="E4462" t="s">
        <v>6003</v>
      </c>
      <c r="F4462" t="s">
        <v>6004</v>
      </c>
      <c r="G4462" t="s">
        <v>1093</v>
      </c>
      <c r="H4462" t="s">
        <v>1031</v>
      </c>
      <c r="I4462">
        <v>185347001</v>
      </c>
      <c r="J4462" t="s">
        <v>1124</v>
      </c>
      <c r="K4462">
        <v>85.55</v>
      </c>
      <c r="L4462">
        <v>512.63</v>
      </c>
      <c r="M4462">
        <v>462.63</v>
      </c>
      <c r="N4462">
        <v>254837009</v>
      </c>
      <c r="O4462" t="s">
        <v>6037</v>
      </c>
    </row>
    <row r="4463" spans="1:15">
      <c r="A4463" t="s">
        <v>6064</v>
      </c>
      <c r="B4463" s="2">
        <v>44450.590810185182</v>
      </c>
      <c r="C4463" s="2">
        <v>44450.60423611111</v>
      </c>
      <c r="D4463" t="s">
        <v>881</v>
      </c>
      <c r="E4463" t="s">
        <v>6003</v>
      </c>
      <c r="F4463" t="s">
        <v>6004</v>
      </c>
      <c r="G4463" t="s">
        <v>1093</v>
      </c>
      <c r="H4463" t="s">
        <v>1031</v>
      </c>
      <c r="I4463">
        <v>185347001</v>
      </c>
      <c r="J4463" t="s">
        <v>1124</v>
      </c>
      <c r="K4463">
        <v>85.55</v>
      </c>
      <c r="L4463">
        <v>1359.9</v>
      </c>
      <c r="M4463">
        <v>1309.9000000000001</v>
      </c>
      <c r="N4463">
        <v>254837009</v>
      </c>
      <c r="O4463" t="s">
        <v>6037</v>
      </c>
    </row>
    <row r="4464" spans="1:15">
      <c r="A4464" t="s">
        <v>6065</v>
      </c>
      <c r="B4464" s="2">
        <v>44451.638958333337</v>
      </c>
      <c r="C4464" s="2">
        <v>44451.654050925928</v>
      </c>
      <c r="D4464" t="s">
        <v>881</v>
      </c>
      <c r="E4464" t="s">
        <v>6003</v>
      </c>
      <c r="F4464" t="s">
        <v>6004</v>
      </c>
      <c r="G4464" t="s">
        <v>1093</v>
      </c>
      <c r="H4464" t="s">
        <v>1031</v>
      </c>
      <c r="I4464">
        <v>185347001</v>
      </c>
      <c r="J4464" t="s">
        <v>1124</v>
      </c>
      <c r="K4464">
        <v>85.55</v>
      </c>
      <c r="L4464">
        <v>642.08000000000004</v>
      </c>
      <c r="M4464">
        <v>592.08000000000004</v>
      </c>
      <c r="N4464">
        <v>254837009</v>
      </c>
      <c r="O4464" t="s">
        <v>6037</v>
      </c>
    </row>
    <row r="4465" spans="1:15">
      <c r="A4465" t="s">
        <v>6066</v>
      </c>
      <c r="B4465" s="2">
        <v>44452.792245370372</v>
      </c>
      <c r="C4465" s="2">
        <v>44452.813958333332</v>
      </c>
      <c r="D4465" t="s">
        <v>881</v>
      </c>
      <c r="E4465" t="s">
        <v>6003</v>
      </c>
      <c r="F4465" t="s">
        <v>6004</v>
      </c>
      <c r="G4465" t="s">
        <v>1093</v>
      </c>
      <c r="H4465" t="s">
        <v>1031</v>
      </c>
      <c r="I4465">
        <v>185347001</v>
      </c>
      <c r="J4465" t="s">
        <v>1124</v>
      </c>
      <c r="K4465">
        <v>85.55</v>
      </c>
      <c r="L4465">
        <v>1359.9</v>
      </c>
      <c r="M4465">
        <v>1309.9000000000001</v>
      </c>
      <c r="N4465">
        <v>254837009</v>
      </c>
      <c r="O4465" t="s">
        <v>6037</v>
      </c>
    </row>
    <row r="4466" spans="1:15">
      <c r="A4466" t="s">
        <v>6067</v>
      </c>
      <c r="B4466" s="2">
        <v>44454.150763888887</v>
      </c>
      <c r="C4466" s="2">
        <v>44454.177847222221</v>
      </c>
      <c r="D4466" t="s">
        <v>881</v>
      </c>
      <c r="E4466" t="s">
        <v>6003</v>
      </c>
      <c r="F4466" t="s">
        <v>6004</v>
      </c>
      <c r="G4466" t="s">
        <v>1093</v>
      </c>
      <c r="H4466" t="s">
        <v>1031</v>
      </c>
      <c r="I4466">
        <v>185347001</v>
      </c>
      <c r="J4466" t="s">
        <v>1124</v>
      </c>
      <c r="K4466">
        <v>85.55</v>
      </c>
      <c r="L4466">
        <v>512.63</v>
      </c>
      <c r="M4466">
        <v>462.63</v>
      </c>
      <c r="N4466">
        <v>254837009</v>
      </c>
      <c r="O4466" t="s">
        <v>6037</v>
      </c>
    </row>
    <row r="4467" spans="1:15">
      <c r="A4467" t="s">
        <v>6068</v>
      </c>
      <c r="B4467" s="2">
        <v>44455.256319444445</v>
      </c>
      <c r="C4467" s="2">
        <v>44455.268750000003</v>
      </c>
      <c r="D4467" t="s">
        <v>881</v>
      </c>
      <c r="E4467" t="s">
        <v>6003</v>
      </c>
      <c r="F4467" t="s">
        <v>6004</v>
      </c>
      <c r="G4467" t="s">
        <v>1093</v>
      </c>
      <c r="H4467" t="s">
        <v>1031</v>
      </c>
      <c r="I4467">
        <v>185347001</v>
      </c>
      <c r="J4467" t="s">
        <v>1124</v>
      </c>
      <c r="K4467">
        <v>85.55</v>
      </c>
      <c r="L4467">
        <v>512.63</v>
      </c>
      <c r="M4467">
        <v>462.63</v>
      </c>
      <c r="N4467">
        <v>254837009</v>
      </c>
      <c r="O4467" t="s">
        <v>6037</v>
      </c>
    </row>
    <row r="4468" spans="1:15">
      <c r="A4468" t="s">
        <v>6069</v>
      </c>
      <c r="B4468" s="2">
        <v>44456.555555555555</v>
      </c>
      <c r="C4468" s="2">
        <v>44456.580034722225</v>
      </c>
      <c r="D4468" t="s">
        <v>881</v>
      </c>
      <c r="E4468" t="s">
        <v>6003</v>
      </c>
      <c r="F4468" t="s">
        <v>6004</v>
      </c>
      <c r="G4468" t="s">
        <v>1093</v>
      </c>
      <c r="H4468" t="s">
        <v>1031</v>
      </c>
      <c r="I4468">
        <v>185347001</v>
      </c>
      <c r="J4468" t="s">
        <v>1124</v>
      </c>
      <c r="K4468">
        <v>85.55</v>
      </c>
      <c r="L4468">
        <v>1258.75</v>
      </c>
      <c r="M4468">
        <v>1208.75</v>
      </c>
      <c r="N4468">
        <v>254837009</v>
      </c>
      <c r="O4468" t="s">
        <v>6037</v>
      </c>
    </row>
    <row r="4469" spans="1:15">
      <c r="A4469" t="s">
        <v>6070</v>
      </c>
      <c r="B4469" s="2">
        <v>44457.980729166666</v>
      </c>
      <c r="C4469" s="2">
        <v>44458.004525462966</v>
      </c>
      <c r="D4469" t="s">
        <v>881</v>
      </c>
      <c r="E4469" t="s">
        <v>6003</v>
      </c>
      <c r="F4469" t="s">
        <v>6004</v>
      </c>
      <c r="G4469" t="s">
        <v>1093</v>
      </c>
      <c r="H4469" t="s">
        <v>1031</v>
      </c>
      <c r="I4469">
        <v>185347001</v>
      </c>
      <c r="J4469" t="s">
        <v>1124</v>
      </c>
      <c r="K4469">
        <v>85.55</v>
      </c>
      <c r="L4469">
        <v>545.08000000000004</v>
      </c>
      <c r="M4469">
        <v>495.08</v>
      </c>
      <c r="N4469">
        <v>254837009</v>
      </c>
      <c r="O4469" t="s">
        <v>6037</v>
      </c>
    </row>
    <row r="4470" spans="1:15">
      <c r="A4470" t="s">
        <v>6071</v>
      </c>
      <c r="B4470" s="2">
        <v>44459.099664351852</v>
      </c>
      <c r="C4470" s="2">
        <v>44459.113356481481</v>
      </c>
      <c r="D4470" t="s">
        <v>881</v>
      </c>
      <c r="E4470" t="s">
        <v>6003</v>
      </c>
      <c r="F4470" t="s">
        <v>6004</v>
      </c>
      <c r="G4470" t="s">
        <v>1093</v>
      </c>
      <c r="H4470" t="s">
        <v>1031</v>
      </c>
      <c r="I4470">
        <v>185347001</v>
      </c>
      <c r="J4470" t="s">
        <v>1124</v>
      </c>
      <c r="K4470">
        <v>85.55</v>
      </c>
      <c r="L4470">
        <v>1359.9</v>
      </c>
      <c r="M4470">
        <v>1309.9000000000001</v>
      </c>
      <c r="N4470">
        <v>254837009</v>
      </c>
      <c r="O4470" t="s">
        <v>6037</v>
      </c>
    </row>
    <row r="4471" spans="1:15">
      <c r="A4471" t="s">
        <v>6072</v>
      </c>
      <c r="B4471" s="2">
        <v>44460.269606481481</v>
      </c>
      <c r="C4471" s="2">
        <v>44460.281701388885</v>
      </c>
      <c r="D4471" t="s">
        <v>881</v>
      </c>
      <c r="E4471" t="s">
        <v>6003</v>
      </c>
      <c r="F4471" t="s">
        <v>6004</v>
      </c>
      <c r="G4471" t="s">
        <v>1093</v>
      </c>
      <c r="H4471" t="s">
        <v>1031</v>
      </c>
      <c r="I4471">
        <v>185347001</v>
      </c>
      <c r="J4471" t="s">
        <v>1124</v>
      </c>
      <c r="K4471">
        <v>85.55</v>
      </c>
      <c r="L4471">
        <v>512.63</v>
      </c>
      <c r="M4471">
        <v>462.63</v>
      </c>
      <c r="N4471">
        <v>254837009</v>
      </c>
      <c r="O4471" t="s">
        <v>6037</v>
      </c>
    </row>
    <row r="4472" spans="1:15">
      <c r="A4472" t="s">
        <v>6073</v>
      </c>
      <c r="B4472" s="2">
        <v>44461.692118055558</v>
      </c>
      <c r="C4472" s="2">
        <v>44461.706018518518</v>
      </c>
      <c r="D4472" t="s">
        <v>881</v>
      </c>
      <c r="E4472" t="s">
        <v>6003</v>
      </c>
      <c r="F4472" t="s">
        <v>6004</v>
      </c>
      <c r="G4472" t="s">
        <v>1093</v>
      </c>
      <c r="H4472" t="s">
        <v>1031</v>
      </c>
      <c r="I4472">
        <v>185347001</v>
      </c>
      <c r="J4472" t="s">
        <v>1124</v>
      </c>
      <c r="K4472">
        <v>85.55</v>
      </c>
      <c r="L4472">
        <v>512.63</v>
      </c>
      <c r="M4472">
        <v>462.63</v>
      </c>
      <c r="N4472">
        <v>254837009</v>
      </c>
      <c r="O4472" t="s">
        <v>6037</v>
      </c>
    </row>
    <row r="4473" spans="1:15">
      <c r="A4473" t="s">
        <v>6074</v>
      </c>
      <c r="B4473" s="2">
        <v>44465.622685185182</v>
      </c>
      <c r="C4473" s="2">
        <v>44465.633101851854</v>
      </c>
      <c r="D4473" t="s">
        <v>881</v>
      </c>
      <c r="E4473" t="s">
        <v>6003</v>
      </c>
      <c r="F4473" t="s">
        <v>6004</v>
      </c>
      <c r="G4473" t="s">
        <v>1093</v>
      </c>
      <c r="H4473" t="s">
        <v>1031</v>
      </c>
      <c r="I4473">
        <v>185347001</v>
      </c>
      <c r="J4473" t="s">
        <v>1124</v>
      </c>
      <c r="K4473">
        <v>85.55</v>
      </c>
      <c r="L4473">
        <v>85.55</v>
      </c>
      <c r="M4473">
        <v>35.549999999999997</v>
      </c>
      <c r="N4473">
        <v>254837009</v>
      </c>
      <c r="O4473" t="s">
        <v>6037</v>
      </c>
    </row>
    <row r="4474" spans="1:15">
      <c r="A4474" t="s">
        <v>6075</v>
      </c>
      <c r="B4474" s="2">
        <v>44481.577650462961</v>
      </c>
      <c r="C4474" s="2">
        <v>44481.615405092591</v>
      </c>
      <c r="D4474" t="s">
        <v>881</v>
      </c>
      <c r="E4474" t="s">
        <v>5056</v>
      </c>
      <c r="F4474" t="s">
        <v>5057</v>
      </c>
      <c r="G4474" t="s">
        <v>1974</v>
      </c>
      <c r="H4474" t="s">
        <v>1020</v>
      </c>
      <c r="I4474">
        <v>162673000</v>
      </c>
      <c r="J4474" t="s">
        <v>1021</v>
      </c>
      <c r="K4474">
        <v>136.80000000000001</v>
      </c>
      <c r="L4474">
        <v>1000.83</v>
      </c>
      <c r="M4474">
        <v>1000.83</v>
      </c>
      <c r="O4474" t="s">
        <v>34</v>
      </c>
    </row>
    <row r="4475" spans="1:15">
      <c r="A4475" t="s">
        <v>6076</v>
      </c>
      <c r="B4475" s="2">
        <v>44497.577650462961</v>
      </c>
      <c r="C4475" s="2">
        <v>44497.588067129633</v>
      </c>
      <c r="D4475" t="s">
        <v>881</v>
      </c>
      <c r="E4475" t="s">
        <v>6003</v>
      </c>
      <c r="F4475" t="s">
        <v>6004</v>
      </c>
      <c r="G4475" t="s">
        <v>1974</v>
      </c>
      <c r="H4475" t="s">
        <v>1031</v>
      </c>
      <c r="I4475">
        <v>390906007</v>
      </c>
      <c r="J4475" t="s">
        <v>1255</v>
      </c>
      <c r="K4475">
        <v>85.55</v>
      </c>
      <c r="L4475">
        <v>234.71</v>
      </c>
      <c r="M4475">
        <v>199.71</v>
      </c>
      <c r="N4475">
        <v>55822004</v>
      </c>
      <c r="O4475" t="s">
        <v>2010</v>
      </c>
    </row>
    <row r="4476" spans="1:15">
      <c r="A4476" t="s">
        <v>6077</v>
      </c>
      <c r="B4476" s="2">
        <v>44523.535983796297</v>
      </c>
      <c r="C4476" s="2">
        <v>44523.579745370371</v>
      </c>
      <c r="D4476" t="s">
        <v>881</v>
      </c>
      <c r="E4476" t="s">
        <v>6003</v>
      </c>
      <c r="F4476" t="s">
        <v>6004</v>
      </c>
      <c r="G4476" t="s">
        <v>1974</v>
      </c>
      <c r="H4476" t="s">
        <v>1043</v>
      </c>
      <c r="I4476">
        <v>308335008</v>
      </c>
      <c r="J4476" t="s">
        <v>1194</v>
      </c>
      <c r="K4476">
        <v>142.58000000000001</v>
      </c>
      <c r="L4476">
        <v>18081.02</v>
      </c>
      <c r="M4476">
        <v>18046.02</v>
      </c>
      <c r="N4476">
        <v>389095005</v>
      </c>
      <c r="O4476" t="s">
        <v>1191</v>
      </c>
    </row>
    <row r="4477" spans="1:15">
      <c r="A4477" t="s">
        <v>6078</v>
      </c>
      <c r="B4477" s="2">
        <v>44581.581018518518</v>
      </c>
      <c r="C4477" s="2">
        <v>44581.611747685187</v>
      </c>
      <c r="D4477" t="s">
        <v>881</v>
      </c>
      <c r="E4477" t="s">
        <v>6003</v>
      </c>
      <c r="F4477" t="s">
        <v>6004</v>
      </c>
      <c r="G4477" t="s">
        <v>1974</v>
      </c>
      <c r="H4477" t="s">
        <v>1031</v>
      </c>
      <c r="I4477">
        <v>439740005</v>
      </c>
      <c r="J4477" t="s">
        <v>1908</v>
      </c>
      <c r="K4477">
        <v>142.58000000000001</v>
      </c>
      <c r="L4477">
        <v>573.98</v>
      </c>
      <c r="M4477">
        <v>538.98</v>
      </c>
      <c r="N4477">
        <v>254837009</v>
      </c>
      <c r="O4477" t="s">
        <v>6037</v>
      </c>
    </row>
    <row r="4478" spans="1:15">
      <c r="A4478" t="s">
        <v>6079</v>
      </c>
      <c r="B4478" s="2">
        <v>44706.653414351851</v>
      </c>
      <c r="C4478" s="2">
        <v>44706.678680555553</v>
      </c>
      <c r="D4478" t="s">
        <v>881</v>
      </c>
      <c r="E4478" t="s">
        <v>6003</v>
      </c>
      <c r="F4478" t="s">
        <v>6004</v>
      </c>
      <c r="G4478" t="s">
        <v>1974</v>
      </c>
      <c r="H4478" t="s">
        <v>1031</v>
      </c>
      <c r="I4478">
        <v>439740005</v>
      </c>
      <c r="J4478" t="s">
        <v>1908</v>
      </c>
      <c r="K4478">
        <v>142.58000000000001</v>
      </c>
      <c r="L4478">
        <v>573.98</v>
      </c>
      <c r="M4478">
        <v>538.98</v>
      </c>
      <c r="N4478">
        <v>254837009</v>
      </c>
      <c r="O4478" t="s">
        <v>6037</v>
      </c>
    </row>
    <row r="4479" spans="1:15">
      <c r="A4479" t="s">
        <v>6080</v>
      </c>
      <c r="B4479" s="2">
        <v>44828.678680555553</v>
      </c>
      <c r="C4479" s="2">
        <v>44828.70784722222</v>
      </c>
      <c r="D4479" t="s">
        <v>881</v>
      </c>
      <c r="E4479" t="s">
        <v>6003</v>
      </c>
      <c r="F4479" t="s">
        <v>6004</v>
      </c>
      <c r="G4479" t="s">
        <v>1974</v>
      </c>
      <c r="H4479" t="s">
        <v>1031</v>
      </c>
      <c r="I4479">
        <v>439740005</v>
      </c>
      <c r="J4479" t="s">
        <v>1908</v>
      </c>
      <c r="K4479">
        <v>142.58000000000001</v>
      </c>
      <c r="L4479">
        <v>573.98</v>
      </c>
      <c r="M4479">
        <v>538.98</v>
      </c>
      <c r="N4479">
        <v>254837009</v>
      </c>
      <c r="O4479" t="s">
        <v>6037</v>
      </c>
    </row>
    <row r="4480" spans="1:15">
      <c r="A4480" t="s">
        <v>6081</v>
      </c>
      <c r="B4480" s="2">
        <v>44828.70784722222</v>
      </c>
      <c r="C4480" s="2">
        <v>44828.724178240744</v>
      </c>
      <c r="D4480" t="s">
        <v>881</v>
      </c>
      <c r="E4480" t="s">
        <v>6003</v>
      </c>
      <c r="F4480" t="s">
        <v>6004</v>
      </c>
      <c r="G4480" t="s">
        <v>1974</v>
      </c>
      <c r="H4480" t="s">
        <v>1031</v>
      </c>
      <c r="I4480">
        <v>410410006</v>
      </c>
      <c r="J4480" t="s">
        <v>6082</v>
      </c>
      <c r="K4480">
        <v>142.58000000000001</v>
      </c>
      <c r="L4480">
        <v>250.7</v>
      </c>
      <c r="M4480">
        <v>215.7</v>
      </c>
      <c r="N4480">
        <v>254837009</v>
      </c>
      <c r="O4480" t="s">
        <v>6037</v>
      </c>
    </row>
    <row r="4481" spans="1:15">
      <c r="A4481" t="s">
        <v>6083</v>
      </c>
      <c r="B4481" s="2">
        <v>44828.724178240744</v>
      </c>
      <c r="C4481" s="2">
        <v>44828.735185185185</v>
      </c>
      <c r="D4481" t="s">
        <v>881</v>
      </c>
      <c r="E4481" t="s">
        <v>6003</v>
      </c>
      <c r="F4481" t="s">
        <v>6004</v>
      </c>
      <c r="G4481" t="s">
        <v>1974</v>
      </c>
      <c r="H4481" t="s">
        <v>1031</v>
      </c>
      <c r="I4481">
        <v>185389009</v>
      </c>
      <c r="J4481" t="s">
        <v>5153</v>
      </c>
      <c r="K4481">
        <v>85.55</v>
      </c>
      <c r="L4481">
        <v>16468.32</v>
      </c>
      <c r="M4481">
        <v>16433.32</v>
      </c>
      <c r="N4481">
        <v>254837009</v>
      </c>
      <c r="O4481" t="s">
        <v>6037</v>
      </c>
    </row>
    <row r="4482" spans="1:15">
      <c r="A4482" t="s">
        <v>6084</v>
      </c>
      <c r="B4482" s="2">
        <v>44852.577650462961</v>
      </c>
      <c r="C4482" s="2">
        <v>44852.599421296298</v>
      </c>
      <c r="D4482" t="s">
        <v>881</v>
      </c>
      <c r="E4482" t="s">
        <v>5056</v>
      </c>
      <c r="F4482" t="s">
        <v>5057</v>
      </c>
      <c r="G4482" t="s">
        <v>1974</v>
      </c>
      <c r="H4482" t="s">
        <v>1020</v>
      </c>
      <c r="I4482">
        <v>162673000</v>
      </c>
      <c r="J4482" t="s">
        <v>1021</v>
      </c>
      <c r="K4482">
        <v>136.80000000000001</v>
      </c>
      <c r="L4482">
        <v>1567</v>
      </c>
      <c r="M4482">
        <v>1567</v>
      </c>
      <c r="O4482" t="s">
        <v>34</v>
      </c>
    </row>
    <row r="4483" spans="1:15">
      <c r="A4483" t="s">
        <v>6085</v>
      </c>
      <c r="B4483" s="2">
        <v>44862.577650462961</v>
      </c>
      <c r="C4483" s="2">
        <v>44862.588067129633</v>
      </c>
      <c r="D4483" t="s">
        <v>881</v>
      </c>
      <c r="E4483" t="s">
        <v>6003</v>
      </c>
      <c r="F4483" t="s">
        <v>6004</v>
      </c>
      <c r="G4483" t="s">
        <v>1974</v>
      </c>
      <c r="H4483" t="s">
        <v>1031</v>
      </c>
      <c r="I4483">
        <v>390906007</v>
      </c>
      <c r="J4483" t="s">
        <v>1255</v>
      </c>
      <c r="K4483">
        <v>85.55</v>
      </c>
      <c r="L4483">
        <v>234.71</v>
      </c>
      <c r="M4483">
        <v>199.71</v>
      </c>
      <c r="N4483">
        <v>55822004</v>
      </c>
      <c r="O4483" t="s">
        <v>2010</v>
      </c>
    </row>
    <row r="4484" spans="1:15">
      <c r="A4484" t="s">
        <v>6086</v>
      </c>
      <c r="B4484" s="2">
        <v>44948.693518518521</v>
      </c>
      <c r="C4484" s="2">
        <v>44948.716469907406</v>
      </c>
      <c r="D4484" t="s">
        <v>881</v>
      </c>
      <c r="E4484" t="s">
        <v>6003</v>
      </c>
      <c r="F4484" t="s">
        <v>6004</v>
      </c>
      <c r="G4484" t="s">
        <v>1974</v>
      </c>
      <c r="H4484" t="s">
        <v>1031</v>
      </c>
      <c r="I4484">
        <v>439740005</v>
      </c>
      <c r="J4484" t="s">
        <v>1908</v>
      </c>
      <c r="K4484">
        <v>142.58000000000001</v>
      </c>
      <c r="L4484">
        <v>573.98</v>
      </c>
      <c r="M4484">
        <v>538.98</v>
      </c>
      <c r="N4484">
        <v>254837009</v>
      </c>
      <c r="O4484" t="s">
        <v>6037</v>
      </c>
    </row>
    <row r="4485" spans="1:15">
      <c r="A4485" t="s">
        <v>6087</v>
      </c>
      <c r="B4485" s="2">
        <v>45060.758136574077</v>
      </c>
      <c r="C4485" s="2">
        <v>45060.779814814814</v>
      </c>
      <c r="D4485" t="s">
        <v>881</v>
      </c>
      <c r="E4485" t="s">
        <v>6003</v>
      </c>
      <c r="F4485" t="s">
        <v>6004</v>
      </c>
      <c r="G4485" t="s">
        <v>1974</v>
      </c>
      <c r="H4485" t="s">
        <v>1031</v>
      </c>
      <c r="I4485">
        <v>439740005</v>
      </c>
      <c r="J4485" t="s">
        <v>1908</v>
      </c>
      <c r="K4485">
        <v>142.58000000000001</v>
      </c>
      <c r="L4485">
        <v>573.98</v>
      </c>
      <c r="M4485">
        <v>538.98</v>
      </c>
      <c r="N4485">
        <v>254837009</v>
      </c>
      <c r="O4485" t="s">
        <v>6037</v>
      </c>
    </row>
    <row r="4486" spans="1:15">
      <c r="A4486" t="s">
        <v>6088</v>
      </c>
      <c r="B4486" s="2">
        <v>45169.779814814814</v>
      </c>
      <c r="C4486" s="2">
        <v>45169.803206018521</v>
      </c>
      <c r="D4486" t="s">
        <v>881</v>
      </c>
      <c r="E4486" t="s">
        <v>6003</v>
      </c>
      <c r="F4486" t="s">
        <v>6004</v>
      </c>
      <c r="G4486" t="s">
        <v>1974</v>
      </c>
      <c r="H4486" t="s">
        <v>1031</v>
      </c>
      <c r="I4486">
        <v>439740005</v>
      </c>
      <c r="J4486" t="s">
        <v>1908</v>
      </c>
      <c r="K4486">
        <v>142.58000000000001</v>
      </c>
      <c r="L4486">
        <v>573.98</v>
      </c>
      <c r="M4486">
        <v>538.98</v>
      </c>
      <c r="N4486">
        <v>254837009</v>
      </c>
      <c r="O4486" t="s">
        <v>6037</v>
      </c>
    </row>
    <row r="4487" spans="1:15">
      <c r="A4487" t="s">
        <v>6089</v>
      </c>
      <c r="B4487" s="2">
        <v>45169.803206018521</v>
      </c>
      <c r="C4487" s="2">
        <v>45169.819421296299</v>
      </c>
      <c r="D4487" t="s">
        <v>881</v>
      </c>
      <c r="E4487" t="s">
        <v>6003</v>
      </c>
      <c r="F4487" t="s">
        <v>6004</v>
      </c>
      <c r="G4487" t="s">
        <v>1974</v>
      </c>
      <c r="H4487" t="s">
        <v>1031</v>
      </c>
      <c r="I4487">
        <v>410410006</v>
      </c>
      <c r="J4487" t="s">
        <v>6082</v>
      </c>
      <c r="K4487">
        <v>142.58000000000001</v>
      </c>
      <c r="L4487">
        <v>325.49</v>
      </c>
      <c r="M4487">
        <v>290.49</v>
      </c>
      <c r="N4487">
        <v>254837009</v>
      </c>
      <c r="O4487" t="s">
        <v>6037</v>
      </c>
    </row>
    <row r="4488" spans="1:15">
      <c r="A4488" t="s">
        <v>6090</v>
      </c>
      <c r="B4488" s="2">
        <v>45169.819421296299</v>
      </c>
      <c r="C4488" s="2">
        <v>45169.830555555556</v>
      </c>
      <c r="D4488" t="s">
        <v>881</v>
      </c>
      <c r="E4488" t="s">
        <v>6003</v>
      </c>
      <c r="F4488" t="s">
        <v>6004</v>
      </c>
      <c r="G4488" t="s">
        <v>1974</v>
      </c>
      <c r="H4488" t="s">
        <v>1031</v>
      </c>
      <c r="I4488">
        <v>185389009</v>
      </c>
      <c r="J4488" t="s">
        <v>5153</v>
      </c>
      <c r="K4488">
        <v>85.55</v>
      </c>
      <c r="L4488">
        <v>4452.09</v>
      </c>
      <c r="M4488">
        <v>4417.09</v>
      </c>
      <c r="N4488">
        <v>254837009</v>
      </c>
      <c r="O4488" t="s">
        <v>6037</v>
      </c>
    </row>
    <row r="4489" spans="1:15">
      <c r="A4489" t="s">
        <v>6091</v>
      </c>
      <c r="B4489" s="2">
        <v>45201.601898148147</v>
      </c>
      <c r="C4489" s="2">
        <v>45201.625162037039</v>
      </c>
      <c r="D4489" t="s">
        <v>881</v>
      </c>
      <c r="E4489" t="s">
        <v>6003</v>
      </c>
      <c r="F4489" t="s">
        <v>6004</v>
      </c>
      <c r="G4489" t="s">
        <v>1974</v>
      </c>
      <c r="H4489" t="s">
        <v>1031</v>
      </c>
      <c r="I4489">
        <v>185349003</v>
      </c>
      <c r="J4489" t="s">
        <v>1038</v>
      </c>
      <c r="K4489">
        <v>85.55</v>
      </c>
      <c r="L4489">
        <v>13308.34</v>
      </c>
      <c r="M4489">
        <v>13273.34</v>
      </c>
      <c r="N4489">
        <v>275978004</v>
      </c>
      <c r="O4489" t="s">
        <v>1449</v>
      </c>
    </row>
    <row r="4490" spans="1:15">
      <c r="A4490" t="s">
        <v>6092</v>
      </c>
      <c r="B4490" s="2">
        <v>45223.577650462961</v>
      </c>
      <c r="C4490" s="2">
        <v>45223.611990740741</v>
      </c>
      <c r="D4490" t="s">
        <v>881</v>
      </c>
      <c r="E4490" t="s">
        <v>5056</v>
      </c>
      <c r="F4490" t="s">
        <v>5057</v>
      </c>
      <c r="G4490" t="s">
        <v>1974</v>
      </c>
      <c r="H4490" t="s">
        <v>1020</v>
      </c>
      <c r="I4490">
        <v>162673000</v>
      </c>
      <c r="J4490" t="s">
        <v>1021</v>
      </c>
      <c r="K4490">
        <v>136.80000000000001</v>
      </c>
      <c r="L4490">
        <v>919.9</v>
      </c>
      <c r="M4490">
        <v>919.9</v>
      </c>
      <c r="O4490" t="s">
        <v>34</v>
      </c>
    </row>
    <row r="4491" spans="1:15">
      <c r="A4491" t="s">
        <v>6093</v>
      </c>
      <c r="B4491" s="2">
        <v>45227.577650462961</v>
      </c>
      <c r="C4491" s="2">
        <v>45227.588067129633</v>
      </c>
      <c r="D4491" t="s">
        <v>881</v>
      </c>
      <c r="E4491" t="s">
        <v>6003</v>
      </c>
      <c r="F4491" t="s">
        <v>6004</v>
      </c>
      <c r="G4491" t="s">
        <v>1974</v>
      </c>
      <c r="H4491" t="s">
        <v>1031</v>
      </c>
      <c r="I4491">
        <v>390906007</v>
      </c>
      <c r="J4491" t="s">
        <v>1255</v>
      </c>
      <c r="K4491">
        <v>85.55</v>
      </c>
      <c r="L4491">
        <v>234.71</v>
      </c>
      <c r="M4491">
        <v>199.71</v>
      </c>
      <c r="N4491">
        <v>55822004</v>
      </c>
      <c r="O4491" t="s">
        <v>2010</v>
      </c>
    </row>
    <row r="4492" spans="1:15">
      <c r="A4492" t="s">
        <v>6094</v>
      </c>
      <c r="B4492" s="2">
        <v>45272.788888888892</v>
      </c>
      <c r="C4492" s="2">
        <v>45272.818958333337</v>
      </c>
      <c r="D4492" t="s">
        <v>881</v>
      </c>
      <c r="E4492" t="s">
        <v>6003</v>
      </c>
      <c r="F4492" t="s">
        <v>6004</v>
      </c>
      <c r="G4492" t="s">
        <v>1974</v>
      </c>
      <c r="H4492" t="s">
        <v>1031</v>
      </c>
      <c r="I4492">
        <v>439740005</v>
      </c>
      <c r="J4492" t="s">
        <v>1908</v>
      </c>
      <c r="K4492">
        <v>142.58000000000001</v>
      </c>
      <c r="L4492">
        <v>573.98</v>
      </c>
      <c r="M4492">
        <v>538.98</v>
      </c>
      <c r="N4492">
        <v>254837009</v>
      </c>
      <c r="O4492" t="s">
        <v>6037</v>
      </c>
    </row>
    <row r="4493" spans="1:15">
      <c r="A4493" t="s">
        <v>6095</v>
      </c>
      <c r="B4493" s="2">
        <v>45378.860625000001</v>
      </c>
      <c r="C4493" s="2">
        <v>45378.886886574073</v>
      </c>
      <c r="D4493" t="s">
        <v>881</v>
      </c>
      <c r="E4493" t="s">
        <v>6003</v>
      </c>
      <c r="F4493" t="s">
        <v>6004</v>
      </c>
      <c r="G4493" t="s">
        <v>1974</v>
      </c>
      <c r="H4493" t="s">
        <v>1031</v>
      </c>
      <c r="I4493">
        <v>439740005</v>
      </c>
      <c r="J4493" t="s">
        <v>1908</v>
      </c>
      <c r="K4493">
        <v>142.58000000000001</v>
      </c>
      <c r="L4493">
        <v>573.98</v>
      </c>
      <c r="M4493">
        <v>538.98</v>
      </c>
      <c r="N4493">
        <v>254837009</v>
      </c>
      <c r="O4493" t="s">
        <v>6037</v>
      </c>
    </row>
    <row r="4494" spans="1:15">
      <c r="A4494" t="s">
        <v>6096</v>
      </c>
      <c r="B4494" s="2">
        <v>45482.886886574073</v>
      </c>
      <c r="C4494" s="2">
        <v>45482.915648148148</v>
      </c>
      <c r="D4494" t="s">
        <v>881</v>
      </c>
      <c r="E4494" t="s">
        <v>6003</v>
      </c>
      <c r="F4494" t="s">
        <v>6004</v>
      </c>
      <c r="G4494" t="s">
        <v>1974</v>
      </c>
      <c r="H4494" t="s">
        <v>1031</v>
      </c>
      <c r="I4494">
        <v>439740005</v>
      </c>
      <c r="J4494" t="s">
        <v>1908</v>
      </c>
      <c r="K4494">
        <v>142.58000000000001</v>
      </c>
      <c r="L4494">
        <v>573.98</v>
      </c>
      <c r="M4494">
        <v>538.98</v>
      </c>
      <c r="N4494">
        <v>254837009</v>
      </c>
      <c r="O4494" t="s">
        <v>6037</v>
      </c>
    </row>
    <row r="4495" spans="1:15">
      <c r="A4495" t="s">
        <v>6097</v>
      </c>
      <c r="B4495" s="2">
        <v>45482.915648148148</v>
      </c>
      <c r="C4495" s="2">
        <v>45482.932754629626</v>
      </c>
      <c r="D4495" t="s">
        <v>881</v>
      </c>
      <c r="E4495" t="s">
        <v>6003</v>
      </c>
      <c r="F4495" t="s">
        <v>6004</v>
      </c>
      <c r="G4495" t="s">
        <v>1974</v>
      </c>
      <c r="H4495" t="s">
        <v>1031</v>
      </c>
      <c r="I4495">
        <v>410410006</v>
      </c>
      <c r="J4495" t="s">
        <v>6082</v>
      </c>
      <c r="K4495">
        <v>142.58000000000001</v>
      </c>
      <c r="L4495">
        <v>211.6</v>
      </c>
      <c r="M4495">
        <v>176.6</v>
      </c>
      <c r="N4495">
        <v>254837009</v>
      </c>
      <c r="O4495" t="s">
        <v>6037</v>
      </c>
    </row>
    <row r="4496" spans="1:15">
      <c r="A4496" t="s">
        <v>6098</v>
      </c>
      <c r="B4496" s="2">
        <v>45482.932754629626</v>
      </c>
      <c r="C4496" s="2">
        <v>45482.943171296298</v>
      </c>
      <c r="D4496" t="s">
        <v>881</v>
      </c>
      <c r="E4496" t="s">
        <v>6003</v>
      </c>
      <c r="F4496" t="s">
        <v>6004</v>
      </c>
      <c r="G4496" t="s">
        <v>1974</v>
      </c>
      <c r="H4496" t="s">
        <v>1031</v>
      </c>
      <c r="I4496">
        <v>185389009</v>
      </c>
      <c r="J4496" t="s">
        <v>5153</v>
      </c>
      <c r="K4496">
        <v>85.55</v>
      </c>
      <c r="L4496">
        <v>4810.24</v>
      </c>
      <c r="M4496">
        <v>4775.24</v>
      </c>
      <c r="N4496">
        <v>254837009</v>
      </c>
      <c r="O4496" t="s">
        <v>6037</v>
      </c>
    </row>
    <row r="4497" spans="1:15">
      <c r="A4497" t="s">
        <v>6099</v>
      </c>
      <c r="B4497" s="2">
        <v>45594.577650462961</v>
      </c>
      <c r="C4497" s="2">
        <v>45594.611157407409</v>
      </c>
      <c r="D4497" t="s">
        <v>881</v>
      </c>
      <c r="E4497" t="s">
        <v>5056</v>
      </c>
      <c r="F4497" t="s">
        <v>5057</v>
      </c>
      <c r="G4497" t="s">
        <v>1093</v>
      </c>
      <c r="H4497" t="s">
        <v>1020</v>
      </c>
      <c r="I4497">
        <v>162673000</v>
      </c>
      <c r="J4497" t="s">
        <v>1021</v>
      </c>
      <c r="K4497">
        <v>136.80000000000001</v>
      </c>
      <c r="L4497">
        <v>1053.79</v>
      </c>
      <c r="M4497">
        <v>953.79</v>
      </c>
      <c r="O4497" t="s">
        <v>34</v>
      </c>
    </row>
    <row r="4498" spans="1:15">
      <c r="A4498" t="s">
        <v>6100</v>
      </c>
      <c r="B4498" s="2">
        <v>45601.535983796297</v>
      </c>
      <c r="C4498" s="2">
        <v>45601.560578703706</v>
      </c>
      <c r="D4498" t="s">
        <v>881</v>
      </c>
      <c r="E4498" t="s">
        <v>6003</v>
      </c>
      <c r="F4498" t="s">
        <v>6004</v>
      </c>
      <c r="G4498" t="s">
        <v>1093</v>
      </c>
      <c r="H4498" t="s">
        <v>1031</v>
      </c>
      <c r="I4498">
        <v>439740005</v>
      </c>
      <c r="J4498" t="s">
        <v>1908</v>
      </c>
      <c r="K4498">
        <v>142.58000000000001</v>
      </c>
      <c r="L4498">
        <v>573.98</v>
      </c>
      <c r="M4498">
        <v>523.98</v>
      </c>
      <c r="N4498">
        <v>254837009</v>
      </c>
      <c r="O4498" t="s">
        <v>6037</v>
      </c>
    </row>
    <row r="4499" spans="1:15">
      <c r="A4499" t="s">
        <v>6101</v>
      </c>
      <c r="B4499" s="2">
        <v>45608.535983796297</v>
      </c>
      <c r="C4499" s="2">
        <v>45608.546400462961</v>
      </c>
      <c r="D4499" t="s">
        <v>881</v>
      </c>
      <c r="E4499" t="s">
        <v>6003</v>
      </c>
      <c r="F4499" t="s">
        <v>6004</v>
      </c>
      <c r="G4499" t="s">
        <v>1093</v>
      </c>
      <c r="H4499" t="s">
        <v>1031</v>
      </c>
      <c r="I4499">
        <v>390906007</v>
      </c>
      <c r="J4499" t="s">
        <v>1255</v>
      </c>
      <c r="K4499">
        <v>85.55</v>
      </c>
      <c r="L4499">
        <v>234.71</v>
      </c>
      <c r="M4499">
        <v>184.71</v>
      </c>
      <c r="N4499">
        <v>55822004</v>
      </c>
      <c r="O4499" t="s">
        <v>2010</v>
      </c>
    </row>
    <row r="4500" spans="1:15">
      <c r="A4500" t="s">
        <v>6102</v>
      </c>
      <c r="B4500" s="2">
        <v>45710.560578703706</v>
      </c>
      <c r="C4500" s="2">
        <v>45710.591412037036</v>
      </c>
      <c r="D4500" t="s">
        <v>881</v>
      </c>
      <c r="E4500" t="s">
        <v>6003</v>
      </c>
      <c r="F4500" t="s">
        <v>6004</v>
      </c>
      <c r="G4500" t="s">
        <v>1093</v>
      </c>
      <c r="H4500" t="s">
        <v>1031</v>
      </c>
      <c r="I4500">
        <v>439740005</v>
      </c>
      <c r="J4500" t="s">
        <v>1908</v>
      </c>
      <c r="K4500">
        <v>142.58000000000001</v>
      </c>
      <c r="L4500">
        <v>573.98</v>
      </c>
      <c r="M4500">
        <v>523.98</v>
      </c>
      <c r="N4500">
        <v>254837009</v>
      </c>
      <c r="O4500" t="s">
        <v>6037</v>
      </c>
    </row>
    <row r="4501" spans="1:15">
      <c r="A4501" t="s">
        <v>6103</v>
      </c>
      <c r="B4501" s="2">
        <v>45829.6330787037</v>
      </c>
      <c r="C4501" s="2">
        <v>45829.664282407408</v>
      </c>
      <c r="D4501" t="s">
        <v>881</v>
      </c>
      <c r="E4501" t="s">
        <v>6003</v>
      </c>
      <c r="F4501" t="s">
        <v>6004</v>
      </c>
      <c r="G4501" t="s">
        <v>1093</v>
      </c>
      <c r="H4501" t="s">
        <v>1031</v>
      </c>
      <c r="I4501">
        <v>439740005</v>
      </c>
      <c r="J4501" t="s">
        <v>1908</v>
      </c>
      <c r="K4501">
        <v>142.58000000000001</v>
      </c>
      <c r="L4501">
        <v>573.98</v>
      </c>
      <c r="M4501">
        <v>523.98</v>
      </c>
      <c r="N4501">
        <v>254837009</v>
      </c>
      <c r="O4501" t="s">
        <v>6037</v>
      </c>
    </row>
    <row r="4502" spans="1:15">
      <c r="A4502" t="s">
        <v>6104</v>
      </c>
      <c r="B4502" s="2">
        <v>45829.664282407408</v>
      </c>
      <c r="C4502" s="2">
        <v>45829.679212962961</v>
      </c>
      <c r="D4502" t="s">
        <v>881</v>
      </c>
      <c r="E4502" t="s">
        <v>6003</v>
      </c>
      <c r="F4502" t="s">
        <v>6004</v>
      </c>
      <c r="G4502" t="s">
        <v>1093</v>
      </c>
      <c r="H4502" t="s">
        <v>1031</v>
      </c>
      <c r="I4502">
        <v>410410006</v>
      </c>
      <c r="J4502" t="s">
        <v>6082</v>
      </c>
      <c r="K4502">
        <v>142.58000000000001</v>
      </c>
      <c r="L4502">
        <v>211.6</v>
      </c>
      <c r="M4502">
        <v>161.6</v>
      </c>
      <c r="N4502">
        <v>254837009</v>
      </c>
      <c r="O4502" t="s">
        <v>6037</v>
      </c>
    </row>
    <row r="4503" spans="1:15">
      <c r="A4503" t="s">
        <v>6105</v>
      </c>
      <c r="B4503" s="2">
        <v>45829.679212962961</v>
      </c>
      <c r="C4503" s="2">
        <v>45829.696145833332</v>
      </c>
      <c r="D4503" t="s">
        <v>881</v>
      </c>
      <c r="E4503" t="s">
        <v>6003</v>
      </c>
      <c r="F4503" t="s">
        <v>6004</v>
      </c>
      <c r="G4503" t="s">
        <v>1093</v>
      </c>
      <c r="H4503" t="s">
        <v>1031</v>
      </c>
      <c r="I4503">
        <v>185389009</v>
      </c>
      <c r="J4503" t="s">
        <v>5153</v>
      </c>
      <c r="K4503">
        <v>85.55</v>
      </c>
      <c r="L4503">
        <v>4181.24</v>
      </c>
      <c r="M4503">
        <v>4131.24</v>
      </c>
      <c r="N4503">
        <v>254837009</v>
      </c>
      <c r="O4503" t="s">
        <v>6037</v>
      </c>
    </row>
    <row r="4504" spans="1:15">
      <c r="A4504" t="s">
        <v>6106</v>
      </c>
      <c r="B4504" s="2">
        <v>45933.620254629626</v>
      </c>
      <c r="C4504" s="2">
        <v>45933.661921296298</v>
      </c>
      <c r="D4504" t="s">
        <v>881</v>
      </c>
      <c r="E4504" t="s">
        <v>6019</v>
      </c>
      <c r="F4504" t="s">
        <v>6020</v>
      </c>
      <c r="G4504" t="s">
        <v>1974</v>
      </c>
      <c r="H4504" t="s">
        <v>1076</v>
      </c>
      <c r="I4504">
        <v>50849002</v>
      </c>
      <c r="J4504" t="s">
        <v>1163</v>
      </c>
      <c r="K4504">
        <v>146.18</v>
      </c>
      <c r="L4504">
        <v>4140.8900000000003</v>
      </c>
      <c r="M4504">
        <v>4105.8900000000003</v>
      </c>
      <c r="N4504">
        <v>312608009</v>
      </c>
      <c r="O4504" t="s">
        <v>1249</v>
      </c>
    </row>
    <row r="4505" spans="1:15">
      <c r="A4505" t="s">
        <v>6107</v>
      </c>
      <c r="B4505" s="2">
        <v>45941.696145833332</v>
      </c>
      <c r="C4505" s="2">
        <v>45941.722673611112</v>
      </c>
      <c r="D4505" t="s">
        <v>881</v>
      </c>
      <c r="E4505" t="s">
        <v>6003</v>
      </c>
      <c r="F4505" t="s">
        <v>6004</v>
      </c>
      <c r="G4505" t="s">
        <v>1974</v>
      </c>
      <c r="H4505" t="s">
        <v>1031</v>
      </c>
      <c r="I4505">
        <v>439740005</v>
      </c>
      <c r="J4505" t="s">
        <v>1908</v>
      </c>
      <c r="K4505">
        <v>142.58000000000001</v>
      </c>
      <c r="L4505">
        <v>573.98</v>
      </c>
      <c r="M4505">
        <v>538.98</v>
      </c>
      <c r="N4505">
        <v>254837009</v>
      </c>
      <c r="O4505" t="s">
        <v>6037</v>
      </c>
    </row>
    <row r="4506" spans="1:15">
      <c r="A4506" t="s">
        <v>6108</v>
      </c>
      <c r="B4506" s="2">
        <v>45965.535983796297</v>
      </c>
      <c r="C4506" s="2">
        <v>45965.575231481482</v>
      </c>
      <c r="D4506" t="s">
        <v>881</v>
      </c>
      <c r="E4506" t="s">
        <v>5056</v>
      </c>
      <c r="F4506" t="s">
        <v>5057</v>
      </c>
      <c r="G4506" t="s">
        <v>1974</v>
      </c>
      <c r="H4506" t="s">
        <v>1020</v>
      </c>
      <c r="I4506">
        <v>162673000</v>
      </c>
      <c r="J4506" t="s">
        <v>1021</v>
      </c>
      <c r="K4506">
        <v>136.80000000000001</v>
      </c>
      <c r="L4506">
        <v>1078.96</v>
      </c>
      <c r="M4506">
        <v>1078.96</v>
      </c>
      <c r="O4506" t="s">
        <v>34</v>
      </c>
    </row>
    <row r="4507" spans="1:15">
      <c r="A4507" t="s">
        <v>6109</v>
      </c>
      <c r="B4507" s="2">
        <v>45973.535983796297</v>
      </c>
      <c r="C4507" s="2">
        <v>45973.546400462961</v>
      </c>
      <c r="D4507" t="s">
        <v>881</v>
      </c>
      <c r="E4507" t="s">
        <v>6003</v>
      </c>
      <c r="F4507" t="s">
        <v>6004</v>
      </c>
      <c r="G4507" t="s">
        <v>1974</v>
      </c>
      <c r="H4507" t="s">
        <v>1031</v>
      </c>
      <c r="I4507">
        <v>390906007</v>
      </c>
      <c r="J4507" t="s">
        <v>1255</v>
      </c>
      <c r="K4507">
        <v>85.55</v>
      </c>
      <c r="L4507">
        <v>234.71</v>
      </c>
      <c r="M4507">
        <v>199.71</v>
      </c>
      <c r="N4507">
        <v>55822004</v>
      </c>
      <c r="O4507" t="s">
        <v>2010</v>
      </c>
    </row>
    <row r="4508" spans="1:15">
      <c r="A4508" t="s">
        <v>6110</v>
      </c>
      <c r="B4508" s="2">
        <v>45986.535983796297</v>
      </c>
      <c r="C4508" s="2">
        <v>45986.58090277778</v>
      </c>
      <c r="D4508" t="s">
        <v>881</v>
      </c>
      <c r="E4508" t="s">
        <v>6003</v>
      </c>
      <c r="F4508" t="s">
        <v>6004</v>
      </c>
      <c r="G4508" t="s">
        <v>1974</v>
      </c>
      <c r="H4508" t="s">
        <v>1043</v>
      </c>
      <c r="I4508">
        <v>308335008</v>
      </c>
      <c r="J4508" t="s">
        <v>1194</v>
      </c>
      <c r="K4508">
        <v>142.58000000000001</v>
      </c>
      <c r="L4508">
        <v>7963.24</v>
      </c>
      <c r="M4508">
        <v>7928.24</v>
      </c>
      <c r="N4508">
        <v>389095005</v>
      </c>
      <c r="O4508" t="s">
        <v>1191</v>
      </c>
    </row>
    <row r="4509" spans="1:15">
      <c r="A4509" t="s">
        <v>6111</v>
      </c>
      <c r="B4509" s="2">
        <v>46051.681006944447</v>
      </c>
      <c r="C4509" s="2">
        <v>46051.70584490741</v>
      </c>
      <c r="D4509" t="s">
        <v>881</v>
      </c>
      <c r="E4509" t="s">
        <v>6003</v>
      </c>
      <c r="F4509" t="s">
        <v>6004</v>
      </c>
      <c r="G4509" t="s">
        <v>1974</v>
      </c>
      <c r="H4509" t="s">
        <v>2173</v>
      </c>
      <c r="I4509">
        <v>439740005</v>
      </c>
      <c r="J4509" t="s">
        <v>1908</v>
      </c>
      <c r="K4509">
        <v>125</v>
      </c>
      <c r="L4509">
        <v>556.4</v>
      </c>
      <c r="M4509">
        <v>521.4</v>
      </c>
      <c r="N4509">
        <v>254837009</v>
      </c>
      <c r="O4509" t="s">
        <v>6037</v>
      </c>
    </row>
    <row r="4510" spans="1:15">
      <c r="A4510" t="s">
        <v>6112</v>
      </c>
      <c r="B4510" s="2">
        <v>46155.747511574074</v>
      </c>
      <c r="C4510" s="2">
        <v>46155.76971064815</v>
      </c>
      <c r="D4510" t="s">
        <v>881</v>
      </c>
      <c r="E4510" t="s">
        <v>6003</v>
      </c>
      <c r="F4510" t="s">
        <v>6004</v>
      </c>
      <c r="G4510" t="s">
        <v>1974</v>
      </c>
      <c r="H4510" t="s">
        <v>2173</v>
      </c>
      <c r="I4510">
        <v>439740005</v>
      </c>
      <c r="J4510" t="s">
        <v>1908</v>
      </c>
      <c r="K4510">
        <v>125</v>
      </c>
      <c r="L4510">
        <v>556.4</v>
      </c>
      <c r="M4510">
        <v>521.4</v>
      </c>
      <c r="N4510">
        <v>254837009</v>
      </c>
      <c r="O4510" t="s">
        <v>6037</v>
      </c>
    </row>
    <row r="4511" spans="1:15">
      <c r="A4511" t="s">
        <v>6113</v>
      </c>
      <c r="B4511" s="2">
        <v>46155.76971064815</v>
      </c>
      <c r="C4511" s="2">
        <v>46155.786620370367</v>
      </c>
      <c r="D4511" t="s">
        <v>881</v>
      </c>
      <c r="E4511" t="s">
        <v>6003</v>
      </c>
      <c r="F4511" t="s">
        <v>6004</v>
      </c>
      <c r="G4511" t="s">
        <v>1974</v>
      </c>
      <c r="H4511" t="s">
        <v>1031</v>
      </c>
      <c r="I4511">
        <v>410410006</v>
      </c>
      <c r="J4511" t="s">
        <v>6082</v>
      </c>
      <c r="K4511">
        <v>142.58000000000001</v>
      </c>
      <c r="L4511">
        <v>211.6</v>
      </c>
      <c r="M4511">
        <v>176.6</v>
      </c>
      <c r="N4511">
        <v>254837009</v>
      </c>
      <c r="O4511" t="s">
        <v>6037</v>
      </c>
    </row>
    <row r="4512" spans="1:15">
      <c r="A4512" t="s">
        <v>6114</v>
      </c>
      <c r="B4512" s="2">
        <v>46155.786620370367</v>
      </c>
      <c r="C4512" s="2">
        <v>46155.806828703702</v>
      </c>
      <c r="D4512" t="s">
        <v>881</v>
      </c>
      <c r="E4512" t="s">
        <v>6003</v>
      </c>
      <c r="F4512" t="s">
        <v>6004</v>
      </c>
      <c r="G4512" t="s">
        <v>1974</v>
      </c>
      <c r="H4512" t="s">
        <v>1031</v>
      </c>
      <c r="I4512">
        <v>185389009</v>
      </c>
      <c r="J4512" t="s">
        <v>5153</v>
      </c>
      <c r="K4512">
        <v>85.55</v>
      </c>
      <c r="L4512">
        <v>7217.28</v>
      </c>
      <c r="M4512">
        <v>7182.28</v>
      </c>
      <c r="N4512">
        <v>254837009</v>
      </c>
      <c r="O4512" t="s">
        <v>6037</v>
      </c>
    </row>
    <row r="4513" spans="1:15">
      <c r="A4513" t="s">
        <v>6115</v>
      </c>
      <c r="B4513" s="2">
        <v>43227.116851851853</v>
      </c>
      <c r="C4513" s="2">
        <v>43227.127268518518</v>
      </c>
      <c r="D4513" t="s">
        <v>890</v>
      </c>
      <c r="E4513" t="s">
        <v>6116</v>
      </c>
      <c r="F4513" t="s">
        <v>6117</v>
      </c>
      <c r="G4513" t="s">
        <v>1093</v>
      </c>
      <c r="H4513" t="s">
        <v>1020</v>
      </c>
      <c r="I4513">
        <v>410620009</v>
      </c>
      <c r="J4513" t="s">
        <v>1054</v>
      </c>
      <c r="K4513">
        <v>136.80000000000001</v>
      </c>
      <c r="L4513">
        <v>347.38</v>
      </c>
      <c r="M4513">
        <v>247.38</v>
      </c>
      <c r="O4513" t="s">
        <v>34</v>
      </c>
    </row>
    <row r="4514" spans="1:15">
      <c r="A4514" t="s">
        <v>6118</v>
      </c>
      <c r="B4514" s="2">
        <v>43262.116851851853</v>
      </c>
      <c r="C4514" s="2">
        <v>43262.127268518518</v>
      </c>
      <c r="D4514" t="s">
        <v>890</v>
      </c>
      <c r="E4514" t="s">
        <v>6116</v>
      </c>
      <c r="F4514" t="s">
        <v>6117</v>
      </c>
      <c r="G4514" t="s">
        <v>1093</v>
      </c>
      <c r="H4514" t="s">
        <v>1020</v>
      </c>
      <c r="I4514">
        <v>410620009</v>
      </c>
      <c r="J4514" t="s">
        <v>1054</v>
      </c>
      <c r="K4514">
        <v>136.80000000000001</v>
      </c>
      <c r="L4514">
        <v>272.8</v>
      </c>
      <c r="M4514">
        <v>272.8</v>
      </c>
      <c r="O4514" t="s">
        <v>34</v>
      </c>
    </row>
    <row r="4515" spans="1:15">
      <c r="A4515" t="s">
        <v>6119</v>
      </c>
      <c r="B4515" s="2">
        <v>43325.116851851853</v>
      </c>
      <c r="C4515" s="2">
        <v>43325.127268518518</v>
      </c>
      <c r="D4515" t="s">
        <v>890</v>
      </c>
      <c r="E4515" t="s">
        <v>6116</v>
      </c>
      <c r="F4515" t="s">
        <v>6117</v>
      </c>
      <c r="G4515" t="s">
        <v>1093</v>
      </c>
      <c r="H4515" t="s">
        <v>1020</v>
      </c>
      <c r="I4515">
        <v>410620009</v>
      </c>
      <c r="J4515" t="s">
        <v>1054</v>
      </c>
      <c r="K4515">
        <v>136.80000000000001</v>
      </c>
      <c r="L4515">
        <v>816.8</v>
      </c>
      <c r="M4515">
        <v>816.8</v>
      </c>
      <c r="O4515" t="s">
        <v>34</v>
      </c>
    </row>
    <row r="4516" spans="1:15">
      <c r="A4516" t="s">
        <v>6120</v>
      </c>
      <c r="B4516" s="2">
        <v>43388.116851851853</v>
      </c>
      <c r="C4516" s="2">
        <v>43388.127268518518</v>
      </c>
      <c r="D4516" t="s">
        <v>890</v>
      </c>
      <c r="E4516" t="s">
        <v>6116</v>
      </c>
      <c r="F4516" t="s">
        <v>6117</v>
      </c>
      <c r="G4516" t="s">
        <v>1093</v>
      </c>
      <c r="H4516" t="s">
        <v>1020</v>
      </c>
      <c r="I4516">
        <v>410620009</v>
      </c>
      <c r="J4516" t="s">
        <v>1054</v>
      </c>
      <c r="K4516">
        <v>136.80000000000001</v>
      </c>
      <c r="L4516">
        <v>1131.26</v>
      </c>
      <c r="M4516">
        <v>1131.26</v>
      </c>
      <c r="O4516" t="s">
        <v>34</v>
      </c>
    </row>
    <row r="4517" spans="1:15">
      <c r="A4517" t="s">
        <v>6121</v>
      </c>
      <c r="B4517" s="2">
        <v>43479.075185185182</v>
      </c>
      <c r="C4517" s="2">
        <v>43479.085601851853</v>
      </c>
      <c r="D4517" t="s">
        <v>890</v>
      </c>
      <c r="E4517" t="s">
        <v>6116</v>
      </c>
      <c r="F4517" t="s">
        <v>6117</v>
      </c>
      <c r="G4517" t="s">
        <v>1093</v>
      </c>
      <c r="H4517" t="s">
        <v>1020</v>
      </c>
      <c r="I4517">
        <v>410620009</v>
      </c>
      <c r="J4517" t="s">
        <v>1054</v>
      </c>
      <c r="K4517">
        <v>136.80000000000001</v>
      </c>
      <c r="L4517">
        <v>816.8</v>
      </c>
      <c r="M4517">
        <v>816.8</v>
      </c>
      <c r="O4517" t="s">
        <v>34</v>
      </c>
    </row>
    <row r="4518" spans="1:15">
      <c r="A4518" t="s">
        <v>6122</v>
      </c>
      <c r="B4518" s="2">
        <v>43570.116851851853</v>
      </c>
      <c r="C4518" s="2">
        <v>43570.127268518518</v>
      </c>
      <c r="D4518" t="s">
        <v>890</v>
      </c>
      <c r="E4518" t="s">
        <v>6116</v>
      </c>
      <c r="F4518" t="s">
        <v>6117</v>
      </c>
      <c r="G4518" t="s">
        <v>1093</v>
      </c>
      <c r="H4518" t="s">
        <v>1020</v>
      </c>
      <c r="I4518">
        <v>410620009</v>
      </c>
      <c r="J4518" t="s">
        <v>1054</v>
      </c>
      <c r="K4518">
        <v>136.80000000000001</v>
      </c>
      <c r="L4518">
        <v>136.80000000000001</v>
      </c>
      <c r="M4518">
        <v>136.80000000000001</v>
      </c>
      <c r="O4518" t="s">
        <v>34</v>
      </c>
    </row>
    <row r="4519" spans="1:15">
      <c r="A4519" t="s">
        <v>6123</v>
      </c>
      <c r="B4519" s="2">
        <v>43661.116851851853</v>
      </c>
      <c r="C4519" s="2">
        <v>43661.127268518518</v>
      </c>
      <c r="D4519" t="s">
        <v>890</v>
      </c>
      <c r="E4519" t="s">
        <v>6116</v>
      </c>
      <c r="F4519" t="s">
        <v>6117</v>
      </c>
      <c r="G4519" t="s">
        <v>1093</v>
      </c>
      <c r="H4519" t="s">
        <v>1020</v>
      </c>
      <c r="I4519">
        <v>410620009</v>
      </c>
      <c r="J4519" t="s">
        <v>1054</v>
      </c>
      <c r="K4519">
        <v>136.80000000000001</v>
      </c>
      <c r="L4519">
        <v>816.8</v>
      </c>
      <c r="M4519">
        <v>716.8</v>
      </c>
      <c r="O4519" t="s">
        <v>34</v>
      </c>
    </row>
    <row r="4520" spans="1:15">
      <c r="A4520" t="s">
        <v>6124</v>
      </c>
      <c r="B4520" s="2">
        <v>43752.116851851853</v>
      </c>
      <c r="C4520" s="2">
        <v>43752.127268518518</v>
      </c>
      <c r="D4520" t="s">
        <v>890</v>
      </c>
      <c r="E4520" t="s">
        <v>6116</v>
      </c>
      <c r="F4520" t="s">
        <v>6117</v>
      </c>
      <c r="G4520" t="s">
        <v>1093</v>
      </c>
      <c r="H4520" t="s">
        <v>1020</v>
      </c>
      <c r="I4520">
        <v>410620009</v>
      </c>
      <c r="J4520" t="s">
        <v>1054</v>
      </c>
      <c r="K4520">
        <v>136.80000000000001</v>
      </c>
      <c r="L4520">
        <v>272.8</v>
      </c>
      <c r="M4520">
        <v>272.8</v>
      </c>
      <c r="O4520" t="s">
        <v>34</v>
      </c>
    </row>
    <row r="4521" spans="1:15">
      <c r="A4521" t="s">
        <v>6125</v>
      </c>
      <c r="B4521" s="2">
        <v>43917.116851851853</v>
      </c>
      <c r="C4521" s="2">
        <v>43917.127268518518</v>
      </c>
      <c r="D4521" t="s">
        <v>890</v>
      </c>
      <c r="E4521" t="s">
        <v>6126</v>
      </c>
      <c r="F4521" t="s">
        <v>6127</v>
      </c>
      <c r="G4521" t="s">
        <v>1093</v>
      </c>
      <c r="H4521" t="s">
        <v>1043</v>
      </c>
      <c r="I4521">
        <v>185345009</v>
      </c>
      <c r="J4521" t="s">
        <v>1032</v>
      </c>
      <c r="K4521">
        <v>85.55</v>
      </c>
      <c r="L4521">
        <v>85.55</v>
      </c>
      <c r="M4521">
        <v>35.549999999999997</v>
      </c>
      <c r="N4521">
        <v>65363002</v>
      </c>
      <c r="O4521" t="s">
        <v>1335</v>
      </c>
    </row>
    <row r="4522" spans="1:15">
      <c r="A4522" t="s">
        <v>6128</v>
      </c>
      <c r="B4522" s="2">
        <v>43934.116851851853</v>
      </c>
      <c r="C4522" s="2">
        <v>43934.127268518518</v>
      </c>
      <c r="D4522" t="s">
        <v>890</v>
      </c>
      <c r="E4522" t="s">
        <v>6116</v>
      </c>
      <c r="F4522" t="s">
        <v>6117</v>
      </c>
      <c r="G4522" t="s">
        <v>1093</v>
      </c>
      <c r="H4522" t="s">
        <v>1020</v>
      </c>
      <c r="I4522">
        <v>410620009</v>
      </c>
      <c r="J4522" t="s">
        <v>1054</v>
      </c>
      <c r="K4522">
        <v>136.80000000000001</v>
      </c>
      <c r="L4522">
        <v>967.54</v>
      </c>
      <c r="M4522">
        <v>967.54</v>
      </c>
      <c r="O4522" t="s">
        <v>34</v>
      </c>
    </row>
    <row r="4523" spans="1:15">
      <c r="A4523" t="s">
        <v>6129</v>
      </c>
      <c r="B4523" s="2">
        <v>44069.158518518518</v>
      </c>
      <c r="C4523" s="2">
        <v>44069.168935185182</v>
      </c>
      <c r="D4523" t="s">
        <v>890</v>
      </c>
      <c r="E4523" t="s">
        <v>6126</v>
      </c>
      <c r="F4523" t="s">
        <v>6127</v>
      </c>
      <c r="G4523" t="s">
        <v>1093</v>
      </c>
      <c r="H4523" t="s">
        <v>1031</v>
      </c>
      <c r="I4523">
        <v>185345009</v>
      </c>
      <c r="J4523" t="s">
        <v>1032</v>
      </c>
      <c r="K4523">
        <v>85.55</v>
      </c>
      <c r="L4523">
        <v>85.55</v>
      </c>
      <c r="M4523">
        <v>0</v>
      </c>
      <c r="N4523">
        <v>43878008</v>
      </c>
      <c r="O4523" t="s">
        <v>1217</v>
      </c>
    </row>
    <row r="4524" spans="1:15">
      <c r="A4524" t="s">
        <v>6130</v>
      </c>
      <c r="B4524" s="2">
        <v>44116.116851851853</v>
      </c>
      <c r="C4524" s="2">
        <v>44116.127268518518</v>
      </c>
      <c r="D4524" t="s">
        <v>890</v>
      </c>
      <c r="E4524" t="s">
        <v>6116</v>
      </c>
      <c r="F4524" t="s">
        <v>6117</v>
      </c>
      <c r="G4524" t="s">
        <v>1093</v>
      </c>
      <c r="H4524" t="s">
        <v>1020</v>
      </c>
      <c r="I4524">
        <v>410620009</v>
      </c>
      <c r="J4524" t="s">
        <v>1054</v>
      </c>
      <c r="K4524">
        <v>136.80000000000001</v>
      </c>
      <c r="L4524">
        <v>892.34</v>
      </c>
      <c r="M4524">
        <v>859.45</v>
      </c>
      <c r="O4524" t="s">
        <v>34</v>
      </c>
    </row>
    <row r="4525" spans="1:15">
      <c r="A4525" t="s">
        <v>6131</v>
      </c>
      <c r="B4525" s="2">
        <v>44298.116851851853</v>
      </c>
      <c r="C4525" s="2">
        <v>44298.127268518518</v>
      </c>
      <c r="D4525" t="s">
        <v>890</v>
      </c>
      <c r="E4525" t="s">
        <v>6116</v>
      </c>
      <c r="F4525" t="s">
        <v>6117</v>
      </c>
      <c r="G4525" t="s">
        <v>1093</v>
      </c>
      <c r="H4525" t="s">
        <v>1020</v>
      </c>
      <c r="I4525">
        <v>410620009</v>
      </c>
      <c r="J4525" t="s">
        <v>1054</v>
      </c>
      <c r="K4525">
        <v>136.80000000000001</v>
      </c>
      <c r="L4525">
        <v>919.9</v>
      </c>
      <c r="M4525">
        <v>919.9</v>
      </c>
      <c r="O4525" t="s">
        <v>34</v>
      </c>
    </row>
    <row r="4526" spans="1:15">
      <c r="A4526" t="s">
        <v>6132</v>
      </c>
      <c r="B4526" s="2">
        <v>44305.116851851853</v>
      </c>
      <c r="C4526" s="2">
        <v>44305.381203703706</v>
      </c>
      <c r="D4526" t="s">
        <v>890</v>
      </c>
      <c r="E4526" t="s">
        <v>6126</v>
      </c>
      <c r="F4526" t="s">
        <v>6127</v>
      </c>
      <c r="G4526" t="s">
        <v>1093</v>
      </c>
      <c r="H4526" t="s">
        <v>1031</v>
      </c>
      <c r="I4526">
        <v>185349003</v>
      </c>
      <c r="J4526" t="s">
        <v>1038</v>
      </c>
      <c r="K4526">
        <v>85.55</v>
      </c>
      <c r="L4526">
        <v>4830.95</v>
      </c>
      <c r="M4526">
        <v>4780.95</v>
      </c>
      <c r="N4526">
        <v>103697008</v>
      </c>
      <c r="O4526" t="s">
        <v>1039</v>
      </c>
    </row>
    <row r="4527" spans="1:15">
      <c r="A4527" t="s">
        <v>6133</v>
      </c>
      <c r="B4527" s="2">
        <v>44411.116851851853</v>
      </c>
      <c r="C4527" s="2">
        <v>44411.127268518518</v>
      </c>
      <c r="D4527" t="s">
        <v>890</v>
      </c>
      <c r="E4527" t="s">
        <v>6126</v>
      </c>
      <c r="F4527" t="s">
        <v>6127</v>
      </c>
      <c r="G4527" t="s">
        <v>1093</v>
      </c>
      <c r="H4527" t="s">
        <v>1043</v>
      </c>
      <c r="I4527">
        <v>185345009</v>
      </c>
      <c r="J4527" t="s">
        <v>1032</v>
      </c>
      <c r="K4527">
        <v>85.55</v>
      </c>
      <c r="L4527">
        <v>85.55</v>
      </c>
      <c r="M4527">
        <v>35.549999999999997</v>
      </c>
      <c r="N4527">
        <v>65363002</v>
      </c>
      <c r="O4527" t="s">
        <v>1335</v>
      </c>
    </row>
    <row r="4528" spans="1:15">
      <c r="A4528" t="s">
        <v>6134</v>
      </c>
      <c r="B4528" s="2">
        <v>44480.116851851853</v>
      </c>
      <c r="C4528" s="2">
        <v>44480.127268518518</v>
      </c>
      <c r="D4528" t="s">
        <v>890</v>
      </c>
      <c r="E4528" t="s">
        <v>6116</v>
      </c>
      <c r="F4528" t="s">
        <v>6117</v>
      </c>
      <c r="G4528" t="s">
        <v>1093</v>
      </c>
      <c r="H4528" t="s">
        <v>1020</v>
      </c>
      <c r="I4528">
        <v>410620009</v>
      </c>
      <c r="J4528" t="s">
        <v>1054</v>
      </c>
      <c r="K4528">
        <v>136.80000000000001</v>
      </c>
      <c r="L4528">
        <v>352.5</v>
      </c>
      <c r="M4528">
        <v>352.5</v>
      </c>
      <c r="O4528" t="s">
        <v>34</v>
      </c>
    </row>
    <row r="4529" spans="1:15">
      <c r="A4529" t="s">
        <v>6135</v>
      </c>
      <c r="B4529" s="2">
        <v>44662.116851851853</v>
      </c>
      <c r="C4529" s="2">
        <v>44662.127268518518</v>
      </c>
      <c r="D4529" t="s">
        <v>890</v>
      </c>
      <c r="E4529" t="s">
        <v>6116</v>
      </c>
      <c r="F4529" t="s">
        <v>6117</v>
      </c>
      <c r="G4529" t="s">
        <v>1093</v>
      </c>
      <c r="H4529" t="s">
        <v>1020</v>
      </c>
      <c r="I4529">
        <v>410620009</v>
      </c>
      <c r="J4529" t="s">
        <v>1054</v>
      </c>
      <c r="K4529">
        <v>136.80000000000001</v>
      </c>
      <c r="L4529">
        <v>919.9</v>
      </c>
      <c r="M4529">
        <v>919.9</v>
      </c>
      <c r="O4529" t="s">
        <v>34</v>
      </c>
    </row>
    <row r="4530" spans="1:15">
      <c r="A4530" t="s">
        <v>6136</v>
      </c>
      <c r="B4530" s="2">
        <v>44669.116851851853</v>
      </c>
      <c r="C4530" s="2">
        <v>44669.287719907406</v>
      </c>
      <c r="D4530" t="s">
        <v>890</v>
      </c>
      <c r="E4530" t="s">
        <v>6126</v>
      </c>
      <c r="F4530" t="s">
        <v>6127</v>
      </c>
      <c r="G4530" t="s">
        <v>1093</v>
      </c>
      <c r="H4530" t="s">
        <v>1031</v>
      </c>
      <c r="I4530">
        <v>185349003</v>
      </c>
      <c r="J4530" t="s">
        <v>1038</v>
      </c>
      <c r="K4530">
        <v>85.55</v>
      </c>
      <c r="L4530">
        <v>3536.75</v>
      </c>
      <c r="M4530">
        <v>3486.75</v>
      </c>
      <c r="N4530">
        <v>103697008</v>
      </c>
      <c r="O4530" t="s">
        <v>1039</v>
      </c>
    </row>
    <row r="4531" spans="1:15">
      <c r="A4531" t="s">
        <v>6137</v>
      </c>
      <c r="B4531" s="2">
        <v>44676.116851851853</v>
      </c>
      <c r="C4531" s="2">
        <v>44676.264074074075</v>
      </c>
      <c r="D4531" t="s">
        <v>890</v>
      </c>
      <c r="E4531" t="s">
        <v>2564</v>
      </c>
      <c r="F4531" t="s">
        <v>2565</v>
      </c>
      <c r="G4531" t="s">
        <v>1093</v>
      </c>
      <c r="H4531" t="s">
        <v>1076</v>
      </c>
      <c r="I4531">
        <v>50849002</v>
      </c>
      <c r="J4531" t="s">
        <v>1163</v>
      </c>
      <c r="K4531">
        <v>146.18</v>
      </c>
      <c r="L4531">
        <v>577.58000000000004</v>
      </c>
      <c r="M4531">
        <v>527.58000000000004</v>
      </c>
      <c r="N4531">
        <v>283545005</v>
      </c>
      <c r="O4531" t="s">
        <v>6138</v>
      </c>
    </row>
    <row r="4532" spans="1:15">
      <c r="A4532" t="s">
        <v>6139</v>
      </c>
      <c r="B4532" s="2">
        <v>44676.264074074075</v>
      </c>
      <c r="C4532" s="2">
        <v>44687.27449074074</v>
      </c>
      <c r="D4532" t="s">
        <v>890</v>
      </c>
      <c r="E4532" t="s">
        <v>6140</v>
      </c>
      <c r="F4532" t="s">
        <v>6141</v>
      </c>
      <c r="G4532" t="s">
        <v>1093</v>
      </c>
      <c r="H4532" t="s">
        <v>1836</v>
      </c>
      <c r="I4532">
        <v>32485007</v>
      </c>
      <c r="J4532" t="s">
        <v>1837</v>
      </c>
      <c r="K4532">
        <v>110.92</v>
      </c>
      <c r="L4532">
        <v>10936.78</v>
      </c>
      <c r="M4532">
        <v>10886.78</v>
      </c>
      <c r="N4532">
        <v>25675004</v>
      </c>
      <c r="O4532" t="s">
        <v>1838</v>
      </c>
    </row>
    <row r="4533" spans="1:15">
      <c r="A4533" t="s">
        <v>6142</v>
      </c>
      <c r="B4533" s="2">
        <v>44743.264074074075</v>
      </c>
      <c r="C4533" s="2">
        <v>44743.27449074074</v>
      </c>
      <c r="D4533" t="s">
        <v>890</v>
      </c>
      <c r="E4533" t="s">
        <v>6126</v>
      </c>
      <c r="F4533" t="s">
        <v>6127</v>
      </c>
      <c r="G4533" t="s">
        <v>1093</v>
      </c>
      <c r="H4533" t="s">
        <v>1031</v>
      </c>
      <c r="I4533">
        <v>185349003</v>
      </c>
      <c r="J4533" t="s">
        <v>1038</v>
      </c>
      <c r="K4533">
        <v>85.55</v>
      </c>
      <c r="L4533">
        <v>85.55</v>
      </c>
      <c r="M4533">
        <v>0</v>
      </c>
      <c r="N4533">
        <v>262574004</v>
      </c>
      <c r="O4533" t="s">
        <v>6143</v>
      </c>
    </row>
    <row r="4534" spans="1:15">
      <c r="A4534" t="s">
        <v>6144</v>
      </c>
      <c r="B4534" s="2">
        <v>45033.116851851853</v>
      </c>
      <c r="C4534" s="2">
        <v>45033.127268518518</v>
      </c>
      <c r="D4534" t="s">
        <v>890</v>
      </c>
      <c r="E4534" t="s">
        <v>6116</v>
      </c>
      <c r="F4534" t="s">
        <v>6117</v>
      </c>
      <c r="G4534" t="s">
        <v>1093</v>
      </c>
      <c r="H4534" t="s">
        <v>1020</v>
      </c>
      <c r="I4534">
        <v>410620009</v>
      </c>
      <c r="J4534" t="s">
        <v>1054</v>
      </c>
      <c r="K4534">
        <v>136.80000000000001</v>
      </c>
      <c r="L4534">
        <v>1463.9</v>
      </c>
      <c r="M4534">
        <v>1399.45</v>
      </c>
      <c r="O4534" t="s">
        <v>34</v>
      </c>
    </row>
    <row r="4535" spans="1:15">
      <c r="A4535" t="s">
        <v>6145</v>
      </c>
      <c r="B4535" s="2">
        <v>45040.116851851853</v>
      </c>
      <c r="C4535" s="2">
        <v>45040.255949074075</v>
      </c>
      <c r="D4535" t="s">
        <v>890</v>
      </c>
      <c r="E4535" t="s">
        <v>6126</v>
      </c>
      <c r="F4535" t="s">
        <v>6127</v>
      </c>
      <c r="G4535" t="s">
        <v>1093</v>
      </c>
      <c r="H4535" t="s">
        <v>1031</v>
      </c>
      <c r="I4535">
        <v>185349003</v>
      </c>
      <c r="J4535" t="s">
        <v>1038</v>
      </c>
      <c r="K4535">
        <v>85.55</v>
      </c>
      <c r="L4535">
        <v>2673.95</v>
      </c>
      <c r="M4535">
        <v>2623.95</v>
      </c>
      <c r="N4535">
        <v>103697008</v>
      </c>
      <c r="O4535" t="s">
        <v>1039</v>
      </c>
    </row>
    <row r="4536" spans="1:15">
      <c r="A4536" t="s">
        <v>6146</v>
      </c>
      <c r="B4536" s="2">
        <v>45256.825185185182</v>
      </c>
      <c r="C4536" s="2">
        <v>45256.835601851853</v>
      </c>
      <c r="D4536" t="s">
        <v>890</v>
      </c>
      <c r="E4536" t="s">
        <v>6126</v>
      </c>
      <c r="F4536" t="s">
        <v>6127</v>
      </c>
      <c r="G4536" t="s">
        <v>1093</v>
      </c>
      <c r="H4536" t="s">
        <v>1031</v>
      </c>
      <c r="I4536">
        <v>185345009</v>
      </c>
      <c r="J4536" t="s">
        <v>1032</v>
      </c>
      <c r="K4536">
        <v>85.55</v>
      </c>
      <c r="L4536">
        <v>1108.6500000000001</v>
      </c>
      <c r="M4536">
        <v>958.65</v>
      </c>
      <c r="N4536">
        <v>195662009</v>
      </c>
      <c r="O4536" t="s">
        <v>1130</v>
      </c>
    </row>
    <row r="4537" spans="1:15">
      <c r="A4537" t="s">
        <v>6147</v>
      </c>
      <c r="B4537" s="2">
        <v>45404.116851851853</v>
      </c>
      <c r="C4537" s="2">
        <v>45404.127268518518</v>
      </c>
      <c r="D4537" t="s">
        <v>890</v>
      </c>
      <c r="E4537" t="s">
        <v>6116</v>
      </c>
      <c r="F4537" t="s">
        <v>6117</v>
      </c>
      <c r="G4537" t="s">
        <v>1093</v>
      </c>
      <c r="H4537" t="s">
        <v>1020</v>
      </c>
      <c r="I4537">
        <v>410620009</v>
      </c>
      <c r="J4537" t="s">
        <v>1054</v>
      </c>
      <c r="K4537">
        <v>136.80000000000001</v>
      </c>
      <c r="L4537">
        <v>929.42</v>
      </c>
      <c r="M4537">
        <v>929.42</v>
      </c>
      <c r="O4537" t="s">
        <v>34</v>
      </c>
    </row>
    <row r="4538" spans="1:15">
      <c r="A4538" t="s">
        <v>6148</v>
      </c>
      <c r="B4538" s="2">
        <v>45775.116851851853</v>
      </c>
      <c r="C4538" s="2">
        <v>45775.127268518518</v>
      </c>
      <c r="D4538" t="s">
        <v>890</v>
      </c>
      <c r="E4538" t="s">
        <v>6116</v>
      </c>
      <c r="F4538" t="s">
        <v>6117</v>
      </c>
      <c r="G4538" t="s">
        <v>1093</v>
      </c>
      <c r="H4538" t="s">
        <v>1020</v>
      </c>
      <c r="I4538">
        <v>410620009</v>
      </c>
      <c r="J4538" t="s">
        <v>1054</v>
      </c>
      <c r="K4538">
        <v>136.80000000000001</v>
      </c>
      <c r="L4538">
        <v>919.9</v>
      </c>
      <c r="M4538">
        <v>819.9</v>
      </c>
      <c r="O4538" t="s">
        <v>34</v>
      </c>
    </row>
    <row r="4539" spans="1:15">
      <c r="A4539" t="s">
        <v>6149</v>
      </c>
      <c r="B4539" s="2">
        <v>45782.116851851853</v>
      </c>
      <c r="C4539" s="2">
        <v>45782.233773148146</v>
      </c>
      <c r="D4539" t="s">
        <v>890</v>
      </c>
      <c r="E4539" t="s">
        <v>6126</v>
      </c>
      <c r="F4539" t="s">
        <v>6127</v>
      </c>
      <c r="G4539" t="s">
        <v>1093</v>
      </c>
      <c r="H4539" t="s">
        <v>1031</v>
      </c>
      <c r="I4539">
        <v>185349003</v>
      </c>
      <c r="J4539" t="s">
        <v>1038</v>
      </c>
      <c r="K4539">
        <v>85.55</v>
      </c>
      <c r="L4539">
        <v>3536.75</v>
      </c>
      <c r="M4539">
        <v>3486.75</v>
      </c>
      <c r="N4539">
        <v>103697008</v>
      </c>
      <c r="O4539" t="s">
        <v>1039</v>
      </c>
    </row>
    <row r="4540" spans="1:15">
      <c r="A4540" t="s">
        <v>6150</v>
      </c>
      <c r="B4540" s="2">
        <v>45929.366851851853</v>
      </c>
      <c r="C4540" s="2">
        <v>45929.377268518518</v>
      </c>
      <c r="D4540" t="s">
        <v>890</v>
      </c>
      <c r="E4540" t="s">
        <v>6126</v>
      </c>
      <c r="F4540" t="s">
        <v>6127</v>
      </c>
      <c r="G4540" t="s">
        <v>1093</v>
      </c>
      <c r="H4540" t="s">
        <v>1031</v>
      </c>
      <c r="I4540">
        <v>185345009</v>
      </c>
      <c r="J4540" t="s">
        <v>1032</v>
      </c>
      <c r="K4540">
        <v>85.55</v>
      </c>
      <c r="L4540">
        <v>3536.75</v>
      </c>
      <c r="M4540">
        <v>3386.75</v>
      </c>
      <c r="N4540">
        <v>195662009</v>
      </c>
      <c r="O4540" t="s">
        <v>1130</v>
      </c>
    </row>
    <row r="4541" spans="1:15">
      <c r="A4541" t="s">
        <v>6151</v>
      </c>
      <c r="B4541" s="2">
        <v>46146.116851851853</v>
      </c>
      <c r="C4541" s="2">
        <v>46146.127268518518</v>
      </c>
      <c r="D4541" t="s">
        <v>890</v>
      </c>
      <c r="E4541" t="s">
        <v>6116</v>
      </c>
      <c r="F4541" t="s">
        <v>6117</v>
      </c>
      <c r="G4541" t="s">
        <v>1093</v>
      </c>
      <c r="H4541" t="s">
        <v>1020</v>
      </c>
      <c r="I4541">
        <v>410620009</v>
      </c>
      <c r="J4541" t="s">
        <v>1054</v>
      </c>
      <c r="K4541">
        <v>136.80000000000001</v>
      </c>
      <c r="L4541">
        <v>272.8</v>
      </c>
      <c r="M4541">
        <v>272.8</v>
      </c>
      <c r="O4541" t="s">
        <v>34</v>
      </c>
    </row>
    <row r="4542" spans="1:15">
      <c r="A4542" t="s">
        <v>6152</v>
      </c>
      <c r="B4542" s="2">
        <v>46183.264074074075</v>
      </c>
      <c r="C4542" s="2">
        <v>46183.27449074074</v>
      </c>
      <c r="D4542" t="s">
        <v>890</v>
      </c>
      <c r="E4542" t="s">
        <v>6126</v>
      </c>
      <c r="F4542" t="s">
        <v>6127</v>
      </c>
      <c r="G4542" t="s">
        <v>1093</v>
      </c>
      <c r="H4542" t="s">
        <v>1031</v>
      </c>
      <c r="I4542">
        <v>185347001</v>
      </c>
      <c r="J4542" t="s">
        <v>1124</v>
      </c>
      <c r="K4542">
        <v>85.55</v>
      </c>
      <c r="L4542">
        <v>85.55</v>
      </c>
      <c r="M4542">
        <v>0</v>
      </c>
      <c r="N4542">
        <v>307731004</v>
      </c>
      <c r="O4542" t="s">
        <v>1902</v>
      </c>
    </row>
    <row r="4543" spans="1:15">
      <c r="A4543" t="s">
        <v>6153</v>
      </c>
      <c r="B4543" s="2">
        <v>46240.264074074075</v>
      </c>
      <c r="C4543" s="2">
        <v>46240.27449074074</v>
      </c>
      <c r="D4543" t="s">
        <v>890</v>
      </c>
      <c r="E4543" t="s">
        <v>6126</v>
      </c>
      <c r="F4543" t="s">
        <v>6127</v>
      </c>
      <c r="G4543" t="s">
        <v>1093</v>
      </c>
      <c r="H4543" t="s">
        <v>1031</v>
      </c>
      <c r="I4543">
        <v>185349003</v>
      </c>
      <c r="J4543" t="s">
        <v>1038</v>
      </c>
      <c r="K4543">
        <v>85.55</v>
      </c>
      <c r="L4543">
        <v>85.55</v>
      </c>
      <c r="M4543">
        <v>0</v>
      </c>
      <c r="N4543">
        <v>307731004</v>
      </c>
      <c r="O4543" t="s">
        <v>1902</v>
      </c>
    </row>
    <row r="4544" spans="1:15">
      <c r="A4544" t="s">
        <v>6154</v>
      </c>
      <c r="B4544" s="2">
        <v>28629.277650462962</v>
      </c>
      <c r="C4544" s="2">
        <v>28629.310312500002</v>
      </c>
      <c r="D4544" t="s">
        <v>897</v>
      </c>
      <c r="E4544" t="s">
        <v>6155</v>
      </c>
      <c r="F4544" t="s">
        <v>6156</v>
      </c>
      <c r="G4544" t="s">
        <v>1019</v>
      </c>
      <c r="H4544" t="s">
        <v>1020</v>
      </c>
      <c r="I4544">
        <v>162673000</v>
      </c>
      <c r="J4544" t="s">
        <v>1021</v>
      </c>
      <c r="K4544">
        <v>136.80000000000001</v>
      </c>
      <c r="L4544">
        <v>704.2</v>
      </c>
      <c r="M4544">
        <v>0</v>
      </c>
      <c r="O4544" t="s">
        <v>34</v>
      </c>
    </row>
    <row r="4545" spans="1:15">
      <c r="A4545" t="s">
        <v>6157</v>
      </c>
      <c r="B4545" s="2">
        <v>39398.235983796294</v>
      </c>
      <c r="C4545" s="2">
        <v>39398.246400462966</v>
      </c>
      <c r="D4545" t="s">
        <v>897</v>
      </c>
      <c r="E4545" t="s">
        <v>6158</v>
      </c>
      <c r="F4545" t="s">
        <v>6159</v>
      </c>
      <c r="G4545" t="s">
        <v>1023</v>
      </c>
      <c r="H4545" t="s">
        <v>1031</v>
      </c>
      <c r="I4545">
        <v>185347001</v>
      </c>
      <c r="J4545" t="s">
        <v>1124</v>
      </c>
      <c r="K4545">
        <v>85.55</v>
      </c>
      <c r="L4545">
        <v>85.55</v>
      </c>
      <c r="M4545">
        <v>0</v>
      </c>
      <c r="N4545">
        <v>239873007</v>
      </c>
      <c r="O4545" t="s">
        <v>2007</v>
      </c>
    </row>
    <row r="4546" spans="1:15">
      <c r="A4546" t="s">
        <v>6160</v>
      </c>
      <c r="B4546" s="2">
        <v>39556.277650462966</v>
      </c>
      <c r="C4546" s="2">
        <v>39556.308518518519</v>
      </c>
      <c r="D4546" t="s">
        <v>897</v>
      </c>
      <c r="E4546" t="s">
        <v>6155</v>
      </c>
      <c r="F4546" t="s">
        <v>6156</v>
      </c>
      <c r="G4546" t="s">
        <v>1023</v>
      </c>
      <c r="H4546" t="s">
        <v>1020</v>
      </c>
      <c r="I4546">
        <v>162673000</v>
      </c>
      <c r="J4546" t="s">
        <v>1021</v>
      </c>
      <c r="K4546">
        <v>136.80000000000001</v>
      </c>
      <c r="L4546">
        <v>704.2</v>
      </c>
      <c r="M4546">
        <v>0</v>
      </c>
      <c r="O4546" t="s">
        <v>34</v>
      </c>
    </row>
    <row r="4547" spans="1:15">
      <c r="A4547" t="s">
        <v>6161</v>
      </c>
      <c r="B4547" s="2">
        <v>41040.277650462966</v>
      </c>
      <c r="C4547" s="2">
        <v>41040.304050925923</v>
      </c>
      <c r="D4547" t="s">
        <v>897</v>
      </c>
      <c r="E4547" t="s">
        <v>6155</v>
      </c>
      <c r="F4547" t="s">
        <v>6156</v>
      </c>
      <c r="G4547" t="s">
        <v>1023</v>
      </c>
      <c r="H4547" t="s">
        <v>1020</v>
      </c>
      <c r="I4547">
        <v>162673000</v>
      </c>
      <c r="J4547" t="s">
        <v>1021</v>
      </c>
      <c r="K4547">
        <v>136.80000000000001</v>
      </c>
      <c r="L4547">
        <v>778.78</v>
      </c>
      <c r="M4547">
        <v>0</v>
      </c>
      <c r="O4547" t="s">
        <v>34</v>
      </c>
    </row>
    <row r="4548" spans="1:15">
      <c r="A4548" t="s">
        <v>6162</v>
      </c>
      <c r="B4548" s="2">
        <v>42524.277650462966</v>
      </c>
      <c r="C4548" s="2">
        <v>42524.299791666665</v>
      </c>
      <c r="D4548" t="s">
        <v>897</v>
      </c>
      <c r="E4548" t="s">
        <v>6155</v>
      </c>
      <c r="F4548" t="s">
        <v>6156</v>
      </c>
      <c r="G4548" t="s">
        <v>1107</v>
      </c>
      <c r="H4548" t="s">
        <v>1020</v>
      </c>
      <c r="I4548">
        <v>162673000</v>
      </c>
      <c r="J4548" t="s">
        <v>1021</v>
      </c>
      <c r="K4548">
        <v>136.80000000000001</v>
      </c>
      <c r="L4548">
        <v>927.94</v>
      </c>
      <c r="M4548">
        <v>0</v>
      </c>
      <c r="O4548" t="s">
        <v>34</v>
      </c>
    </row>
    <row r="4549" spans="1:15">
      <c r="A4549" t="s">
        <v>6163</v>
      </c>
      <c r="B4549" s="2">
        <v>42545.277650462966</v>
      </c>
      <c r="C4549" s="2">
        <v>42545.28806712963</v>
      </c>
      <c r="D4549" t="s">
        <v>897</v>
      </c>
      <c r="E4549" t="s">
        <v>6158</v>
      </c>
      <c r="F4549" t="s">
        <v>6159</v>
      </c>
      <c r="G4549" t="s">
        <v>1107</v>
      </c>
      <c r="H4549" t="s">
        <v>1031</v>
      </c>
      <c r="I4549">
        <v>390906007</v>
      </c>
      <c r="J4549" t="s">
        <v>1255</v>
      </c>
      <c r="K4549">
        <v>85.55</v>
      </c>
      <c r="L4549">
        <v>85.55</v>
      </c>
      <c r="M4549">
        <v>0</v>
      </c>
      <c r="N4549">
        <v>55822004</v>
      </c>
      <c r="O4549" t="s">
        <v>2010</v>
      </c>
    </row>
    <row r="4550" spans="1:15">
      <c r="A4550" t="s">
        <v>6164</v>
      </c>
      <c r="B4550" s="2">
        <v>42895.277650462966</v>
      </c>
      <c r="C4550" s="2">
        <v>42895.307800925926</v>
      </c>
      <c r="D4550" t="s">
        <v>897</v>
      </c>
      <c r="E4550" t="s">
        <v>6155</v>
      </c>
      <c r="F4550" t="s">
        <v>6156</v>
      </c>
      <c r="G4550" t="s">
        <v>1107</v>
      </c>
      <c r="H4550" t="s">
        <v>1020</v>
      </c>
      <c r="I4550">
        <v>162673000</v>
      </c>
      <c r="J4550" t="s">
        <v>1021</v>
      </c>
      <c r="K4550">
        <v>136.80000000000001</v>
      </c>
      <c r="L4550">
        <v>704.2</v>
      </c>
      <c r="M4550">
        <v>0</v>
      </c>
      <c r="O4550" t="s">
        <v>34</v>
      </c>
    </row>
    <row r="4551" spans="1:15">
      <c r="A4551" t="s">
        <v>6165</v>
      </c>
      <c r="B4551" s="2">
        <v>42909.277650462966</v>
      </c>
      <c r="C4551" s="2">
        <v>42909.432569444441</v>
      </c>
      <c r="D4551" t="s">
        <v>897</v>
      </c>
      <c r="E4551" t="s">
        <v>6158</v>
      </c>
      <c r="F4551" t="s">
        <v>6159</v>
      </c>
      <c r="G4551" t="s">
        <v>1107</v>
      </c>
      <c r="H4551" t="s">
        <v>1031</v>
      </c>
      <c r="I4551">
        <v>185349003</v>
      </c>
      <c r="J4551" t="s">
        <v>1038</v>
      </c>
      <c r="K4551">
        <v>85.55</v>
      </c>
      <c r="L4551">
        <v>3105.35</v>
      </c>
      <c r="M4551">
        <v>0</v>
      </c>
      <c r="N4551">
        <v>103697008</v>
      </c>
      <c r="O4551" t="s">
        <v>1039</v>
      </c>
    </row>
    <row r="4552" spans="1:15">
      <c r="A4552" t="s">
        <v>6166</v>
      </c>
      <c r="B4552" s="2">
        <v>42910.277650462966</v>
      </c>
      <c r="C4552" s="2">
        <v>42910.28806712963</v>
      </c>
      <c r="D4552" t="s">
        <v>897</v>
      </c>
      <c r="E4552" t="s">
        <v>6158</v>
      </c>
      <c r="F4552" t="s">
        <v>6159</v>
      </c>
      <c r="G4552" t="s">
        <v>1107</v>
      </c>
      <c r="H4552" t="s">
        <v>1031</v>
      </c>
      <c r="I4552">
        <v>390906007</v>
      </c>
      <c r="J4552" t="s">
        <v>1255</v>
      </c>
      <c r="K4552">
        <v>85.55</v>
      </c>
      <c r="L4552">
        <v>234.71</v>
      </c>
      <c r="M4552">
        <v>0</v>
      </c>
      <c r="N4552">
        <v>55822004</v>
      </c>
      <c r="O4552" t="s">
        <v>2010</v>
      </c>
    </row>
    <row r="4553" spans="1:15">
      <c r="A4553" t="s">
        <v>6167</v>
      </c>
      <c r="B4553" s="2">
        <v>43266.277650462966</v>
      </c>
      <c r="C4553" s="2">
        <v>43266.310173611113</v>
      </c>
      <c r="D4553" t="s">
        <v>897</v>
      </c>
      <c r="E4553" t="s">
        <v>6155</v>
      </c>
      <c r="F4553" t="s">
        <v>6156</v>
      </c>
      <c r="G4553" t="s">
        <v>1107</v>
      </c>
      <c r="H4553" t="s">
        <v>1020</v>
      </c>
      <c r="I4553">
        <v>162673000</v>
      </c>
      <c r="J4553" t="s">
        <v>1021</v>
      </c>
      <c r="K4553">
        <v>136.80000000000001</v>
      </c>
      <c r="L4553">
        <v>778.78</v>
      </c>
      <c r="M4553">
        <v>0</v>
      </c>
      <c r="O4553" t="s">
        <v>34</v>
      </c>
    </row>
    <row r="4554" spans="1:15">
      <c r="A4554" t="s">
        <v>6168</v>
      </c>
      <c r="B4554" s="2">
        <v>43275.277650462966</v>
      </c>
      <c r="C4554" s="2">
        <v>43275.28806712963</v>
      </c>
      <c r="D4554" t="s">
        <v>897</v>
      </c>
      <c r="E4554" t="s">
        <v>6158</v>
      </c>
      <c r="F4554" t="s">
        <v>6159</v>
      </c>
      <c r="G4554" t="s">
        <v>1107</v>
      </c>
      <c r="H4554" t="s">
        <v>1031</v>
      </c>
      <c r="I4554">
        <v>390906007</v>
      </c>
      <c r="J4554" t="s">
        <v>1255</v>
      </c>
      <c r="K4554">
        <v>85.55</v>
      </c>
      <c r="L4554">
        <v>234.71</v>
      </c>
      <c r="M4554">
        <v>0</v>
      </c>
      <c r="N4554">
        <v>55822004</v>
      </c>
      <c r="O4554" t="s">
        <v>2010</v>
      </c>
    </row>
    <row r="4555" spans="1:15">
      <c r="A4555" t="s">
        <v>6169</v>
      </c>
      <c r="B4555" s="2">
        <v>43637.277650462966</v>
      </c>
      <c r="C4555" s="2">
        <v>43637.315462962964</v>
      </c>
      <c r="D4555" t="s">
        <v>897</v>
      </c>
      <c r="E4555" t="s">
        <v>6155</v>
      </c>
      <c r="F4555" t="s">
        <v>6156</v>
      </c>
      <c r="G4555" t="s">
        <v>1107</v>
      </c>
      <c r="H4555" t="s">
        <v>1020</v>
      </c>
      <c r="I4555">
        <v>162673000</v>
      </c>
      <c r="J4555" t="s">
        <v>1021</v>
      </c>
      <c r="K4555">
        <v>136.80000000000001</v>
      </c>
      <c r="L4555">
        <v>919.9</v>
      </c>
      <c r="M4555">
        <v>0</v>
      </c>
      <c r="O4555" t="s">
        <v>34</v>
      </c>
    </row>
    <row r="4556" spans="1:15">
      <c r="A4556" t="s">
        <v>6170</v>
      </c>
      <c r="B4556" s="2">
        <v>43640.277650462966</v>
      </c>
      <c r="C4556" s="2">
        <v>43640.28806712963</v>
      </c>
      <c r="D4556" t="s">
        <v>897</v>
      </c>
      <c r="E4556" t="s">
        <v>6158</v>
      </c>
      <c r="F4556" t="s">
        <v>6159</v>
      </c>
      <c r="G4556" t="s">
        <v>1107</v>
      </c>
      <c r="H4556" t="s">
        <v>1031</v>
      </c>
      <c r="I4556">
        <v>390906007</v>
      </c>
      <c r="J4556" t="s">
        <v>1255</v>
      </c>
      <c r="K4556">
        <v>85.55</v>
      </c>
      <c r="L4556">
        <v>234.71</v>
      </c>
      <c r="M4556">
        <v>0</v>
      </c>
      <c r="N4556">
        <v>55822004</v>
      </c>
      <c r="O4556" t="s">
        <v>2010</v>
      </c>
    </row>
    <row r="4557" spans="1:15">
      <c r="A4557" t="s">
        <v>6171</v>
      </c>
      <c r="B4557" s="2">
        <v>43915.31795138889</v>
      </c>
      <c r="C4557" s="2">
        <v>43915.346990740742</v>
      </c>
      <c r="D4557" t="s">
        <v>897</v>
      </c>
      <c r="E4557" t="s">
        <v>6158</v>
      </c>
      <c r="F4557" t="s">
        <v>6159</v>
      </c>
      <c r="G4557" t="s">
        <v>1107</v>
      </c>
      <c r="H4557" t="s">
        <v>1031</v>
      </c>
      <c r="I4557">
        <v>185349003</v>
      </c>
      <c r="J4557" t="s">
        <v>1038</v>
      </c>
      <c r="K4557">
        <v>85.55</v>
      </c>
      <c r="L4557">
        <v>10429.950000000001</v>
      </c>
      <c r="M4557">
        <v>4960.99</v>
      </c>
      <c r="N4557">
        <v>275978004</v>
      </c>
      <c r="O4557" t="s">
        <v>1449</v>
      </c>
    </row>
    <row r="4558" spans="1:15">
      <c r="A4558" t="s">
        <v>6172</v>
      </c>
      <c r="B4558" s="2">
        <v>43921.277650462966</v>
      </c>
      <c r="C4558" s="2">
        <v>43921.320891203701</v>
      </c>
      <c r="D4558" t="s">
        <v>897</v>
      </c>
      <c r="E4558" t="s">
        <v>6158</v>
      </c>
      <c r="F4558" t="s">
        <v>6159</v>
      </c>
      <c r="G4558" t="s">
        <v>1107</v>
      </c>
      <c r="H4558" t="s">
        <v>2173</v>
      </c>
      <c r="I4558">
        <v>185317003</v>
      </c>
      <c r="J4558" t="s">
        <v>6173</v>
      </c>
      <c r="K4558">
        <v>75</v>
      </c>
      <c r="L4558">
        <v>1437.36</v>
      </c>
      <c r="M4558">
        <v>0</v>
      </c>
      <c r="N4558">
        <v>307426000</v>
      </c>
      <c r="O4558" t="s">
        <v>1097</v>
      </c>
    </row>
    <row r="4559" spans="1:15">
      <c r="A4559" t="s">
        <v>6174</v>
      </c>
      <c r="B4559" s="2">
        <v>43922.820891203701</v>
      </c>
      <c r="C4559" s="2">
        <v>43922.906261574077</v>
      </c>
      <c r="D4559" t="s">
        <v>897</v>
      </c>
      <c r="E4559" t="s">
        <v>3411</v>
      </c>
      <c r="F4559" t="s">
        <v>3412</v>
      </c>
      <c r="G4559" t="s">
        <v>1107</v>
      </c>
      <c r="H4559" t="s">
        <v>1076</v>
      </c>
      <c r="I4559">
        <v>390906007</v>
      </c>
      <c r="J4559" t="s">
        <v>1255</v>
      </c>
      <c r="K4559">
        <v>87.71</v>
      </c>
      <c r="L4559">
        <v>3613.49</v>
      </c>
      <c r="M4559">
        <v>476.55</v>
      </c>
      <c r="N4559">
        <v>307426000</v>
      </c>
      <c r="O4559" t="s">
        <v>1097</v>
      </c>
    </row>
    <row r="4560" spans="1:15">
      <c r="A4560" t="s">
        <v>6175</v>
      </c>
      <c r="B4560" s="2">
        <v>44008.277650462966</v>
      </c>
      <c r="C4560" s="2">
        <v>44008.317476851851</v>
      </c>
      <c r="D4560" t="s">
        <v>897</v>
      </c>
      <c r="E4560" t="s">
        <v>6155</v>
      </c>
      <c r="F4560" t="s">
        <v>6156</v>
      </c>
      <c r="G4560" t="s">
        <v>1107</v>
      </c>
      <c r="H4560" t="s">
        <v>1020</v>
      </c>
      <c r="I4560">
        <v>162673000</v>
      </c>
      <c r="J4560" t="s">
        <v>1021</v>
      </c>
      <c r="K4560">
        <v>136.80000000000001</v>
      </c>
      <c r="L4560">
        <v>1045.07</v>
      </c>
      <c r="M4560">
        <v>731.55</v>
      </c>
      <c r="O4560" t="s">
        <v>34</v>
      </c>
    </row>
    <row r="4561" spans="1:15">
      <c r="A4561" t="s">
        <v>6176</v>
      </c>
      <c r="B4561" s="2">
        <v>44015.277650462966</v>
      </c>
      <c r="C4561" s="2">
        <v>44015.28806712963</v>
      </c>
      <c r="D4561" t="s">
        <v>897</v>
      </c>
      <c r="E4561" t="s">
        <v>6158</v>
      </c>
      <c r="F4561" t="s">
        <v>6159</v>
      </c>
      <c r="G4561" t="s">
        <v>1107</v>
      </c>
      <c r="H4561" t="s">
        <v>1031</v>
      </c>
      <c r="I4561">
        <v>390906007</v>
      </c>
      <c r="J4561" t="s">
        <v>1255</v>
      </c>
      <c r="K4561">
        <v>85.55</v>
      </c>
      <c r="L4561">
        <v>234.71</v>
      </c>
      <c r="M4561">
        <v>164.3</v>
      </c>
      <c r="N4561">
        <v>55822004</v>
      </c>
      <c r="O4561" t="s">
        <v>2010</v>
      </c>
    </row>
    <row r="4562" spans="1:15">
      <c r="A4562" t="s">
        <v>6177</v>
      </c>
      <c r="B4562" s="2">
        <v>44022.277650462966</v>
      </c>
      <c r="C4562" s="2">
        <v>44022.524016203701</v>
      </c>
      <c r="D4562" t="s">
        <v>897</v>
      </c>
      <c r="E4562" t="s">
        <v>6158</v>
      </c>
      <c r="F4562" t="s">
        <v>6159</v>
      </c>
      <c r="G4562" t="s">
        <v>1107</v>
      </c>
      <c r="H4562" t="s">
        <v>1031</v>
      </c>
      <c r="I4562">
        <v>185349003</v>
      </c>
      <c r="J4562" t="s">
        <v>1038</v>
      </c>
      <c r="K4562">
        <v>85.55</v>
      </c>
      <c r="L4562">
        <v>4830.95</v>
      </c>
      <c r="M4562">
        <v>3381.66</v>
      </c>
      <c r="N4562">
        <v>66383009</v>
      </c>
      <c r="O4562" t="s">
        <v>1209</v>
      </c>
    </row>
    <row r="4563" spans="1:15">
      <c r="A4563" t="s">
        <v>6178</v>
      </c>
      <c r="B4563" s="2">
        <v>44072.277650462966</v>
      </c>
      <c r="C4563" s="2">
        <v>44072.342916666668</v>
      </c>
      <c r="D4563" t="s">
        <v>897</v>
      </c>
      <c r="E4563" t="s">
        <v>6158</v>
      </c>
      <c r="F4563" t="s">
        <v>6159</v>
      </c>
      <c r="G4563" t="s">
        <v>1107</v>
      </c>
      <c r="H4563" t="s">
        <v>1031</v>
      </c>
      <c r="I4563">
        <v>185345009</v>
      </c>
      <c r="J4563" t="s">
        <v>1032</v>
      </c>
      <c r="K4563">
        <v>85.55</v>
      </c>
      <c r="L4563">
        <v>235.76</v>
      </c>
      <c r="M4563">
        <v>165.04</v>
      </c>
      <c r="N4563">
        <v>840544004</v>
      </c>
      <c r="O4563" t="s">
        <v>1455</v>
      </c>
    </row>
    <row r="4564" spans="1:15">
      <c r="A4564" t="s">
        <v>6179</v>
      </c>
      <c r="B4564" s="2">
        <v>44072.342916666668</v>
      </c>
      <c r="C4564" s="2">
        <v>44081.375185185185</v>
      </c>
      <c r="D4564" t="s">
        <v>897</v>
      </c>
      <c r="E4564" t="s">
        <v>6158</v>
      </c>
      <c r="F4564" t="s">
        <v>6159</v>
      </c>
      <c r="G4564" t="s">
        <v>1107</v>
      </c>
      <c r="H4564" t="s">
        <v>1431</v>
      </c>
      <c r="I4564">
        <v>1505002</v>
      </c>
      <c r="J4564" t="s">
        <v>6180</v>
      </c>
      <c r="K4564">
        <v>146.18</v>
      </c>
      <c r="L4564">
        <v>15413.48</v>
      </c>
      <c r="M4564">
        <v>10789.62</v>
      </c>
      <c r="N4564">
        <v>840539006</v>
      </c>
      <c r="O4564" t="s">
        <v>6181</v>
      </c>
    </row>
    <row r="4565" spans="1:15">
      <c r="A4565" t="s">
        <v>6182</v>
      </c>
      <c r="B4565" s="2">
        <v>44218.235983796294</v>
      </c>
      <c r="C4565" s="2">
        <v>44218.246400462966</v>
      </c>
      <c r="D4565" t="s">
        <v>897</v>
      </c>
      <c r="E4565" t="s">
        <v>6158</v>
      </c>
      <c r="F4565" t="s">
        <v>6159</v>
      </c>
      <c r="G4565" t="s">
        <v>1107</v>
      </c>
      <c r="H4565" t="s">
        <v>1043</v>
      </c>
      <c r="I4565">
        <v>33879002</v>
      </c>
      <c r="J4565" t="s">
        <v>1044</v>
      </c>
      <c r="K4565">
        <v>142.58000000000001</v>
      </c>
      <c r="L4565">
        <v>278.58</v>
      </c>
      <c r="M4565">
        <v>278.58</v>
      </c>
      <c r="O4565" t="s">
        <v>34</v>
      </c>
    </row>
    <row r="4566" spans="1:15">
      <c r="A4566" t="s">
        <v>6183</v>
      </c>
      <c r="B4566" s="2">
        <v>44246.235983796294</v>
      </c>
      <c r="C4566" s="2">
        <v>44246.246400462966</v>
      </c>
      <c r="D4566" t="s">
        <v>897</v>
      </c>
      <c r="E4566" t="s">
        <v>6158</v>
      </c>
      <c r="F4566" t="s">
        <v>6159</v>
      </c>
      <c r="G4566" t="s">
        <v>1107</v>
      </c>
      <c r="H4566" t="s">
        <v>1043</v>
      </c>
      <c r="I4566">
        <v>33879002</v>
      </c>
      <c r="J4566" t="s">
        <v>1044</v>
      </c>
      <c r="K4566">
        <v>142.58000000000001</v>
      </c>
      <c r="L4566">
        <v>278.58</v>
      </c>
      <c r="M4566">
        <v>278.58</v>
      </c>
      <c r="O4566" t="s">
        <v>34</v>
      </c>
    </row>
    <row r="4567" spans="1:15">
      <c r="A4567" t="s">
        <v>6184</v>
      </c>
      <c r="B4567" s="2">
        <v>44379.277650462966</v>
      </c>
      <c r="C4567" s="2">
        <v>44379.311076388891</v>
      </c>
      <c r="D4567" t="s">
        <v>897</v>
      </c>
      <c r="E4567" t="s">
        <v>6155</v>
      </c>
      <c r="F4567" t="s">
        <v>6156</v>
      </c>
      <c r="G4567" t="s">
        <v>1023</v>
      </c>
      <c r="H4567" t="s">
        <v>1020</v>
      </c>
      <c r="I4567">
        <v>162673000</v>
      </c>
      <c r="J4567" t="s">
        <v>1021</v>
      </c>
      <c r="K4567">
        <v>136.80000000000001</v>
      </c>
      <c r="L4567">
        <v>989.36</v>
      </c>
      <c r="M4567">
        <v>0</v>
      </c>
      <c r="O4567" t="s">
        <v>34</v>
      </c>
    </row>
    <row r="4568" spans="1:15">
      <c r="A4568" t="s">
        <v>6185</v>
      </c>
      <c r="B4568" s="2">
        <v>44380.277650462966</v>
      </c>
      <c r="C4568" s="2">
        <v>44380.28806712963</v>
      </c>
      <c r="D4568" t="s">
        <v>897</v>
      </c>
      <c r="E4568" t="s">
        <v>6158</v>
      </c>
      <c r="F4568" t="s">
        <v>6159</v>
      </c>
      <c r="G4568" t="s">
        <v>1023</v>
      </c>
      <c r="H4568" t="s">
        <v>1031</v>
      </c>
      <c r="I4568">
        <v>390906007</v>
      </c>
      <c r="J4568" t="s">
        <v>1255</v>
      </c>
      <c r="K4568">
        <v>85.55</v>
      </c>
      <c r="L4568">
        <v>234.71</v>
      </c>
      <c r="M4568">
        <v>0</v>
      </c>
      <c r="N4568">
        <v>55822004</v>
      </c>
      <c r="O4568" t="s">
        <v>2010</v>
      </c>
    </row>
    <row r="4569" spans="1:15">
      <c r="A4569" t="s">
        <v>6186</v>
      </c>
      <c r="B4569" s="2">
        <v>44750.277650462966</v>
      </c>
      <c r="C4569" s="2">
        <v>44750.317129629628</v>
      </c>
      <c r="D4569" t="s">
        <v>897</v>
      </c>
      <c r="E4569" t="s">
        <v>6155</v>
      </c>
      <c r="F4569" t="s">
        <v>6156</v>
      </c>
      <c r="G4569" t="s">
        <v>1023</v>
      </c>
      <c r="H4569" t="s">
        <v>1020</v>
      </c>
      <c r="I4569">
        <v>162673000</v>
      </c>
      <c r="J4569" t="s">
        <v>1021</v>
      </c>
      <c r="K4569">
        <v>136.80000000000001</v>
      </c>
      <c r="L4569">
        <v>704.2</v>
      </c>
      <c r="M4569">
        <v>0</v>
      </c>
      <c r="O4569" t="s">
        <v>34</v>
      </c>
    </row>
    <row r="4570" spans="1:15">
      <c r="A4570" t="s">
        <v>6187</v>
      </c>
      <c r="B4570" s="2">
        <v>44757.277650462966</v>
      </c>
      <c r="C4570" s="2">
        <v>44757.28806712963</v>
      </c>
      <c r="D4570" t="s">
        <v>897</v>
      </c>
      <c r="E4570" t="s">
        <v>6158</v>
      </c>
      <c r="F4570" t="s">
        <v>6159</v>
      </c>
      <c r="G4570" t="s">
        <v>1023</v>
      </c>
      <c r="H4570" t="s">
        <v>1031</v>
      </c>
      <c r="I4570">
        <v>390906007</v>
      </c>
      <c r="J4570" t="s">
        <v>1255</v>
      </c>
      <c r="K4570">
        <v>85.55</v>
      </c>
      <c r="L4570">
        <v>234.71</v>
      </c>
      <c r="M4570">
        <v>0</v>
      </c>
      <c r="N4570">
        <v>55822004</v>
      </c>
      <c r="O4570" t="s">
        <v>2010</v>
      </c>
    </row>
    <row r="4571" spans="1:15">
      <c r="A4571" t="s">
        <v>6188</v>
      </c>
      <c r="B4571" s="2">
        <v>45121.277650462966</v>
      </c>
      <c r="C4571" s="2">
        <v>45121.315243055556</v>
      </c>
      <c r="D4571" t="s">
        <v>897</v>
      </c>
      <c r="E4571" t="s">
        <v>6155</v>
      </c>
      <c r="F4571" t="s">
        <v>6156</v>
      </c>
      <c r="G4571" t="s">
        <v>1023</v>
      </c>
      <c r="H4571" t="s">
        <v>1020</v>
      </c>
      <c r="I4571">
        <v>162673000</v>
      </c>
      <c r="J4571" t="s">
        <v>1021</v>
      </c>
      <c r="K4571">
        <v>136.80000000000001</v>
      </c>
      <c r="L4571">
        <v>919.9</v>
      </c>
      <c r="M4571">
        <v>0</v>
      </c>
      <c r="O4571" t="s">
        <v>34</v>
      </c>
    </row>
    <row r="4572" spans="1:15">
      <c r="A4572" t="s">
        <v>6189</v>
      </c>
      <c r="B4572" s="2">
        <v>45122.277650462966</v>
      </c>
      <c r="C4572" s="2">
        <v>45122.28806712963</v>
      </c>
      <c r="D4572" t="s">
        <v>897</v>
      </c>
      <c r="E4572" t="s">
        <v>6158</v>
      </c>
      <c r="F4572" t="s">
        <v>6159</v>
      </c>
      <c r="G4572" t="s">
        <v>1023</v>
      </c>
      <c r="H4572" t="s">
        <v>1031</v>
      </c>
      <c r="I4572">
        <v>390906007</v>
      </c>
      <c r="J4572" t="s">
        <v>1255</v>
      </c>
      <c r="K4572">
        <v>85.55</v>
      </c>
      <c r="L4572">
        <v>234.71</v>
      </c>
      <c r="M4572">
        <v>0</v>
      </c>
      <c r="N4572">
        <v>55822004</v>
      </c>
      <c r="O4572" t="s">
        <v>2010</v>
      </c>
    </row>
    <row r="4573" spans="1:15">
      <c r="A4573" t="s">
        <v>6190</v>
      </c>
      <c r="B4573" s="2">
        <v>45135.277650462966</v>
      </c>
      <c r="C4573" s="2">
        <v>45135.427060185182</v>
      </c>
      <c r="D4573" t="s">
        <v>897</v>
      </c>
      <c r="E4573" t="s">
        <v>6158</v>
      </c>
      <c r="F4573" t="s">
        <v>6159</v>
      </c>
      <c r="G4573" t="s">
        <v>1023</v>
      </c>
      <c r="H4573" t="s">
        <v>1031</v>
      </c>
      <c r="I4573">
        <v>185349003</v>
      </c>
      <c r="J4573" t="s">
        <v>1038</v>
      </c>
      <c r="K4573">
        <v>85.55</v>
      </c>
      <c r="L4573">
        <v>3105.35</v>
      </c>
      <c r="M4573">
        <v>2348.23</v>
      </c>
      <c r="N4573">
        <v>103697008</v>
      </c>
      <c r="O4573" t="s">
        <v>1039</v>
      </c>
    </row>
    <row r="4574" spans="1:15">
      <c r="A4574" t="s">
        <v>6191</v>
      </c>
      <c r="B4574" s="2">
        <v>45492.277650462966</v>
      </c>
      <c r="C4574" s="2">
        <v>45492.299351851849</v>
      </c>
      <c r="D4574" t="s">
        <v>897</v>
      </c>
      <c r="E4574" t="s">
        <v>6155</v>
      </c>
      <c r="F4574" t="s">
        <v>6156</v>
      </c>
      <c r="G4574" t="s">
        <v>1026</v>
      </c>
      <c r="H4574" t="s">
        <v>1020</v>
      </c>
      <c r="I4574">
        <v>162673000</v>
      </c>
      <c r="J4574" t="s">
        <v>1021</v>
      </c>
      <c r="K4574">
        <v>136.80000000000001</v>
      </c>
      <c r="L4574">
        <v>778.78</v>
      </c>
      <c r="M4574">
        <v>0</v>
      </c>
      <c r="O4574" t="s">
        <v>34</v>
      </c>
    </row>
    <row r="4575" spans="1:15">
      <c r="A4575" t="s">
        <v>6192</v>
      </c>
      <c r="B4575" s="2">
        <v>45499.277650462966</v>
      </c>
      <c r="C4575" s="2">
        <v>45499.28806712963</v>
      </c>
      <c r="D4575" t="s">
        <v>897</v>
      </c>
      <c r="E4575" t="s">
        <v>6158</v>
      </c>
      <c r="F4575" t="s">
        <v>6159</v>
      </c>
      <c r="G4575" t="s">
        <v>1026</v>
      </c>
      <c r="H4575" t="s">
        <v>1031</v>
      </c>
      <c r="I4575">
        <v>390906007</v>
      </c>
      <c r="J4575" t="s">
        <v>1255</v>
      </c>
      <c r="K4575">
        <v>85.55</v>
      </c>
      <c r="L4575">
        <v>234.71</v>
      </c>
      <c r="M4575">
        <v>0</v>
      </c>
      <c r="N4575">
        <v>55822004</v>
      </c>
      <c r="O4575" t="s">
        <v>2010</v>
      </c>
    </row>
    <row r="4576" spans="1:15">
      <c r="A4576" t="s">
        <v>6193</v>
      </c>
      <c r="B4576" s="2">
        <v>45717.06931712963</v>
      </c>
      <c r="C4576" s="2">
        <v>45717.079733796294</v>
      </c>
      <c r="D4576" t="s">
        <v>897</v>
      </c>
      <c r="E4576" t="s">
        <v>6158</v>
      </c>
      <c r="F4576" t="s">
        <v>6159</v>
      </c>
      <c r="G4576" t="s">
        <v>1026</v>
      </c>
      <c r="H4576" t="s">
        <v>1031</v>
      </c>
      <c r="I4576">
        <v>185345009</v>
      </c>
      <c r="J4576" t="s">
        <v>1032</v>
      </c>
      <c r="K4576">
        <v>85.55</v>
      </c>
      <c r="L4576">
        <v>85.55</v>
      </c>
      <c r="M4576">
        <v>0</v>
      </c>
      <c r="N4576">
        <v>444814009</v>
      </c>
      <c r="O4576" t="s">
        <v>1035</v>
      </c>
    </row>
    <row r="4577" spans="1:15">
      <c r="A4577" t="s">
        <v>6194</v>
      </c>
      <c r="B4577" s="2">
        <v>45741.346990740742</v>
      </c>
      <c r="C4577" s="2">
        <v>45741.37572916667</v>
      </c>
      <c r="D4577" t="s">
        <v>897</v>
      </c>
      <c r="E4577" t="s">
        <v>6158</v>
      </c>
      <c r="F4577" t="s">
        <v>6159</v>
      </c>
      <c r="G4577" t="s">
        <v>1026</v>
      </c>
      <c r="H4577" t="s">
        <v>1031</v>
      </c>
      <c r="I4577">
        <v>185349003</v>
      </c>
      <c r="J4577" t="s">
        <v>1038</v>
      </c>
      <c r="K4577">
        <v>85.55</v>
      </c>
      <c r="L4577">
        <v>5138.45</v>
      </c>
      <c r="M4577">
        <v>88.11</v>
      </c>
      <c r="N4577">
        <v>275978004</v>
      </c>
      <c r="O4577" t="s">
        <v>1449</v>
      </c>
    </row>
    <row r="4578" spans="1:15">
      <c r="A4578" t="s">
        <v>6195</v>
      </c>
      <c r="B4578" s="2">
        <v>45744.277650462966</v>
      </c>
      <c r="C4578" s="2">
        <v>45749.28806712963</v>
      </c>
      <c r="D4578" t="s">
        <v>897</v>
      </c>
      <c r="E4578" t="s">
        <v>6196</v>
      </c>
      <c r="F4578" t="s">
        <v>6197</v>
      </c>
      <c r="G4578" t="s">
        <v>1122</v>
      </c>
      <c r="H4578" t="s">
        <v>1836</v>
      </c>
      <c r="I4578">
        <v>32485007</v>
      </c>
      <c r="J4578" t="s">
        <v>1837</v>
      </c>
      <c r="K4578">
        <v>110.92</v>
      </c>
      <c r="L4578">
        <v>4856.32</v>
      </c>
      <c r="M4578">
        <v>3698.66</v>
      </c>
      <c r="N4578">
        <v>25675004</v>
      </c>
      <c r="O4578" t="s">
        <v>1838</v>
      </c>
    </row>
    <row r="4579" spans="1:15">
      <c r="A4579" t="s">
        <v>6198</v>
      </c>
      <c r="B4579" s="2">
        <v>45863.277650462966</v>
      </c>
      <c r="C4579" s="2">
        <v>45863.31013888889</v>
      </c>
      <c r="D4579" t="s">
        <v>897</v>
      </c>
      <c r="E4579" t="s">
        <v>6155</v>
      </c>
      <c r="F4579" t="s">
        <v>6156</v>
      </c>
      <c r="G4579" t="s">
        <v>1122</v>
      </c>
      <c r="H4579" t="s">
        <v>1020</v>
      </c>
      <c r="I4579">
        <v>162673000</v>
      </c>
      <c r="J4579" t="s">
        <v>1021</v>
      </c>
      <c r="K4579">
        <v>136.80000000000001</v>
      </c>
      <c r="L4579">
        <v>1703</v>
      </c>
      <c r="M4579">
        <v>1362.4</v>
      </c>
      <c r="O4579" t="s">
        <v>34</v>
      </c>
    </row>
    <row r="4580" spans="1:15">
      <c r="A4580" t="s">
        <v>6199</v>
      </c>
      <c r="B4580" s="2">
        <v>45864.277650462966</v>
      </c>
      <c r="C4580" s="2">
        <v>45864.28806712963</v>
      </c>
      <c r="D4580" t="s">
        <v>897</v>
      </c>
      <c r="E4580" t="s">
        <v>6158</v>
      </c>
      <c r="F4580" t="s">
        <v>6159</v>
      </c>
      <c r="G4580" t="s">
        <v>1122</v>
      </c>
      <c r="H4580" t="s">
        <v>1031</v>
      </c>
      <c r="I4580">
        <v>390906007</v>
      </c>
      <c r="J4580" t="s">
        <v>1255</v>
      </c>
      <c r="K4580">
        <v>85.55</v>
      </c>
      <c r="L4580">
        <v>234.71</v>
      </c>
      <c r="M4580">
        <v>187.76</v>
      </c>
      <c r="N4580">
        <v>55822004</v>
      </c>
      <c r="O4580" t="s">
        <v>2010</v>
      </c>
    </row>
    <row r="4581" spans="1:15">
      <c r="A4581" t="s">
        <v>6200</v>
      </c>
      <c r="B4581" s="2">
        <v>46234.277650462966</v>
      </c>
      <c r="C4581" s="2">
        <v>46234.316168981481</v>
      </c>
      <c r="D4581" t="s">
        <v>897</v>
      </c>
      <c r="E4581" t="s">
        <v>6155</v>
      </c>
      <c r="F4581" t="s">
        <v>6156</v>
      </c>
      <c r="G4581" t="s">
        <v>1122</v>
      </c>
      <c r="H4581" t="s">
        <v>1020</v>
      </c>
      <c r="I4581">
        <v>162673000</v>
      </c>
      <c r="J4581" t="s">
        <v>1021</v>
      </c>
      <c r="K4581">
        <v>136.80000000000001</v>
      </c>
      <c r="L4581">
        <v>914.78</v>
      </c>
      <c r="M4581">
        <v>547.33000000000004</v>
      </c>
      <c r="O4581" t="s">
        <v>34</v>
      </c>
    </row>
    <row r="4582" spans="1:15">
      <c r="A4582" t="s">
        <v>6201</v>
      </c>
      <c r="B4582" s="2">
        <v>46241.277650462966</v>
      </c>
      <c r="C4582" s="2">
        <v>46241.28806712963</v>
      </c>
      <c r="D4582" t="s">
        <v>897</v>
      </c>
      <c r="E4582" t="s">
        <v>6158</v>
      </c>
      <c r="F4582" t="s">
        <v>6159</v>
      </c>
      <c r="G4582" t="s">
        <v>1122</v>
      </c>
      <c r="H4582" t="s">
        <v>1031</v>
      </c>
      <c r="I4582">
        <v>390906007</v>
      </c>
      <c r="J4582" t="s">
        <v>1255</v>
      </c>
      <c r="K4582">
        <v>85.55</v>
      </c>
      <c r="L4582">
        <v>234.71</v>
      </c>
      <c r="M4582">
        <v>187.76</v>
      </c>
      <c r="N4582">
        <v>55822004</v>
      </c>
      <c r="O4582" t="s">
        <v>2010</v>
      </c>
    </row>
    <row r="4583" spans="1:15">
      <c r="A4583" t="s">
        <v>6202</v>
      </c>
      <c r="B4583" s="2">
        <v>46248.277650462966</v>
      </c>
      <c r="C4583" s="2">
        <v>46248.301851851851</v>
      </c>
      <c r="D4583" t="s">
        <v>897</v>
      </c>
      <c r="E4583" t="s">
        <v>6158</v>
      </c>
      <c r="F4583" t="s">
        <v>6159</v>
      </c>
      <c r="G4583" t="s">
        <v>1122</v>
      </c>
      <c r="H4583" t="s">
        <v>1031</v>
      </c>
      <c r="I4583">
        <v>185349003</v>
      </c>
      <c r="J4583" t="s">
        <v>1038</v>
      </c>
      <c r="K4583">
        <v>85.55</v>
      </c>
      <c r="L4583">
        <v>516.95000000000005</v>
      </c>
      <c r="M4583">
        <v>413.56</v>
      </c>
      <c r="N4583">
        <v>66383009</v>
      </c>
      <c r="O4583" t="s">
        <v>1209</v>
      </c>
    </row>
    <row r="4584" spans="1:15">
      <c r="A4584" t="s">
        <v>6203</v>
      </c>
      <c r="B4584" s="2">
        <v>37294.149097222224</v>
      </c>
      <c r="C4584" s="2">
        <v>37294.168912037036</v>
      </c>
      <c r="D4584" t="s">
        <v>906</v>
      </c>
      <c r="E4584" t="s">
        <v>3028</v>
      </c>
      <c r="F4584" t="s">
        <v>3029</v>
      </c>
      <c r="G4584" t="s">
        <v>1561</v>
      </c>
      <c r="H4584" t="s">
        <v>1031</v>
      </c>
      <c r="I4584">
        <v>185347001</v>
      </c>
      <c r="J4584" t="s">
        <v>1124</v>
      </c>
      <c r="K4584">
        <v>85.55</v>
      </c>
      <c r="L4584">
        <v>516.95000000000005</v>
      </c>
      <c r="M4584">
        <v>0</v>
      </c>
      <c r="N4584">
        <v>609328004</v>
      </c>
      <c r="O4584" t="s">
        <v>1137</v>
      </c>
    </row>
    <row r="4585" spans="1:15">
      <c r="A4585" t="s">
        <v>6204</v>
      </c>
      <c r="B4585" s="2">
        <v>38039.857430555552</v>
      </c>
      <c r="C4585" s="2">
        <v>38039.867847222224</v>
      </c>
      <c r="D4585" t="s">
        <v>906</v>
      </c>
      <c r="E4585" t="s">
        <v>3028</v>
      </c>
      <c r="F4585" t="s">
        <v>3029</v>
      </c>
      <c r="G4585" t="s">
        <v>1122</v>
      </c>
      <c r="H4585" t="s">
        <v>1031</v>
      </c>
      <c r="I4585">
        <v>185345009</v>
      </c>
      <c r="J4585" t="s">
        <v>1032</v>
      </c>
      <c r="K4585">
        <v>85.55</v>
      </c>
      <c r="L4585">
        <v>85.55</v>
      </c>
      <c r="M4585">
        <v>0</v>
      </c>
      <c r="N4585">
        <v>446096008</v>
      </c>
      <c r="O4585" t="s">
        <v>1810</v>
      </c>
    </row>
    <row r="4586" spans="1:15">
      <c r="A4586" t="s">
        <v>6205</v>
      </c>
      <c r="B4586" s="2">
        <v>41723.899097222224</v>
      </c>
      <c r="C4586" s="2">
        <v>41723.917592592596</v>
      </c>
      <c r="D4586" t="s">
        <v>906</v>
      </c>
      <c r="E4586" t="s">
        <v>2149</v>
      </c>
      <c r="F4586" t="s">
        <v>2150</v>
      </c>
      <c r="G4586" t="s">
        <v>1122</v>
      </c>
      <c r="H4586" t="s">
        <v>1020</v>
      </c>
      <c r="I4586">
        <v>410620009</v>
      </c>
      <c r="J4586" t="s">
        <v>1054</v>
      </c>
      <c r="K4586">
        <v>136.80000000000001</v>
      </c>
      <c r="L4586">
        <v>914.78</v>
      </c>
      <c r="M4586">
        <v>545.41999999999996</v>
      </c>
      <c r="O4586" t="s">
        <v>34</v>
      </c>
    </row>
    <row r="4587" spans="1:15">
      <c r="A4587" t="s">
        <v>6206</v>
      </c>
      <c r="B4587" s="2">
        <v>42465.899097222224</v>
      </c>
      <c r="C4587" s="2">
        <v>42465.924421296295</v>
      </c>
      <c r="D4587" t="s">
        <v>906</v>
      </c>
      <c r="E4587" t="s">
        <v>2149</v>
      </c>
      <c r="F4587" t="s">
        <v>2150</v>
      </c>
      <c r="G4587" t="s">
        <v>1325</v>
      </c>
      <c r="H4587" t="s">
        <v>1020</v>
      </c>
      <c r="I4587">
        <v>162673000</v>
      </c>
      <c r="J4587" t="s">
        <v>1021</v>
      </c>
      <c r="K4587">
        <v>136.80000000000001</v>
      </c>
      <c r="L4587">
        <v>919.9</v>
      </c>
      <c r="M4587">
        <v>0</v>
      </c>
      <c r="O4587" t="s">
        <v>34</v>
      </c>
    </row>
    <row r="4588" spans="1:15">
      <c r="A4588" t="s">
        <v>6207</v>
      </c>
      <c r="B4588" s="2">
        <v>42749.857430555552</v>
      </c>
      <c r="C4588" s="2">
        <v>42749.867847222224</v>
      </c>
      <c r="D4588" t="s">
        <v>906</v>
      </c>
      <c r="E4588" t="s">
        <v>3028</v>
      </c>
      <c r="F4588" t="s">
        <v>3029</v>
      </c>
      <c r="G4588" t="s">
        <v>1325</v>
      </c>
      <c r="H4588" t="s">
        <v>1043</v>
      </c>
      <c r="I4588">
        <v>698314001</v>
      </c>
      <c r="J4588" t="s">
        <v>1190</v>
      </c>
      <c r="K4588">
        <v>142.58000000000001</v>
      </c>
      <c r="L4588">
        <v>142.58000000000001</v>
      </c>
      <c r="M4588">
        <v>0</v>
      </c>
      <c r="N4588">
        <v>389095005</v>
      </c>
      <c r="O4588" t="s">
        <v>1191</v>
      </c>
    </row>
    <row r="4589" spans="1:15">
      <c r="A4589" t="s">
        <v>6208</v>
      </c>
      <c r="B4589" s="2">
        <v>42836.899097222224</v>
      </c>
      <c r="C4589" s="2">
        <v>42836.93922453704</v>
      </c>
      <c r="D4589" t="s">
        <v>906</v>
      </c>
      <c r="E4589" t="s">
        <v>2149</v>
      </c>
      <c r="F4589" t="s">
        <v>2150</v>
      </c>
      <c r="G4589" t="s">
        <v>1325</v>
      </c>
      <c r="H4589" t="s">
        <v>1020</v>
      </c>
      <c r="I4589">
        <v>162673000</v>
      </c>
      <c r="J4589" t="s">
        <v>1021</v>
      </c>
      <c r="K4589">
        <v>136.80000000000001</v>
      </c>
      <c r="L4589">
        <v>1416.53</v>
      </c>
      <c r="M4589">
        <v>0</v>
      </c>
      <c r="O4589" t="s">
        <v>34</v>
      </c>
    </row>
    <row r="4590" spans="1:15">
      <c r="A4590" t="s">
        <v>6209</v>
      </c>
      <c r="B4590" s="2">
        <v>42850.899097222224</v>
      </c>
      <c r="C4590" s="2">
        <v>42851.143842592595</v>
      </c>
      <c r="D4590" t="s">
        <v>906</v>
      </c>
      <c r="E4590" t="s">
        <v>3028</v>
      </c>
      <c r="F4590" t="s">
        <v>3029</v>
      </c>
      <c r="G4590" t="s">
        <v>1325</v>
      </c>
      <c r="H4590" t="s">
        <v>1031</v>
      </c>
      <c r="I4590">
        <v>185349003</v>
      </c>
      <c r="J4590" t="s">
        <v>1038</v>
      </c>
      <c r="K4590">
        <v>85.55</v>
      </c>
      <c r="L4590">
        <v>4399.55</v>
      </c>
      <c r="M4590">
        <v>0</v>
      </c>
      <c r="N4590">
        <v>66383009</v>
      </c>
      <c r="O4590" t="s">
        <v>1209</v>
      </c>
    </row>
    <row r="4591" spans="1:15">
      <c r="A4591" t="s">
        <v>6210</v>
      </c>
      <c r="B4591" s="2">
        <v>43578.899097222224</v>
      </c>
      <c r="C4591" s="2">
        <v>43578.93037037037</v>
      </c>
      <c r="D4591" t="s">
        <v>906</v>
      </c>
      <c r="E4591" t="s">
        <v>3028</v>
      </c>
      <c r="F4591" t="s">
        <v>3029</v>
      </c>
      <c r="G4591" t="s">
        <v>1325</v>
      </c>
      <c r="H4591" t="s">
        <v>1043</v>
      </c>
      <c r="I4591">
        <v>185349003</v>
      </c>
      <c r="J4591" t="s">
        <v>1038</v>
      </c>
      <c r="K4591">
        <v>85.55</v>
      </c>
      <c r="L4591">
        <v>1645.65</v>
      </c>
      <c r="M4591">
        <v>0</v>
      </c>
      <c r="O4591" t="s">
        <v>34</v>
      </c>
    </row>
    <row r="4592" spans="1:15">
      <c r="A4592" t="s">
        <v>6211</v>
      </c>
      <c r="B4592" s="2">
        <v>43585.899097222224</v>
      </c>
      <c r="C4592" s="2">
        <v>43585.912685185183</v>
      </c>
      <c r="D4592" t="s">
        <v>906</v>
      </c>
      <c r="E4592" t="s">
        <v>3028</v>
      </c>
      <c r="F4592" t="s">
        <v>3029</v>
      </c>
      <c r="G4592" t="s">
        <v>1325</v>
      </c>
      <c r="H4592" t="s">
        <v>1031</v>
      </c>
      <c r="I4592">
        <v>185345009</v>
      </c>
      <c r="J4592" t="s">
        <v>1032</v>
      </c>
      <c r="K4592">
        <v>85.55</v>
      </c>
      <c r="L4592">
        <v>430.85</v>
      </c>
      <c r="M4592">
        <v>0</v>
      </c>
      <c r="N4592">
        <v>10509002</v>
      </c>
      <c r="O4592" t="s">
        <v>1033</v>
      </c>
    </row>
    <row r="4593" spans="1:15">
      <c r="A4593" t="s">
        <v>6212</v>
      </c>
      <c r="B4593" s="2">
        <v>43592.899097222224</v>
      </c>
      <c r="C4593" s="2">
        <v>43593.032581018517</v>
      </c>
      <c r="D4593" t="s">
        <v>906</v>
      </c>
      <c r="E4593" t="s">
        <v>3028</v>
      </c>
      <c r="F4593" t="s">
        <v>3029</v>
      </c>
      <c r="G4593" t="s">
        <v>1325</v>
      </c>
      <c r="H4593" t="s">
        <v>1031</v>
      </c>
      <c r="I4593">
        <v>185349003</v>
      </c>
      <c r="J4593" t="s">
        <v>1038</v>
      </c>
      <c r="K4593">
        <v>85.55</v>
      </c>
      <c r="L4593">
        <v>3536.75</v>
      </c>
      <c r="M4593">
        <v>0</v>
      </c>
      <c r="N4593">
        <v>103697008</v>
      </c>
      <c r="O4593" t="s">
        <v>1039</v>
      </c>
    </row>
    <row r="4594" spans="1:15">
      <c r="A4594" t="s">
        <v>6213</v>
      </c>
      <c r="B4594" s="2">
        <v>43725.899097222224</v>
      </c>
      <c r="C4594" s="2">
        <v>43725.909513888888</v>
      </c>
      <c r="D4594" t="s">
        <v>906</v>
      </c>
      <c r="E4594" t="s">
        <v>3028</v>
      </c>
      <c r="F4594" t="s">
        <v>3029</v>
      </c>
      <c r="G4594" t="s">
        <v>1325</v>
      </c>
      <c r="H4594" t="s">
        <v>1031</v>
      </c>
      <c r="I4594">
        <v>424441002</v>
      </c>
      <c r="J4594" t="s">
        <v>1059</v>
      </c>
      <c r="K4594">
        <v>142.58000000000001</v>
      </c>
      <c r="L4594">
        <v>25388.15</v>
      </c>
      <c r="M4594">
        <v>15054.51</v>
      </c>
      <c r="N4594">
        <v>72892002</v>
      </c>
      <c r="O4594" t="s">
        <v>1060</v>
      </c>
    </row>
    <row r="4595" spans="1:15">
      <c r="A4595" t="s">
        <v>6214</v>
      </c>
      <c r="B4595" s="2">
        <v>43736.899097222224</v>
      </c>
      <c r="C4595" s="2">
        <v>43736.909513888888</v>
      </c>
      <c r="D4595" t="s">
        <v>906</v>
      </c>
      <c r="E4595" t="s">
        <v>3028</v>
      </c>
      <c r="F4595" t="s">
        <v>3029</v>
      </c>
      <c r="G4595" t="s">
        <v>1325</v>
      </c>
      <c r="H4595" t="s">
        <v>1031</v>
      </c>
      <c r="I4595">
        <v>270427003</v>
      </c>
      <c r="J4595" t="s">
        <v>1179</v>
      </c>
      <c r="K4595">
        <v>85.55</v>
      </c>
      <c r="L4595">
        <v>16229.09</v>
      </c>
      <c r="M4595">
        <v>16229.09</v>
      </c>
      <c r="N4595">
        <v>72892002</v>
      </c>
      <c r="O4595" t="s">
        <v>1060</v>
      </c>
    </row>
    <row r="4596" spans="1:15">
      <c r="A4596" t="s">
        <v>6215</v>
      </c>
      <c r="B4596" s="2">
        <v>43756.899097222224</v>
      </c>
      <c r="C4596" s="2">
        <v>43756.909513888888</v>
      </c>
      <c r="D4596" t="s">
        <v>906</v>
      </c>
      <c r="E4596" t="s">
        <v>3028</v>
      </c>
      <c r="F4596" t="s">
        <v>3029</v>
      </c>
      <c r="G4596" t="s">
        <v>1325</v>
      </c>
      <c r="H4596" t="s">
        <v>1031</v>
      </c>
      <c r="I4596">
        <v>424619006</v>
      </c>
      <c r="J4596" t="s">
        <v>1062</v>
      </c>
      <c r="K4596">
        <v>142.58000000000001</v>
      </c>
      <c r="L4596">
        <v>1868.18</v>
      </c>
      <c r="M4596">
        <v>1868.18</v>
      </c>
      <c r="N4596">
        <v>72892002</v>
      </c>
      <c r="O4596" t="s">
        <v>1060</v>
      </c>
    </row>
    <row r="4597" spans="1:15">
      <c r="A4597" t="s">
        <v>6216</v>
      </c>
      <c r="B4597" s="2">
        <v>43829.857430555552</v>
      </c>
      <c r="C4597" s="2">
        <v>43829.867847222224</v>
      </c>
      <c r="D4597" t="s">
        <v>906</v>
      </c>
      <c r="E4597" t="s">
        <v>3028</v>
      </c>
      <c r="F4597" t="s">
        <v>3029</v>
      </c>
      <c r="G4597" t="s">
        <v>1325</v>
      </c>
      <c r="H4597" t="s">
        <v>1043</v>
      </c>
      <c r="I4597">
        <v>698314001</v>
      </c>
      <c r="J4597" t="s">
        <v>1190</v>
      </c>
      <c r="K4597">
        <v>142.58000000000001</v>
      </c>
      <c r="L4597">
        <v>142.58000000000001</v>
      </c>
      <c r="M4597">
        <v>142.58000000000001</v>
      </c>
      <c r="N4597">
        <v>389095005</v>
      </c>
      <c r="O4597" t="s">
        <v>1191</v>
      </c>
    </row>
    <row r="4598" spans="1:15">
      <c r="A4598" t="s">
        <v>6217</v>
      </c>
      <c r="B4598" s="2">
        <v>43935.899097222224</v>
      </c>
      <c r="C4598" s="2">
        <v>43935.940266203703</v>
      </c>
      <c r="D4598" t="s">
        <v>906</v>
      </c>
      <c r="E4598" t="s">
        <v>2149</v>
      </c>
      <c r="F4598" t="s">
        <v>2150</v>
      </c>
      <c r="G4598" t="s">
        <v>1325</v>
      </c>
      <c r="H4598" t="s">
        <v>1020</v>
      </c>
      <c r="I4598">
        <v>162673000</v>
      </c>
      <c r="J4598" t="s">
        <v>1021</v>
      </c>
      <c r="K4598">
        <v>136.80000000000001</v>
      </c>
      <c r="L4598">
        <v>840.2</v>
      </c>
      <c r="M4598">
        <v>0</v>
      </c>
      <c r="O4598" t="s">
        <v>34</v>
      </c>
    </row>
    <row r="4599" spans="1:15">
      <c r="A4599" t="s">
        <v>6218</v>
      </c>
      <c r="B4599" s="2">
        <v>43949.899097222224</v>
      </c>
      <c r="C4599" s="2">
        <v>43950.042638888888</v>
      </c>
      <c r="D4599" t="s">
        <v>906</v>
      </c>
      <c r="E4599" t="s">
        <v>3028</v>
      </c>
      <c r="F4599" t="s">
        <v>3029</v>
      </c>
      <c r="G4599" t="s">
        <v>1325</v>
      </c>
      <c r="H4599" t="s">
        <v>1031</v>
      </c>
      <c r="I4599">
        <v>185349003</v>
      </c>
      <c r="J4599" t="s">
        <v>1038</v>
      </c>
      <c r="K4599">
        <v>85.55</v>
      </c>
      <c r="L4599">
        <v>3105.35</v>
      </c>
      <c r="M4599">
        <v>0</v>
      </c>
      <c r="N4599">
        <v>66383009</v>
      </c>
      <c r="O4599" t="s">
        <v>1209</v>
      </c>
    </row>
    <row r="4600" spans="1:15">
      <c r="A4600" t="s">
        <v>6219</v>
      </c>
      <c r="B4600" s="2">
        <v>44189.857430555552</v>
      </c>
      <c r="C4600" s="2">
        <v>44189.867847222224</v>
      </c>
      <c r="D4600" t="s">
        <v>906</v>
      </c>
      <c r="E4600" t="s">
        <v>3028</v>
      </c>
      <c r="F4600" t="s">
        <v>3029</v>
      </c>
      <c r="G4600" t="s">
        <v>1325</v>
      </c>
      <c r="H4600" t="s">
        <v>1043</v>
      </c>
      <c r="I4600">
        <v>698314001</v>
      </c>
      <c r="J4600" t="s">
        <v>1190</v>
      </c>
      <c r="K4600">
        <v>142.58000000000001</v>
      </c>
      <c r="L4600">
        <v>142.58000000000001</v>
      </c>
      <c r="M4600">
        <v>0</v>
      </c>
      <c r="N4600">
        <v>389095005</v>
      </c>
      <c r="O4600" t="s">
        <v>1191</v>
      </c>
    </row>
    <row r="4601" spans="1:15">
      <c r="A4601" t="s">
        <v>6220</v>
      </c>
      <c r="B4601" s="2">
        <v>44549.857430555552</v>
      </c>
      <c r="C4601" s="2">
        <v>44549.867847222224</v>
      </c>
      <c r="D4601" t="s">
        <v>906</v>
      </c>
      <c r="E4601" t="s">
        <v>3028</v>
      </c>
      <c r="F4601" t="s">
        <v>3029</v>
      </c>
      <c r="G4601" t="s">
        <v>1325</v>
      </c>
      <c r="H4601" t="s">
        <v>1043</v>
      </c>
      <c r="I4601">
        <v>698314001</v>
      </c>
      <c r="J4601" t="s">
        <v>1190</v>
      </c>
      <c r="K4601">
        <v>142.58000000000001</v>
      </c>
      <c r="L4601">
        <v>142.58000000000001</v>
      </c>
      <c r="M4601">
        <v>0</v>
      </c>
      <c r="N4601">
        <v>389095005</v>
      </c>
      <c r="O4601" t="s">
        <v>1191</v>
      </c>
    </row>
    <row r="4602" spans="1:15">
      <c r="A4602" t="s">
        <v>6221</v>
      </c>
      <c r="B4602" s="2">
        <v>44552.690763888888</v>
      </c>
      <c r="C4602" s="2">
        <v>44552.731249999997</v>
      </c>
      <c r="D4602" t="s">
        <v>906</v>
      </c>
      <c r="E4602" t="s">
        <v>3028</v>
      </c>
      <c r="F4602" t="s">
        <v>3029</v>
      </c>
      <c r="G4602" t="s">
        <v>1325</v>
      </c>
      <c r="H4602" t="s">
        <v>1043</v>
      </c>
      <c r="I4602">
        <v>308335008</v>
      </c>
      <c r="J4602" t="s">
        <v>1194</v>
      </c>
      <c r="K4602">
        <v>142.58000000000001</v>
      </c>
      <c r="L4602">
        <v>7008.4</v>
      </c>
      <c r="M4602">
        <v>640.9</v>
      </c>
      <c r="N4602">
        <v>389095005</v>
      </c>
      <c r="O4602" t="s">
        <v>1191</v>
      </c>
    </row>
    <row r="4603" spans="1:15">
      <c r="A4603" t="s">
        <v>6222</v>
      </c>
      <c r="B4603" s="2">
        <v>44807.232430555552</v>
      </c>
      <c r="C4603" s="2">
        <v>44807.242847222224</v>
      </c>
      <c r="D4603" t="s">
        <v>906</v>
      </c>
      <c r="E4603" t="s">
        <v>3028</v>
      </c>
      <c r="F4603" t="s">
        <v>3029</v>
      </c>
      <c r="G4603" t="s">
        <v>1325</v>
      </c>
      <c r="H4603" t="s">
        <v>1031</v>
      </c>
      <c r="I4603">
        <v>185345009</v>
      </c>
      <c r="J4603" t="s">
        <v>1032</v>
      </c>
      <c r="K4603">
        <v>85.55</v>
      </c>
      <c r="L4603">
        <v>85.55</v>
      </c>
      <c r="M4603">
        <v>0</v>
      </c>
      <c r="N4603">
        <v>10509002</v>
      </c>
      <c r="O4603" t="s">
        <v>1033</v>
      </c>
    </row>
    <row r="4604" spans="1:15">
      <c r="A4604" t="s">
        <v>6223</v>
      </c>
      <c r="B4604" s="2">
        <v>44912.731249999997</v>
      </c>
      <c r="C4604" s="2">
        <v>44912.741666666669</v>
      </c>
      <c r="D4604" t="s">
        <v>906</v>
      </c>
      <c r="E4604" t="s">
        <v>3028</v>
      </c>
      <c r="F4604" t="s">
        <v>3029</v>
      </c>
      <c r="G4604" t="s">
        <v>1325</v>
      </c>
      <c r="H4604" t="s">
        <v>1043</v>
      </c>
      <c r="I4604">
        <v>698314001</v>
      </c>
      <c r="J4604" t="s">
        <v>1190</v>
      </c>
      <c r="K4604">
        <v>142.58000000000001</v>
      </c>
      <c r="L4604">
        <v>142.58000000000001</v>
      </c>
      <c r="M4604">
        <v>0</v>
      </c>
      <c r="N4604">
        <v>389095005</v>
      </c>
      <c r="O4604" t="s">
        <v>1191</v>
      </c>
    </row>
    <row r="4605" spans="1:15">
      <c r="A4605" t="s">
        <v>6224</v>
      </c>
      <c r="B4605" s="2">
        <v>45034.899097222224</v>
      </c>
      <c r="C4605" s="2">
        <v>45034.933206018519</v>
      </c>
      <c r="D4605" t="s">
        <v>906</v>
      </c>
      <c r="E4605" t="s">
        <v>2149</v>
      </c>
      <c r="F4605" t="s">
        <v>2150</v>
      </c>
      <c r="G4605" t="s">
        <v>1325</v>
      </c>
      <c r="H4605" t="s">
        <v>1020</v>
      </c>
      <c r="I4605">
        <v>162673000</v>
      </c>
      <c r="J4605" t="s">
        <v>1021</v>
      </c>
      <c r="K4605">
        <v>136.80000000000001</v>
      </c>
      <c r="L4605">
        <v>1544.5</v>
      </c>
      <c r="M4605">
        <v>0</v>
      </c>
      <c r="O4605" t="s">
        <v>34</v>
      </c>
    </row>
    <row r="4606" spans="1:15">
      <c r="A4606" t="s">
        <v>6225</v>
      </c>
      <c r="B4606" s="2">
        <v>45048.899097222224</v>
      </c>
      <c r="C4606" s="2">
        <v>45049.066006944442</v>
      </c>
      <c r="D4606" t="s">
        <v>906</v>
      </c>
      <c r="E4606" t="s">
        <v>3028</v>
      </c>
      <c r="F4606" t="s">
        <v>3029</v>
      </c>
      <c r="G4606" t="s">
        <v>1325</v>
      </c>
      <c r="H4606" t="s">
        <v>1031</v>
      </c>
      <c r="I4606">
        <v>185349003</v>
      </c>
      <c r="J4606" t="s">
        <v>1038</v>
      </c>
      <c r="K4606">
        <v>85.55</v>
      </c>
      <c r="L4606">
        <v>3105.35</v>
      </c>
      <c r="M4606">
        <v>0</v>
      </c>
      <c r="N4606">
        <v>103697008</v>
      </c>
      <c r="O4606" t="s">
        <v>1039</v>
      </c>
    </row>
    <row r="4607" spans="1:15">
      <c r="A4607" t="s">
        <v>6226</v>
      </c>
      <c r="B4607" s="2">
        <v>45272.731249999997</v>
      </c>
      <c r="C4607" s="2">
        <v>45272.741666666669</v>
      </c>
      <c r="D4607" t="s">
        <v>906</v>
      </c>
      <c r="E4607" t="s">
        <v>3028</v>
      </c>
      <c r="F4607" t="s">
        <v>3029</v>
      </c>
      <c r="G4607" t="s">
        <v>1325</v>
      </c>
      <c r="H4607" t="s">
        <v>1043</v>
      </c>
      <c r="I4607">
        <v>698314001</v>
      </c>
      <c r="J4607" t="s">
        <v>1190</v>
      </c>
      <c r="K4607">
        <v>142.58000000000001</v>
      </c>
      <c r="L4607">
        <v>142.58000000000001</v>
      </c>
      <c r="M4607">
        <v>0</v>
      </c>
      <c r="N4607">
        <v>389095005</v>
      </c>
      <c r="O4607" t="s">
        <v>1191</v>
      </c>
    </row>
    <row r="4608" spans="1:15">
      <c r="A4608" t="s">
        <v>6227</v>
      </c>
      <c r="B4608" s="2">
        <v>45276.897916666669</v>
      </c>
      <c r="C4608" s="2">
        <v>45276.92701388889</v>
      </c>
      <c r="D4608" t="s">
        <v>906</v>
      </c>
      <c r="E4608" t="s">
        <v>3028</v>
      </c>
      <c r="F4608" t="s">
        <v>3029</v>
      </c>
      <c r="G4608" t="s">
        <v>1325</v>
      </c>
      <c r="H4608" t="s">
        <v>1043</v>
      </c>
      <c r="I4608">
        <v>308335008</v>
      </c>
      <c r="J4608" t="s">
        <v>1194</v>
      </c>
      <c r="K4608">
        <v>142.58000000000001</v>
      </c>
      <c r="L4608">
        <v>4052.91</v>
      </c>
      <c r="M4608">
        <v>1735.48</v>
      </c>
      <c r="N4608">
        <v>389095005</v>
      </c>
      <c r="O4608" t="s">
        <v>1191</v>
      </c>
    </row>
    <row r="4609" spans="1:15">
      <c r="A4609" t="s">
        <v>6228</v>
      </c>
      <c r="B4609" s="2">
        <v>45692.857430555552</v>
      </c>
      <c r="C4609" s="2">
        <v>45692.891099537039</v>
      </c>
      <c r="D4609" t="s">
        <v>906</v>
      </c>
      <c r="E4609" t="s">
        <v>3028</v>
      </c>
      <c r="F4609" t="s">
        <v>3029</v>
      </c>
      <c r="G4609" t="s">
        <v>1325</v>
      </c>
      <c r="H4609" t="s">
        <v>1043</v>
      </c>
      <c r="I4609">
        <v>308335008</v>
      </c>
      <c r="J4609" t="s">
        <v>1194</v>
      </c>
      <c r="K4609">
        <v>142.58000000000001</v>
      </c>
      <c r="L4609">
        <v>573.98</v>
      </c>
      <c r="M4609">
        <v>0</v>
      </c>
      <c r="N4609">
        <v>389095005</v>
      </c>
      <c r="O4609" t="s">
        <v>1191</v>
      </c>
    </row>
    <row r="4610" spans="1:15">
      <c r="A4610" t="s">
        <v>6229</v>
      </c>
      <c r="B4610" s="2">
        <v>45741.899097222224</v>
      </c>
      <c r="C4610" s="2">
        <v>45741.909513888888</v>
      </c>
      <c r="D4610" t="s">
        <v>906</v>
      </c>
      <c r="E4610" t="s">
        <v>3028</v>
      </c>
      <c r="F4610" t="s">
        <v>3029</v>
      </c>
      <c r="G4610" t="s">
        <v>1325</v>
      </c>
      <c r="H4610" t="s">
        <v>1031</v>
      </c>
      <c r="I4610">
        <v>424441002</v>
      </c>
      <c r="J4610" t="s">
        <v>1059</v>
      </c>
      <c r="K4610">
        <v>142.58000000000001</v>
      </c>
      <c r="L4610">
        <v>6820.09</v>
      </c>
      <c r="M4610">
        <v>435.65</v>
      </c>
      <c r="N4610">
        <v>72892002</v>
      </c>
      <c r="O4610" t="s">
        <v>1060</v>
      </c>
    </row>
    <row r="4611" spans="1:15">
      <c r="A4611" t="s">
        <v>6230</v>
      </c>
      <c r="B4611" s="2">
        <v>45750.899097222224</v>
      </c>
      <c r="C4611" s="2">
        <v>45750.909513888888</v>
      </c>
      <c r="D4611" t="s">
        <v>906</v>
      </c>
      <c r="E4611" t="s">
        <v>3028</v>
      </c>
      <c r="F4611" t="s">
        <v>3029</v>
      </c>
      <c r="G4611" t="s">
        <v>1325</v>
      </c>
      <c r="H4611" t="s">
        <v>1031</v>
      </c>
      <c r="I4611">
        <v>270427003</v>
      </c>
      <c r="J4611" t="s">
        <v>1179</v>
      </c>
      <c r="K4611">
        <v>85.55</v>
      </c>
      <c r="L4611">
        <v>16229.09</v>
      </c>
      <c r="M4611">
        <v>9737.4500000000007</v>
      </c>
      <c r="N4611">
        <v>72892002</v>
      </c>
      <c r="O4611" t="s">
        <v>1060</v>
      </c>
    </row>
    <row r="4612" spans="1:15">
      <c r="A4612" t="s">
        <v>6231</v>
      </c>
      <c r="B4612" s="2">
        <v>45765.899097222224</v>
      </c>
      <c r="C4612" s="2">
        <v>45765.909513888888</v>
      </c>
      <c r="D4612" t="s">
        <v>906</v>
      </c>
      <c r="E4612" t="s">
        <v>3028</v>
      </c>
      <c r="F4612" t="s">
        <v>3029</v>
      </c>
      <c r="G4612" t="s">
        <v>1325</v>
      </c>
      <c r="H4612" t="s">
        <v>1031</v>
      </c>
      <c r="I4612">
        <v>424619006</v>
      </c>
      <c r="J4612" t="s">
        <v>1062</v>
      </c>
      <c r="K4612">
        <v>142.58000000000001</v>
      </c>
      <c r="L4612">
        <v>1868.18</v>
      </c>
      <c r="M4612">
        <v>1868.18</v>
      </c>
      <c r="N4612">
        <v>72892002</v>
      </c>
      <c r="O4612" t="s">
        <v>1060</v>
      </c>
    </row>
    <row r="4613" spans="1:15">
      <c r="A4613" t="s">
        <v>6232</v>
      </c>
      <c r="B4613" s="2">
        <v>46133.899097222224</v>
      </c>
      <c r="C4613" s="2">
        <v>46133.921805555554</v>
      </c>
      <c r="D4613" t="s">
        <v>906</v>
      </c>
      <c r="E4613" t="s">
        <v>2149</v>
      </c>
      <c r="F4613" t="s">
        <v>2150</v>
      </c>
      <c r="G4613" t="s">
        <v>1325</v>
      </c>
      <c r="H4613" t="s">
        <v>1020</v>
      </c>
      <c r="I4613">
        <v>162673000</v>
      </c>
      <c r="J4613" t="s">
        <v>1021</v>
      </c>
      <c r="K4613">
        <v>136.80000000000001</v>
      </c>
      <c r="L4613">
        <v>1248.83</v>
      </c>
      <c r="M4613">
        <v>0</v>
      </c>
      <c r="O4613" t="s">
        <v>34</v>
      </c>
    </row>
    <row r="4614" spans="1:15">
      <c r="A4614" t="s">
        <v>6233</v>
      </c>
      <c r="B4614" s="2">
        <v>46147.899097222224</v>
      </c>
      <c r="C4614" s="2">
        <v>46148.159282407411</v>
      </c>
      <c r="D4614" t="s">
        <v>906</v>
      </c>
      <c r="E4614" t="s">
        <v>3028</v>
      </c>
      <c r="F4614" t="s">
        <v>3029</v>
      </c>
      <c r="G4614" t="s">
        <v>1325</v>
      </c>
      <c r="H4614" t="s">
        <v>1031</v>
      </c>
      <c r="I4614">
        <v>185349003</v>
      </c>
      <c r="J4614" t="s">
        <v>1038</v>
      </c>
      <c r="K4614">
        <v>85.55</v>
      </c>
      <c r="L4614">
        <v>4399.55</v>
      </c>
      <c r="M4614">
        <v>0</v>
      </c>
      <c r="N4614">
        <v>66383009</v>
      </c>
      <c r="O4614" t="s">
        <v>1209</v>
      </c>
    </row>
    <row r="4615" spans="1:15">
      <c r="A4615" t="s">
        <v>6234</v>
      </c>
      <c r="B4615" s="2">
        <v>37422.929305555554</v>
      </c>
      <c r="C4615" s="2">
        <v>37422.942824074074</v>
      </c>
      <c r="D4615" t="s">
        <v>916</v>
      </c>
      <c r="E4615" t="s">
        <v>6235</v>
      </c>
      <c r="F4615" t="s">
        <v>6236</v>
      </c>
      <c r="G4615" t="s">
        <v>1325</v>
      </c>
      <c r="H4615" t="s">
        <v>1020</v>
      </c>
      <c r="I4615">
        <v>410620009</v>
      </c>
      <c r="J4615" t="s">
        <v>1054</v>
      </c>
      <c r="K4615">
        <v>136.80000000000001</v>
      </c>
      <c r="L4615">
        <v>704.2</v>
      </c>
      <c r="M4615">
        <v>0</v>
      </c>
      <c r="O4615" t="s">
        <v>34</v>
      </c>
    </row>
    <row r="4616" spans="1:15">
      <c r="A4616" t="s">
        <v>6237</v>
      </c>
      <c r="B4616" s="2">
        <v>39648.929305555554</v>
      </c>
      <c r="C4616" s="2">
        <v>39648.96707175926</v>
      </c>
      <c r="D4616" t="s">
        <v>916</v>
      </c>
      <c r="E4616" t="s">
        <v>6235</v>
      </c>
      <c r="F4616" t="s">
        <v>6236</v>
      </c>
      <c r="G4616" t="s">
        <v>1325</v>
      </c>
      <c r="H4616" t="s">
        <v>1020</v>
      </c>
      <c r="I4616">
        <v>162673000</v>
      </c>
      <c r="J4616" t="s">
        <v>1021</v>
      </c>
      <c r="K4616">
        <v>136.80000000000001</v>
      </c>
      <c r="L4616">
        <v>919.9</v>
      </c>
      <c r="M4616">
        <v>0</v>
      </c>
      <c r="O4616" t="s">
        <v>34</v>
      </c>
    </row>
    <row r="4617" spans="1:15">
      <c r="A4617" t="s">
        <v>6238</v>
      </c>
      <c r="B4617" s="2">
        <v>40019.929305555554</v>
      </c>
      <c r="C4617" s="2">
        <v>40019.965532407405</v>
      </c>
      <c r="D4617" t="s">
        <v>916</v>
      </c>
      <c r="E4617" t="s">
        <v>6235</v>
      </c>
      <c r="F4617" t="s">
        <v>6236</v>
      </c>
      <c r="G4617" t="s">
        <v>1325</v>
      </c>
      <c r="H4617" t="s">
        <v>1020</v>
      </c>
      <c r="I4617">
        <v>162673000</v>
      </c>
      <c r="J4617" t="s">
        <v>1021</v>
      </c>
      <c r="K4617">
        <v>136.80000000000001</v>
      </c>
      <c r="L4617">
        <v>704.2</v>
      </c>
      <c r="M4617">
        <v>0</v>
      </c>
      <c r="O4617" t="s">
        <v>34</v>
      </c>
    </row>
    <row r="4618" spans="1:15">
      <c r="A4618" t="s">
        <v>6239</v>
      </c>
      <c r="B4618" s="2">
        <v>41118.929305555554</v>
      </c>
      <c r="C4618" s="2">
        <v>41118.966446759259</v>
      </c>
      <c r="D4618" t="s">
        <v>916</v>
      </c>
      <c r="E4618" t="s">
        <v>6235</v>
      </c>
      <c r="F4618" t="s">
        <v>6236</v>
      </c>
      <c r="G4618" t="s">
        <v>1325</v>
      </c>
      <c r="H4618" t="s">
        <v>1020</v>
      </c>
      <c r="I4618">
        <v>162673000</v>
      </c>
      <c r="J4618" t="s">
        <v>1021</v>
      </c>
      <c r="K4618">
        <v>136.80000000000001</v>
      </c>
      <c r="L4618">
        <v>1186.78</v>
      </c>
      <c r="M4618">
        <v>0</v>
      </c>
      <c r="O4618" t="s">
        <v>34</v>
      </c>
    </row>
    <row r="4619" spans="1:15">
      <c r="A4619" t="s">
        <v>6240</v>
      </c>
      <c r="B4619" s="2">
        <v>42217.929305555554</v>
      </c>
      <c r="C4619" s="2">
        <v>42217.964120370372</v>
      </c>
      <c r="D4619" t="s">
        <v>916</v>
      </c>
      <c r="E4619" t="s">
        <v>6235</v>
      </c>
      <c r="F4619" t="s">
        <v>6236</v>
      </c>
      <c r="G4619" t="s">
        <v>1325</v>
      </c>
      <c r="H4619" t="s">
        <v>1020</v>
      </c>
      <c r="I4619">
        <v>162673000</v>
      </c>
      <c r="J4619" t="s">
        <v>1021</v>
      </c>
      <c r="K4619">
        <v>136.80000000000001</v>
      </c>
      <c r="L4619">
        <v>704.2</v>
      </c>
      <c r="M4619">
        <v>0</v>
      </c>
      <c r="O4619" t="s">
        <v>34</v>
      </c>
    </row>
    <row r="4620" spans="1:15">
      <c r="A4620" t="s">
        <v>6241</v>
      </c>
      <c r="B4620" s="2">
        <v>42420.887638888889</v>
      </c>
      <c r="C4620" s="2">
        <v>42420.898055555554</v>
      </c>
      <c r="D4620" t="s">
        <v>916</v>
      </c>
      <c r="E4620" t="s">
        <v>6242</v>
      </c>
      <c r="F4620" t="s">
        <v>6243</v>
      </c>
      <c r="G4620" t="s">
        <v>1325</v>
      </c>
      <c r="H4620" t="s">
        <v>1031</v>
      </c>
      <c r="I4620">
        <v>424441002</v>
      </c>
      <c r="J4620" t="s">
        <v>1059</v>
      </c>
      <c r="K4620">
        <v>142.58000000000001</v>
      </c>
      <c r="L4620">
        <v>56061.47</v>
      </c>
      <c r="M4620">
        <v>30403</v>
      </c>
      <c r="N4620">
        <v>72892002</v>
      </c>
      <c r="O4620" t="s">
        <v>1060</v>
      </c>
    </row>
    <row r="4621" spans="1:15">
      <c r="A4621" t="s">
        <v>6244</v>
      </c>
      <c r="B4621" s="2">
        <v>42460.929305555554</v>
      </c>
      <c r="C4621" s="2">
        <v>42460.939722222225</v>
      </c>
      <c r="D4621" t="s">
        <v>916</v>
      </c>
      <c r="E4621" t="s">
        <v>6242</v>
      </c>
      <c r="F4621" t="s">
        <v>6243</v>
      </c>
      <c r="G4621" t="s">
        <v>1325</v>
      </c>
      <c r="H4621" t="s">
        <v>1043</v>
      </c>
      <c r="I4621">
        <v>185345009</v>
      </c>
      <c r="J4621" t="s">
        <v>1032</v>
      </c>
      <c r="K4621">
        <v>85.55</v>
      </c>
      <c r="L4621">
        <v>85.55</v>
      </c>
      <c r="M4621">
        <v>85.55</v>
      </c>
      <c r="N4621">
        <v>65363002</v>
      </c>
      <c r="O4621" t="s">
        <v>1335</v>
      </c>
    </row>
    <row r="4622" spans="1:15">
      <c r="A4622" t="s">
        <v>6245</v>
      </c>
      <c r="B4622" s="2">
        <v>42616.929305555554</v>
      </c>
      <c r="C4622" s="2">
        <v>42616.939722222225</v>
      </c>
      <c r="D4622" t="s">
        <v>916</v>
      </c>
      <c r="E4622" t="s">
        <v>6242</v>
      </c>
      <c r="F4622" t="s">
        <v>6243</v>
      </c>
      <c r="G4622" t="s">
        <v>1325</v>
      </c>
      <c r="H4622" t="s">
        <v>1031</v>
      </c>
      <c r="I4622">
        <v>424619006</v>
      </c>
      <c r="J4622" t="s">
        <v>1062</v>
      </c>
      <c r="K4622">
        <v>142.58000000000001</v>
      </c>
      <c r="L4622">
        <v>12833.35</v>
      </c>
      <c r="M4622">
        <v>12833.35</v>
      </c>
      <c r="N4622">
        <v>72892002</v>
      </c>
      <c r="O4622" t="s">
        <v>1060</v>
      </c>
    </row>
    <row r="4623" spans="1:15">
      <c r="A4623" t="s">
        <v>6246</v>
      </c>
      <c r="B4623" s="2">
        <v>42630.929305555554</v>
      </c>
      <c r="C4623" s="2">
        <v>42630.939722222225</v>
      </c>
      <c r="D4623" t="s">
        <v>916</v>
      </c>
      <c r="E4623" t="s">
        <v>6242</v>
      </c>
      <c r="F4623" t="s">
        <v>6243</v>
      </c>
      <c r="G4623" t="s">
        <v>1325</v>
      </c>
      <c r="H4623" t="s">
        <v>1031</v>
      </c>
      <c r="I4623">
        <v>424619006</v>
      </c>
      <c r="J4623" t="s">
        <v>1062</v>
      </c>
      <c r="K4623">
        <v>142.58000000000001</v>
      </c>
      <c r="L4623">
        <v>8671.6200000000008</v>
      </c>
      <c r="M4623">
        <v>8671.6200000000008</v>
      </c>
      <c r="N4623">
        <v>72892002</v>
      </c>
      <c r="O4623" t="s">
        <v>1060</v>
      </c>
    </row>
    <row r="4624" spans="1:15">
      <c r="A4624" t="s">
        <v>6247</v>
      </c>
      <c r="B4624" s="2">
        <v>42637.929305555554</v>
      </c>
      <c r="C4624" s="2">
        <v>42637.939722222225</v>
      </c>
      <c r="D4624" t="s">
        <v>916</v>
      </c>
      <c r="E4624" t="s">
        <v>6242</v>
      </c>
      <c r="F4624" t="s">
        <v>6243</v>
      </c>
      <c r="G4624" t="s">
        <v>1325</v>
      </c>
      <c r="H4624" t="s">
        <v>1031</v>
      </c>
      <c r="I4624">
        <v>424619006</v>
      </c>
      <c r="J4624" t="s">
        <v>1062</v>
      </c>
      <c r="K4624">
        <v>142.58000000000001</v>
      </c>
      <c r="L4624">
        <v>11451.02</v>
      </c>
      <c r="M4624">
        <v>11451.02</v>
      </c>
      <c r="N4624">
        <v>72892002</v>
      </c>
      <c r="O4624" t="s">
        <v>1060</v>
      </c>
    </row>
    <row r="4625" spans="1:15">
      <c r="A4625" t="s">
        <v>6248</v>
      </c>
      <c r="B4625" s="2">
        <v>42644.929305555554</v>
      </c>
      <c r="C4625" s="2">
        <v>42644.970972222225</v>
      </c>
      <c r="D4625" t="s">
        <v>916</v>
      </c>
      <c r="E4625" t="s">
        <v>6249</v>
      </c>
      <c r="F4625" t="s">
        <v>6250</v>
      </c>
      <c r="G4625" t="s">
        <v>1325</v>
      </c>
      <c r="H4625" t="s">
        <v>1076</v>
      </c>
      <c r="I4625">
        <v>183460006</v>
      </c>
      <c r="J4625" t="s">
        <v>1077</v>
      </c>
      <c r="K4625">
        <v>146.18</v>
      </c>
      <c r="L4625">
        <v>577.58000000000004</v>
      </c>
      <c r="M4625">
        <v>577.58000000000004</v>
      </c>
      <c r="N4625">
        <v>72892002</v>
      </c>
      <c r="O4625" t="s">
        <v>1060</v>
      </c>
    </row>
    <row r="4626" spans="1:15">
      <c r="A4626" t="s">
        <v>6251</v>
      </c>
      <c r="B4626" s="2">
        <v>42686.887638888889</v>
      </c>
      <c r="C4626" s="2">
        <v>42686.898055555554</v>
      </c>
      <c r="D4626" t="s">
        <v>916</v>
      </c>
      <c r="E4626" t="s">
        <v>6242</v>
      </c>
      <c r="F4626" t="s">
        <v>6243</v>
      </c>
      <c r="G4626" t="s">
        <v>1325</v>
      </c>
      <c r="H4626" t="s">
        <v>1031</v>
      </c>
      <c r="I4626">
        <v>169762003</v>
      </c>
      <c r="J4626" t="s">
        <v>1079</v>
      </c>
      <c r="K4626">
        <v>142.58000000000001</v>
      </c>
      <c r="L4626">
        <v>1005.38</v>
      </c>
      <c r="M4626">
        <v>1005.38</v>
      </c>
      <c r="O4626" t="s">
        <v>34</v>
      </c>
    </row>
    <row r="4627" spans="1:15">
      <c r="A4627" t="s">
        <v>6252</v>
      </c>
      <c r="B4627" s="2">
        <v>42868.929305555554</v>
      </c>
      <c r="C4627" s="2">
        <v>42868.939722222225</v>
      </c>
      <c r="D4627" t="s">
        <v>916</v>
      </c>
      <c r="E4627" t="s">
        <v>6242</v>
      </c>
      <c r="F4627" t="s">
        <v>6243</v>
      </c>
      <c r="G4627" t="s">
        <v>1325</v>
      </c>
      <c r="H4627" t="s">
        <v>1031</v>
      </c>
      <c r="I4627">
        <v>424441002</v>
      </c>
      <c r="J4627" t="s">
        <v>1059</v>
      </c>
      <c r="K4627">
        <v>142.58000000000001</v>
      </c>
      <c r="L4627">
        <v>62160.04</v>
      </c>
      <c r="M4627">
        <v>62160.04</v>
      </c>
      <c r="N4627">
        <v>72892002</v>
      </c>
      <c r="O4627" t="s">
        <v>1060</v>
      </c>
    </row>
    <row r="4628" spans="1:15">
      <c r="A4628" t="s">
        <v>6253</v>
      </c>
      <c r="B4628" s="2">
        <v>42896.929305555554</v>
      </c>
      <c r="C4628" s="2">
        <v>42896.939722222225</v>
      </c>
      <c r="D4628" t="s">
        <v>916</v>
      </c>
      <c r="E4628" t="s">
        <v>6242</v>
      </c>
      <c r="F4628" t="s">
        <v>6243</v>
      </c>
      <c r="G4628" t="s">
        <v>1325</v>
      </c>
      <c r="H4628" t="s">
        <v>1031</v>
      </c>
      <c r="I4628">
        <v>424619006</v>
      </c>
      <c r="J4628" t="s">
        <v>1062</v>
      </c>
      <c r="K4628">
        <v>142.58000000000001</v>
      </c>
      <c r="L4628">
        <v>8208.18</v>
      </c>
      <c r="M4628">
        <v>1268.51</v>
      </c>
      <c r="N4628">
        <v>72892002</v>
      </c>
      <c r="O4628" t="s">
        <v>1060</v>
      </c>
    </row>
    <row r="4629" spans="1:15">
      <c r="A4629" t="s">
        <v>6254</v>
      </c>
      <c r="B4629" s="2">
        <v>42924.929305555554</v>
      </c>
      <c r="C4629" s="2">
        <v>42924.939722222225</v>
      </c>
      <c r="D4629" t="s">
        <v>916</v>
      </c>
      <c r="E4629" t="s">
        <v>6242</v>
      </c>
      <c r="F4629" t="s">
        <v>6243</v>
      </c>
      <c r="G4629" t="s">
        <v>1325</v>
      </c>
      <c r="H4629" t="s">
        <v>1031</v>
      </c>
      <c r="I4629">
        <v>424619006</v>
      </c>
      <c r="J4629" t="s">
        <v>1062</v>
      </c>
      <c r="K4629">
        <v>142.58000000000001</v>
      </c>
      <c r="L4629">
        <v>12518.31</v>
      </c>
      <c r="M4629">
        <v>7510.98</v>
      </c>
      <c r="N4629">
        <v>72892002</v>
      </c>
      <c r="O4629" t="s">
        <v>1060</v>
      </c>
    </row>
    <row r="4630" spans="1:15">
      <c r="A4630" t="s">
        <v>6255</v>
      </c>
      <c r="B4630" s="2">
        <v>42952.929305555554</v>
      </c>
      <c r="C4630" s="2">
        <v>42952.939722222225</v>
      </c>
      <c r="D4630" t="s">
        <v>916</v>
      </c>
      <c r="E4630" t="s">
        <v>6242</v>
      </c>
      <c r="F4630" t="s">
        <v>6243</v>
      </c>
      <c r="G4630" t="s">
        <v>1325</v>
      </c>
      <c r="H4630" t="s">
        <v>1031</v>
      </c>
      <c r="I4630">
        <v>424619006</v>
      </c>
      <c r="J4630" t="s">
        <v>1062</v>
      </c>
      <c r="K4630">
        <v>142.58000000000001</v>
      </c>
      <c r="L4630">
        <v>4665.96</v>
      </c>
      <c r="M4630">
        <v>4665.96</v>
      </c>
      <c r="N4630">
        <v>72892002</v>
      </c>
      <c r="O4630" t="s">
        <v>1060</v>
      </c>
    </row>
    <row r="4631" spans="1:15">
      <c r="A4631" t="s">
        <v>6256</v>
      </c>
      <c r="B4631" s="2">
        <v>42980.929305555554</v>
      </c>
      <c r="C4631" s="2">
        <v>42980.939722222225</v>
      </c>
      <c r="D4631" t="s">
        <v>916</v>
      </c>
      <c r="E4631" t="s">
        <v>6242</v>
      </c>
      <c r="F4631" t="s">
        <v>6243</v>
      </c>
      <c r="G4631" t="s">
        <v>1325</v>
      </c>
      <c r="H4631" t="s">
        <v>1031</v>
      </c>
      <c r="I4631">
        <v>424619006</v>
      </c>
      <c r="J4631" t="s">
        <v>1062</v>
      </c>
      <c r="K4631">
        <v>142.58000000000001</v>
      </c>
      <c r="L4631">
        <v>7330.29</v>
      </c>
      <c r="M4631">
        <v>7330.29</v>
      </c>
      <c r="N4631">
        <v>72892002</v>
      </c>
      <c r="O4631" t="s">
        <v>1060</v>
      </c>
    </row>
    <row r="4632" spans="1:15">
      <c r="A4632" t="s">
        <v>6257</v>
      </c>
      <c r="B4632" s="2">
        <v>43008.929305555554</v>
      </c>
      <c r="C4632" s="2">
        <v>43008.939722222225</v>
      </c>
      <c r="D4632" t="s">
        <v>916</v>
      </c>
      <c r="E4632" t="s">
        <v>6242</v>
      </c>
      <c r="F4632" t="s">
        <v>6243</v>
      </c>
      <c r="G4632" t="s">
        <v>1325</v>
      </c>
      <c r="H4632" t="s">
        <v>1031</v>
      </c>
      <c r="I4632">
        <v>424619006</v>
      </c>
      <c r="J4632" t="s">
        <v>1062</v>
      </c>
      <c r="K4632">
        <v>142.58000000000001</v>
      </c>
      <c r="L4632">
        <v>16881.62</v>
      </c>
      <c r="M4632">
        <v>16881.62</v>
      </c>
      <c r="N4632">
        <v>72892002</v>
      </c>
      <c r="O4632" t="s">
        <v>1060</v>
      </c>
    </row>
    <row r="4633" spans="1:15">
      <c r="A4633" t="s">
        <v>6258</v>
      </c>
      <c r="B4633" s="2">
        <v>43036.929305555554</v>
      </c>
      <c r="C4633" s="2">
        <v>43036.939722222225</v>
      </c>
      <c r="D4633" t="s">
        <v>916</v>
      </c>
      <c r="E4633" t="s">
        <v>6242</v>
      </c>
      <c r="F4633" t="s">
        <v>6243</v>
      </c>
      <c r="G4633" t="s">
        <v>1325</v>
      </c>
      <c r="H4633" t="s">
        <v>1031</v>
      </c>
      <c r="I4633">
        <v>424619006</v>
      </c>
      <c r="J4633" t="s">
        <v>1062</v>
      </c>
      <c r="K4633">
        <v>142.58000000000001</v>
      </c>
      <c r="L4633">
        <v>4665.96</v>
      </c>
      <c r="M4633">
        <v>4665.96</v>
      </c>
      <c r="N4633">
        <v>72892002</v>
      </c>
      <c r="O4633" t="s">
        <v>1060</v>
      </c>
    </row>
    <row r="4634" spans="1:15">
      <c r="A4634" t="s">
        <v>6259</v>
      </c>
      <c r="B4634" s="2">
        <v>43064.887638888889</v>
      </c>
      <c r="C4634" s="2">
        <v>43064.898055555554</v>
      </c>
      <c r="D4634" t="s">
        <v>916</v>
      </c>
      <c r="E4634" t="s">
        <v>6242</v>
      </c>
      <c r="F4634" t="s">
        <v>6243</v>
      </c>
      <c r="G4634" t="s">
        <v>1325</v>
      </c>
      <c r="H4634" t="s">
        <v>1031</v>
      </c>
      <c r="I4634">
        <v>424619006</v>
      </c>
      <c r="J4634" t="s">
        <v>1062</v>
      </c>
      <c r="K4634">
        <v>142.58000000000001</v>
      </c>
      <c r="L4634">
        <v>14386.01</v>
      </c>
      <c r="M4634">
        <v>14386.01</v>
      </c>
      <c r="N4634">
        <v>72892002</v>
      </c>
      <c r="O4634" t="s">
        <v>1060</v>
      </c>
    </row>
    <row r="4635" spans="1:15">
      <c r="A4635" t="s">
        <v>6260</v>
      </c>
      <c r="B4635" s="2">
        <v>43078.887638888889</v>
      </c>
      <c r="C4635" s="2">
        <v>43078.929305555554</v>
      </c>
      <c r="D4635" t="s">
        <v>916</v>
      </c>
      <c r="E4635" t="s">
        <v>6249</v>
      </c>
      <c r="F4635" t="s">
        <v>6250</v>
      </c>
      <c r="G4635" t="s">
        <v>1325</v>
      </c>
      <c r="H4635" t="s">
        <v>1076</v>
      </c>
      <c r="I4635">
        <v>183460006</v>
      </c>
      <c r="J4635" t="s">
        <v>1077</v>
      </c>
      <c r="K4635">
        <v>146.18</v>
      </c>
      <c r="L4635">
        <v>577.58000000000004</v>
      </c>
      <c r="M4635">
        <v>577.58000000000004</v>
      </c>
      <c r="N4635">
        <v>72892002</v>
      </c>
      <c r="O4635" t="s">
        <v>1060</v>
      </c>
    </row>
    <row r="4636" spans="1:15">
      <c r="A4636" t="s">
        <v>6261</v>
      </c>
      <c r="B4636" s="2">
        <v>43120.887638888889</v>
      </c>
      <c r="C4636" s="2">
        <v>43120.898055555554</v>
      </c>
      <c r="D4636" t="s">
        <v>916</v>
      </c>
      <c r="E4636" t="s">
        <v>6242</v>
      </c>
      <c r="F4636" t="s">
        <v>6243</v>
      </c>
      <c r="G4636" t="s">
        <v>1325</v>
      </c>
      <c r="H4636" t="s">
        <v>1031</v>
      </c>
      <c r="I4636">
        <v>169762003</v>
      </c>
      <c r="J4636" t="s">
        <v>1079</v>
      </c>
      <c r="K4636">
        <v>142.58000000000001</v>
      </c>
      <c r="L4636">
        <v>1005.38</v>
      </c>
      <c r="M4636">
        <v>1005.38</v>
      </c>
      <c r="O4636" t="s">
        <v>34</v>
      </c>
    </row>
    <row r="4637" spans="1:15">
      <c r="A4637" t="s">
        <v>6262</v>
      </c>
      <c r="B4637" s="2">
        <v>43127.887638888889</v>
      </c>
      <c r="C4637" s="2">
        <v>43127.898055555554</v>
      </c>
      <c r="D4637" t="s">
        <v>916</v>
      </c>
      <c r="E4637" t="s">
        <v>6242</v>
      </c>
      <c r="F4637" t="s">
        <v>6243</v>
      </c>
      <c r="G4637" t="s">
        <v>1325</v>
      </c>
      <c r="H4637" t="s">
        <v>1043</v>
      </c>
      <c r="I4637">
        <v>698314001</v>
      </c>
      <c r="J4637" t="s">
        <v>1190</v>
      </c>
      <c r="K4637">
        <v>142.58000000000001</v>
      </c>
      <c r="L4637">
        <v>142.58000000000001</v>
      </c>
      <c r="M4637">
        <v>142.58000000000001</v>
      </c>
      <c r="N4637">
        <v>389095005</v>
      </c>
      <c r="O4637" t="s">
        <v>1191</v>
      </c>
    </row>
    <row r="4638" spans="1:15">
      <c r="A4638" t="s">
        <v>6263</v>
      </c>
      <c r="B4638" s="2">
        <v>43132.595972222225</v>
      </c>
      <c r="C4638" s="2">
        <v>43132.632222222222</v>
      </c>
      <c r="D4638" t="s">
        <v>916</v>
      </c>
      <c r="E4638" t="s">
        <v>6242</v>
      </c>
      <c r="F4638" t="s">
        <v>6243</v>
      </c>
      <c r="G4638" t="s">
        <v>1325</v>
      </c>
      <c r="H4638" t="s">
        <v>1043</v>
      </c>
      <c r="I4638">
        <v>308335008</v>
      </c>
      <c r="J4638" t="s">
        <v>1194</v>
      </c>
      <c r="K4638">
        <v>142.58000000000001</v>
      </c>
      <c r="L4638">
        <v>5714.74</v>
      </c>
      <c r="M4638">
        <v>5714.74</v>
      </c>
      <c r="N4638">
        <v>389095005</v>
      </c>
      <c r="O4638" t="s">
        <v>1191</v>
      </c>
    </row>
    <row r="4639" spans="1:15">
      <c r="A4639" t="s">
        <v>6264</v>
      </c>
      <c r="B4639" s="2">
        <v>43316.929305555554</v>
      </c>
      <c r="C4639" s="2">
        <v>43316.951273148145</v>
      </c>
      <c r="D4639" t="s">
        <v>916</v>
      </c>
      <c r="E4639" t="s">
        <v>6235</v>
      </c>
      <c r="F4639" t="s">
        <v>6236</v>
      </c>
      <c r="G4639" t="s">
        <v>1325</v>
      </c>
      <c r="H4639" t="s">
        <v>1020</v>
      </c>
      <c r="I4639">
        <v>162673000</v>
      </c>
      <c r="J4639" t="s">
        <v>1021</v>
      </c>
      <c r="K4639">
        <v>136.80000000000001</v>
      </c>
      <c r="L4639">
        <v>994.48</v>
      </c>
      <c r="M4639">
        <v>0</v>
      </c>
      <c r="O4639" t="s">
        <v>34</v>
      </c>
    </row>
    <row r="4640" spans="1:15">
      <c r="A4640" t="s">
        <v>6265</v>
      </c>
      <c r="B4640" s="2">
        <v>43575.929305555554</v>
      </c>
      <c r="C4640" s="2">
        <v>43575.965370370373</v>
      </c>
      <c r="D4640" t="s">
        <v>916</v>
      </c>
      <c r="E4640" t="s">
        <v>6242</v>
      </c>
      <c r="F4640" t="s">
        <v>6243</v>
      </c>
      <c r="G4640" t="s">
        <v>1325</v>
      </c>
      <c r="H4640" t="s">
        <v>1043</v>
      </c>
      <c r="I4640">
        <v>308335008</v>
      </c>
      <c r="J4640" t="s">
        <v>1194</v>
      </c>
      <c r="K4640">
        <v>142.58000000000001</v>
      </c>
      <c r="L4640">
        <v>573.98</v>
      </c>
      <c r="M4640">
        <v>0</v>
      </c>
      <c r="N4640">
        <v>389095005</v>
      </c>
      <c r="O4640" t="s">
        <v>1191</v>
      </c>
    </row>
    <row r="4641" spans="1:15">
      <c r="A4641" t="s">
        <v>6266</v>
      </c>
      <c r="B4641" s="2">
        <v>43624.929305555554</v>
      </c>
      <c r="C4641" s="2">
        <v>43624.939722222225</v>
      </c>
      <c r="D4641" t="s">
        <v>916</v>
      </c>
      <c r="E4641" t="s">
        <v>6242</v>
      </c>
      <c r="F4641" t="s">
        <v>6243</v>
      </c>
      <c r="G4641" t="s">
        <v>1325</v>
      </c>
      <c r="H4641" t="s">
        <v>1031</v>
      </c>
      <c r="I4641">
        <v>424441002</v>
      </c>
      <c r="J4641" t="s">
        <v>1059</v>
      </c>
      <c r="K4641">
        <v>142.58000000000001</v>
      </c>
      <c r="L4641">
        <v>8742.83</v>
      </c>
      <c r="M4641">
        <v>1589.3</v>
      </c>
      <c r="N4641">
        <v>72892002</v>
      </c>
      <c r="O4641" t="s">
        <v>1060</v>
      </c>
    </row>
    <row r="4642" spans="1:15">
      <c r="A4642" t="s">
        <v>6267</v>
      </c>
      <c r="B4642" s="2">
        <v>43636.929305555554</v>
      </c>
      <c r="C4642" s="2">
        <v>43636.939722222225</v>
      </c>
      <c r="D4642" t="s">
        <v>916</v>
      </c>
      <c r="E4642" t="s">
        <v>6242</v>
      </c>
      <c r="F4642" t="s">
        <v>6243</v>
      </c>
      <c r="G4642" t="s">
        <v>1325</v>
      </c>
      <c r="H4642" t="s">
        <v>1031</v>
      </c>
      <c r="I4642">
        <v>270427003</v>
      </c>
      <c r="J4642" t="s">
        <v>1179</v>
      </c>
      <c r="K4642">
        <v>85.55</v>
      </c>
      <c r="L4642">
        <v>4444.9799999999996</v>
      </c>
      <c r="M4642">
        <v>2666.99</v>
      </c>
      <c r="N4642">
        <v>72892002</v>
      </c>
      <c r="O4642" t="s">
        <v>1060</v>
      </c>
    </row>
    <row r="4643" spans="1:15">
      <c r="A4643" t="s">
        <v>6268</v>
      </c>
      <c r="B4643" s="2">
        <v>43644.929305555554</v>
      </c>
      <c r="C4643" s="2">
        <v>43644.939722222225</v>
      </c>
      <c r="D4643" t="s">
        <v>916</v>
      </c>
      <c r="E4643" t="s">
        <v>6242</v>
      </c>
      <c r="F4643" t="s">
        <v>6243</v>
      </c>
      <c r="G4643" t="s">
        <v>1325</v>
      </c>
      <c r="H4643" t="s">
        <v>1031</v>
      </c>
      <c r="I4643">
        <v>424619006</v>
      </c>
      <c r="J4643" t="s">
        <v>1062</v>
      </c>
      <c r="K4643">
        <v>142.58000000000001</v>
      </c>
      <c r="L4643">
        <v>1868.18</v>
      </c>
      <c r="M4643">
        <v>1868.18</v>
      </c>
      <c r="N4643">
        <v>72892002</v>
      </c>
      <c r="O4643" t="s">
        <v>1060</v>
      </c>
    </row>
    <row r="4644" spans="1:15">
      <c r="A4644" t="s">
        <v>6269</v>
      </c>
      <c r="B4644" s="2">
        <v>43939.929305555554</v>
      </c>
      <c r="C4644" s="2">
        <v>43939.939722222225</v>
      </c>
      <c r="D4644" t="s">
        <v>916</v>
      </c>
      <c r="E4644" t="s">
        <v>6242</v>
      </c>
      <c r="F4644" t="s">
        <v>6243</v>
      </c>
      <c r="G4644" t="s">
        <v>1325</v>
      </c>
      <c r="H4644" t="s">
        <v>1031</v>
      </c>
      <c r="I4644">
        <v>424441002</v>
      </c>
      <c r="J4644" t="s">
        <v>1059</v>
      </c>
      <c r="K4644">
        <v>142.58000000000001</v>
      </c>
      <c r="L4644">
        <v>22681.88</v>
      </c>
      <c r="M4644">
        <v>22681.88</v>
      </c>
      <c r="N4644">
        <v>72892002</v>
      </c>
      <c r="O4644" t="s">
        <v>1060</v>
      </c>
    </row>
    <row r="4645" spans="1:15">
      <c r="A4645" t="s">
        <v>6270</v>
      </c>
      <c r="B4645" s="2">
        <v>43957.929305555554</v>
      </c>
      <c r="C4645" s="2">
        <v>43957.939722222225</v>
      </c>
      <c r="D4645" t="s">
        <v>916</v>
      </c>
      <c r="E4645" t="s">
        <v>6242</v>
      </c>
      <c r="F4645" t="s">
        <v>6243</v>
      </c>
      <c r="G4645" t="s">
        <v>1325</v>
      </c>
      <c r="H4645" t="s">
        <v>1031</v>
      </c>
      <c r="I4645">
        <v>270427003</v>
      </c>
      <c r="J4645" t="s">
        <v>1179</v>
      </c>
      <c r="K4645">
        <v>85.55</v>
      </c>
      <c r="L4645">
        <v>16229.09</v>
      </c>
      <c r="M4645">
        <v>16229.09</v>
      </c>
      <c r="N4645">
        <v>72892002</v>
      </c>
      <c r="O4645" t="s">
        <v>1060</v>
      </c>
    </row>
    <row r="4646" spans="1:15">
      <c r="A4646" t="s">
        <v>6271</v>
      </c>
      <c r="B4646" s="2">
        <v>43975.929305555554</v>
      </c>
      <c r="C4646" s="2">
        <v>43975.939722222225</v>
      </c>
      <c r="D4646" t="s">
        <v>916</v>
      </c>
      <c r="E4646" t="s">
        <v>6242</v>
      </c>
      <c r="F4646" t="s">
        <v>6243</v>
      </c>
      <c r="G4646" t="s">
        <v>1325</v>
      </c>
      <c r="H4646" t="s">
        <v>1031</v>
      </c>
      <c r="I4646">
        <v>424619006</v>
      </c>
      <c r="J4646" t="s">
        <v>1062</v>
      </c>
      <c r="K4646">
        <v>142.58000000000001</v>
      </c>
      <c r="L4646">
        <v>1868.18</v>
      </c>
      <c r="M4646">
        <v>1868.18</v>
      </c>
      <c r="N4646">
        <v>72892002</v>
      </c>
      <c r="O4646" t="s">
        <v>1060</v>
      </c>
    </row>
    <row r="4647" spans="1:15">
      <c r="A4647" t="s">
        <v>6272</v>
      </c>
      <c r="B4647" s="2">
        <v>44142.887638888889</v>
      </c>
      <c r="C4647" s="2">
        <v>44142.898055555554</v>
      </c>
      <c r="D4647" t="s">
        <v>916</v>
      </c>
      <c r="E4647" t="s">
        <v>6242</v>
      </c>
      <c r="F4647" t="s">
        <v>6243</v>
      </c>
      <c r="G4647" t="s">
        <v>1325</v>
      </c>
      <c r="H4647" t="s">
        <v>1031</v>
      </c>
      <c r="I4647">
        <v>424441002</v>
      </c>
      <c r="J4647" t="s">
        <v>1059</v>
      </c>
      <c r="K4647">
        <v>142.58000000000001</v>
      </c>
      <c r="L4647">
        <v>50074.18</v>
      </c>
      <c r="M4647">
        <v>26388.11</v>
      </c>
      <c r="N4647">
        <v>72892002</v>
      </c>
      <c r="O4647" t="s">
        <v>1060</v>
      </c>
    </row>
    <row r="4648" spans="1:15">
      <c r="A4648" t="s">
        <v>6273</v>
      </c>
      <c r="B4648" s="2">
        <v>44142.887638888889</v>
      </c>
      <c r="C4648" s="2">
        <v>44142.937951388885</v>
      </c>
      <c r="D4648" t="s">
        <v>916</v>
      </c>
      <c r="E4648" t="s">
        <v>6242</v>
      </c>
      <c r="F4648" t="s">
        <v>6243</v>
      </c>
      <c r="G4648" t="s">
        <v>1325</v>
      </c>
      <c r="H4648" t="s">
        <v>1031</v>
      </c>
      <c r="I4648">
        <v>185347001</v>
      </c>
      <c r="J4648" t="s">
        <v>1124</v>
      </c>
      <c r="K4648">
        <v>85.55</v>
      </c>
      <c r="L4648">
        <v>1214.83</v>
      </c>
      <c r="M4648">
        <v>1214.83</v>
      </c>
      <c r="N4648">
        <v>271737000</v>
      </c>
      <c r="O4648" t="s">
        <v>1479</v>
      </c>
    </row>
    <row r="4649" spans="1:15">
      <c r="A4649" t="s">
        <v>6274</v>
      </c>
      <c r="B4649" s="2">
        <v>44170.937951388885</v>
      </c>
      <c r="C4649" s="2">
        <v>44170.948368055557</v>
      </c>
      <c r="D4649" t="s">
        <v>916</v>
      </c>
      <c r="E4649" t="s">
        <v>6242</v>
      </c>
      <c r="F4649" t="s">
        <v>6243</v>
      </c>
      <c r="G4649" t="s">
        <v>1325</v>
      </c>
      <c r="H4649" t="s">
        <v>1031</v>
      </c>
      <c r="I4649">
        <v>424619006</v>
      </c>
      <c r="J4649" t="s">
        <v>1062</v>
      </c>
      <c r="K4649">
        <v>142.58000000000001</v>
      </c>
      <c r="L4649">
        <v>14832.28</v>
      </c>
      <c r="M4649">
        <v>14832.28</v>
      </c>
      <c r="N4649">
        <v>72892002</v>
      </c>
      <c r="O4649" t="s">
        <v>1060</v>
      </c>
    </row>
    <row r="4650" spans="1:15">
      <c r="A4650" t="s">
        <v>6275</v>
      </c>
      <c r="B4650" s="2">
        <v>44198.937951388885</v>
      </c>
      <c r="C4650" s="2">
        <v>44198.948368055557</v>
      </c>
      <c r="D4650" t="s">
        <v>916</v>
      </c>
      <c r="E4650" t="s">
        <v>6242</v>
      </c>
      <c r="F4650" t="s">
        <v>6243</v>
      </c>
      <c r="G4650" t="s">
        <v>1325</v>
      </c>
      <c r="H4650" t="s">
        <v>1031</v>
      </c>
      <c r="I4650">
        <v>424619006</v>
      </c>
      <c r="J4650" t="s">
        <v>1062</v>
      </c>
      <c r="K4650">
        <v>142.58000000000001</v>
      </c>
      <c r="L4650">
        <v>19739.650000000001</v>
      </c>
      <c r="M4650">
        <v>19739.650000000001</v>
      </c>
      <c r="N4650">
        <v>72892002</v>
      </c>
      <c r="O4650" t="s">
        <v>1060</v>
      </c>
    </row>
    <row r="4651" spans="1:15">
      <c r="A4651" t="s">
        <v>6276</v>
      </c>
      <c r="B4651" s="2">
        <v>44226.937951388885</v>
      </c>
      <c r="C4651" s="2">
        <v>44226.948368055557</v>
      </c>
      <c r="D4651" t="s">
        <v>916</v>
      </c>
      <c r="E4651" t="s">
        <v>6242</v>
      </c>
      <c r="F4651" t="s">
        <v>6243</v>
      </c>
      <c r="G4651" t="s">
        <v>1325</v>
      </c>
      <c r="H4651" t="s">
        <v>1031</v>
      </c>
      <c r="I4651">
        <v>424619006</v>
      </c>
      <c r="J4651" t="s">
        <v>1062</v>
      </c>
      <c r="K4651">
        <v>142.58000000000001</v>
      </c>
      <c r="L4651">
        <v>8404.7999999999993</v>
      </c>
      <c r="M4651">
        <v>8404.7999999999993</v>
      </c>
      <c r="N4651">
        <v>72892002</v>
      </c>
      <c r="O4651" t="s">
        <v>1060</v>
      </c>
    </row>
    <row r="4652" spans="1:15">
      <c r="A4652" t="s">
        <v>6277</v>
      </c>
      <c r="B4652" s="2">
        <v>44254.937951388885</v>
      </c>
      <c r="C4652" s="2">
        <v>44254.948368055557</v>
      </c>
      <c r="D4652" t="s">
        <v>916</v>
      </c>
      <c r="E4652" t="s">
        <v>6242</v>
      </c>
      <c r="F4652" t="s">
        <v>6243</v>
      </c>
      <c r="G4652" t="s">
        <v>1325</v>
      </c>
      <c r="H4652" t="s">
        <v>1031</v>
      </c>
      <c r="I4652">
        <v>424619006</v>
      </c>
      <c r="J4652" t="s">
        <v>1062</v>
      </c>
      <c r="K4652">
        <v>142.58000000000001</v>
      </c>
      <c r="L4652">
        <v>4665.96</v>
      </c>
      <c r="M4652">
        <v>4665.96</v>
      </c>
      <c r="N4652">
        <v>72892002</v>
      </c>
      <c r="O4652" t="s">
        <v>1060</v>
      </c>
    </row>
    <row r="4653" spans="1:15">
      <c r="A4653" t="s">
        <v>6278</v>
      </c>
      <c r="B4653" s="2">
        <v>44282.979618055557</v>
      </c>
      <c r="C4653" s="2">
        <v>44282.990034722221</v>
      </c>
      <c r="D4653" t="s">
        <v>916</v>
      </c>
      <c r="E4653" t="s">
        <v>6242</v>
      </c>
      <c r="F4653" t="s">
        <v>6243</v>
      </c>
      <c r="G4653" t="s">
        <v>1325</v>
      </c>
      <c r="H4653" t="s">
        <v>1031</v>
      </c>
      <c r="I4653">
        <v>424619006</v>
      </c>
      <c r="J4653" t="s">
        <v>1062</v>
      </c>
      <c r="K4653">
        <v>142.58000000000001</v>
      </c>
      <c r="L4653">
        <v>10824.66</v>
      </c>
      <c r="M4653">
        <v>10824.66</v>
      </c>
      <c r="N4653">
        <v>72892002</v>
      </c>
      <c r="O4653" t="s">
        <v>1060</v>
      </c>
    </row>
    <row r="4654" spans="1:15">
      <c r="A4654" t="s">
        <v>6279</v>
      </c>
      <c r="B4654" s="2">
        <v>44310.979618055557</v>
      </c>
      <c r="C4654" s="2">
        <v>44310.990034722221</v>
      </c>
      <c r="D4654" t="s">
        <v>916</v>
      </c>
      <c r="E4654" t="s">
        <v>6242</v>
      </c>
      <c r="F4654" t="s">
        <v>6243</v>
      </c>
      <c r="G4654" t="s">
        <v>1325</v>
      </c>
      <c r="H4654" t="s">
        <v>1031</v>
      </c>
      <c r="I4654">
        <v>424619006</v>
      </c>
      <c r="J4654" t="s">
        <v>1062</v>
      </c>
      <c r="K4654">
        <v>142.58000000000001</v>
      </c>
      <c r="L4654">
        <v>8937.3700000000008</v>
      </c>
      <c r="M4654">
        <v>8937.3700000000008</v>
      </c>
      <c r="N4654">
        <v>72892002</v>
      </c>
      <c r="O4654" t="s">
        <v>1060</v>
      </c>
    </row>
    <row r="4655" spans="1:15">
      <c r="A4655" t="s">
        <v>6280</v>
      </c>
      <c r="B4655" s="2">
        <v>44338.979618055557</v>
      </c>
      <c r="C4655" s="2">
        <v>44338.990034722221</v>
      </c>
      <c r="D4655" t="s">
        <v>916</v>
      </c>
      <c r="E4655" t="s">
        <v>6242</v>
      </c>
      <c r="F4655" t="s">
        <v>6243</v>
      </c>
      <c r="G4655" t="s">
        <v>1325</v>
      </c>
      <c r="H4655" t="s">
        <v>1031</v>
      </c>
      <c r="I4655">
        <v>424619006</v>
      </c>
      <c r="J4655" t="s">
        <v>1062</v>
      </c>
      <c r="K4655">
        <v>142.58000000000001</v>
      </c>
      <c r="L4655">
        <v>10571.91</v>
      </c>
      <c r="M4655">
        <v>10571.91</v>
      </c>
      <c r="N4655">
        <v>72892002</v>
      </c>
      <c r="O4655" t="s">
        <v>1060</v>
      </c>
    </row>
    <row r="4656" spans="1:15">
      <c r="A4656" t="s">
        <v>6281</v>
      </c>
      <c r="B4656" s="2">
        <v>44352.979618055557</v>
      </c>
      <c r="C4656" s="2">
        <v>44352.990034722221</v>
      </c>
      <c r="D4656" t="s">
        <v>916</v>
      </c>
      <c r="E4656" t="s">
        <v>6242</v>
      </c>
      <c r="F4656" t="s">
        <v>6243</v>
      </c>
      <c r="G4656" t="s">
        <v>1325</v>
      </c>
      <c r="H4656" t="s">
        <v>1031</v>
      </c>
      <c r="I4656">
        <v>424619006</v>
      </c>
      <c r="J4656" t="s">
        <v>1062</v>
      </c>
      <c r="K4656">
        <v>142.58000000000001</v>
      </c>
      <c r="L4656">
        <v>11179.48</v>
      </c>
      <c r="M4656">
        <v>3051.29</v>
      </c>
      <c r="N4656">
        <v>72892002</v>
      </c>
      <c r="O4656" t="s">
        <v>1060</v>
      </c>
    </row>
    <row r="4657" spans="1:15">
      <c r="A4657" t="s">
        <v>6282</v>
      </c>
      <c r="B4657" s="2">
        <v>44359.979618055557</v>
      </c>
      <c r="C4657" s="2">
        <v>44360.021284722221</v>
      </c>
      <c r="D4657" t="s">
        <v>916</v>
      </c>
      <c r="E4657" t="s">
        <v>6249</v>
      </c>
      <c r="F4657" t="s">
        <v>6250</v>
      </c>
      <c r="G4657" t="s">
        <v>1325</v>
      </c>
      <c r="H4657" t="s">
        <v>1076</v>
      </c>
      <c r="I4657">
        <v>183460006</v>
      </c>
      <c r="J4657" t="s">
        <v>1077</v>
      </c>
      <c r="K4657">
        <v>146.18</v>
      </c>
      <c r="L4657">
        <v>1440.38</v>
      </c>
      <c r="M4657">
        <v>864.23</v>
      </c>
      <c r="N4657">
        <v>72892002</v>
      </c>
      <c r="O4657" t="s">
        <v>1060</v>
      </c>
    </row>
    <row r="4658" spans="1:15">
      <c r="A4658" t="s">
        <v>6283</v>
      </c>
      <c r="B4658" s="2">
        <v>44401.979618055557</v>
      </c>
      <c r="C4658" s="2">
        <v>44401.990034722221</v>
      </c>
      <c r="D4658" t="s">
        <v>916</v>
      </c>
      <c r="E4658" t="s">
        <v>6242</v>
      </c>
      <c r="F4658" t="s">
        <v>6243</v>
      </c>
      <c r="G4658" t="s">
        <v>1325</v>
      </c>
      <c r="H4658" t="s">
        <v>1031</v>
      </c>
      <c r="I4658">
        <v>169762003</v>
      </c>
      <c r="J4658" t="s">
        <v>1079</v>
      </c>
      <c r="K4658">
        <v>142.58000000000001</v>
      </c>
      <c r="L4658">
        <v>1005.38</v>
      </c>
      <c r="M4658">
        <v>1005.38</v>
      </c>
      <c r="O4658" t="s">
        <v>34</v>
      </c>
    </row>
    <row r="4659" spans="1:15">
      <c r="A4659" t="s">
        <v>6284</v>
      </c>
      <c r="B4659" s="2">
        <v>44415.929305555554</v>
      </c>
      <c r="C4659" s="2">
        <v>44415.962152777778</v>
      </c>
      <c r="D4659" t="s">
        <v>916</v>
      </c>
      <c r="E4659" t="s">
        <v>6235</v>
      </c>
      <c r="F4659" t="s">
        <v>6236</v>
      </c>
      <c r="G4659" t="s">
        <v>1325</v>
      </c>
      <c r="H4659" t="s">
        <v>1020</v>
      </c>
      <c r="I4659">
        <v>162673000</v>
      </c>
      <c r="J4659" t="s">
        <v>1021</v>
      </c>
      <c r="K4659">
        <v>136.80000000000001</v>
      </c>
      <c r="L4659">
        <v>1745.99</v>
      </c>
      <c r="M4659">
        <v>1745.99</v>
      </c>
      <c r="O4659" t="s">
        <v>34</v>
      </c>
    </row>
    <row r="4660" spans="1:15">
      <c r="A4660" t="s">
        <v>6285</v>
      </c>
      <c r="B4660" s="2">
        <v>44443.929305555554</v>
      </c>
      <c r="C4660" s="2">
        <v>44443.939722222225</v>
      </c>
      <c r="D4660" t="s">
        <v>916</v>
      </c>
      <c r="E4660" t="s">
        <v>6242</v>
      </c>
      <c r="F4660" t="s">
        <v>6243</v>
      </c>
      <c r="G4660" t="s">
        <v>1325</v>
      </c>
      <c r="H4660" t="s">
        <v>1043</v>
      </c>
      <c r="I4660">
        <v>33879002</v>
      </c>
      <c r="J4660" t="s">
        <v>1044</v>
      </c>
      <c r="K4660">
        <v>142.58000000000001</v>
      </c>
      <c r="L4660">
        <v>278.58</v>
      </c>
      <c r="M4660">
        <v>278.58</v>
      </c>
      <c r="O4660" t="s">
        <v>34</v>
      </c>
    </row>
    <row r="4661" spans="1:15">
      <c r="A4661" t="s">
        <v>6286</v>
      </c>
      <c r="B4661" s="2">
        <v>44464.929305555554</v>
      </c>
      <c r="C4661" s="2">
        <v>44464.939722222225</v>
      </c>
      <c r="D4661" t="s">
        <v>916</v>
      </c>
      <c r="E4661" t="s">
        <v>6242</v>
      </c>
      <c r="F4661" t="s">
        <v>6243</v>
      </c>
      <c r="G4661" t="s">
        <v>1325</v>
      </c>
      <c r="H4661" t="s">
        <v>1043</v>
      </c>
      <c r="I4661">
        <v>33879002</v>
      </c>
      <c r="J4661" t="s">
        <v>1044</v>
      </c>
      <c r="K4661">
        <v>142.58000000000001</v>
      </c>
      <c r="L4661">
        <v>278.58</v>
      </c>
      <c r="M4661">
        <v>278.58</v>
      </c>
      <c r="O4661" t="s">
        <v>34</v>
      </c>
    </row>
    <row r="4662" spans="1:15">
      <c r="A4662" t="s">
        <v>6287</v>
      </c>
      <c r="B4662" s="2">
        <v>45199.929305555554</v>
      </c>
      <c r="C4662" s="2">
        <v>45199.939722222225</v>
      </c>
      <c r="D4662" t="s">
        <v>916</v>
      </c>
      <c r="E4662" t="s">
        <v>6242</v>
      </c>
      <c r="F4662" t="s">
        <v>6243</v>
      </c>
      <c r="G4662" t="s">
        <v>1325</v>
      </c>
      <c r="H4662" t="s">
        <v>1031</v>
      </c>
      <c r="I4662">
        <v>424441002</v>
      </c>
      <c r="J4662" t="s">
        <v>1059</v>
      </c>
      <c r="K4662">
        <v>142.58000000000001</v>
      </c>
      <c r="L4662">
        <v>6453.97</v>
      </c>
      <c r="M4662">
        <v>215.98</v>
      </c>
      <c r="N4662">
        <v>72892002</v>
      </c>
      <c r="O4662" t="s">
        <v>1060</v>
      </c>
    </row>
    <row r="4663" spans="1:15">
      <c r="A4663" t="s">
        <v>6288</v>
      </c>
      <c r="B4663" s="2">
        <v>45215.929305555554</v>
      </c>
      <c r="C4663" s="2">
        <v>45215.939722222225</v>
      </c>
      <c r="D4663" t="s">
        <v>916</v>
      </c>
      <c r="E4663" t="s">
        <v>6242</v>
      </c>
      <c r="F4663" t="s">
        <v>6243</v>
      </c>
      <c r="G4663" t="s">
        <v>1325</v>
      </c>
      <c r="H4663" t="s">
        <v>1031</v>
      </c>
      <c r="I4663">
        <v>270427003</v>
      </c>
      <c r="J4663" t="s">
        <v>1179</v>
      </c>
      <c r="K4663">
        <v>85.55</v>
      </c>
      <c r="L4663">
        <v>6209.85</v>
      </c>
      <c r="M4663">
        <v>3725.91</v>
      </c>
      <c r="N4663">
        <v>72892002</v>
      </c>
      <c r="O4663" t="s">
        <v>1060</v>
      </c>
    </row>
    <row r="4664" spans="1:15">
      <c r="A4664" t="s">
        <v>6289</v>
      </c>
      <c r="B4664" s="2">
        <v>45224.929305555554</v>
      </c>
      <c r="C4664" s="2">
        <v>45224.939722222225</v>
      </c>
      <c r="D4664" t="s">
        <v>916</v>
      </c>
      <c r="E4664" t="s">
        <v>6242</v>
      </c>
      <c r="F4664" t="s">
        <v>6243</v>
      </c>
      <c r="G4664" t="s">
        <v>1325</v>
      </c>
      <c r="H4664" t="s">
        <v>1031</v>
      </c>
      <c r="I4664">
        <v>424619006</v>
      </c>
      <c r="J4664" t="s">
        <v>1062</v>
      </c>
      <c r="K4664">
        <v>142.58000000000001</v>
      </c>
      <c r="L4664">
        <v>1531.99</v>
      </c>
      <c r="M4664">
        <v>1531.99</v>
      </c>
      <c r="N4664">
        <v>72892002</v>
      </c>
      <c r="O4664" t="s">
        <v>1060</v>
      </c>
    </row>
    <row r="4665" spans="1:15">
      <c r="A4665" t="s">
        <v>6290</v>
      </c>
      <c r="B4665" s="2">
        <v>45395.929305555554</v>
      </c>
      <c r="C4665" s="2">
        <v>45395.939722222225</v>
      </c>
      <c r="D4665" t="s">
        <v>916</v>
      </c>
      <c r="E4665" t="s">
        <v>6242</v>
      </c>
      <c r="F4665" t="s">
        <v>6243</v>
      </c>
      <c r="G4665" t="s">
        <v>1325</v>
      </c>
      <c r="H4665" t="s">
        <v>1031</v>
      </c>
      <c r="I4665">
        <v>424441002</v>
      </c>
      <c r="J4665" t="s">
        <v>1059</v>
      </c>
      <c r="K4665">
        <v>142.58000000000001</v>
      </c>
      <c r="L4665">
        <v>33156.54</v>
      </c>
      <c r="M4665">
        <v>33156.54</v>
      </c>
      <c r="N4665">
        <v>72892002</v>
      </c>
      <c r="O4665" t="s">
        <v>1060</v>
      </c>
    </row>
    <row r="4666" spans="1:15">
      <c r="A4666" t="s">
        <v>6291</v>
      </c>
      <c r="B4666" s="2">
        <v>45423.929305555554</v>
      </c>
      <c r="C4666" s="2">
        <v>45423.939722222225</v>
      </c>
      <c r="D4666" t="s">
        <v>916</v>
      </c>
      <c r="E4666" t="s">
        <v>6242</v>
      </c>
      <c r="F4666" t="s">
        <v>6243</v>
      </c>
      <c r="G4666" t="s">
        <v>1325</v>
      </c>
      <c r="H4666" t="s">
        <v>1031</v>
      </c>
      <c r="I4666">
        <v>424619006</v>
      </c>
      <c r="J4666" t="s">
        <v>1062</v>
      </c>
      <c r="K4666">
        <v>142.58000000000001</v>
      </c>
      <c r="L4666">
        <v>13458.79</v>
      </c>
      <c r="M4666">
        <v>13458.79</v>
      </c>
      <c r="N4666">
        <v>72892002</v>
      </c>
      <c r="O4666" t="s">
        <v>1060</v>
      </c>
    </row>
    <row r="4667" spans="1:15">
      <c r="A4667" t="s">
        <v>6292</v>
      </c>
      <c r="B4667" s="2">
        <v>45451.929305555554</v>
      </c>
      <c r="C4667" s="2">
        <v>45451.939722222225</v>
      </c>
      <c r="D4667" t="s">
        <v>916</v>
      </c>
      <c r="E4667" t="s">
        <v>6242</v>
      </c>
      <c r="F4667" t="s">
        <v>6243</v>
      </c>
      <c r="G4667" t="s">
        <v>1325</v>
      </c>
      <c r="H4667" t="s">
        <v>1031</v>
      </c>
      <c r="I4667">
        <v>424619006</v>
      </c>
      <c r="J4667" t="s">
        <v>1062</v>
      </c>
      <c r="K4667">
        <v>142.58000000000001</v>
      </c>
      <c r="L4667">
        <v>8788.94</v>
      </c>
      <c r="M4667">
        <v>1616.96</v>
      </c>
      <c r="N4667">
        <v>72892002</v>
      </c>
      <c r="O4667" t="s">
        <v>1060</v>
      </c>
    </row>
    <row r="4668" spans="1:15">
      <c r="A4668" t="s">
        <v>6293</v>
      </c>
      <c r="B4668" s="2">
        <v>45479.929305555554</v>
      </c>
      <c r="C4668" s="2">
        <v>45479.939722222225</v>
      </c>
      <c r="D4668" t="s">
        <v>916</v>
      </c>
      <c r="E4668" t="s">
        <v>6242</v>
      </c>
      <c r="F4668" t="s">
        <v>6243</v>
      </c>
      <c r="G4668" t="s">
        <v>1325</v>
      </c>
      <c r="H4668" t="s">
        <v>1031</v>
      </c>
      <c r="I4668">
        <v>424619006</v>
      </c>
      <c r="J4668" t="s">
        <v>1062</v>
      </c>
      <c r="K4668">
        <v>142.58000000000001</v>
      </c>
      <c r="L4668">
        <v>8185.51</v>
      </c>
      <c r="M4668">
        <v>4911.3</v>
      </c>
      <c r="N4668">
        <v>72892002</v>
      </c>
      <c r="O4668" t="s">
        <v>1060</v>
      </c>
    </row>
    <row r="4669" spans="1:15">
      <c r="A4669" t="s">
        <v>6294</v>
      </c>
      <c r="B4669" s="2">
        <v>45507.929305555554</v>
      </c>
      <c r="C4669" s="2">
        <v>45507.939722222225</v>
      </c>
      <c r="D4669" t="s">
        <v>916</v>
      </c>
      <c r="E4669" t="s">
        <v>6242</v>
      </c>
      <c r="F4669" t="s">
        <v>6243</v>
      </c>
      <c r="G4669" t="s">
        <v>1325</v>
      </c>
      <c r="H4669" t="s">
        <v>1031</v>
      </c>
      <c r="I4669">
        <v>424619006</v>
      </c>
      <c r="J4669" t="s">
        <v>1062</v>
      </c>
      <c r="K4669">
        <v>142.58000000000001</v>
      </c>
      <c r="L4669">
        <v>7624.81</v>
      </c>
      <c r="M4669">
        <v>7624.81</v>
      </c>
      <c r="N4669">
        <v>72892002</v>
      </c>
      <c r="O4669" t="s">
        <v>1060</v>
      </c>
    </row>
    <row r="4670" spans="1:15">
      <c r="A4670" t="s">
        <v>6295</v>
      </c>
      <c r="B4670" s="2">
        <v>45514.929305555554</v>
      </c>
      <c r="C4670" s="2">
        <v>45514.963958333334</v>
      </c>
      <c r="D4670" t="s">
        <v>916</v>
      </c>
      <c r="E4670" t="s">
        <v>6235</v>
      </c>
      <c r="F4670" t="s">
        <v>6236</v>
      </c>
      <c r="G4670" t="s">
        <v>1325</v>
      </c>
      <c r="H4670" t="s">
        <v>1020</v>
      </c>
      <c r="I4670">
        <v>162673000</v>
      </c>
      <c r="J4670" t="s">
        <v>1021</v>
      </c>
      <c r="K4670">
        <v>136.80000000000001</v>
      </c>
      <c r="L4670">
        <v>853.36</v>
      </c>
      <c r="M4670">
        <v>853.36</v>
      </c>
      <c r="O4670" t="s">
        <v>34</v>
      </c>
    </row>
    <row r="4671" spans="1:15">
      <c r="A4671" t="s">
        <v>6296</v>
      </c>
      <c r="B4671" s="2">
        <v>45535.929305555554</v>
      </c>
      <c r="C4671" s="2">
        <v>45535.939722222225</v>
      </c>
      <c r="D4671" t="s">
        <v>916</v>
      </c>
      <c r="E4671" t="s">
        <v>6242</v>
      </c>
      <c r="F4671" t="s">
        <v>6243</v>
      </c>
      <c r="G4671" t="s">
        <v>1325</v>
      </c>
      <c r="H4671" t="s">
        <v>1031</v>
      </c>
      <c r="I4671">
        <v>424619006</v>
      </c>
      <c r="J4671" t="s">
        <v>1062</v>
      </c>
      <c r="K4671">
        <v>142.58000000000001</v>
      </c>
      <c r="L4671">
        <v>19563.45</v>
      </c>
      <c r="M4671">
        <v>19563.45</v>
      </c>
      <c r="N4671">
        <v>72892002</v>
      </c>
      <c r="O4671" t="s">
        <v>1060</v>
      </c>
    </row>
    <row r="4672" spans="1:15">
      <c r="A4672" t="s">
        <v>6297</v>
      </c>
      <c r="B4672" s="2">
        <v>45563.929305555554</v>
      </c>
      <c r="C4672" s="2">
        <v>45563.939722222225</v>
      </c>
      <c r="D4672" t="s">
        <v>916</v>
      </c>
      <c r="E4672" t="s">
        <v>6242</v>
      </c>
      <c r="F4672" t="s">
        <v>6243</v>
      </c>
      <c r="G4672" t="s">
        <v>1325</v>
      </c>
      <c r="H4672" t="s">
        <v>1031</v>
      </c>
      <c r="I4672">
        <v>424619006</v>
      </c>
      <c r="J4672" t="s">
        <v>1062</v>
      </c>
      <c r="K4672">
        <v>142.58000000000001</v>
      </c>
      <c r="L4672">
        <v>5835.4</v>
      </c>
      <c r="M4672">
        <v>5835.4</v>
      </c>
      <c r="N4672">
        <v>72892002</v>
      </c>
      <c r="O4672" t="s">
        <v>1060</v>
      </c>
    </row>
    <row r="4673" spans="1:15">
      <c r="A4673" t="s">
        <v>6298</v>
      </c>
      <c r="B4673" s="2">
        <v>45591.929305555554</v>
      </c>
      <c r="C4673" s="2">
        <v>45591.939722222225</v>
      </c>
      <c r="D4673" t="s">
        <v>916</v>
      </c>
      <c r="E4673" t="s">
        <v>6242</v>
      </c>
      <c r="F4673" t="s">
        <v>6243</v>
      </c>
      <c r="G4673" t="s">
        <v>1325</v>
      </c>
      <c r="H4673" t="s">
        <v>1031</v>
      </c>
      <c r="I4673">
        <v>424619006</v>
      </c>
      <c r="J4673" t="s">
        <v>1062</v>
      </c>
      <c r="K4673">
        <v>142.58000000000001</v>
      </c>
      <c r="L4673">
        <v>5821.59</v>
      </c>
      <c r="M4673">
        <v>5821.59</v>
      </c>
      <c r="N4673">
        <v>72892002</v>
      </c>
      <c r="O4673" t="s">
        <v>1060</v>
      </c>
    </row>
    <row r="4674" spans="1:15">
      <c r="A4674" t="s">
        <v>6299</v>
      </c>
      <c r="B4674" s="2">
        <v>45605.887638888889</v>
      </c>
      <c r="C4674" s="2">
        <v>45605.898055555554</v>
      </c>
      <c r="D4674" t="s">
        <v>916</v>
      </c>
      <c r="E4674" t="s">
        <v>6242</v>
      </c>
      <c r="F4674" t="s">
        <v>6243</v>
      </c>
      <c r="G4674" t="s">
        <v>1325</v>
      </c>
      <c r="H4674" t="s">
        <v>1031</v>
      </c>
      <c r="I4674">
        <v>424619006</v>
      </c>
      <c r="J4674" t="s">
        <v>1062</v>
      </c>
      <c r="K4674">
        <v>142.58000000000001</v>
      </c>
      <c r="L4674">
        <v>7985.82</v>
      </c>
      <c r="M4674">
        <v>7985.82</v>
      </c>
      <c r="N4674">
        <v>72892002</v>
      </c>
      <c r="O4674" t="s">
        <v>1060</v>
      </c>
    </row>
    <row r="4675" spans="1:15">
      <c r="A4675" t="s">
        <v>6300</v>
      </c>
      <c r="B4675" s="2">
        <v>45612.887638888889</v>
      </c>
      <c r="C4675" s="2">
        <v>45612.898055555554</v>
      </c>
      <c r="D4675" t="s">
        <v>916</v>
      </c>
      <c r="E4675" t="s">
        <v>6242</v>
      </c>
      <c r="F4675" t="s">
        <v>6243</v>
      </c>
      <c r="G4675" t="s">
        <v>1325</v>
      </c>
      <c r="H4675" t="s">
        <v>1031</v>
      </c>
      <c r="I4675">
        <v>424619006</v>
      </c>
      <c r="J4675" t="s">
        <v>1062</v>
      </c>
      <c r="K4675">
        <v>142.58000000000001</v>
      </c>
      <c r="L4675">
        <v>11162.28</v>
      </c>
      <c r="M4675">
        <v>11162.28</v>
      </c>
      <c r="N4675">
        <v>72892002</v>
      </c>
      <c r="O4675" t="s">
        <v>1060</v>
      </c>
    </row>
    <row r="4676" spans="1:15">
      <c r="A4676" t="s">
        <v>6301</v>
      </c>
      <c r="B4676" s="2">
        <v>45619.887638888889</v>
      </c>
      <c r="C4676" s="2">
        <v>45619.929305555554</v>
      </c>
      <c r="D4676" t="s">
        <v>916</v>
      </c>
      <c r="E4676" t="s">
        <v>6249</v>
      </c>
      <c r="F4676" t="s">
        <v>6250</v>
      </c>
      <c r="G4676" t="s">
        <v>1325</v>
      </c>
      <c r="H4676" t="s">
        <v>1076</v>
      </c>
      <c r="I4676">
        <v>183460006</v>
      </c>
      <c r="J4676" t="s">
        <v>1077</v>
      </c>
      <c r="K4676">
        <v>146.18</v>
      </c>
      <c r="L4676">
        <v>3362.86</v>
      </c>
      <c r="M4676">
        <v>3362.86</v>
      </c>
      <c r="N4676">
        <v>72892002</v>
      </c>
      <c r="O4676" t="s">
        <v>1060</v>
      </c>
    </row>
    <row r="4677" spans="1:15">
      <c r="A4677" t="s">
        <v>6302</v>
      </c>
      <c r="B4677" s="2">
        <v>45661.887638888889</v>
      </c>
      <c r="C4677" s="2">
        <v>45661.898055555554</v>
      </c>
      <c r="D4677" t="s">
        <v>916</v>
      </c>
      <c r="E4677" t="s">
        <v>6242</v>
      </c>
      <c r="F4677" t="s">
        <v>6243</v>
      </c>
      <c r="G4677" t="s">
        <v>1325</v>
      </c>
      <c r="H4677" t="s">
        <v>1031</v>
      </c>
      <c r="I4677">
        <v>169762003</v>
      </c>
      <c r="J4677" t="s">
        <v>1079</v>
      </c>
      <c r="K4677">
        <v>142.58000000000001</v>
      </c>
      <c r="L4677">
        <v>1005.38</v>
      </c>
      <c r="M4677">
        <v>1005.38</v>
      </c>
      <c r="O4677" t="s">
        <v>34</v>
      </c>
    </row>
    <row r="4678" spans="1:15">
      <c r="A4678" t="s">
        <v>6303</v>
      </c>
      <c r="B4678" s="2">
        <v>45668.887638888889</v>
      </c>
      <c r="C4678" s="2">
        <v>45668.898055555554</v>
      </c>
      <c r="D4678" t="s">
        <v>916</v>
      </c>
      <c r="E4678" t="s">
        <v>6242</v>
      </c>
      <c r="F4678" t="s">
        <v>6243</v>
      </c>
      <c r="G4678" t="s">
        <v>1325</v>
      </c>
      <c r="H4678" t="s">
        <v>1043</v>
      </c>
      <c r="I4678">
        <v>698314001</v>
      </c>
      <c r="J4678" t="s">
        <v>1190</v>
      </c>
      <c r="K4678">
        <v>142.58000000000001</v>
      </c>
      <c r="L4678">
        <v>142.58000000000001</v>
      </c>
      <c r="M4678">
        <v>142.58000000000001</v>
      </c>
      <c r="N4678">
        <v>389095005</v>
      </c>
      <c r="O4678" t="s">
        <v>1191</v>
      </c>
    </row>
    <row r="4679" spans="1:15">
      <c r="A4679" t="s">
        <v>6304</v>
      </c>
      <c r="B4679" s="2">
        <v>45705.940162037034</v>
      </c>
      <c r="C4679" s="2">
        <v>45705.981828703705</v>
      </c>
      <c r="D4679" t="s">
        <v>916</v>
      </c>
      <c r="E4679" t="s">
        <v>6249</v>
      </c>
      <c r="F4679" t="s">
        <v>6250</v>
      </c>
      <c r="G4679" t="s">
        <v>1325</v>
      </c>
      <c r="H4679" t="s">
        <v>1076</v>
      </c>
      <c r="I4679">
        <v>50849002</v>
      </c>
      <c r="J4679" t="s">
        <v>1163</v>
      </c>
      <c r="K4679">
        <v>146.18</v>
      </c>
      <c r="L4679">
        <v>5104.67</v>
      </c>
      <c r="M4679">
        <v>5104.67</v>
      </c>
      <c r="N4679">
        <v>125605004</v>
      </c>
      <c r="O4679" t="s">
        <v>1644</v>
      </c>
    </row>
    <row r="4680" spans="1:15">
      <c r="A4680" t="s">
        <v>6305</v>
      </c>
      <c r="B4680" s="2">
        <v>45755.005752314813</v>
      </c>
      <c r="C4680" s="2">
        <v>45755.016168981485</v>
      </c>
      <c r="D4680" t="s">
        <v>916</v>
      </c>
      <c r="E4680" t="s">
        <v>6242</v>
      </c>
      <c r="F4680" t="s">
        <v>6243</v>
      </c>
      <c r="G4680" t="s">
        <v>1325</v>
      </c>
      <c r="H4680" t="s">
        <v>1031</v>
      </c>
      <c r="I4680">
        <v>185349003</v>
      </c>
      <c r="J4680" t="s">
        <v>1038</v>
      </c>
      <c r="K4680">
        <v>85.55</v>
      </c>
      <c r="L4680">
        <v>85.55</v>
      </c>
      <c r="M4680">
        <v>85.55</v>
      </c>
      <c r="N4680">
        <v>65966004</v>
      </c>
      <c r="O4680" t="s">
        <v>1647</v>
      </c>
    </row>
    <row r="4681" spans="1:15">
      <c r="A4681" t="s">
        <v>6306</v>
      </c>
      <c r="B4681" s="2">
        <v>46028.887638888889</v>
      </c>
      <c r="C4681" s="2">
        <v>46028.898055555554</v>
      </c>
      <c r="D4681" t="s">
        <v>916</v>
      </c>
      <c r="E4681" t="s">
        <v>6242</v>
      </c>
      <c r="F4681" t="s">
        <v>6243</v>
      </c>
      <c r="G4681" t="s">
        <v>1325</v>
      </c>
      <c r="H4681" t="s">
        <v>1043</v>
      </c>
      <c r="I4681">
        <v>698314001</v>
      </c>
      <c r="J4681" t="s">
        <v>1190</v>
      </c>
      <c r="K4681">
        <v>142.58000000000001</v>
      </c>
      <c r="L4681">
        <v>142.58000000000001</v>
      </c>
      <c r="M4681">
        <v>0</v>
      </c>
      <c r="N4681">
        <v>389095005</v>
      </c>
      <c r="O4681" t="s">
        <v>1191</v>
      </c>
    </row>
    <row r="4682" spans="1:15">
      <c r="A4682" t="s">
        <v>6307</v>
      </c>
      <c r="B4682" s="2">
        <v>41365.494317129633</v>
      </c>
      <c r="C4682" s="2">
        <v>41365.52002314815</v>
      </c>
      <c r="D4682" t="s">
        <v>927</v>
      </c>
      <c r="E4682" t="s">
        <v>6308</v>
      </c>
      <c r="F4682" t="s">
        <v>6309</v>
      </c>
      <c r="G4682" t="s">
        <v>1093</v>
      </c>
      <c r="H4682" t="s">
        <v>1020</v>
      </c>
      <c r="I4682">
        <v>162673000</v>
      </c>
      <c r="J4682" t="s">
        <v>1021</v>
      </c>
      <c r="K4682">
        <v>136.80000000000001</v>
      </c>
      <c r="L4682">
        <v>919.9</v>
      </c>
      <c r="M4682">
        <v>819.9</v>
      </c>
      <c r="O4682" t="s">
        <v>34</v>
      </c>
    </row>
    <row r="4683" spans="1:15">
      <c r="A4683" t="s">
        <v>6310</v>
      </c>
      <c r="B4683" s="2">
        <v>41736.494317129633</v>
      </c>
      <c r="C4683" s="2">
        <v>41736.522812499999</v>
      </c>
      <c r="D4683" t="s">
        <v>927</v>
      </c>
      <c r="E4683" t="s">
        <v>6308</v>
      </c>
      <c r="F4683" t="s">
        <v>6309</v>
      </c>
      <c r="G4683" t="s">
        <v>1093</v>
      </c>
      <c r="H4683" t="s">
        <v>1020</v>
      </c>
      <c r="I4683">
        <v>162673000</v>
      </c>
      <c r="J4683" t="s">
        <v>1021</v>
      </c>
      <c r="K4683">
        <v>136.80000000000001</v>
      </c>
      <c r="L4683">
        <v>919.9</v>
      </c>
      <c r="M4683">
        <v>819.9</v>
      </c>
      <c r="O4683" t="s">
        <v>34</v>
      </c>
    </row>
    <row r="4684" spans="1:15">
      <c r="A4684" t="s">
        <v>6311</v>
      </c>
      <c r="B4684" s="2">
        <v>41824.035983796297</v>
      </c>
      <c r="C4684" s="2">
        <v>41824.046400462961</v>
      </c>
      <c r="D4684" t="s">
        <v>927</v>
      </c>
      <c r="E4684" t="s">
        <v>5148</v>
      </c>
      <c r="F4684" t="s">
        <v>5149</v>
      </c>
      <c r="G4684" t="s">
        <v>1093</v>
      </c>
      <c r="H4684" t="s">
        <v>1031</v>
      </c>
      <c r="I4684">
        <v>185345009</v>
      </c>
      <c r="J4684" t="s">
        <v>1032</v>
      </c>
      <c r="K4684">
        <v>85.55</v>
      </c>
      <c r="L4684">
        <v>85.55</v>
      </c>
      <c r="M4684">
        <v>35.549999999999997</v>
      </c>
      <c r="N4684">
        <v>10509002</v>
      </c>
      <c r="O4684" t="s">
        <v>1033</v>
      </c>
    </row>
    <row r="4685" spans="1:15">
      <c r="A4685" t="s">
        <v>6312</v>
      </c>
      <c r="B4685" s="2">
        <v>41834.494317129633</v>
      </c>
      <c r="C4685" s="2">
        <v>41834.529733796298</v>
      </c>
      <c r="D4685" t="s">
        <v>927</v>
      </c>
      <c r="E4685" t="s">
        <v>5148</v>
      </c>
      <c r="F4685" t="s">
        <v>5149</v>
      </c>
      <c r="G4685" t="s">
        <v>1093</v>
      </c>
      <c r="H4685" t="s">
        <v>1043</v>
      </c>
      <c r="I4685">
        <v>185349003</v>
      </c>
      <c r="J4685" t="s">
        <v>1038</v>
      </c>
      <c r="K4685">
        <v>85.55</v>
      </c>
      <c r="L4685">
        <v>516.95000000000005</v>
      </c>
      <c r="M4685">
        <v>466.95</v>
      </c>
      <c r="O4685" t="s">
        <v>34</v>
      </c>
    </row>
    <row r="4686" spans="1:15">
      <c r="A4686" t="s">
        <v>6313</v>
      </c>
      <c r="B4686" s="2">
        <v>42429.452650462961</v>
      </c>
      <c r="C4686" s="2">
        <v>42429.463067129633</v>
      </c>
      <c r="D4686" t="s">
        <v>927</v>
      </c>
      <c r="E4686" t="s">
        <v>5148</v>
      </c>
      <c r="F4686" t="s">
        <v>5149</v>
      </c>
      <c r="G4686" t="s">
        <v>1093</v>
      </c>
      <c r="H4686" t="s">
        <v>1031</v>
      </c>
      <c r="I4686">
        <v>424441002</v>
      </c>
      <c r="J4686" t="s">
        <v>1059</v>
      </c>
      <c r="K4686">
        <v>142.58000000000001</v>
      </c>
      <c r="L4686">
        <v>53055.72</v>
      </c>
      <c r="M4686">
        <v>52905.72</v>
      </c>
      <c r="N4686">
        <v>72892002</v>
      </c>
      <c r="O4686" t="s">
        <v>1060</v>
      </c>
    </row>
    <row r="4687" spans="1:15">
      <c r="A4687" t="s">
        <v>6314</v>
      </c>
      <c r="B4687" s="2">
        <v>42596.910983796297</v>
      </c>
      <c r="C4687" s="2">
        <v>42596.921400462961</v>
      </c>
      <c r="D4687" t="s">
        <v>927</v>
      </c>
      <c r="E4687" t="s">
        <v>5148</v>
      </c>
      <c r="F4687" t="s">
        <v>5149</v>
      </c>
      <c r="G4687" t="s">
        <v>1093</v>
      </c>
      <c r="H4687" t="s">
        <v>1031</v>
      </c>
      <c r="I4687">
        <v>185345009</v>
      </c>
      <c r="J4687" t="s">
        <v>1032</v>
      </c>
      <c r="K4687">
        <v>85.55</v>
      </c>
      <c r="L4687">
        <v>85.55</v>
      </c>
      <c r="M4687">
        <v>35.549999999999997</v>
      </c>
      <c r="N4687">
        <v>444814009</v>
      </c>
      <c r="O4687" t="s">
        <v>1035</v>
      </c>
    </row>
    <row r="4688" spans="1:15">
      <c r="A4688" t="s">
        <v>6315</v>
      </c>
      <c r="B4688" s="2">
        <v>42625.542743055557</v>
      </c>
      <c r="C4688" s="2">
        <v>42625.584409722222</v>
      </c>
      <c r="D4688" t="s">
        <v>927</v>
      </c>
      <c r="E4688" t="s">
        <v>6316</v>
      </c>
      <c r="F4688" t="s">
        <v>6317</v>
      </c>
      <c r="G4688" t="s">
        <v>1093</v>
      </c>
      <c r="H4688" t="s">
        <v>1076</v>
      </c>
      <c r="I4688">
        <v>183460006</v>
      </c>
      <c r="J4688" t="s">
        <v>1077</v>
      </c>
      <c r="K4688">
        <v>146.18</v>
      </c>
      <c r="L4688">
        <v>2151.8200000000002</v>
      </c>
      <c r="M4688">
        <v>2101.8200000000002</v>
      </c>
      <c r="N4688">
        <v>72892002</v>
      </c>
      <c r="O4688" t="s">
        <v>1060</v>
      </c>
    </row>
    <row r="4689" spans="1:15">
      <c r="A4689" t="s">
        <v>6318</v>
      </c>
      <c r="B4689" s="2">
        <v>42667.542743055557</v>
      </c>
      <c r="C4689" s="2">
        <v>42667.553159722222</v>
      </c>
      <c r="D4689" t="s">
        <v>927</v>
      </c>
      <c r="E4689" t="s">
        <v>5148</v>
      </c>
      <c r="F4689" t="s">
        <v>5149</v>
      </c>
      <c r="G4689" t="s">
        <v>1093</v>
      </c>
      <c r="H4689" t="s">
        <v>1031</v>
      </c>
      <c r="I4689">
        <v>169762003</v>
      </c>
      <c r="J4689" t="s">
        <v>1079</v>
      </c>
      <c r="K4689">
        <v>142.58000000000001</v>
      </c>
      <c r="L4689">
        <v>1005.38</v>
      </c>
      <c r="M4689">
        <v>955.38</v>
      </c>
      <c r="O4689" t="s">
        <v>34</v>
      </c>
    </row>
    <row r="4690" spans="1:15">
      <c r="A4690" t="s">
        <v>6319</v>
      </c>
      <c r="B4690" s="2">
        <v>42722.481053240743</v>
      </c>
      <c r="C4690" s="2">
        <v>42722.491469907407</v>
      </c>
      <c r="D4690" t="s">
        <v>927</v>
      </c>
      <c r="E4690" t="s">
        <v>5148</v>
      </c>
      <c r="F4690" t="s">
        <v>5149</v>
      </c>
      <c r="G4690" t="s">
        <v>1093</v>
      </c>
      <c r="H4690" t="s">
        <v>1043</v>
      </c>
      <c r="I4690">
        <v>698314001</v>
      </c>
      <c r="J4690" t="s">
        <v>1190</v>
      </c>
      <c r="K4690">
        <v>142.58000000000001</v>
      </c>
      <c r="L4690">
        <v>142.58000000000001</v>
      </c>
      <c r="M4690">
        <v>92.58</v>
      </c>
      <c r="N4690">
        <v>389095005</v>
      </c>
      <c r="O4690" t="s">
        <v>1191</v>
      </c>
    </row>
    <row r="4691" spans="1:15">
      <c r="A4691" t="s">
        <v>6320</v>
      </c>
      <c r="B4691" s="2">
        <v>42835.494317129633</v>
      </c>
      <c r="C4691" s="2">
        <v>42835.51703703704</v>
      </c>
      <c r="D4691" t="s">
        <v>927</v>
      </c>
      <c r="E4691" t="s">
        <v>6308</v>
      </c>
      <c r="F4691" t="s">
        <v>6309</v>
      </c>
      <c r="G4691" t="s">
        <v>1093</v>
      </c>
      <c r="H4691" t="s">
        <v>1020</v>
      </c>
      <c r="I4691">
        <v>162673000</v>
      </c>
      <c r="J4691" t="s">
        <v>1021</v>
      </c>
      <c r="K4691">
        <v>136.80000000000001</v>
      </c>
      <c r="L4691">
        <v>1782.46</v>
      </c>
      <c r="M4691">
        <v>1682.46</v>
      </c>
      <c r="O4691" t="s">
        <v>34</v>
      </c>
    </row>
    <row r="4692" spans="1:15">
      <c r="A4692" t="s">
        <v>6321</v>
      </c>
      <c r="B4692" s="2">
        <v>42849.494317129633</v>
      </c>
      <c r="C4692" s="2">
        <v>42849.641712962963</v>
      </c>
      <c r="D4692" t="s">
        <v>927</v>
      </c>
      <c r="E4692" t="s">
        <v>5148</v>
      </c>
      <c r="F4692" t="s">
        <v>5149</v>
      </c>
      <c r="G4692" t="s">
        <v>1093</v>
      </c>
      <c r="H4692" t="s">
        <v>1031</v>
      </c>
      <c r="I4692">
        <v>185349003</v>
      </c>
      <c r="J4692" t="s">
        <v>1038</v>
      </c>
      <c r="K4692">
        <v>85.55</v>
      </c>
      <c r="L4692">
        <v>3105.35</v>
      </c>
      <c r="M4692">
        <v>3055.35</v>
      </c>
      <c r="N4692">
        <v>103697008</v>
      </c>
      <c r="O4692" t="s">
        <v>1039</v>
      </c>
    </row>
    <row r="4693" spans="1:15">
      <c r="A4693" t="s">
        <v>6322</v>
      </c>
      <c r="B4693" s="2">
        <v>43661.494317129633</v>
      </c>
      <c r="C4693" s="2">
        <v>43661.504733796297</v>
      </c>
      <c r="D4693" t="s">
        <v>927</v>
      </c>
      <c r="E4693" t="s">
        <v>5148</v>
      </c>
      <c r="F4693" t="s">
        <v>5149</v>
      </c>
      <c r="G4693" t="s">
        <v>1093</v>
      </c>
      <c r="H4693" t="s">
        <v>1031</v>
      </c>
      <c r="I4693">
        <v>424441002</v>
      </c>
      <c r="J4693" t="s">
        <v>1059</v>
      </c>
      <c r="K4693">
        <v>142.58000000000001</v>
      </c>
      <c r="L4693">
        <v>37471.300000000003</v>
      </c>
      <c r="M4693">
        <v>37321.300000000003</v>
      </c>
      <c r="N4693">
        <v>72892002</v>
      </c>
      <c r="O4693" t="s">
        <v>1060</v>
      </c>
    </row>
    <row r="4694" spans="1:15">
      <c r="A4694" t="s">
        <v>6323</v>
      </c>
      <c r="B4694" s="2">
        <v>43689.494317129633</v>
      </c>
      <c r="C4694" s="2">
        <v>43689.504733796297</v>
      </c>
      <c r="D4694" t="s">
        <v>927</v>
      </c>
      <c r="E4694" t="s">
        <v>5148</v>
      </c>
      <c r="F4694" t="s">
        <v>5149</v>
      </c>
      <c r="G4694" t="s">
        <v>1093</v>
      </c>
      <c r="H4694" t="s">
        <v>1031</v>
      </c>
      <c r="I4694">
        <v>424619006</v>
      </c>
      <c r="J4694" t="s">
        <v>1062</v>
      </c>
      <c r="K4694">
        <v>142.58000000000001</v>
      </c>
      <c r="L4694">
        <v>12586.98</v>
      </c>
      <c r="M4694">
        <v>12536.98</v>
      </c>
      <c r="N4694">
        <v>72892002</v>
      </c>
      <c r="O4694" t="s">
        <v>1060</v>
      </c>
    </row>
    <row r="4695" spans="1:15">
      <c r="A4695" t="s">
        <v>6324</v>
      </c>
      <c r="B4695" s="2">
        <v>43717.494317129633</v>
      </c>
      <c r="C4695" s="2">
        <v>43717.504733796297</v>
      </c>
      <c r="D4695" t="s">
        <v>927</v>
      </c>
      <c r="E4695" t="s">
        <v>5148</v>
      </c>
      <c r="F4695" t="s">
        <v>5149</v>
      </c>
      <c r="G4695" t="s">
        <v>1093</v>
      </c>
      <c r="H4695" t="s">
        <v>1031</v>
      </c>
      <c r="I4695">
        <v>424619006</v>
      </c>
      <c r="J4695" t="s">
        <v>1062</v>
      </c>
      <c r="K4695">
        <v>142.58000000000001</v>
      </c>
      <c r="L4695">
        <v>14481.64</v>
      </c>
      <c r="M4695">
        <v>14431.64</v>
      </c>
      <c r="N4695">
        <v>72892002</v>
      </c>
      <c r="O4695" t="s">
        <v>1060</v>
      </c>
    </row>
    <row r="4696" spans="1:15">
      <c r="A4696" t="s">
        <v>6325</v>
      </c>
      <c r="B4696" s="2">
        <v>43745.494317129633</v>
      </c>
      <c r="C4696" s="2">
        <v>43745.504733796297</v>
      </c>
      <c r="D4696" t="s">
        <v>927</v>
      </c>
      <c r="E4696" t="s">
        <v>5148</v>
      </c>
      <c r="F4696" t="s">
        <v>5149</v>
      </c>
      <c r="G4696" t="s">
        <v>1093</v>
      </c>
      <c r="H4696" t="s">
        <v>1031</v>
      </c>
      <c r="I4696">
        <v>424619006</v>
      </c>
      <c r="J4696" t="s">
        <v>1062</v>
      </c>
      <c r="K4696">
        <v>142.58000000000001</v>
      </c>
      <c r="L4696">
        <v>6822.01</v>
      </c>
      <c r="M4696">
        <v>6772.01</v>
      </c>
      <c r="N4696">
        <v>72892002</v>
      </c>
      <c r="O4696" t="s">
        <v>1060</v>
      </c>
    </row>
    <row r="4697" spans="1:15">
      <c r="A4697" t="s">
        <v>6326</v>
      </c>
      <c r="B4697" s="2">
        <v>43773.452650462961</v>
      </c>
      <c r="C4697" s="2">
        <v>43773.463067129633</v>
      </c>
      <c r="D4697" t="s">
        <v>927</v>
      </c>
      <c r="E4697" t="s">
        <v>5148</v>
      </c>
      <c r="F4697" t="s">
        <v>5149</v>
      </c>
      <c r="G4697" t="s">
        <v>1093</v>
      </c>
      <c r="H4697" t="s">
        <v>1031</v>
      </c>
      <c r="I4697">
        <v>424619006</v>
      </c>
      <c r="J4697" t="s">
        <v>1062</v>
      </c>
      <c r="K4697">
        <v>142.58000000000001</v>
      </c>
      <c r="L4697">
        <v>9684.0499999999993</v>
      </c>
      <c r="M4697">
        <v>9634.0499999999993</v>
      </c>
      <c r="N4697">
        <v>72892002</v>
      </c>
      <c r="O4697" t="s">
        <v>1060</v>
      </c>
    </row>
    <row r="4698" spans="1:15">
      <c r="A4698" t="s">
        <v>6327</v>
      </c>
      <c r="B4698" s="2">
        <v>43797.994317129633</v>
      </c>
      <c r="C4698" s="2">
        <v>43798.004733796297</v>
      </c>
      <c r="D4698" t="s">
        <v>927</v>
      </c>
      <c r="E4698" t="s">
        <v>5148</v>
      </c>
      <c r="F4698" t="s">
        <v>5149</v>
      </c>
      <c r="G4698" t="s">
        <v>1093</v>
      </c>
      <c r="H4698" t="s">
        <v>1031</v>
      </c>
      <c r="I4698">
        <v>185345009</v>
      </c>
      <c r="J4698" t="s">
        <v>1032</v>
      </c>
      <c r="K4698">
        <v>85.55</v>
      </c>
      <c r="L4698">
        <v>2715.8</v>
      </c>
      <c r="M4698">
        <v>2665.8</v>
      </c>
      <c r="N4698">
        <v>10509002</v>
      </c>
      <c r="O4698" t="s">
        <v>1033</v>
      </c>
    </row>
    <row r="4699" spans="1:15">
      <c r="A4699" t="s">
        <v>6328</v>
      </c>
      <c r="B4699" s="2">
        <v>43801.452650462961</v>
      </c>
      <c r="C4699" s="2">
        <v>43801.463067129633</v>
      </c>
      <c r="D4699" t="s">
        <v>927</v>
      </c>
      <c r="E4699" t="s">
        <v>5148</v>
      </c>
      <c r="F4699" t="s">
        <v>5149</v>
      </c>
      <c r="G4699" t="s">
        <v>1093</v>
      </c>
      <c r="H4699" t="s">
        <v>1031</v>
      </c>
      <c r="I4699">
        <v>424619006</v>
      </c>
      <c r="J4699" t="s">
        <v>1062</v>
      </c>
      <c r="K4699">
        <v>142.58000000000001</v>
      </c>
      <c r="L4699">
        <v>12248.3</v>
      </c>
      <c r="M4699">
        <v>12198.3</v>
      </c>
      <c r="N4699">
        <v>72892002</v>
      </c>
      <c r="O4699" t="s">
        <v>1060</v>
      </c>
    </row>
    <row r="4700" spans="1:15">
      <c r="A4700" t="s">
        <v>6329</v>
      </c>
      <c r="B4700" s="2">
        <v>43808.452650462961</v>
      </c>
      <c r="C4700" s="2">
        <v>43808.478634259256</v>
      </c>
      <c r="D4700" t="s">
        <v>927</v>
      </c>
      <c r="E4700" t="s">
        <v>2799</v>
      </c>
      <c r="F4700" t="s">
        <v>2800</v>
      </c>
      <c r="G4700" t="s">
        <v>1093</v>
      </c>
      <c r="H4700" t="s">
        <v>1159</v>
      </c>
      <c r="I4700">
        <v>702927004</v>
      </c>
      <c r="J4700" t="s">
        <v>1160</v>
      </c>
      <c r="K4700">
        <v>142.58000000000001</v>
      </c>
      <c r="L4700">
        <v>784.56</v>
      </c>
      <c r="M4700">
        <v>734.56</v>
      </c>
      <c r="O4700" t="s">
        <v>34</v>
      </c>
    </row>
    <row r="4701" spans="1:15">
      <c r="A4701" t="s">
        <v>6330</v>
      </c>
      <c r="B4701" s="2">
        <v>43822.452650462961</v>
      </c>
      <c r="C4701" s="2">
        <v>43822.753263888888</v>
      </c>
      <c r="D4701" t="s">
        <v>927</v>
      </c>
      <c r="E4701" t="s">
        <v>5148</v>
      </c>
      <c r="F4701" t="s">
        <v>5149</v>
      </c>
      <c r="G4701" t="s">
        <v>1093</v>
      </c>
      <c r="H4701" t="s">
        <v>1031</v>
      </c>
      <c r="I4701">
        <v>185349003</v>
      </c>
      <c r="J4701" t="s">
        <v>1038</v>
      </c>
      <c r="K4701">
        <v>85.55</v>
      </c>
      <c r="L4701">
        <v>5693.75</v>
      </c>
      <c r="M4701">
        <v>5643.75</v>
      </c>
      <c r="N4701">
        <v>66383009</v>
      </c>
      <c r="O4701" t="s">
        <v>1209</v>
      </c>
    </row>
    <row r="4702" spans="1:15">
      <c r="A4702" t="s">
        <v>6331</v>
      </c>
      <c r="B4702" s="2">
        <v>43829.452650462961</v>
      </c>
      <c r="C4702" s="2">
        <v>43829.463067129633</v>
      </c>
      <c r="D4702" t="s">
        <v>927</v>
      </c>
      <c r="E4702" t="s">
        <v>5148</v>
      </c>
      <c r="F4702" t="s">
        <v>5149</v>
      </c>
      <c r="G4702" t="s">
        <v>1093</v>
      </c>
      <c r="H4702" t="s">
        <v>1031</v>
      </c>
      <c r="I4702">
        <v>424619006</v>
      </c>
      <c r="J4702" t="s">
        <v>1062</v>
      </c>
      <c r="K4702">
        <v>142.58000000000001</v>
      </c>
      <c r="L4702">
        <v>6701.94</v>
      </c>
      <c r="M4702">
        <v>6651.94</v>
      </c>
      <c r="N4702">
        <v>72892002</v>
      </c>
      <c r="O4702" t="s">
        <v>1060</v>
      </c>
    </row>
    <row r="4703" spans="1:15">
      <c r="A4703" t="s">
        <v>6332</v>
      </c>
      <c r="B4703" s="2">
        <v>43857.452650462961</v>
      </c>
      <c r="C4703" s="2">
        <v>43857.463067129633</v>
      </c>
      <c r="D4703" t="s">
        <v>927</v>
      </c>
      <c r="E4703" t="s">
        <v>5148</v>
      </c>
      <c r="F4703" t="s">
        <v>5149</v>
      </c>
      <c r="G4703" t="s">
        <v>1093</v>
      </c>
      <c r="H4703" t="s">
        <v>1031</v>
      </c>
      <c r="I4703">
        <v>424619006</v>
      </c>
      <c r="J4703" t="s">
        <v>1062</v>
      </c>
      <c r="K4703">
        <v>142.58000000000001</v>
      </c>
      <c r="L4703">
        <v>6584.96</v>
      </c>
      <c r="M4703">
        <v>6534.96</v>
      </c>
      <c r="N4703">
        <v>72892002</v>
      </c>
      <c r="O4703" t="s">
        <v>1060</v>
      </c>
    </row>
    <row r="4704" spans="1:15">
      <c r="A4704" t="s">
        <v>6333</v>
      </c>
      <c r="B4704" s="2">
        <v>43871.452650462961</v>
      </c>
      <c r="C4704" s="2">
        <v>43871.463067129633</v>
      </c>
      <c r="D4704" t="s">
        <v>927</v>
      </c>
      <c r="E4704" t="s">
        <v>5148</v>
      </c>
      <c r="F4704" t="s">
        <v>5149</v>
      </c>
      <c r="G4704" t="s">
        <v>1093</v>
      </c>
      <c r="H4704" t="s">
        <v>1031</v>
      </c>
      <c r="I4704">
        <v>424619006</v>
      </c>
      <c r="J4704" t="s">
        <v>1062</v>
      </c>
      <c r="K4704">
        <v>142.58000000000001</v>
      </c>
      <c r="L4704">
        <v>11663.79</v>
      </c>
      <c r="M4704">
        <v>11513.79</v>
      </c>
      <c r="N4704">
        <v>72892002</v>
      </c>
      <c r="O4704" t="s">
        <v>1060</v>
      </c>
    </row>
    <row r="4705" spans="1:15">
      <c r="A4705" t="s">
        <v>6334</v>
      </c>
      <c r="B4705" s="2">
        <v>43878.452650462961</v>
      </c>
      <c r="C4705" s="2">
        <v>43878.494317129633</v>
      </c>
      <c r="D4705" t="s">
        <v>927</v>
      </c>
      <c r="E4705" t="s">
        <v>6316</v>
      </c>
      <c r="F4705" t="s">
        <v>6317</v>
      </c>
      <c r="G4705" t="s">
        <v>1093</v>
      </c>
      <c r="H4705" t="s">
        <v>1076</v>
      </c>
      <c r="I4705">
        <v>183460006</v>
      </c>
      <c r="J4705" t="s">
        <v>1077</v>
      </c>
      <c r="K4705">
        <v>146.18</v>
      </c>
      <c r="L4705">
        <v>2151.8200000000002</v>
      </c>
      <c r="M4705">
        <v>2101.8200000000002</v>
      </c>
      <c r="N4705">
        <v>72892002</v>
      </c>
      <c r="O4705" t="s">
        <v>1060</v>
      </c>
    </row>
    <row r="4706" spans="1:15">
      <c r="A4706" t="s">
        <v>6335</v>
      </c>
      <c r="B4706" s="2">
        <v>43920.494317129633</v>
      </c>
      <c r="C4706" s="2">
        <v>43920.504733796297</v>
      </c>
      <c r="D4706" t="s">
        <v>927</v>
      </c>
      <c r="E4706" t="s">
        <v>5148</v>
      </c>
      <c r="F4706" t="s">
        <v>5149</v>
      </c>
      <c r="G4706" t="s">
        <v>1093</v>
      </c>
      <c r="H4706" t="s">
        <v>1031</v>
      </c>
      <c r="I4706">
        <v>169762003</v>
      </c>
      <c r="J4706" t="s">
        <v>1079</v>
      </c>
      <c r="K4706">
        <v>142.58000000000001</v>
      </c>
      <c r="L4706">
        <v>1005.38</v>
      </c>
      <c r="M4706">
        <v>955.38</v>
      </c>
      <c r="O4706" t="s">
        <v>34</v>
      </c>
    </row>
    <row r="4707" spans="1:15">
      <c r="A4707" t="s">
        <v>6336</v>
      </c>
      <c r="B4707" s="2">
        <v>43927.494317129633</v>
      </c>
      <c r="C4707" s="2">
        <v>43927.529074074075</v>
      </c>
      <c r="D4707" t="s">
        <v>927</v>
      </c>
      <c r="E4707" t="s">
        <v>5148</v>
      </c>
      <c r="F4707" t="s">
        <v>5149</v>
      </c>
      <c r="G4707" t="s">
        <v>1093</v>
      </c>
      <c r="H4707" t="s">
        <v>1043</v>
      </c>
      <c r="I4707">
        <v>698314001</v>
      </c>
      <c r="J4707" t="s">
        <v>1190</v>
      </c>
      <c r="K4707">
        <v>142.58000000000001</v>
      </c>
      <c r="L4707">
        <v>573.98</v>
      </c>
      <c r="M4707">
        <v>523.98</v>
      </c>
      <c r="N4707">
        <v>183996000</v>
      </c>
      <c r="O4707" t="s">
        <v>1622</v>
      </c>
    </row>
    <row r="4708" spans="1:15">
      <c r="A4708" t="s">
        <v>6337</v>
      </c>
      <c r="B4708" s="2">
        <v>43941.494317129633</v>
      </c>
      <c r="C4708" s="2">
        <v>43941.517048611109</v>
      </c>
      <c r="D4708" t="s">
        <v>927</v>
      </c>
      <c r="E4708" t="s">
        <v>6308</v>
      </c>
      <c r="F4708" t="s">
        <v>6309</v>
      </c>
      <c r="G4708" t="s">
        <v>1093</v>
      </c>
      <c r="H4708" t="s">
        <v>1020</v>
      </c>
      <c r="I4708">
        <v>162673000</v>
      </c>
      <c r="J4708" t="s">
        <v>1021</v>
      </c>
      <c r="K4708">
        <v>136.80000000000001</v>
      </c>
      <c r="L4708">
        <v>785.58</v>
      </c>
      <c r="M4708">
        <v>785.58</v>
      </c>
      <c r="O4708" t="s">
        <v>34</v>
      </c>
    </row>
    <row r="4709" spans="1:15">
      <c r="A4709" t="s">
        <v>6338</v>
      </c>
      <c r="B4709" s="2">
        <v>43948.494317129633</v>
      </c>
      <c r="C4709" s="2">
        <v>43949.494317129633</v>
      </c>
      <c r="D4709" t="s">
        <v>927</v>
      </c>
      <c r="E4709" t="s">
        <v>5148</v>
      </c>
      <c r="F4709" t="s">
        <v>5149</v>
      </c>
      <c r="G4709" t="s">
        <v>1093</v>
      </c>
      <c r="H4709" t="s">
        <v>1431</v>
      </c>
      <c r="I4709">
        <v>305408004</v>
      </c>
      <c r="J4709" t="s">
        <v>1626</v>
      </c>
      <c r="K4709">
        <v>146.18</v>
      </c>
      <c r="L4709">
        <v>3817.64</v>
      </c>
      <c r="M4709">
        <v>3767.64</v>
      </c>
      <c r="N4709">
        <v>183996000</v>
      </c>
      <c r="O4709" t="s">
        <v>1622</v>
      </c>
    </row>
    <row r="4710" spans="1:15">
      <c r="A4710" t="s">
        <v>6339</v>
      </c>
      <c r="B4710" s="2">
        <v>44242.452650462961</v>
      </c>
      <c r="C4710" s="2">
        <v>44242.463067129633</v>
      </c>
      <c r="D4710" t="s">
        <v>927</v>
      </c>
      <c r="E4710" t="s">
        <v>5148</v>
      </c>
      <c r="F4710" t="s">
        <v>5149</v>
      </c>
      <c r="G4710" t="s">
        <v>1093</v>
      </c>
      <c r="H4710" t="s">
        <v>1043</v>
      </c>
      <c r="I4710">
        <v>33879002</v>
      </c>
      <c r="J4710" t="s">
        <v>1044</v>
      </c>
      <c r="K4710">
        <v>142.58000000000001</v>
      </c>
      <c r="L4710">
        <v>278.58</v>
      </c>
      <c r="M4710">
        <v>128.58000000000001</v>
      </c>
      <c r="O4710" t="s">
        <v>34</v>
      </c>
    </row>
    <row r="4711" spans="1:15">
      <c r="A4711" t="s">
        <v>6340</v>
      </c>
      <c r="B4711" s="2">
        <v>44270.494317129633</v>
      </c>
      <c r="C4711" s="2">
        <v>44270.504733796297</v>
      </c>
      <c r="D4711" t="s">
        <v>927</v>
      </c>
      <c r="E4711" t="s">
        <v>5148</v>
      </c>
      <c r="F4711" t="s">
        <v>5149</v>
      </c>
      <c r="G4711" t="s">
        <v>1093</v>
      </c>
      <c r="H4711" t="s">
        <v>1043</v>
      </c>
      <c r="I4711">
        <v>33879002</v>
      </c>
      <c r="J4711" t="s">
        <v>1044</v>
      </c>
      <c r="K4711">
        <v>142.58000000000001</v>
      </c>
      <c r="L4711">
        <v>278.58</v>
      </c>
      <c r="M4711">
        <v>228.58</v>
      </c>
      <c r="O4711" t="s">
        <v>34</v>
      </c>
    </row>
    <row r="4712" spans="1:15">
      <c r="A4712" t="s">
        <v>6341</v>
      </c>
      <c r="B4712" s="2">
        <v>44290.494317129633</v>
      </c>
      <c r="C4712" s="2">
        <v>44290.546388888892</v>
      </c>
      <c r="D4712" t="s">
        <v>927</v>
      </c>
      <c r="E4712" t="s">
        <v>5148</v>
      </c>
      <c r="F4712" t="s">
        <v>5149</v>
      </c>
      <c r="G4712" t="s">
        <v>1093</v>
      </c>
      <c r="H4712" t="s">
        <v>1031</v>
      </c>
      <c r="I4712">
        <v>185345009</v>
      </c>
      <c r="J4712" t="s">
        <v>1032</v>
      </c>
      <c r="K4712">
        <v>85.55</v>
      </c>
      <c r="L4712">
        <v>3179.93</v>
      </c>
      <c r="M4712">
        <v>3129.93</v>
      </c>
      <c r="N4712">
        <v>307426000</v>
      </c>
      <c r="O4712" t="s">
        <v>1097</v>
      </c>
    </row>
    <row r="4713" spans="1:15">
      <c r="A4713" t="s">
        <v>6342</v>
      </c>
      <c r="B4713" s="2">
        <v>45040.494317129633</v>
      </c>
      <c r="C4713" s="2">
        <v>45040.518368055556</v>
      </c>
      <c r="D4713" t="s">
        <v>927</v>
      </c>
      <c r="E4713" t="s">
        <v>6308</v>
      </c>
      <c r="F4713" t="s">
        <v>6309</v>
      </c>
      <c r="G4713" t="s">
        <v>1093</v>
      </c>
      <c r="H4713" t="s">
        <v>1020</v>
      </c>
      <c r="I4713">
        <v>162673000</v>
      </c>
      <c r="J4713" t="s">
        <v>1021</v>
      </c>
      <c r="K4713">
        <v>136.80000000000001</v>
      </c>
      <c r="L4713">
        <v>860.16</v>
      </c>
      <c r="M4713">
        <v>760.16</v>
      </c>
      <c r="O4713" t="s">
        <v>34</v>
      </c>
    </row>
    <row r="4714" spans="1:15">
      <c r="A4714" t="s">
        <v>6343</v>
      </c>
      <c r="B4714" s="2">
        <v>45054.494317129633</v>
      </c>
      <c r="C4714" s="2">
        <v>45054.63417824074</v>
      </c>
      <c r="D4714" t="s">
        <v>927</v>
      </c>
      <c r="E4714" t="s">
        <v>5148</v>
      </c>
      <c r="F4714" t="s">
        <v>5149</v>
      </c>
      <c r="G4714" t="s">
        <v>1093</v>
      </c>
      <c r="H4714" t="s">
        <v>1031</v>
      </c>
      <c r="I4714">
        <v>185349003</v>
      </c>
      <c r="J4714" t="s">
        <v>1038</v>
      </c>
      <c r="K4714">
        <v>85.55</v>
      </c>
      <c r="L4714">
        <v>3536.75</v>
      </c>
      <c r="M4714">
        <v>3486.75</v>
      </c>
      <c r="N4714">
        <v>66383009</v>
      </c>
      <c r="O4714" t="s">
        <v>1209</v>
      </c>
    </row>
    <row r="4715" spans="1:15">
      <c r="A4715" t="s">
        <v>6344</v>
      </c>
      <c r="B4715" s="2">
        <v>46139.494317129633</v>
      </c>
      <c r="C4715" s="2">
        <v>46139.533599537041</v>
      </c>
      <c r="D4715" t="s">
        <v>927</v>
      </c>
      <c r="E4715" t="s">
        <v>6308</v>
      </c>
      <c r="F4715" t="s">
        <v>6309</v>
      </c>
      <c r="G4715" t="s">
        <v>1093</v>
      </c>
      <c r="H4715" t="s">
        <v>1020</v>
      </c>
      <c r="I4715">
        <v>162673000</v>
      </c>
      <c r="J4715" t="s">
        <v>1021</v>
      </c>
      <c r="K4715">
        <v>136.80000000000001</v>
      </c>
      <c r="L4715">
        <v>996.16</v>
      </c>
      <c r="M4715">
        <v>896.16</v>
      </c>
      <c r="O4715" t="s">
        <v>34</v>
      </c>
    </row>
    <row r="4716" spans="1:15">
      <c r="A4716" t="s">
        <v>6345</v>
      </c>
      <c r="B4716" s="2">
        <v>46146.494317129633</v>
      </c>
      <c r="C4716" s="2">
        <v>46146.504733796297</v>
      </c>
      <c r="D4716" t="s">
        <v>927</v>
      </c>
      <c r="E4716" t="s">
        <v>5148</v>
      </c>
      <c r="F4716" t="s">
        <v>5149</v>
      </c>
      <c r="G4716" t="s">
        <v>1093</v>
      </c>
      <c r="H4716" t="s">
        <v>1031</v>
      </c>
      <c r="I4716">
        <v>185345009</v>
      </c>
      <c r="J4716" t="s">
        <v>1032</v>
      </c>
      <c r="K4716">
        <v>85.55</v>
      </c>
      <c r="L4716">
        <v>85.55</v>
      </c>
      <c r="M4716">
        <v>35.549999999999997</v>
      </c>
      <c r="N4716">
        <v>444814009</v>
      </c>
      <c r="O4716" t="s">
        <v>1035</v>
      </c>
    </row>
    <row r="4717" spans="1:15">
      <c r="A4717" t="s">
        <v>6346</v>
      </c>
      <c r="B4717" s="2">
        <v>39705.041018518517</v>
      </c>
      <c r="C4717" s="2">
        <v>39705.06355324074</v>
      </c>
      <c r="D4717" t="s">
        <v>934</v>
      </c>
      <c r="E4717" t="s">
        <v>6347</v>
      </c>
      <c r="F4717" t="s">
        <v>6348</v>
      </c>
      <c r="G4717" t="s">
        <v>1093</v>
      </c>
      <c r="H4717" t="s">
        <v>1020</v>
      </c>
      <c r="I4717">
        <v>162673000</v>
      </c>
      <c r="J4717" t="s">
        <v>1021</v>
      </c>
      <c r="K4717">
        <v>136.80000000000001</v>
      </c>
      <c r="L4717">
        <v>981.24</v>
      </c>
      <c r="M4717">
        <v>881.24</v>
      </c>
      <c r="O4717" t="s">
        <v>34</v>
      </c>
    </row>
    <row r="4718" spans="1:15">
      <c r="A4718" t="s">
        <v>6349</v>
      </c>
      <c r="B4718" s="2">
        <v>40076.041018518517</v>
      </c>
      <c r="C4718" s="2">
        <v>40076.06927083333</v>
      </c>
      <c r="D4718" t="s">
        <v>934</v>
      </c>
      <c r="E4718" t="s">
        <v>6347</v>
      </c>
      <c r="F4718" t="s">
        <v>6348</v>
      </c>
      <c r="G4718" t="s">
        <v>1093</v>
      </c>
      <c r="H4718" t="s">
        <v>1020</v>
      </c>
      <c r="I4718">
        <v>162673000</v>
      </c>
      <c r="J4718" t="s">
        <v>1021</v>
      </c>
      <c r="K4718">
        <v>136.80000000000001</v>
      </c>
      <c r="L4718">
        <v>1278.5</v>
      </c>
      <c r="M4718">
        <v>1178.5</v>
      </c>
      <c r="O4718" t="s">
        <v>34</v>
      </c>
    </row>
    <row r="4719" spans="1:15">
      <c r="A4719" t="s">
        <v>6350</v>
      </c>
      <c r="B4719" s="2">
        <v>41175.041018518517</v>
      </c>
      <c r="C4719" s="2">
        <v>41175.063750000001</v>
      </c>
      <c r="D4719" t="s">
        <v>934</v>
      </c>
      <c r="E4719" t="s">
        <v>6347</v>
      </c>
      <c r="F4719" t="s">
        <v>6348</v>
      </c>
      <c r="G4719" t="s">
        <v>1093</v>
      </c>
      <c r="H4719" t="s">
        <v>1020</v>
      </c>
      <c r="I4719">
        <v>162673000</v>
      </c>
      <c r="J4719" t="s">
        <v>1021</v>
      </c>
      <c r="K4719">
        <v>136.80000000000001</v>
      </c>
      <c r="L4719">
        <v>1186.78</v>
      </c>
      <c r="M4719">
        <v>1086.78</v>
      </c>
      <c r="O4719" t="s">
        <v>34</v>
      </c>
    </row>
    <row r="4720" spans="1:15">
      <c r="A4720" t="s">
        <v>6351</v>
      </c>
      <c r="B4720" s="2">
        <v>42274.041018518517</v>
      </c>
      <c r="C4720" s="2">
        <v>42274.072187500002</v>
      </c>
      <c r="D4720" t="s">
        <v>934</v>
      </c>
      <c r="E4720" t="s">
        <v>6347</v>
      </c>
      <c r="F4720" t="s">
        <v>6348</v>
      </c>
      <c r="G4720" t="s">
        <v>1093</v>
      </c>
      <c r="H4720" t="s">
        <v>1020</v>
      </c>
      <c r="I4720">
        <v>162673000</v>
      </c>
      <c r="J4720" t="s">
        <v>1021</v>
      </c>
      <c r="K4720">
        <v>136.80000000000001</v>
      </c>
      <c r="L4720">
        <v>704.2</v>
      </c>
      <c r="M4720">
        <v>604.20000000000005</v>
      </c>
      <c r="O4720" t="s">
        <v>34</v>
      </c>
    </row>
    <row r="4721" spans="1:15">
      <c r="A4721" t="s">
        <v>6352</v>
      </c>
      <c r="B4721" s="2">
        <v>42714.999351851853</v>
      </c>
      <c r="C4721" s="2">
        <v>42715.009768518517</v>
      </c>
      <c r="D4721" t="s">
        <v>934</v>
      </c>
      <c r="E4721" t="s">
        <v>2910</v>
      </c>
      <c r="F4721" t="s">
        <v>2911</v>
      </c>
      <c r="G4721" t="s">
        <v>1093</v>
      </c>
      <c r="H4721" t="s">
        <v>1031</v>
      </c>
      <c r="I4721">
        <v>424441002</v>
      </c>
      <c r="J4721" t="s">
        <v>1059</v>
      </c>
      <c r="K4721">
        <v>142.58000000000001</v>
      </c>
      <c r="L4721">
        <v>34195.279999999999</v>
      </c>
      <c r="M4721">
        <v>34045.279999999999</v>
      </c>
      <c r="N4721">
        <v>72892002</v>
      </c>
      <c r="O4721" t="s">
        <v>1060</v>
      </c>
    </row>
    <row r="4722" spans="1:15">
      <c r="A4722" t="s">
        <v>6353</v>
      </c>
      <c r="B4722" s="2">
        <v>42742.999351851853</v>
      </c>
      <c r="C4722" s="2">
        <v>42743.009768518517</v>
      </c>
      <c r="D4722" t="s">
        <v>934</v>
      </c>
      <c r="E4722" t="s">
        <v>2910</v>
      </c>
      <c r="F4722" t="s">
        <v>2911</v>
      </c>
      <c r="G4722" t="s">
        <v>1093</v>
      </c>
      <c r="H4722" t="s">
        <v>1031</v>
      </c>
      <c r="I4722">
        <v>424619006</v>
      </c>
      <c r="J4722" t="s">
        <v>1062</v>
      </c>
      <c r="K4722">
        <v>142.58000000000001</v>
      </c>
      <c r="L4722">
        <v>11021.29</v>
      </c>
      <c r="M4722">
        <v>10971.29</v>
      </c>
      <c r="N4722">
        <v>72892002</v>
      </c>
      <c r="O4722" t="s">
        <v>1060</v>
      </c>
    </row>
    <row r="4723" spans="1:15">
      <c r="A4723" t="s">
        <v>6354</v>
      </c>
      <c r="B4723" s="2">
        <v>42770.999351851853</v>
      </c>
      <c r="C4723" s="2">
        <v>42771.009768518517</v>
      </c>
      <c r="D4723" t="s">
        <v>934</v>
      </c>
      <c r="E4723" t="s">
        <v>2910</v>
      </c>
      <c r="F4723" t="s">
        <v>2911</v>
      </c>
      <c r="G4723" t="s">
        <v>1093</v>
      </c>
      <c r="H4723" t="s">
        <v>1031</v>
      </c>
      <c r="I4723">
        <v>424619006</v>
      </c>
      <c r="J4723" t="s">
        <v>1062</v>
      </c>
      <c r="K4723">
        <v>142.58000000000001</v>
      </c>
      <c r="L4723">
        <v>12259.82</v>
      </c>
      <c r="M4723">
        <v>12209.82</v>
      </c>
      <c r="N4723">
        <v>72892002</v>
      </c>
      <c r="O4723" t="s">
        <v>1060</v>
      </c>
    </row>
    <row r="4724" spans="1:15">
      <c r="A4724" t="s">
        <v>6355</v>
      </c>
      <c r="B4724" s="2">
        <v>42798.999351851853</v>
      </c>
      <c r="C4724" s="2">
        <v>42799.009768518517</v>
      </c>
      <c r="D4724" t="s">
        <v>934</v>
      </c>
      <c r="E4724" t="s">
        <v>2910</v>
      </c>
      <c r="F4724" t="s">
        <v>2911</v>
      </c>
      <c r="G4724" t="s">
        <v>1093</v>
      </c>
      <c r="H4724" t="s">
        <v>1031</v>
      </c>
      <c r="I4724">
        <v>424619006</v>
      </c>
      <c r="J4724" t="s">
        <v>1062</v>
      </c>
      <c r="K4724">
        <v>142.58000000000001</v>
      </c>
      <c r="L4724">
        <v>7815.28</v>
      </c>
      <c r="M4724">
        <v>7765.28</v>
      </c>
      <c r="N4724">
        <v>72892002</v>
      </c>
      <c r="O4724" t="s">
        <v>1060</v>
      </c>
    </row>
    <row r="4725" spans="1:15">
      <c r="A4725" t="s">
        <v>6356</v>
      </c>
      <c r="B4725" s="2">
        <v>42827.041018518517</v>
      </c>
      <c r="C4725" s="2">
        <v>42827.051435185182</v>
      </c>
      <c r="D4725" t="s">
        <v>934</v>
      </c>
      <c r="E4725" t="s">
        <v>2910</v>
      </c>
      <c r="F4725" t="s">
        <v>2911</v>
      </c>
      <c r="G4725" t="s">
        <v>1093</v>
      </c>
      <c r="H4725" t="s">
        <v>1031</v>
      </c>
      <c r="I4725">
        <v>424619006</v>
      </c>
      <c r="J4725" t="s">
        <v>1062</v>
      </c>
      <c r="K4725">
        <v>142.58000000000001</v>
      </c>
      <c r="L4725">
        <v>10866.9</v>
      </c>
      <c r="M4725">
        <v>10816.9</v>
      </c>
      <c r="N4725">
        <v>72892002</v>
      </c>
      <c r="O4725" t="s">
        <v>1060</v>
      </c>
    </row>
    <row r="4726" spans="1:15">
      <c r="A4726" t="s">
        <v>6357</v>
      </c>
      <c r="B4726" s="2">
        <v>42855.041018518517</v>
      </c>
      <c r="C4726" s="2">
        <v>42855.051435185182</v>
      </c>
      <c r="D4726" t="s">
        <v>934</v>
      </c>
      <c r="E4726" t="s">
        <v>2910</v>
      </c>
      <c r="F4726" t="s">
        <v>2911</v>
      </c>
      <c r="G4726" t="s">
        <v>1093</v>
      </c>
      <c r="H4726" t="s">
        <v>1031</v>
      </c>
      <c r="I4726">
        <v>424619006</v>
      </c>
      <c r="J4726" t="s">
        <v>1062</v>
      </c>
      <c r="K4726">
        <v>142.58000000000001</v>
      </c>
      <c r="L4726">
        <v>18227.650000000001</v>
      </c>
      <c r="M4726">
        <v>18177.650000000001</v>
      </c>
      <c r="N4726">
        <v>72892002</v>
      </c>
      <c r="O4726" t="s">
        <v>1060</v>
      </c>
    </row>
    <row r="4727" spans="1:15">
      <c r="A4727" t="s">
        <v>6358</v>
      </c>
      <c r="B4727" s="2">
        <v>42883.041018518517</v>
      </c>
      <c r="C4727" s="2">
        <v>42883.051435185182</v>
      </c>
      <c r="D4727" t="s">
        <v>934</v>
      </c>
      <c r="E4727" t="s">
        <v>2910</v>
      </c>
      <c r="F4727" t="s">
        <v>2911</v>
      </c>
      <c r="G4727" t="s">
        <v>1093</v>
      </c>
      <c r="H4727" t="s">
        <v>1031</v>
      </c>
      <c r="I4727">
        <v>424619006</v>
      </c>
      <c r="J4727" t="s">
        <v>1062</v>
      </c>
      <c r="K4727">
        <v>142.58000000000001</v>
      </c>
      <c r="L4727">
        <v>7049.57</v>
      </c>
      <c r="M4727">
        <v>6999.57</v>
      </c>
      <c r="N4727">
        <v>72892002</v>
      </c>
      <c r="O4727" t="s">
        <v>1060</v>
      </c>
    </row>
    <row r="4728" spans="1:15">
      <c r="A4728" t="s">
        <v>6359</v>
      </c>
      <c r="B4728" s="2">
        <v>42911.041018518517</v>
      </c>
      <c r="C4728" s="2">
        <v>42911.051435185182</v>
      </c>
      <c r="D4728" t="s">
        <v>934</v>
      </c>
      <c r="E4728" t="s">
        <v>2910</v>
      </c>
      <c r="F4728" t="s">
        <v>2911</v>
      </c>
      <c r="G4728" t="s">
        <v>1093</v>
      </c>
      <c r="H4728" t="s">
        <v>1031</v>
      </c>
      <c r="I4728">
        <v>424619006</v>
      </c>
      <c r="J4728" t="s">
        <v>1062</v>
      </c>
      <c r="K4728">
        <v>142.58000000000001</v>
      </c>
      <c r="L4728">
        <v>14902.22</v>
      </c>
      <c r="M4728">
        <v>14852.22</v>
      </c>
      <c r="N4728">
        <v>72892002</v>
      </c>
      <c r="O4728" t="s">
        <v>1060</v>
      </c>
    </row>
    <row r="4729" spans="1:15">
      <c r="A4729" t="s">
        <v>6360</v>
      </c>
      <c r="B4729" s="2">
        <v>42925.041018518517</v>
      </c>
      <c r="C4729" s="2">
        <v>42925.051435185182</v>
      </c>
      <c r="D4729" t="s">
        <v>934</v>
      </c>
      <c r="E4729" t="s">
        <v>2910</v>
      </c>
      <c r="F4729" t="s">
        <v>2911</v>
      </c>
      <c r="G4729" t="s">
        <v>1093</v>
      </c>
      <c r="H4729" t="s">
        <v>1031</v>
      </c>
      <c r="I4729">
        <v>424619006</v>
      </c>
      <c r="J4729" t="s">
        <v>1062</v>
      </c>
      <c r="K4729">
        <v>142.58000000000001</v>
      </c>
      <c r="L4729">
        <v>11451.02</v>
      </c>
      <c r="M4729">
        <v>11401.02</v>
      </c>
      <c r="N4729">
        <v>72892002</v>
      </c>
      <c r="O4729" t="s">
        <v>1060</v>
      </c>
    </row>
    <row r="4730" spans="1:15">
      <c r="A4730" t="s">
        <v>6361</v>
      </c>
      <c r="B4730" s="2">
        <v>42932.041018518517</v>
      </c>
      <c r="C4730" s="2">
        <v>42932.051435185182</v>
      </c>
      <c r="D4730" t="s">
        <v>934</v>
      </c>
      <c r="E4730" t="s">
        <v>2910</v>
      </c>
      <c r="F4730" t="s">
        <v>2911</v>
      </c>
      <c r="G4730" t="s">
        <v>1093</v>
      </c>
      <c r="H4730" t="s">
        <v>1031</v>
      </c>
      <c r="I4730">
        <v>424619006</v>
      </c>
      <c r="J4730" t="s">
        <v>1062</v>
      </c>
      <c r="K4730">
        <v>142.58000000000001</v>
      </c>
      <c r="L4730">
        <v>7291.52</v>
      </c>
      <c r="M4730">
        <v>7241.52</v>
      </c>
      <c r="N4730">
        <v>72892002</v>
      </c>
      <c r="O4730" t="s">
        <v>1060</v>
      </c>
    </row>
    <row r="4731" spans="1:15">
      <c r="A4731" t="s">
        <v>6362</v>
      </c>
      <c r="B4731" s="2">
        <v>42939.041018518517</v>
      </c>
      <c r="C4731" s="2">
        <v>42939.051435185182</v>
      </c>
      <c r="D4731" t="s">
        <v>934</v>
      </c>
      <c r="E4731" t="s">
        <v>2910</v>
      </c>
      <c r="F4731" t="s">
        <v>2911</v>
      </c>
      <c r="G4731" t="s">
        <v>1093</v>
      </c>
      <c r="H4731" t="s">
        <v>1031</v>
      </c>
      <c r="I4731">
        <v>424619006</v>
      </c>
      <c r="J4731" t="s">
        <v>1062</v>
      </c>
      <c r="K4731">
        <v>142.58000000000001</v>
      </c>
      <c r="L4731">
        <v>4665.96</v>
      </c>
      <c r="M4731">
        <v>4515.96</v>
      </c>
      <c r="N4731">
        <v>72892002</v>
      </c>
      <c r="O4731" t="s">
        <v>1060</v>
      </c>
    </row>
    <row r="4732" spans="1:15">
      <c r="A4732" t="s">
        <v>6363</v>
      </c>
      <c r="B4732" s="2">
        <v>42946.041018518517</v>
      </c>
      <c r="C4732" s="2">
        <v>42946.082685185182</v>
      </c>
      <c r="D4732" t="s">
        <v>934</v>
      </c>
      <c r="E4732" t="s">
        <v>6364</v>
      </c>
      <c r="F4732" t="s">
        <v>6365</v>
      </c>
      <c r="G4732" t="s">
        <v>1093</v>
      </c>
      <c r="H4732" t="s">
        <v>1076</v>
      </c>
      <c r="I4732">
        <v>183460006</v>
      </c>
      <c r="J4732" t="s">
        <v>1077</v>
      </c>
      <c r="K4732">
        <v>146.18</v>
      </c>
      <c r="L4732">
        <v>6260.31</v>
      </c>
      <c r="M4732">
        <v>6210.31</v>
      </c>
      <c r="N4732">
        <v>72892002</v>
      </c>
      <c r="O4732" t="s">
        <v>1060</v>
      </c>
    </row>
    <row r="4733" spans="1:15">
      <c r="A4733" t="s">
        <v>6366</v>
      </c>
      <c r="B4733" s="2">
        <v>42988.041018518517</v>
      </c>
      <c r="C4733" s="2">
        <v>42988.051435185182</v>
      </c>
      <c r="D4733" t="s">
        <v>934</v>
      </c>
      <c r="E4733" t="s">
        <v>2910</v>
      </c>
      <c r="F4733" t="s">
        <v>2911</v>
      </c>
      <c r="G4733" t="s">
        <v>1093</v>
      </c>
      <c r="H4733" t="s">
        <v>1031</v>
      </c>
      <c r="I4733">
        <v>169762003</v>
      </c>
      <c r="J4733" t="s">
        <v>1079</v>
      </c>
      <c r="K4733">
        <v>142.58000000000001</v>
      </c>
      <c r="L4733">
        <v>1005.38</v>
      </c>
      <c r="M4733">
        <v>955.38</v>
      </c>
      <c r="O4733" t="s">
        <v>34</v>
      </c>
    </row>
    <row r="4734" spans="1:15">
      <c r="A4734" t="s">
        <v>6367</v>
      </c>
      <c r="B4734" s="2">
        <v>43085.999351851853</v>
      </c>
      <c r="C4734" s="2">
        <v>43086.009768518517</v>
      </c>
      <c r="D4734" t="s">
        <v>934</v>
      </c>
      <c r="E4734" t="s">
        <v>2910</v>
      </c>
      <c r="F4734" t="s">
        <v>2911</v>
      </c>
      <c r="G4734" t="s">
        <v>1093</v>
      </c>
      <c r="H4734" t="s">
        <v>1031</v>
      </c>
      <c r="I4734">
        <v>424441002</v>
      </c>
      <c r="J4734" t="s">
        <v>1059</v>
      </c>
      <c r="K4734">
        <v>142.58000000000001</v>
      </c>
      <c r="L4734">
        <v>22951.9</v>
      </c>
      <c r="M4734">
        <v>22901.9</v>
      </c>
      <c r="N4734">
        <v>72892002</v>
      </c>
      <c r="O4734" t="s">
        <v>1060</v>
      </c>
    </row>
    <row r="4735" spans="1:15">
      <c r="A4735" t="s">
        <v>6368</v>
      </c>
      <c r="B4735" s="2">
        <v>43095.999351851853</v>
      </c>
      <c r="C4735" s="2">
        <v>43096.009768518517</v>
      </c>
      <c r="D4735" t="s">
        <v>934</v>
      </c>
      <c r="E4735" t="s">
        <v>2910</v>
      </c>
      <c r="F4735" t="s">
        <v>2911</v>
      </c>
      <c r="G4735" t="s">
        <v>1093</v>
      </c>
      <c r="H4735" t="s">
        <v>1031</v>
      </c>
      <c r="I4735">
        <v>424619006</v>
      </c>
      <c r="J4735" t="s">
        <v>1062</v>
      </c>
      <c r="K4735">
        <v>142.58000000000001</v>
      </c>
      <c r="L4735">
        <v>1005.38</v>
      </c>
      <c r="M4735">
        <v>955.38</v>
      </c>
      <c r="N4735">
        <v>35999006</v>
      </c>
      <c r="O4735" t="s">
        <v>1116</v>
      </c>
    </row>
    <row r="4736" spans="1:15">
      <c r="A4736" t="s">
        <v>6369</v>
      </c>
      <c r="B4736" s="2">
        <v>43373.041018518517</v>
      </c>
      <c r="C4736" s="2">
        <v>43373.078506944446</v>
      </c>
      <c r="D4736" t="s">
        <v>934</v>
      </c>
      <c r="E4736" t="s">
        <v>6347</v>
      </c>
      <c r="F4736" t="s">
        <v>6348</v>
      </c>
      <c r="G4736" t="s">
        <v>1093</v>
      </c>
      <c r="H4736" t="s">
        <v>1020</v>
      </c>
      <c r="I4736">
        <v>162673000</v>
      </c>
      <c r="J4736" t="s">
        <v>1021</v>
      </c>
      <c r="K4736">
        <v>136.80000000000001</v>
      </c>
      <c r="L4736">
        <v>778.78</v>
      </c>
      <c r="M4736">
        <v>678.78</v>
      </c>
      <c r="O4736" t="s">
        <v>34</v>
      </c>
    </row>
    <row r="4737" spans="1:15">
      <c r="A4737" t="s">
        <v>6370</v>
      </c>
      <c r="B4737" s="2">
        <v>43569.041018518517</v>
      </c>
      <c r="C4737" s="2">
        <v>43569.051435185182</v>
      </c>
      <c r="D4737" t="s">
        <v>934</v>
      </c>
      <c r="E4737" t="s">
        <v>2910</v>
      </c>
      <c r="F4737" t="s">
        <v>2911</v>
      </c>
      <c r="G4737" t="s">
        <v>1093</v>
      </c>
      <c r="H4737" t="s">
        <v>1031</v>
      </c>
      <c r="I4737">
        <v>424441002</v>
      </c>
      <c r="J4737" t="s">
        <v>1059</v>
      </c>
      <c r="K4737">
        <v>142.58000000000001</v>
      </c>
      <c r="L4737">
        <v>7682.5</v>
      </c>
      <c r="M4737">
        <v>7632.5</v>
      </c>
      <c r="N4737">
        <v>72892002</v>
      </c>
      <c r="O4737" t="s">
        <v>1060</v>
      </c>
    </row>
    <row r="4738" spans="1:15">
      <c r="A4738" t="s">
        <v>6371</v>
      </c>
      <c r="B4738" s="2">
        <v>43586.041018518517</v>
      </c>
      <c r="C4738" s="2">
        <v>43586.051435185182</v>
      </c>
      <c r="D4738" t="s">
        <v>934</v>
      </c>
      <c r="E4738" t="s">
        <v>2910</v>
      </c>
      <c r="F4738" t="s">
        <v>2911</v>
      </c>
      <c r="G4738" t="s">
        <v>1093</v>
      </c>
      <c r="H4738" t="s">
        <v>1031</v>
      </c>
      <c r="I4738">
        <v>424619006</v>
      </c>
      <c r="J4738" t="s">
        <v>1062</v>
      </c>
      <c r="K4738">
        <v>142.58000000000001</v>
      </c>
      <c r="L4738">
        <v>1005.38</v>
      </c>
      <c r="M4738">
        <v>955.38</v>
      </c>
      <c r="N4738">
        <v>156073000</v>
      </c>
      <c r="O4738" t="s">
        <v>1397</v>
      </c>
    </row>
    <row r="4739" spans="1:15">
      <c r="A4739" t="s">
        <v>6372</v>
      </c>
      <c r="B4739" s="2">
        <v>43702.041018518517</v>
      </c>
      <c r="C4739" s="2">
        <v>43702.051435185182</v>
      </c>
      <c r="D4739" t="s">
        <v>934</v>
      </c>
      <c r="E4739" t="s">
        <v>2910</v>
      </c>
      <c r="F4739" t="s">
        <v>2911</v>
      </c>
      <c r="G4739" t="s">
        <v>1093</v>
      </c>
      <c r="H4739" t="s">
        <v>1031</v>
      </c>
      <c r="I4739">
        <v>424441002</v>
      </c>
      <c r="J4739" t="s">
        <v>1059</v>
      </c>
      <c r="K4739">
        <v>142.58000000000001</v>
      </c>
      <c r="L4739">
        <v>42284.34</v>
      </c>
      <c r="M4739">
        <v>42134.34</v>
      </c>
      <c r="N4739">
        <v>72892002</v>
      </c>
      <c r="O4739" t="s">
        <v>1060</v>
      </c>
    </row>
    <row r="4740" spans="1:15">
      <c r="A4740" t="s">
        <v>6373</v>
      </c>
      <c r="B4740" s="2">
        <v>43702.041018518517</v>
      </c>
      <c r="C4740" s="2">
        <v>43702.094942129632</v>
      </c>
      <c r="D4740" t="s">
        <v>934</v>
      </c>
      <c r="E4740" t="s">
        <v>2910</v>
      </c>
      <c r="F4740" t="s">
        <v>2911</v>
      </c>
      <c r="G4740" t="s">
        <v>1093</v>
      </c>
      <c r="H4740" t="s">
        <v>1031</v>
      </c>
      <c r="I4740">
        <v>185347001</v>
      </c>
      <c r="J4740" t="s">
        <v>1124</v>
      </c>
      <c r="K4740">
        <v>85.55</v>
      </c>
      <c r="L4740">
        <v>1706.26</v>
      </c>
      <c r="M4740">
        <v>1656.26</v>
      </c>
      <c r="N4740">
        <v>271737000</v>
      </c>
      <c r="O4740" t="s">
        <v>1479</v>
      </c>
    </row>
    <row r="4741" spans="1:15">
      <c r="A4741" t="s">
        <v>6374</v>
      </c>
      <c r="B4741" s="2">
        <v>43730.094942129632</v>
      </c>
      <c r="C4741" s="2">
        <v>43730.105358796296</v>
      </c>
      <c r="D4741" t="s">
        <v>934</v>
      </c>
      <c r="E4741" t="s">
        <v>2910</v>
      </c>
      <c r="F4741" t="s">
        <v>2911</v>
      </c>
      <c r="G4741" t="s">
        <v>1093</v>
      </c>
      <c r="H4741" t="s">
        <v>1031</v>
      </c>
      <c r="I4741">
        <v>424619006</v>
      </c>
      <c r="J4741" t="s">
        <v>1062</v>
      </c>
      <c r="K4741">
        <v>142.58000000000001</v>
      </c>
      <c r="L4741">
        <v>17122.47</v>
      </c>
      <c r="M4741">
        <v>17072.47</v>
      </c>
      <c r="N4741">
        <v>72892002</v>
      </c>
      <c r="O4741" t="s">
        <v>1060</v>
      </c>
    </row>
    <row r="4742" spans="1:15">
      <c r="A4742" t="s">
        <v>6375</v>
      </c>
      <c r="B4742" s="2">
        <v>43758.094942129632</v>
      </c>
      <c r="C4742" s="2">
        <v>43758.105358796296</v>
      </c>
      <c r="D4742" t="s">
        <v>934</v>
      </c>
      <c r="E4742" t="s">
        <v>2910</v>
      </c>
      <c r="F4742" t="s">
        <v>2911</v>
      </c>
      <c r="G4742" t="s">
        <v>1093</v>
      </c>
      <c r="H4742" t="s">
        <v>1031</v>
      </c>
      <c r="I4742">
        <v>424619006</v>
      </c>
      <c r="J4742" t="s">
        <v>1062</v>
      </c>
      <c r="K4742">
        <v>142.58000000000001</v>
      </c>
      <c r="L4742">
        <v>11759.2</v>
      </c>
      <c r="M4742">
        <v>11709.2</v>
      </c>
      <c r="N4742">
        <v>72892002</v>
      </c>
      <c r="O4742" t="s">
        <v>1060</v>
      </c>
    </row>
    <row r="4743" spans="1:15">
      <c r="A4743" t="s">
        <v>6376</v>
      </c>
      <c r="B4743" s="2">
        <v>43786.05327546296</v>
      </c>
      <c r="C4743" s="2">
        <v>43786.063692129632</v>
      </c>
      <c r="D4743" t="s">
        <v>934</v>
      </c>
      <c r="E4743" t="s">
        <v>2910</v>
      </c>
      <c r="F4743" t="s">
        <v>2911</v>
      </c>
      <c r="G4743" t="s">
        <v>1093</v>
      </c>
      <c r="H4743" t="s">
        <v>1031</v>
      </c>
      <c r="I4743">
        <v>424619006</v>
      </c>
      <c r="J4743" t="s">
        <v>1062</v>
      </c>
      <c r="K4743">
        <v>142.58000000000001</v>
      </c>
      <c r="L4743">
        <v>8295.1</v>
      </c>
      <c r="M4743">
        <v>8245.1</v>
      </c>
      <c r="N4743">
        <v>72892002</v>
      </c>
      <c r="O4743" t="s">
        <v>1060</v>
      </c>
    </row>
    <row r="4744" spans="1:15">
      <c r="A4744" t="s">
        <v>6377</v>
      </c>
      <c r="B4744" s="2">
        <v>43814.05327546296</v>
      </c>
      <c r="C4744" s="2">
        <v>43814.063692129632</v>
      </c>
      <c r="D4744" t="s">
        <v>934</v>
      </c>
      <c r="E4744" t="s">
        <v>2910</v>
      </c>
      <c r="F4744" t="s">
        <v>2911</v>
      </c>
      <c r="G4744" t="s">
        <v>1093</v>
      </c>
      <c r="H4744" t="s">
        <v>1031</v>
      </c>
      <c r="I4744">
        <v>424619006</v>
      </c>
      <c r="J4744" t="s">
        <v>1062</v>
      </c>
      <c r="K4744">
        <v>142.58000000000001</v>
      </c>
      <c r="L4744">
        <v>6912.14</v>
      </c>
      <c r="M4744">
        <v>6862.14</v>
      </c>
      <c r="N4744">
        <v>72892002</v>
      </c>
      <c r="O4744" t="s">
        <v>1060</v>
      </c>
    </row>
    <row r="4745" spans="1:15">
      <c r="A4745" t="s">
        <v>6378</v>
      </c>
      <c r="B4745" s="2">
        <v>43842.05327546296</v>
      </c>
      <c r="C4745" s="2">
        <v>43842.063692129632</v>
      </c>
      <c r="D4745" t="s">
        <v>934</v>
      </c>
      <c r="E4745" t="s">
        <v>2910</v>
      </c>
      <c r="F4745" t="s">
        <v>2911</v>
      </c>
      <c r="G4745" t="s">
        <v>1093</v>
      </c>
      <c r="H4745" t="s">
        <v>1031</v>
      </c>
      <c r="I4745">
        <v>424619006</v>
      </c>
      <c r="J4745" t="s">
        <v>1062</v>
      </c>
      <c r="K4745">
        <v>142.58000000000001</v>
      </c>
      <c r="L4745">
        <v>26055.47</v>
      </c>
      <c r="M4745">
        <v>26005.47</v>
      </c>
      <c r="N4745">
        <v>72892002</v>
      </c>
      <c r="O4745" t="s">
        <v>1060</v>
      </c>
    </row>
    <row r="4746" spans="1:15">
      <c r="A4746" t="s">
        <v>6379</v>
      </c>
      <c r="B4746" s="2">
        <v>43870.05327546296</v>
      </c>
      <c r="C4746" s="2">
        <v>43870.063692129632</v>
      </c>
      <c r="D4746" t="s">
        <v>934</v>
      </c>
      <c r="E4746" t="s">
        <v>2910</v>
      </c>
      <c r="F4746" t="s">
        <v>2911</v>
      </c>
      <c r="G4746" t="s">
        <v>1093</v>
      </c>
      <c r="H4746" t="s">
        <v>1031</v>
      </c>
      <c r="I4746">
        <v>424619006</v>
      </c>
      <c r="J4746" t="s">
        <v>1062</v>
      </c>
      <c r="K4746">
        <v>142.58000000000001</v>
      </c>
      <c r="L4746">
        <v>5259.72</v>
      </c>
      <c r="M4746">
        <v>5209.72</v>
      </c>
      <c r="N4746">
        <v>72892002</v>
      </c>
      <c r="O4746" t="s">
        <v>1060</v>
      </c>
    </row>
    <row r="4747" spans="1:15">
      <c r="A4747" t="s">
        <v>6380</v>
      </c>
      <c r="B4747" s="2">
        <v>43898.05327546296</v>
      </c>
      <c r="C4747" s="2">
        <v>43898.063692129632</v>
      </c>
      <c r="D4747" t="s">
        <v>934</v>
      </c>
      <c r="E4747" t="s">
        <v>2910</v>
      </c>
      <c r="F4747" t="s">
        <v>2911</v>
      </c>
      <c r="G4747" t="s">
        <v>1093</v>
      </c>
      <c r="H4747" t="s">
        <v>1031</v>
      </c>
      <c r="I4747">
        <v>424619006</v>
      </c>
      <c r="J4747" t="s">
        <v>1062</v>
      </c>
      <c r="K4747">
        <v>142.58000000000001</v>
      </c>
      <c r="L4747">
        <v>11952.13</v>
      </c>
      <c r="M4747">
        <v>11902.13</v>
      </c>
      <c r="N4747">
        <v>72892002</v>
      </c>
      <c r="O4747" t="s">
        <v>1060</v>
      </c>
    </row>
    <row r="4748" spans="1:15">
      <c r="A4748" t="s">
        <v>6381</v>
      </c>
      <c r="B4748" s="2">
        <v>43912.094942129632</v>
      </c>
      <c r="C4748" s="2">
        <v>43912.105358796296</v>
      </c>
      <c r="D4748" t="s">
        <v>934</v>
      </c>
      <c r="E4748" t="s">
        <v>2910</v>
      </c>
      <c r="F4748" t="s">
        <v>2911</v>
      </c>
      <c r="G4748" t="s">
        <v>1093</v>
      </c>
      <c r="H4748" t="s">
        <v>1031</v>
      </c>
      <c r="I4748">
        <v>424619006</v>
      </c>
      <c r="J4748" t="s">
        <v>1062</v>
      </c>
      <c r="K4748">
        <v>142.58000000000001</v>
      </c>
      <c r="L4748">
        <v>10179.9</v>
      </c>
      <c r="M4748">
        <v>10129.9</v>
      </c>
      <c r="N4748">
        <v>72892002</v>
      </c>
      <c r="O4748" t="s">
        <v>1060</v>
      </c>
    </row>
    <row r="4749" spans="1:15">
      <c r="A4749" t="s">
        <v>6382</v>
      </c>
      <c r="B4749" s="2">
        <v>43919.094942129632</v>
      </c>
      <c r="C4749" s="2">
        <v>43919.136608796296</v>
      </c>
      <c r="D4749" t="s">
        <v>934</v>
      </c>
      <c r="E4749" t="s">
        <v>6364</v>
      </c>
      <c r="F4749" t="s">
        <v>6365</v>
      </c>
      <c r="G4749" t="s">
        <v>1093</v>
      </c>
      <c r="H4749" t="s">
        <v>1076</v>
      </c>
      <c r="I4749">
        <v>183460006</v>
      </c>
      <c r="J4749" t="s">
        <v>1077</v>
      </c>
      <c r="K4749">
        <v>146.18</v>
      </c>
      <c r="L4749">
        <v>7213.23</v>
      </c>
      <c r="M4749">
        <v>7163.23</v>
      </c>
      <c r="N4749">
        <v>72892002</v>
      </c>
      <c r="O4749" t="s">
        <v>1060</v>
      </c>
    </row>
    <row r="4750" spans="1:15">
      <c r="A4750" t="s">
        <v>6383</v>
      </c>
      <c r="B4750" s="2">
        <v>43961.094942129632</v>
      </c>
      <c r="C4750" s="2">
        <v>43961.105358796296</v>
      </c>
      <c r="D4750" t="s">
        <v>934</v>
      </c>
      <c r="E4750" t="s">
        <v>2910</v>
      </c>
      <c r="F4750" t="s">
        <v>2911</v>
      </c>
      <c r="G4750" t="s">
        <v>1093</v>
      </c>
      <c r="H4750" t="s">
        <v>1031</v>
      </c>
      <c r="I4750">
        <v>169762003</v>
      </c>
      <c r="J4750" t="s">
        <v>1079</v>
      </c>
      <c r="K4750">
        <v>142.58000000000001</v>
      </c>
      <c r="L4750">
        <v>1005.38</v>
      </c>
      <c r="M4750">
        <v>955.38</v>
      </c>
      <c r="O4750" t="s">
        <v>34</v>
      </c>
    </row>
    <row r="4751" spans="1:15">
      <c r="A4751" t="s">
        <v>6384</v>
      </c>
      <c r="B4751" s="2">
        <v>44335.041018518517</v>
      </c>
      <c r="C4751" s="2">
        <v>44335.068518518521</v>
      </c>
      <c r="D4751" t="s">
        <v>934</v>
      </c>
      <c r="E4751" t="s">
        <v>6385</v>
      </c>
      <c r="F4751" t="s">
        <v>6386</v>
      </c>
      <c r="G4751" t="s">
        <v>1093</v>
      </c>
      <c r="H4751" t="s">
        <v>1043</v>
      </c>
      <c r="I4751">
        <v>698314001</v>
      </c>
      <c r="J4751" t="s">
        <v>1190</v>
      </c>
      <c r="K4751">
        <v>142.58000000000001</v>
      </c>
      <c r="L4751">
        <v>10401.040000000001</v>
      </c>
      <c r="M4751">
        <v>10251.040000000001</v>
      </c>
      <c r="N4751">
        <v>389095005</v>
      </c>
      <c r="O4751" t="s">
        <v>1191</v>
      </c>
    </row>
    <row r="4752" spans="1:15">
      <c r="A4752" t="s">
        <v>6387</v>
      </c>
      <c r="B4752" s="2">
        <v>44423.041018518517</v>
      </c>
      <c r="C4752" s="2">
        <v>44423.051435185182</v>
      </c>
      <c r="D4752" t="s">
        <v>934</v>
      </c>
      <c r="E4752" t="s">
        <v>6385</v>
      </c>
      <c r="F4752" t="s">
        <v>6386</v>
      </c>
      <c r="G4752" t="s">
        <v>1093</v>
      </c>
      <c r="H4752" t="s">
        <v>1043</v>
      </c>
      <c r="I4752">
        <v>33879002</v>
      </c>
      <c r="J4752" t="s">
        <v>1044</v>
      </c>
      <c r="K4752">
        <v>142.58000000000001</v>
      </c>
      <c r="L4752">
        <v>278.58</v>
      </c>
      <c r="M4752">
        <v>128.58000000000001</v>
      </c>
      <c r="O4752" t="s">
        <v>34</v>
      </c>
    </row>
    <row r="4753" spans="1:15">
      <c r="A4753" t="s">
        <v>6388</v>
      </c>
      <c r="B4753" s="2">
        <v>44444.041018518517</v>
      </c>
      <c r="C4753" s="2">
        <v>44444.051435185182</v>
      </c>
      <c r="D4753" t="s">
        <v>934</v>
      </c>
      <c r="E4753" t="s">
        <v>6385</v>
      </c>
      <c r="F4753" t="s">
        <v>6386</v>
      </c>
      <c r="G4753" t="s">
        <v>1093</v>
      </c>
      <c r="H4753" t="s">
        <v>1043</v>
      </c>
      <c r="I4753">
        <v>33879002</v>
      </c>
      <c r="J4753" t="s">
        <v>1044</v>
      </c>
      <c r="K4753">
        <v>142.58000000000001</v>
      </c>
      <c r="L4753">
        <v>278.58</v>
      </c>
      <c r="M4753">
        <v>228.58</v>
      </c>
      <c r="O4753" t="s">
        <v>34</v>
      </c>
    </row>
    <row r="4754" spans="1:15">
      <c r="A4754" t="s">
        <v>6389</v>
      </c>
      <c r="B4754" s="2">
        <v>44472.041018518517</v>
      </c>
      <c r="C4754" s="2">
        <v>44472.082453703704</v>
      </c>
      <c r="D4754" t="s">
        <v>934</v>
      </c>
      <c r="E4754" t="s">
        <v>6347</v>
      </c>
      <c r="F4754" t="s">
        <v>6348</v>
      </c>
      <c r="G4754" t="s">
        <v>1093</v>
      </c>
      <c r="H4754" t="s">
        <v>1020</v>
      </c>
      <c r="I4754">
        <v>162673000</v>
      </c>
      <c r="J4754" t="s">
        <v>1021</v>
      </c>
      <c r="K4754">
        <v>136.80000000000001</v>
      </c>
      <c r="L4754">
        <v>1301.28</v>
      </c>
      <c r="M4754">
        <v>1301.28</v>
      </c>
      <c r="O4754" t="s">
        <v>34</v>
      </c>
    </row>
    <row r="4755" spans="1:15">
      <c r="A4755" t="s">
        <v>6390</v>
      </c>
      <c r="B4755" s="2">
        <v>44486.041018518517</v>
      </c>
      <c r="C4755" s="2">
        <v>44486.161805555559</v>
      </c>
      <c r="D4755" t="s">
        <v>934</v>
      </c>
      <c r="E4755" t="s">
        <v>2910</v>
      </c>
      <c r="F4755" t="s">
        <v>2911</v>
      </c>
      <c r="G4755" t="s">
        <v>1093</v>
      </c>
      <c r="H4755" t="s">
        <v>1031</v>
      </c>
      <c r="I4755">
        <v>185349003</v>
      </c>
      <c r="J4755" t="s">
        <v>1038</v>
      </c>
      <c r="K4755">
        <v>85.55</v>
      </c>
      <c r="L4755">
        <v>2673.95</v>
      </c>
      <c r="M4755">
        <v>2623.95</v>
      </c>
      <c r="N4755">
        <v>103697008</v>
      </c>
      <c r="O4755" t="s">
        <v>1039</v>
      </c>
    </row>
    <row r="4756" spans="1:15">
      <c r="A4756" t="s">
        <v>6391</v>
      </c>
      <c r="B4756" s="2">
        <v>45048.499351851853</v>
      </c>
      <c r="C4756" s="2">
        <v>45048.509768518517</v>
      </c>
      <c r="D4756" t="s">
        <v>934</v>
      </c>
      <c r="E4756" t="s">
        <v>2910</v>
      </c>
      <c r="F4756" t="s">
        <v>2911</v>
      </c>
      <c r="G4756" t="s">
        <v>1093</v>
      </c>
      <c r="H4756" t="s">
        <v>1031</v>
      </c>
      <c r="I4756">
        <v>185345009</v>
      </c>
      <c r="J4756" t="s">
        <v>1032</v>
      </c>
      <c r="K4756">
        <v>85.55</v>
      </c>
      <c r="L4756">
        <v>85.55</v>
      </c>
      <c r="M4756">
        <v>0</v>
      </c>
      <c r="N4756">
        <v>444814009</v>
      </c>
      <c r="O4756" t="s">
        <v>1035</v>
      </c>
    </row>
    <row r="4757" spans="1:15">
      <c r="A4757" t="s">
        <v>6392</v>
      </c>
      <c r="B4757" s="2">
        <v>45055.068518518521</v>
      </c>
      <c r="C4757" s="2">
        <v>45055.078935185185</v>
      </c>
      <c r="D4757" t="s">
        <v>934</v>
      </c>
      <c r="E4757" t="s">
        <v>6385</v>
      </c>
      <c r="F4757" t="s">
        <v>6386</v>
      </c>
      <c r="G4757" t="s">
        <v>1093</v>
      </c>
      <c r="H4757" t="s">
        <v>1043</v>
      </c>
      <c r="I4757">
        <v>698314001</v>
      </c>
      <c r="J4757" t="s">
        <v>1190</v>
      </c>
      <c r="K4757">
        <v>142.58000000000001</v>
      </c>
      <c r="L4757">
        <v>142.58000000000001</v>
      </c>
      <c r="M4757">
        <v>28.13</v>
      </c>
      <c r="N4757">
        <v>389095005</v>
      </c>
      <c r="O4757" t="s">
        <v>1191</v>
      </c>
    </row>
    <row r="4758" spans="1:15">
      <c r="A4758" t="s">
        <v>6393</v>
      </c>
      <c r="B4758" s="2">
        <v>45057.52685185185</v>
      </c>
      <c r="C4758" s="2">
        <v>45057.564930555556</v>
      </c>
      <c r="D4758" t="s">
        <v>934</v>
      </c>
      <c r="E4758" t="s">
        <v>6385</v>
      </c>
      <c r="F4758" t="s">
        <v>6386</v>
      </c>
      <c r="G4758" t="s">
        <v>1093</v>
      </c>
      <c r="H4758" t="s">
        <v>1043</v>
      </c>
      <c r="I4758">
        <v>308335008</v>
      </c>
      <c r="J4758" t="s">
        <v>1194</v>
      </c>
      <c r="K4758">
        <v>142.58000000000001</v>
      </c>
      <c r="L4758">
        <v>4052.91</v>
      </c>
      <c r="M4758">
        <v>4002.91</v>
      </c>
      <c r="N4758">
        <v>389095005</v>
      </c>
      <c r="O4758" t="s">
        <v>1191</v>
      </c>
    </row>
    <row r="4759" spans="1:15">
      <c r="A4759" t="s">
        <v>6394</v>
      </c>
      <c r="B4759" s="2">
        <v>45417.564930555556</v>
      </c>
      <c r="C4759" s="2">
        <v>45417.57534722222</v>
      </c>
      <c r="D4759" t="s">
        <v>934</v>
      </c>
      <c r="E4759" t="s">
        <v>6385</v>
      </c>
      <c r="F4759" t="s">
        <v>6386</v>
      </c>
      <c r="G4759" t="s">
        <v>1093</v>
      </c>
      <c r="H4759" t="s">
        <v>1043</v>
      </c>
      <c r="I4759">
        <v>698314001</v>
      </c>
      <c r="J4759" t="s">
        <v>1190</v>
      </c>
      <c r="K4759">
        <v>142.58000000000001</v>
      </c>
      <c r="L4759">
        <v>142.58000000000001</v>
      </c>
      <c r="M4759">
        <v>92.58</v>
      </c>
      <c r="N4759">
        <v>389095005</v>
      </c>
      <c r="O4759" t="s">
        <v>1191</v>
      </c>
    </row>
    <row r="4760" spans="1:15">
      <c r="A4760" t="s">
        <v>6395</v>
      </c>
      <c r="B4760" s="2">
        <v>45507.832685185182</v>
      </c>
      <c r="C4760" s="2">
        <v>45507.843101851853</v>
      </c>
      <c r="D4760" t="s">
        <v>934</v>
      </c>
      <c r="E4760" t="s">
        <v>2910</v>
      </c>
      <c r="F4760" t="s">
        <v>2911</v>
      </c>
      <c r="G4760" t="s">
        <v>1093</v>
      </c>
      <c r="H4760" t="s">
        <v>1031</v>
      </c>
      <c r="I4760">
        <v>185345009</v>
      </c>
      <c r="J4760" t="s">
        <v>1032</v>
      </c>
      <c r="K4760">
        <v>85.55</v>
      </c>
      <c r="L4760">
        <v>3536.75</v>
      </c>
      <c r="M4760">
        <v>3386.75</v>
      </c>
      <c r="N4760">
        <v>43878008</v>
      </c>
      <c r="O4760" t="s">
        <v>1217</v>
      </c>
    </row>
    <row r="4761" spans="1:15">
      <c r="A4761" t="s">
        <v>6396</v>
      </c>
      <c r="B4761" s="2">
        <v>45515.041018518517</v>
      </c>
      <c r="C4761" s="2">
        <v>45515.06554398148</v>
      </c>
      <c r="D4761" t="s">
        <v>934</v>
      </c>
      <c r="E4761" t="s">
        <v>6385</v>
      </c>
      <c r="F4761" t="s">
        <v>6386</v>
      </c>
      <c r="G4761" t="s">
        <v>1093</v>
      </c>
      <c r="H4761" t="s">
        <v>1043</v>
      </c>
      <c r="I4761">
        <v>185349003</v>
      </c>
      <c r="J4761" t="s">
        <v>1038</v>
      </c>
      <c r="K4761">
        <v>85.55</v>
      </c>
      <c r="L4761">
        <v>727.53</v>
      </c>
      <c r="M4761">
        <v>677.53</v>
      </c>
      <c r="O4761" t="s">
        <v>34</v>
      </c>
    </row>
    <row r="4762" spans="1:15">
      <c r="A4762" t="s">
        <v>6397</v>
      </c>
      <c r="B4762" s="2">
        <v>45529.041018518517</v>
      </c>
      <c r="C4762" s="2">
        <v>45529.174212962964</v>
      </c>
      <c r="D4762" t="s">
        <v>934</v>
      </c>
      <c r="E4762" t="s">
        <v>2910</v>
      </c>
      <c r="F4762" t="s">
        <v>2911</v>
      </c>
      <c r="G4762" t="s">
        <v>1093</v>
      </c>
      <c r="H4762" t="s">
        <v>1031</v>
      </c>
      <c r="I4762">
        <v>185349003</v>
      </c>
      <c r="J4762" t="s">
        <v>1038</v>
      </c>
      <c r="K4762">
        <v>85.55</v>
      </c>
      <c r="L4762">
        <v>3536.75</v>
      </c>
      <c r="M4762">
        <v>3486.75</v>
      </c>
      <c r="N4762">
        <v>103697008</v>
      </c>
      <c r="O4762" t="s">
        <v>1039</v>
      </c>
    </row>
    <row r="4763" spans="1:15">
      <c r="A4763" t="s">
        <v>6398</v>
      </c>
      <c r="B4763" s="2">
        <v>45571.041018518517</v>
      </c>
      <c r="C4763" s="2">
        <v>45571.067152777781</v>
      </c>
      <c r="D4763" t="s">
        <v>934</v>
      </c>
      <c r="E4763" t="s">
        <v>6347</v>
      </c>
      <c r="F4763" t="s">
        <v>6348</v>
      </c>
      <c r="G4763" t="s">
        <v>1093</v>
      </c>
      <c r="H4763" t="s">
        <v>1020</v>
      </c>
      <c r="I4763">
        <v>162673000</v>
      </c>
      <c r="J4763" t="s">
        <v>1021</v>
      </c>
      <c r="K4763">
        <v>136.80000000000001</v>
      </c>
      <c r="L4763">
        <v>778.78</v>
      </c>
      <c r="M4763">
        <v>778.78</v>
      </c>
      <c r="O4763" t="s">
        <v>34</v>
      </c>
    </row>
    <row r="4764" spans="1:15">
      <c r="A4764" t="s">
        <v>6399</v>
      </c>
      <c r="B4764" s="2">
        <v>45809.041018518517</v>
      </c>
      <c r="C4764" s="2">
        <v>45809.084074074075</v>
      </c>
      <c r="D4764" t="s">
        <v>934</v>
      </c>
      <c r="E4764" t="s">
        <v>6385</v>
      </c>
      <c r="F4764" t="s">
        <v>6386</v>
      </c>
      <c r="G4764" t="s">
        <v>1093</v>
      </c>
      <c r="H4764" t="s">
        <v>1043</v>
      </c>
      <c r="I4764">
        <v>308335008</v>
      </c>
      <c r="J4764" t="s">
        <v>1194</v>
      </c>
      <c r="K4764">
        <v>142.58000000000001</v>
      </c>
      <c r="L4764">
        <v>7963.24</v>
      </c>
      <c r="M4764">
        <v>7913.24</v>
      </c>
      <c r="N4764">
        <v>389095005</v>
      </c>
      <c r="O4764" t="s">
        <v>1191</v>
      </c>
    </row>
    <row r="4765" spans="1:15">
      <c r="A4765" t="s">
        <v>6400</v>
      </c>
      <c r="B4765" s="2">
        <v>46092.207685185182</v>
      </c>
      <c r="C4765" s="2">
        <v>46092.218101851853</v>
      </c>
      <c r="D4765" t="s">
        <v>934</v>
      </c>
      <c r="E4765" t="s">
        <v>2910</v>
      </c>
      <c r="F4765" t="s">
        <v>2911</v>
      </c>
      <c r="G4765" t="s">
        <v>1093</v>
      </c>
      <c r="H4765" t="s">
        <v>1031</v>
      </c>
      <c r="I4765">
        <v>185345009</v>
      </c>
      <c r="J4765" t="s">
        <v>1032</v>
      </c>
      <c r="K4765">
        <v>85.55</v>
      </c>
      <c r="L4765">
        <v>1179.5</v>
      </c>
      <c r="M4765">
        <v>1029.5</v>
      </c>
      <c r="N4765">
        <v>195662009</v>
      </c>
      <c r="O4765" t="s">
        <v>1130</v>
      </c>
    </row>
    <row r="4766" spans="1:15">
      <c r="A4766" t="s">
        <v>6401</v>
      </c>
      <c r="B4766" s="2">
        <v>46137.564930555556</v>
      </c>
      <c r="C4766" s="2">
        <v>46137.602222222224</v>
      </c>
      <c r="D4766" t="s">
        <v>934</v>
      </c>
      <c r="E4766" t="s">
        <v>6385</v>
      </c>
      <c r="F4766" t="s">
        <v>6386</v>
      </c>
      <c r="G4766" t="s">
        <v>1093</v>
      </c>
      <c r="H4766" t="s">
        <v>1043</v>
      </c>
      <c r="I4766">
        <v>698314001</v>
      </c>
      <c r="J4766" t="s">
        <v>1190</v>
      </c>
      <c r="K4766">
        <v>142.58000000000001</v>
      </c>
      <c r="L4766">
        <v>573.98</v>
      </c>
      <c r="M4766">
        <v>523.98</v>
      </c>
      <c r="N4766">
        <v>183996000</v>
      </c>
      <c r="O4766" t="s">
        <v>1622</v>
      </c>
    </row>
    <row r="4767" spans="1:15">
      <c r="A4767" t="s">
        <v>6402</v>
      </c>
      <c r="B4767" s="2">
        <v>46156.602222222224</v>
      </c>
      <c r="C4767" s="2">
        <v>46157.602222222224</v>
      </c>
      <c r="D4767" t="s">
        <v>934</v>
      </c>
      <c r="E4767" t="s">
        <v>6385</v>
      </c>
      <c r="F4767" t="s">
        <v>6386</v>
      </c>
      <c r="G4767" t="s">
        <v>1093</v>
      </c>
      <c r="H4767" t="s">
        <v>1431</v>
      </c>
      <c r="I4767">
        <v>305408004</v>
      </c>
      <c r="J4767" t="s">
        <v>1626</v>
      </c>
      <c r="K4767">
        <v>146.18</v>
      </c>
      <c r="L4767">
        <v>13537.81</v>
      </c>
      <c r="M4767">
        <v>13487.81</v>
      </c>
      <c r="N4767">
        <v>183996000</v>
      </c>
      <c r="O4767" t="s">
        <v>1622</v>
      </c>
    </row>
    <row r="4768" spans="1:15">
      <c r="A4768" t="s">
        <v>6403</v>
      </c>
      <c r="B4768" s="2">
        <v>41326.553298611114</v>
      </c>
      <c r="C4768" s="2">
        <v>41326.58152777778</v>
      </c>
      <c r="D4768" t="s">
        <v>944</v>
      </c>
      <c r="E4768" t="s">
        <v>6404</v>
      </c>
      <c r="F4768" t="s">
        <v>6405</v>
      </c>
      <c r="G4768" t="s">
        <v>1325</v>
      </c>
      <c r="H4768" t="s">
        <v>1020</v>
      </c>
      <c r="I4768">
        <v>162673000</v>
      </c>
      <c r="J4768" t="s">
        <v>1021</v>
      </c>
      <c r="K4768">
        <v>136.80000000000001</v>
      </c>
      <c r="L4768">
        <v>704.2</v>
      </c>
      <c r="M4768">
        <v>0</v>
      </c>
      <c r="O4768" t="s">
        <v>34</v>
      </c>
    </row>
    <row r="4769" spans="1:15">
      <c r="A4769" t="s">
        <v>6406</v>
      </c>
      <c r="B4769" s="2">
        <v>41671.553298611114</v>
      </c>
      <c r="C4769" s="2">
        <v>41671.563715277778</v>
      </c>
      <c r="D4769" t="s">
        <v>944</v>
      </c>
      <c r="E4769" t="s">
        <v>2270</v>
      </c>
      <c r="F4769" t="s">
        <v>2271</v>
      </c>
      <c r="G4769" t="s">
        <v>1325</v>
      </c>
      <c r="H4769" t="s">
        <v>1043</v>
      </c>
      <c r="I4769">
        <v>185347001</v>
      </c>
      <c r="J4769" t="s">
        <v>1124</v>
      </c>
      <c r="K4769">
        <v>85.55</v>
      </c>
      <c r="L4769">
        <v>85.55</v>
      </c>
      <c r="M4769">
        <v>0</v>
      </c>
      <c r="N4769">
        <v>82423001</v>
      </c>
      <c r="O4769" t="s">
        <v>1542</v>
      </c>
    </row>
    <row r="4770" spans="1:15">
      <c r="A4770" t="s">
        <v>6407</v>
      </c>
      <c r="B4770" s="2">
        <v>42068.553298611114</v>
      </c>
      <c r="C4770" s="2">
        <v>42068.593229166669</v>
      </c>
      <c r="D4770" t="s">
        <v>944</v>
      </c>
      <c r="E4770" t="s">
        <v>6404</v>
      </c>
      <c r="F4770" t="s">
        <v>6405</v>
      </c>
      <c r="G4770" t="s">
        <v>1325</v>
      </c>
      <c r="H4770" t="s">
        <v>1020</v>
      </c>
      <c r="I4770">
        <v>162673000</v>
      </c>
      <c r="J4770" t="s">
        <v>1021</v>
      </c>
      <c r="K4770">
        <v>136.80000000000001</v>
      </c>
      <c r="L4770">
        <v>1251.67</v>
      </c>
      <c r="M4770">
        <v>1251.67</v>
      </c>
      <c r="O4770" t="s">
        <v>34</v>
      </c>
    </row>
    <row r="4771" spans="1:15">
      <c r="A4771" t="s">
        <v>6408</v>
      </c>
      <c r="B4771" s="2">
        <v>42439.553298611114</v>
      </c>
      <c r="C4771" s="2">
        <v>42439.584004629629</v>
      </c>
      <c r="D4771" t="s">
        <v>944</v>
      </c>
      <c r="E4771" t="s">
        <v>6404</v>
      </c>
      <c r="F4771" t="s">
        <v>6405</v>
      </c>
      <c r="G4771" t="s">
        <v>1325</v>
      </c>
      <c r="H4771" t="s">
        <v>1020</v>
      </c>
      <c r="I4771">
        <v>162673000</v>
      </c>
      <c r="J4771" t="s">
        <v>1021</v>
      </c>
      <c r="K4771">
        <v>136.80000000000001</v>
      </c>
      <c r="L4771">
        <v>1186.78</v>
      </c>
      <c r="M4771">
        <v>0</v>
      </c>
      <c r="O4771" t="s">
        <v>34</v>
      </c>
    </row>
    <row r="4772" spans="1:15">
      <c r="A4772" t="s">
        <v>6409</v>
      </c>
      <c r="B4772" s="2">
        <v>42617.594965277778</v>
      </c>
      <c r="C4772" s="2">
        <v>42617.605381944442</v>
      </c>
      <c r="D4772" t="s">
        <v>944</v>
      </c>
      <c r="E4772" t="s">
        <v>2270</v>
      </c>
      <c r="F4772" t="s">
        <v>2271</v>
      </c>
      <c r="G4772" t="s">
        <v>1325</v>
      </c>
      <c r="H4772" t="s">
        <v>1043</v>
      </c>
      <c r="I4772">
        <v>698314001</v>
      </c>
      <c r="J4772" t="s">
        <v>1190</v>
      </c>
      <c r="K4772">
        <v>142.58000000000001</v>
      </c>
      <c r="L4772">
        <v>142.58000000000001</v>
      </c>
      <c r="M4772">
        <v>0</v>
      </c>
      <c r="N4772">
        <v>389095005</v>
      </c>
      <c r="O4772" t="s">
        <v>1191</v>
      </c>
    </row>
    <row r="4773" spans="1:15">
      <c r="A4773" t="s">
        <v>6410</v>
      </c>
      <c r="B4773" s="2">
        <v>42810.594965277778</v>
      </c>
      <c r="C4773" s="2">
        <v>42810.625069444446</v>
      </c>
      <c r="D4773" t="s">
        <v>944</v>
      </c>
      <c r="E4773" t="s">
        <v>6404</v>
      </c>
      <c r="F4773" t="s">
        <v>6405</v>
      </c>
      <c r="G4773" t="s">
        <v>1325</v>
      </c>
      <c r="H4773" t="s">
        <v>1020</v>
      </c>
      <c r="I4773">
        <v>162673000</v>
      </c>
      <c r="J4773" t="s">
        <v>1021</v>
      </c>
      <c r="K4773">
        <v>136.80000000000001</v>
      </c>
      <c r="L4773">
        <v>704.2</v>
      </c>
      <c r="M4773">
        <v>0</v>
      </c>
      <c r="O4773" t="s">
        <v>34</v>
      </c>
    </row>
    <row r="4774" spans="1:15">
      <c r="A4774" t="s">
        <v>6411</v>
      </c>
      <c r="B4774" s="2">
        <v>43181.594965277778</v>
      </c>
      <c r="C4774" s="2">
        <v>43181.624432870369</v>
      </c>
      <c r="D4774" t="s">
        <v>944</v>
      </c>
      <c r="E4774" t="s">
        <v>6404</v>
      </c>
      <c r="F4774" t="s">
        <v>6405</v>
      </c>
      <c r="G4774" t="s">
        <v>1325</v>
      </c>
      <c r="H4774" t="s">
        <v>1020</v>
      </c>
      <c r="I4774">
        <v>162673000</v>
      </c>
      <c r="J4774" t="s">
        <v>1021</v>
      </c>
      <c r="K4774">
        <v>136.80000000000001</v>
      </c>
      <c r="L4774">
        <v>988.41</v>
      </c>
      <c r="M4774">
        <v>0</v>
      </c>
      <c r="O4774" t="s">
        <v>34</v>
      </c>
    </row>
    <row r="4775" spans="1:15">
      <c r="A4775" t="s">
        <v>6412</v>
      </c>
      <c r="B4775" s="2">
        <v>43552.594965277778</v>
      </c>
      <c r="C4775" s="2">
        <v>43552.635949074072</v>
      </c>
      <c r="D4775" t="s">
        <v>944</v>
      </c>
      <c r="E4775" t="s">
        <v>6404</v>
      </c>
      <c r="F4775" t="s">
        <v>6405</v>
      </c>
      <c r="G4775" t="s">
        <v>1325</v>
      </c>
      <c r="H4775" t="s">
        <v>1020</v>
      </c>
      <c r="I4775">
        <v>162673000</v>
      </c>
      <c r="J4775" t="s">
        <v>1021</v>
      </c>
      <c r="K4775">
        <v>136.80000000000001</v>
      </c>
      <c r="L4775">
        <v>1517.37</v>
      </c>
      <c r="M4775">
        <v>0</v>
      </c>
      <c r="O4775" t="s">
        <v>34</v>
      </c>
    </row>
    <row r="4776" spans="1:15">
      <c r="A4776" t="s">
        <v>6413</v>
      </c>
      <c r="B4776" s="2">
        <v>43568.594965277778</v>
      </c>
      <c r="C4776" s="2">
        <v>43568.65861111111</v>
      </c>
      <c r="D4776" t="s">
        <v>944</v>
      </c>
      <c r="E4776" t="s">
        <v>2270</v>
      </c>
      <c r="F4776" t="s">
        <v>2271</v>
      </c>
      <c r="G4776" t="s">
        <v>1325</v>
      </c>
      <c r="H4776" t="s">
        <v>1031</v>
      </c>
      <c r="I4776">
        <v>185345009</v>
      </c>
      <c r="J4776" t="s">
        <v>1032</v>
      </c>
      <c r="K4776">
        <v>85.55</v>
      </c>
      <c r="L4776">
        <v>3611.33</v>
      </c>
      <c r="M4776">
        <v>0</v>
      </c>
      <c r="N4776">
        <v>307426000</v>
      </c>
      <c r="O4776" t="s">
        <v>1097</v>
      </c>
    </row>
    <row r="4777" spans="1:15">
      <c r="A4777" t="s">
        <v>6414</v>
      </c>
      <c r="B4777" s="2">
        <v>43594.594965277778</v>
      </c>
      <c r="C4777" s="2">
        <v>43594.605381944442</v>
      </c>
      <c r="D4777" t="s">
        <v>944</v>
      </c>
      <c r="E4777" t="s">
        <v>2270</v>
      </c>
      <c r="F4777" t="s">
        <v>2271</v>
      </c>
      <c r="G4777" t="s">
        <v>1325</v>
      </c>
      <c r="H4777" t="s">
        <v>1031</v>
      </c>
      <c r="I4777">
        <v>424441002</v>
      </c>
      <c r="J4777" t="s">
        <v>1059</v>
      </c>
      <c r="K4777">
        <v>142.58000000000001</v>
      </c>
      <c r="L4777">
        <v>54641.67</v>
      </c>
      <c r="M4777">
        <v>32361.74</v>
      </c>
      <c r="N4777">
        <v>72892002</v>
      </c>
      <c r="O4777" t="s">
        <v>1060</v>
      </c>
    </row>
    <row r="4778" spans="1:15">
      <c r="A4778" t="s">
        <v>6415</v>
      </c>
      <c r="B4778" s="2">
        <v>43622.594965277778</v>
      </c>
      <c r="C4778" s="2">
        <v>43622.605381944442</v>
      </c>
      <c r="D4778" t="s">
        <v>944</v>
      </c>
      <c r="E4778" t="s">
        <v>2270</v>
      </c>
      <c r="F4778" t="s">
        <v>2271</v>
      </c>
      <c r="G4778" t="s">
        <v>1325</v>
      </c>
      <c r="H4778" t="s">
        <v>1031</v>
      </c>
      <c r="I4778">
        <v>424619006</v>
      </c>
      <c r="J4778" t="s">
        <v>1062</v>
      </c>
      <c r="K4778">
        <v>142.58000000000001</v>
      </c>
      <c r="L4778">
        <v>14852.79</v>
      </c>
      <c r="M4778">
        <v>14852.79</v>
      </c>
      <c r="N4778">
        <v>72892002</v>
      </c>
      <c r="O4778" t="s">
        <v>1060</v>
      </c>
    </row>
    <row r="4779" spans="1:15">
      <c r="A4779" t="s">
        <v>6416</v>
      </c>
      <c r="B4779" s="2">
        <v>43650.594965277778</v>
      </c>
      <c r="C4779" s="2">
        <v>43650.605381944442</v>
      </c>
      <c r="D4779" t="s">
        <v>944</v>
      </c>
      <c r="E4779" t="s">
        <v>2270</v>
      </c>
      <c r="F4779" t="s">
        <v>2271</v>
      </c>
      <c r="G4779" t="s">
        <v>1325</v>
      </c>
      <c r="H4779" t="s">
        <v>1031</v>
      </c>
      <c r="I4779">
        <v>424619006</v>
      </c>
      <c r="J4779" t="s">
        <v>1062</v>
      </c>
      <c r="K4779">
        <v>142.58000000000001</v>
      </c>
      <c r="L4779">
        <v>10661.71</v>
      </c>
      <c r="M4779">
        <v>10661.71</v>
      </c>
      <c r="N4779">
        <v>72892002</v>
      </c>
      <c r="O4779" t="s">
        <v>1060</v>
      </c>
    </row>
    <row r="4780" spans="1:15">
      <c r="A4780" t="s">
        <v>6417</v>
      </c>
      <c r="B4780" s="2">
        <v>43678.594965277778</v>
      </c>
      <c r="C4780" s="2">
        <v>43678.605381944442</v>
      </c>
      <c r="D4780" t="s">
        <v>944</v>
      </c>
      <c r="E4780" t="s">
        <v>2270</v>
      </c>
      <c r="F4780" t="s">
        <v>2271</v>
      </c>
      <c r="G4780" t="s">
        <v>1325</v>
      </c>
      <c r="H4780" t="s">
        <v>1031</v>
      </c>
      <c r="I4780">
        <v>424619006</v>
      </c>
      <c r="J4780" t="s">
        <v>1062</v>
      </c>
      <c r="K4780">
        <v>142.58000000000001</v>
      </c>
      <c r="L4780">
        <v>6435.64</v>
      </c>
      <c r="M4780">
        <v>6435.64</v>
      </c>
      <c r="N4780">
        <v>72892002</v>
      </c>
      <c r="O4780" t="s">
        <v>1060</v>
      </c>
    </row>
    <row r="4781" spans="1:15">
      <c r="A4781" t="s">
        <v>6418</v>
      </c>
      <c r="B4781" s="2">
        <v>43690.53361111111</v>
      </c>
      <c r="C4781" s="2">
        <v>43690.596076388887</v>
      </c>
      <c r="D4781" t="s">
        <v>944</v>
      </c>
      <c r="E4781" t="s">
        <v>2270</v>
      </c>
      <c r="F4781" t="s">
        <v>2271</v>
      </c>
      <c r="G4781" t="s">
        <v>1325</v>
      </c>
      <c r="H4781" t="s">
        <v>1031</v>
      </c>
      <c r="I4781">
        <v>185345009</v>
      </c>
      <c r="J4781" t="s">
        <v>1032</v>
      </c>
      <c r="K4781">
        <v>85.55</v>
      </c>
      <c r="L4781">
        <v>3611.33</v>
      </c>
      <c r="M4781">
        <v>3611.33</v>
      </c>
      <c r="N4781">
        <v>307426000</v>
      </c>
      <c r="O4781" t="s">
        <v>1097</v>
      </c>
    </row>
    <row r="4782" spans="1:15">
      <c r="A4782" t="s">
        <v>6419</v>
      </c>
      <c r="B4782" s="2">
        <v>43706.594965277778</v>
      </c>
      <c r="C4782" s="2">
        <v>43706.605381944442</v>
      </c>
      <c r="D4782" t="s">
        <v>944</v>
      </c>
      <c r="E4782" t="s">
        <v>2270</v>
      </c>
      <c r="F4782" t="s">
        <v>2271</v>
      </c>
      <c r="G4782" t="s">
        <v>1325</v>
      </c>
      <c r="H4782" t="s">
        <v>1031</v>
      </c>
      <c r="I4782">
        <v>424619006</v>
      </c>
      <c r="J4782" t="s">
        <v>1062</v>
      </c>
      <c r="K4782">
        <v>142.58000000000001</v>
      </c>
      <c r="L4782">
        <v>13537.16</v>
      </c>
      <c r="M4782">
        <v>13537.16</v>
      </c>
      <c r="N4782">
        <v>72892002</v>
      </c>
      <c r="O4782" t="s">
        <v>1060</v>
      </c>
    </row>
    <row r="4783" spans="1:15">
      <c r="A4783" t="s">
        <v>6420</v>
      </c>
      <c r="B4783" s="2">
        <v>43734.594965277778</v>
      </c>
      <c r="C4783" s="2">
        <v>43734.605381944442</v>
      </c>
      <c r="D4783" t="s">
        <v>944</v>
      </c>
      <c r="E4783" t="s">
        <v>2270</v>
      </c>
      <c r="F4783" t="s">
        <v>2271</v>
      </c>
      <c r="G4783" t="s">
        <v>1325</v>
      </c>
      <c r="H4783" t="s">
        <v>1031</v>
      </c>
      <c r="I4783">
        <v>424619006</v>
      </c>
      <c r="J4783" t="s">
        <v>1062</v>
      </c>
      <c r="K4783">
        <v>142.58000000000001</v>
      </c>
      <c r="L4783">
        <v>19493.22</v>
      </c>
      <c r="M4783">
        <v>19493.22</v>
      </c>
      <c r="N4783">
        <v>72892002</v>
      </c>
      <c r="O4783" t="s">
        <v>1060</v>
      </c>
    </row>
    <row r="4784" spans="1:15">
      <c r="A4784" t="s">
        <v>6421</v>
      </c>
      <c r="B4784" s="2">
        <v>43762.594965277778</v>
      </c>
      <c r="C4784" s="2">
        <v>43762.605381944442</v>
      </c>
      <c r="D4784" t="s">
        <v>944</v>
      </c>
      <c r="E4784" t="s">
        <v>2270</v>
      </c>
      <c r="F4784" t="s">
        <v>2271</v>
      </c>
      <c r="G4784" t="s">
        <v>1325</v>
      </c>
      <c r="H4784" t="s">
        <v>1031</v>
      </c>
      <c r="I4784">
        <v>424619006</v>
      </c>
      <c r="J4784" t="s">
        <v>1062</v>
      </c>
      <c r="K4784">
        <v>142.58000000000001</v>
      </c>
      <c r="L4784">
        <v>6119.82</v>
      </c>
      <c r="M4784">
        <v>6119.82</v>
      </c>
      <c r="N4784">
        <v>72892002</v>
      </c>
      <c r="O4784" t="s">
        <v>1060</v>
      </c>
    </row>
    <row r="4785" spans="1:15">
      <c r="A4785" t="s">
        <v>6422</v>
      </c>
      <c r="B4785" s="2">
        <v>43790.553298611114</v>
      </c>
      <c r="C4785" s="2">
        <v>43790.563715277778</v>
      </c>
      <c r="D4785" t="s">
        <v>944</v>
      </c>
      <c r="E4785" t="s">
        <v>2270</v>
      </c>
      <c r="F4785" t="s">
        <v>2271</v>
      </c>
      <c r="G4785" t="s">
        <v>1325</v>
      </c>
      <c r="H4785" t="s">
        <v>1031</v>
      </c>
      <c r="I4785">
        <v>424619006</v>
      </c>
      <c r="J4785" t="s">
        <v>1062</v>
      </c>
      <c r="K4785">
        <v>142.58000000000001</v>
      </c>
      <c r="L4785">
        <v>9916.2099999999991</v>
      </c>
      <c r="M4785">
        <v>9916.2099999999991</v>
      </c>
      <c r="N4785">
        <v>72892002</v>
      </c>
      <c r="O4785" t="s">
        <v>1060</v>
      </c>
    </row>
    <row r="4786" spans="1:15">
      <c r="A4786" t="s">
        <v>6423</v>
      </c>
      <c r="B4786" s="2">
        <v>43804.553298611114</v>
      </c>
      <c r="C4786" s="2">
        <v>43804.563715277778</v>
      </c>
      <c r="D4786" t="s">
        <v>944</v>
      </c>
      <c r="E4786" t="s">
        <v>2270</v>
      </c>
      <c r="F4786" t="s">
        <v>2271</v>
      </c>
      <c r="G4786" t="s">
        <v>1325</v>
      </c>
      <c r="H4786" t="s">
        <v>1031</v>
      </c>
      <c r="I4786">
        <v>424619006</v>
      </c>
      <c r="J4786" t="s">
        <v>1062</v>
      </c>
      <c r="K4786">
        <v>142.58000000000001</v>
      </c>
      <c r="L4786">
        <v>7056.22</v>
      </c>
      <c r="M4786">
        <v>7056.22</v>
      </c>
      <c r="N4786">
        <v>72892002</v>
      </c>
      <c r="O4786" t="s">
        <v>1060</v>
      </c>
    </row>
    <row r="4787" spans="1:15">
      <c r="A4787" t="s">
        <v>6424</v>
      </c>
      <c r="B4787" s="2">
        <v>43811.553298611114</v>
      </c>
      <c r="C4787" s="2">
        <v>43811.594965277778</v>
      </c>
      <c r="D4787" t="s">
        <v>944</v>
      </c>
      <c r="E4787" t="s">
        <v>6425</v>
      </c>
      <c r="F4787" t="s">
        <v>6426</v>
      </c>
      <c r="G4787" t="s">
        <v>1325</v>
      </c>
      <c r="H4787" t="s">
        <v>1076</v>
      </c>
      <c r="I4787">
        <v>183460006</v>
      </c>
      <c r="J4787" t="s">
        <v>1077</v>
      </c>
      <c r="K4787">
        <v>146.18</v>
      </c>
      <c r="L4787">
        <v>2925.6</v>
      </c>
      <c r="M4787">
        <v>2925.6</v>
      </c>
      <c r="N4787">
        <v>72892002</v>
      </c>
      <c r="O4787" t="s">
        <v>1060</v>
      </c>
    </row>
    <row r="4788" spans="1:15">
      <c r="A4788" t="s">
        <v>6427</v>
      </c>
      <c r="B4788" s="2">
        <v>43853.553298611114</v>
      </c>
      <c r="C4788" s="2">
        <v>43853.563715277778</v>
      </c>
      <c r="D4788" t="s">
        <v>944</v>
      </c>
      <c r="E4788" t="s">
        <v>2270</v>
      </c>
      <c r="F4788" t="s">
        <v>2271</v>
      </c>
      <c r="G4788" t="s">
        <v>1325</v>
      </c>
      <c r="H4788" t="s">
        <v>1031</v>
      </c>
      <c r="I4788">
        <v>169762003</v>
      </c>
      <c r="J4788" t="s">
        <v>1079</v>
      </c>
      <c r="K4788">
        <v>142.58000000000001</v>
      </c>
      <c r="L4788">
        <v>5438.48</v>
      </c>
      <c r="M4788">
        <v>0</v>
      </c>
      <c r="O4788" t="s">
        <v>34</v>
      </c>
    </row>
    <row r="4789" spans="1:15">
      <c r="A4789" t="s">
        <v>6428</v>
      </c>
      <c r="B4789" s="2">
        <v>43923.594965277778</v>
      </c>
      <c r="C4789" s="2">
        <v>43923.625787037039</v>
      </c>
      <c r="D4789" t="s">
        <v>944</v>
      </c>
      <c r="E4789" t="s">
        <v>6404</v>
      </c>
      <c r="F4789" t="s">
        <v>6405</v>
      </c>
      <c r="G4789" t="s">
        <v>1325</v>
      </c>
      <c r="H4789" t="s">
        <v>1020</v>
      </c>
      <c r="I4789">
        <v>162673000</v>
      </c>
      <c r="J4789" t="s">
        <v>1021</v>
      </c>
      <c r="K4789">
        <v>136.80000000000001</v>
      </c>
      <c r="L4789">
        <v>704.2</v>
      </c>
      <c r="M4789">
        <v>107.17</v>
      </c>
      <c r="O4789" t="s">
        <v>34</v>
      </c>
    </row>
    <row r="4790" spans="1:15">
      <c r="A4790" t="s">
        <v>6429</v>
      </c>
      <c r="B4790" s="2">
        <v>43937.594965277778</v>
      </c>
      <c r="C4790" s="2">
        <v>43937.903692129628</v>
      </c>
      <c r="D4790" t="s">
        <v>944</v>
      </c>
      <c r="E4790" t="s">
        <v>2270</v>
      </c>
      <c r="F4790" t="s">
        <v>2271</v>
      </c>
      <c r="G4790" t="s">
        <v>1325</v>
      </c>
      <c r="H4790" t="s">
        <v>1031</v>
      </c>
      <c r="I4790">
        <v>185349003</v>
      </c>
      <c r="J4790" t="s">
        <v>1038</v>
      </c>
      <c r="K4790">
        <v>85.55</v>
      </c>
      <c r="L4790">
        <v>5262.35</v>
      </c>
      <c r="M4790">
        <v>3157.41</v>
      </c>
      <c r="N4790">
        <v>103697008</v>
      </c>
      <c r="O4790" t="s">
        <v>1039</v>
      </c>
    </row>
    <row r="4791" spans="1:15">
      <c r="A4791" t="s">
        <v>6430</v>
      </c>
      <c r="B4791" s="2">
        <v>44105.594965277778</v>
      </c>
      <c r="C4791" s="2">
        <v>44105.626030092593</v>
      </c>
      <c r="D4791" t="s">
        <v>944</v>
      </c>
      <c r="E4791" t="s">
        <v>2270</v>
      </c>
      <c r="F4791" t="s">
        <v>2271</v>
      </c>
      <c r="G4791" t="s">
        <v>1325</v>
      </c>
      <c r="H4791" t="s">
        <v>1031</v>
      </c>
      <c r="I4791">
        <v>185345009</v>
      </c>
      <c r="J4791" t="s">
        <v>1032</v>
      </c>
      <c r="K4791">
        <v>85.55</v>
      </c>
      <c r="L4791">
        <v>235.03</v>
      </c>
      <c r="M4791">
        <v>141.02000000000001</v>
      </c>
      <c r="N4791">
        <v>840544004</v>
      </c>
      <c r="O4791" t="s">
        <v>1455</v>
      </c>
    </row>
    <row r="4792" spans="1:15">
      <c r="A4792" t="s">
        <v>6431</v>
      </c>
      <c r="B4792" s="2">
        <v>44210.553298611114</v>
      </c>
      <c r="C4792" s="2">
        <v>44210.563715277778</v>
      </c>
      <c r="D4792" t="s">
        <v>944</v>
      </c>
      <c r="E4792" t="s">
        <v>2270</v>
      </c>
      <c r="F4792" t="s">
        <v>2271</v>
      </c>
      <c r="G4792" t="s">
        <v>1325</v>
      </c>
      <c r="H4792" t="s">
        <v>1031</v>
      </c>
      <c r="I4792">
        <v>424441002</v>
      </c>
      <c r="J4792" t="s">
        <v>1059</v>
      </c>
      <c r="K4792">
        <v>142.58000000000001</v>
      </c>
      <c r="L4792">
        <v>15992.01</v>
      </c>
      <c r="M4792">
        <v>5938.81</v>
      </c>
      <c r="N4792">
        <v>72892002</v>
      </c>
      <c r="O4792" t="s">
        <v>1060</v>
      </c>
    </row>
    <row r="4793" spans="1:15">
      <c r="A4793" t="s">
        <v>6432</v>
      </c>
      <c r="B4793" s="2">
        <v>44218.553298611114</v>
      </c>
      <c r="C4793" s="2">
        <v>44218.563715277778</v>
      </c>
      <c r="D4793" t="s">
        <v>944</v>
      </c>
      <c r="E4793" t="s">
        <v>2270</v>
      </c>
      <c r="F4793" t="s">
        <v>2271</v>
      </c>
      <c r="G4793" t="s">
        <v>1325</v>
      </c>
      <c r="H4793" t="s">
        <v>1031</v>
      </c>
      <c r="I4793">
        <v>270427003</v>
      </c>
      <c r="J4793" t="s">
        <v>1179</v>
      </c>
      <c r="K4793">
        <v>85.55</v>
      </c>
      <c r="L4793">
        <v>9937.5300000000007</v>
      </c>
      <c r="M4793">
        <v>9937.5300000000007</v>
      </c>
      <c r="N4793">
        <v>72892002</v>
      </c>
      <c r="O4793" t="s">
        <v>1060</v>
      </c>
    </row>
    <row r="4794" spans="1:15">
      <c r="A4794" t="s">
        <v>6433</v>
      </c>
      <c r="B4794" s="2">
        <v>44226.553298611114</v>
      </c>
      <c r="C4794" s="2">
        <v>44226.563715277778</v>
      </c>
      <c r="D4794" t="s">
        <v>944</v>
      </c>
      <c r="E4794" t="s">
        <v>2270</v>
      </c>
      <c r="F4794" t="s">
        <v>2271</v>
      </c>
      <c r="G4794" t="s">
        <v>1325</v>
      </c>
      <c r="H4794" t="s">
        <v>1031</v>
      </c>
      <c r="I4794">
        <v>424619006</v>
      </c>
      <c r="J4794" t="s">
        <v>1062</v>
      </c>
      <c r="K4794">
        <v>142.58000000000001</v>
      </c>
      <c r="L4794">
        <v>2551.9499999999998</v>
      </c>
      <c r="M4794">
        <v>2551.9499999999998</v>
      </c>
      <c r="N4794">
        <v>72892002</v>
      </c>
      <c r="O4794" t="s">
        <v>1060</v>
      </c>
    </row>
    <row r="4795" spans="1:15">
      <c r="A4795" t="s">
        <v>6434</v>
      </c>
      <c r="B4795" s="2">
        <v>44266.553298611114</v>
      </c>
      <c r="C4795" s="2">
        <v>44266.563715277778</v>
      </c>
      <c r="D4795" t="s">
        <v>944</v>
      </c>
      <c r="E4795" t="s">
        <v>2270</v>
      </c>
      <c r="F4795" t="s">
        <v>2271</v>
      </c>
      <c r="G4795" t="s">
        <v>1325</v>
      </c>
      <c r="H4795" t="s">
        <v>1043</v>
      </c>
      <c r="I4795">
        <v>33879002</v>
      </c>
      <c r="J4795" t="s">
        <v>1044</v>
      </c>
      <c r="K4795">
        <v>142.58000000000001</v>
      </c>
      <c r="L4795">
        <v>278.58</v>
      </c>
      <c r="M4795">
        <v>278.58</v>
      </c>
      <c r="O4795" t="s">
        <v>34</v>
      </c>
    </row>
    <row r="4796" spans="1:15">
      <c r="A4796" t="s">
        <v>6435</v>
      </c>
      <c r="B4796" s="2">
        <v>44294.594965277778</v>
      </c>
      <c r="C4796" s="2">
        <v>44294.623217592591</v>
      </c>
      <c r="D4796" t="s">
        <v>944</v>
      </c>
      <c r="E4796" t="s">
        <v>6404</v>
      </c>
      <c r="F4796" t="s">
        <v>6405</v>
      </c>
      <c r="G4796" t="s">
        <v>1325</v>
      </c>
      <c r="H4796" t="s">
        <v>1020</v>
      </c>
      <c r="I4796">
        <v>162673000</v>
      </c>
      <c r="J4796" t="s">
        <v>1021</v>
      </c>
      <c r="K4796">
        <v>136.80000000000001</v>
      </c>
      <c r="L4796">
        <v>914.78</v>
      </c>
      <c r="M4796">
        <v>914.78</v>
      </c>
      <c r="O4796" t="s">
        <v>34</v>
      </c>
    </row>
    <row r="4797" spans="1:15">
      <c r="A4797" t="s">
        <v>6436</v>
      </c>
      <c r="B4797" s="2">
        <v>44308.594965277778</v>
      </c>
      <c r="C4797" s="2">
        <v>44308.774826388886</v>
      </c>
      <c r="D4797" t="s">
        <v>944</v>
      </c>
      <c r="E4797" t="s">
        <v>2270</v>
      </c>
      <c r="F4797" t="s">
        <v>2271</v>
      </c>
      <c r="G4797" t="s">
        <v>1325</v>
      </c>
      <c r="H4797" t="s">
        <v>1031</v>
      </c>
      <c r="I4797">
        <v>185349003</v>
      </c>
      <c r="J4797" t="s">
        <v>1038</v>
      </c>
      <c r="K4797">
        <v>85.55</v>
      </c>
      <c r="L4797">
        <v>3968.15</v>
      </c>
      <c r="M4797">
        <v>3968.15</v>
      </c>
      <c r="N4797">
        <v>66383009</v>
      </c>
      <c r="O4797" t="s">
        <v>1209</v>
      </c>
    </row>
    <row r="4798" spans="1:15">
      <c r="A4798" t="s">
        <v>6437</v>
      </c>
      <c r="B4798" s="2">
        <v>44367.844965277778</v>
      </c>
      <c r="C4798" s="2">
        <v>44367.855381944442</v>
      </c>
      <c r="D4798" t="s">
        <v>944</v>
      </c>
      <c r="E4798" t="s">
        <v>2270</v>
      </c>
      <c r="F4798" t="s">
        <v>2271</v>
      </c>
      <c r="G4798" t="s">
        <v>1325</v>
      </c>
      <c r="H4798" t="s">
        <v>1031</v>
      </c>
      <c r="I4798">
        <v>185345009</v>
      </c>
      <c r="J4798" t="s">
        <v>1032</v>
      </c>
      <c r="K4798">
        <v>85.55</v>
      </c>
      <c r="L4798">
        <v>85.55</v>
      </c>
      <c r="M4798">
        <v>85.55</v>
      </c>
      <c r="N4798">
        <v>195662009</v>
      </c>
      <c r="O4798" t="s">
        <v>1130</v>
      </c>
    </row>
    <row r="4799" spans="1:15">
      <c r="A4799" t="s">
        <v>6438</v>
      </c>
      <c r="B4799" s="2">
        <v>44457.594965277778</v>
      </c>
      <c r="C4799" s="2">
        <v>44457.636631944442</v>
      </c>
      <c r="D4799" t="s">
        <v>944</v>
      </c>
      <c r="E4799" t="s">
        <v>6425</v>
      </c>
      <c r="F4799" t="s">
        <v>6426</v>
      </c>
      <c r="G4799" t="s">
        <v>1325</v>
      </c>
      <c r="H4799" t="s">
        <v>1076</v>
      </c>
      <c r="I4799">
        <v>50849002</v>
      </c>
      <c r="J4799" t="s">
        <v>1163</v>
      </c>
      <c r="K4799">
        <v>146.18</v>
      </c>
      <c r="L4799">
        <v>1008.98</v>
      </c>
      <c r="M4799">
        <v>1008.98</v>
      </c>
      <c r="N4799">
        <v>125605004</v>
      </c>
      <c r="O4799" t="s">
        <v>1644</v>
      </c>
    </row>
    <row r="4800" spans="1:15">
      <c r="A4800" t="s">
        <v>6439</v>
      </c>
      <c r="B4800" s="2">
        <v>44513.581226851849</v>
      </c>
      <c r="C4800" s="2">
        <v>44513.591643518521</v>
      </c>
      <c r="D4800" t="s">
        <v>944</v>
      </c>
      <c r="E4800" t="s">
        <v>2270</v>
      </c>
      <c r="F4800" t="s">
        <v>2271</v>
      </c>
      <c r="G4800" t="s">
        <v>1325</v>
      </c>
      <c r="H4800" t="s">
        <v>1031</v>
      </c>
      <c r="I4800">
        <v>185349003</v>
      </c>
      <c r="J4800" t="s">
        <v>1038</v>
      </c>
      <c r="K4800">
        <v>85.55</v>
      </c>
      <c r="L4800">
        <v>85.55</v>
      </c>
      <c r="M4800">
        <v>85.55</v>
      </c>
      <c r="N4800">
        <v>16114001</v>
      </c>
      <c r="O4800" t="s">
        <v>1858</v>
      </c>
    </row>
    <row r="4801" spans="1:15">
      <c r="A4801" t="s">
        <v>6440</v>
      </c>
      <c r="B4801" s="2">
        <v>44665.594965277778</v>
      </c>
      <c r="C4801" s="2">
        <v>44665.619537037041</v>
      </c>
      <c r="D4801" t="s">
        <v>944</v>
      </c>
      <c r="E4801" t="s">
        <v>6404</v>
      </c>
      <c r="F4801" t="s">
        <v>6405</v>
      </c>
      <c r="G4801" t="s">
        <v>1325</v>
      </c>
      <c r="H4801" t="s">
        <v>1020</v>
      </c>
      <c r="I4801">
        <v>162673000</v>
      </c>
      <c r="J4801" t="s">
        <v>1021</v>
      </c>
      <c r="K4801">
        <v>136.80000000000001</v>
      </c>
      <c r="L4801">
        <v>849.22</v>
      </c>
      <c r="M4801">
        <v>0</v>
      </c>
      <c r="O4801" t="s">
        <v>34</v>
      </c>
    </row>
    <row r="4802" spans="1:15">
      <c r="A4802" t="s">
        <v>6441</v>
      </c>
      <c r="B4802" s="2">
        <v>44672.594965277778</v>
      </c>
      <c r="C4802" s="2">
        <v>44672.642465277779</v>
      </c>
      <c r="D4802" t="s">
        <v>944</v>
      </c>
      <c r="E4802" t="s">
        <v>2270</v>
      </c>
      <c r="F4802" t="s">
        <v>2271</v>
      </c>
      <c r="G4802" t="s">
        <v>1325</v>
      </c>
      <c r="H4802" t="s">
        <v>1031</v>
      </c>
      <c r="I4802">
        <v>185347001</v>
      </c>
      <c r="J4802" t="s">
        <v>1124</v>
      </c>
      <c r="K4802">
        <v>85.55</v>
      </c>
      <c r="L4802">
        <v>1059.1600000000001</v>
      </c>
      <c r="M4802">
        <v>0</v>
      </c>
      <c r="N4802">
        <v>271737000</v>
      </c>
      <c r="O4802" t="s">
        <v>1479</v>
      </c>
    </row>
    <row r="4803" spans="1:15">
      <c r="A4803" t="s">
        <v>6442</v>
      </c>
      <c r="B4803" s="2">
        <v>42267.111458333333</v>
      </c>
      <c r="C4803" s="2">
        <v>42267.121874999997</v>
      </c>
      <c r="D4803" t="s">
        <v>953</v>
      </c>
      <c r="E4803" t="s">
        <v>6443</v>
      </c>
      <c r="F4803" t="s">
        <v>6444</v>
      </c>
      <c r="G4803" t="s">
        <v>1561</v>
      </c>
      <c r="H4803" t="s">
        <v>1020</v>
      </c>
      <c r="I4803">
        <v>410620009</v>
      </c>
      <c r="J4803" t="s">
        <v>1054</v>
      </c>
      <c r="K4803">
        <v>136.80000000000001</v>
      </c>
      <c r="L4803">
        <v>568.20000000000005</v>
      </c>
      <c r="M4803">
        <v>0</v>
      </c>
      <c r="O4803" t="s">
        <v>34</v>
      </c>
    </row>
    <row r="4804" spans="1:15">
      <c r="A4804" t="s">
        <v>6445</v>
      </c>
      <c r="B4804" s="2">
        <v>42638.111458333333</v>
      </c>
      <c r="C4804" s="2">
        <v>42638.121874999997</v>
      </c>
      <c r="D4804" t="s">
        <v>953</v>
      </c>
      <c r="E4804" t="s">
        <v>6443</v>
      </c>
      <c r="F4804" t="s">
        <v>6444</v>
      </c>
      <c r="G4804" t="s">
        <v>1561</v>
      </c>
      <c r="H4804" t="s">
        <v>1020</v>
      </c>
      <c r="I4804">
        <v>410620009</v>
      </c>
      <c r="J4804" t="s">
        <v>1054</v>
      </c>
      <c r="K4804">
        <v>136.80000000000001</v>
      </c>
      <c r="L4804">
        <v>1463.9</v>
      </c>
      <c r="M4804">
        <v>0</v>
      </c>
      <c r="O4804" t="s">
        <v>34</v>
      </c>
    </row>
    <row r="4805" spans="1:15">
      <c r="A4805" t="s">
        <v>6446</v>
      </c>
      <c r="B4805" s="2">
        <v>45022.594965277778</v>
      </c>
      <c r="C4805" s="2">
        <v>45022.616736111115</v>
      </c>
      <c r="D4805" t="s">
        <v>944</v>
      </c>
      <c r="E4805" t="s">
        <v>2270</v>
      </c>
      <c r="F4805" t="s">
        <v>2271</v>
      </c>
      <c r="G4805" t="s">
        <v>1325</v>
      </c>
      <c r="H4805" t="s">
        <v>1043</v>
      </c>
      <c r="I4805">
        <v>185349003</v>
      </c>
      <c r="J4805" t="s">
        <v>1038</v>
      </c>
      <c r="K4805">
        <v>85.55</v>
      </c>
      <c r="L4805">
        <v>950.03</v>
      </c>
      <c r="M4805">
        <v>0</v>
      </c>
      <c r="O4805" t="s">
        <v>34</v>
      </c>
    </row>
    <row r="4806" spans="1:15">
      <c r="A4806" t="s">
        <v>6447</v>
      </c>
      <c r="B4806" s="2">
        <v>42645.111458333333</v>
      </c>
      <c r="C4806" s="2">
        <v>42645.273761574077</v>
      </c>
      <c r="D4806" t="s">
        <v>953</v>
      </c>
      <c r="E4806" t="s">
        <v>1057</v>
      </c>
      <c r="F4806" t="s">
        <v>1058</v>
      </c>
      <c r="G4806" t="s">
        <v>1561</v>
      </c>
      <c r="H4806" t="s">
        <v>1031</v>
      </c>
      <c r="I4806">
        <v>185349003</v>
      </c>
      <c r="J4806" t="s">
        <v>1038</v>
      </c>
      <c r="K4806">
        <v>85.55</v>
      </c>
      <c r="L4806">
        <v>3536.75</v>
      </c>
      <c r="M4806">
        <v>441.41</v>
      </c>
      <c r="N4806">
        <v>103697008</v>
      </c>
      <c r="O4806" t="s">
        <v>1039</v>
      </c>
    </row>
    <row r="4807" spans="1:15">
      <c r="A4807" t="s">
        <v>6448</v>
      </c>
      <c r="B4807" s="2">
        <v>45029.594965277778</v>
      </c>
      <c r="C4807" s="2">
        <v>45029.605381944442</v>
      </c>
      <c r="D4807" t="s">
        <v>944</v>
      </c>
      <c r="E4807" t="s">
        <v>2270</v>
      </c>
      <c r="F4807" t="s">
        <v>2271</v>
      </c>
      <c r="G4807" t="s">
        <v>1325</v>
      </c>
      <c r="H4807" t="s">
        <v>1031</v>
      </c>
      <c r="I4807">
        <v>185345009</v>
      </c>
      <c r="J4807" t="s">
        <v>1032</v>
      </c>
      <c r="K4807">
        <v>85.55</v>
      </c>
      <c r="L4807">
        <v>85.55</v>
      </c>
      <c r="M4807">
        <v>0</v>
      </c>
      <c r="N4807">
        <v>444814009</v>
      </c>
      <c r="O4807" t="s">
        <v>1035</v>
      </c>
    </row>
    <row r="4808" spans="1:15">
      <c r="A4808" t="s">
        <v>6449</v>
      </c>
      <c r="B4808" s="2">
        <v>45036.594965277778</v>
      </c>
      <c r="C4808" s="2">
        <v>45036.618611111109</v>
      </c>
      <c r="D4808" t="s">
        <v>944</v>
      </c>
      <c r="E4808" t="s">
        <v>6404</v>
      </c>
      <c r="F4808" t="s">
        <v>6405</v>
      </c>
      <c r="G4808" t="s">
        <v>1325</v>
      </c>
      <c r="H4808" t="s">
        <v>1020</v>
      </c>
      <c r="I4808">
        <v>162673000</v>
      </c>
      <c r="J4808" t="s">
        <v>1021</v>
      </c>
      <c r="K4808">
        <v>136.80000000000001</v>
      </c>
      <c r="L4808">
        <v>649.58000000000004</v>
      </c>
      <c r="M4808">
        <v>0</v>
      </c>
      <c r="O4808" t="s">
        <v>34</v>
      </c>
    </row>
    <row r="4809" spans="1:15">
      <c r="A4809" t="s">
        <v>6450</v>
      </c>
      <c r="B4809" s="2">
        <v>43009.111458333333</v>
      </c>
      <c r="C4809" s="2">
        <v>43009.121874999997</v>
      </c>
      <c r="D4809" t="s">
        <v>953</v>
      </c>
      <c r="E4809" t="s">
        <v>6443</v>
      </c>
      <c r="F4809" t="s">
        <v>6444</v>
      </c>
      <c r="G4809" t="s">
        <v>1561</v>
      </c>
      <c r="H4809" t="s">
        <v>1020</v>
      </c>
      <c r="I4809">
        <v>410620009</v>
      </c>
      <c r="J4809" t="s">
        <v>1054</v>
      </c>
      <c r="K4809">
        <v>136.80000000000001</v>
      </c>
      <c r="L4809">
        <v>347.38</v>
      </c>
      <c r="M4809">
        <v>0</v>
      </c>
      <c r="O4809" t="s">
        <v>34</v>
      </c>
    </row>
    <row r="4810" spans="1:15">
      <c r="A4810" t="s">
        <v>6451</v>
      </c>
      <c r="B4810" s="2">
        <v>43380.111458333333</v>
      </c>
      <c r="C4810" s="2">
        <v>43380.121874999997</v>
      </c>
      <c r="D4810" t="s">
        <v>953</v>
      </c>
      <c r="E4810" t="s">
        <v>6443</v>
      </c>
      <c r="F4810" t="s">
        <v>6444</v>
      </c>
      <c r="G4810" t="s">
        <v>1561</v>
      </c>
      <c r="H4810" t="s">
        <v>1020</v>
      </c>
      <c r="I4810">
        <v>410620009</v>
      </c>
      <c r="J4810" t="s">
        <v>1054</v>
      </c>
      <c r="K4810">
        <v>136.80000000000001</v>
      </c>
      <c r="L4810">
        <v>704.2</v>
      </c>
      <c r="M4810">
        <v>0</v>
      </c>
      <c r="O4810" t="s">
        <v>34</v>
      </c>
    </row>
    <row r="4811" spans="1:15">
      <c r="A4811" t="s">
        <v>6452</v>
      </c>
      <c r="B4811" s="2">
        <v>43387.111458333333</v>
      </c>
      <c r="C4811" s="2">
        <v>43387.261087962965</v>
      </c>
      <c r="D4811" t="s">
        <v>953</v>
      </c>
      <c r="E4811" t="s">
        <v>1057</v>
      </c>
      <c r="F4811" t="s">
        <v>1058</v>
      </c>
      <c r="G4811" t="s">
        <v>1561</v>
      </c>
      <c r="H4811" t="s">
        <v>1031</v>
      </c>
      <c r="I4811">
        <v>185349003</v>
      </c>
      <c r="J4811" t="s">
        <v>1038</v>
      </c>
      <c r="K4811">
        <v>85.55</v>
      </c>
      <c r="L4811">
        <v>3105.35</v>
      </c>
      <c r="M4811">
        <v>0</v>
      </c>
      <c r="N4811">
        <v>103697008</v>
      </c>
      <c r="O4811" t="s">
        <v>1039</v>
      </c>
    </row>
    <row r="4812" spans="1:15">
      <c r="A4812" t="s">
        <v>6453</v>
      </c>
      <c r="B4812" s="2">
        <v>43751.111458333333</v>
      </c>
      <c r="C4812" s="2">
        <v>43751.121874999997</v>
      </c>
      <c r="D4812" t="s">
        <v>953</v>
      </c>
      <c r="E4812" t="s">
        <v>6443</v>
      </c>
      <c r="F4812" t="s">
        <v>6444</v>
      </c>
      <c r="G4812" t="s">
        <v>1561</v>
      </c>
      <c r="H4812" t="s">
        <v>1020</v>
      </c>
      <c r="I4812">
        <v>410620009</v>
      </c>
      <c r="J4812" t="s">
        <v>1054</v>
      </c>
      <c r="K4812">
        <v>136.80000000000001</v>
      </c>
      <c r="L4812">
        <v>272.8</v>
      </c>
      <c r="M4812">
        <v>0</v>
      </c>
      <c r="O4812" t="s">
        <v>34</v>
      </c>
    </row>
    <row r="4813" spans="1:15">
      <c r="A4813" t="s">
        <v>6454</v>
      </c>
      <c r="B4813" s="2">
        <v>44122.111458333333</v>
      </c>
      <c r="C4813" s="2">
        <v>44122.121874999997</v>
      </c>
      <c r="D4813" t="s">
        <v>953</v>
      </c>
      <c r="E4813" t="s">
        <v>6443</v>
      </c>
      <c r="F4813" t="s">
        <v>6444</v>
      </c>
      <c r="G4813" t="s">
        <v>1561</v>
      </c>
      <c r="H4813" t="s">
        <v>1020</v>
      </c>
      <c r="I4813">
        <v>410620009</v>
      </c>
      <c r="J4813" t="s">
        <v>1054</v>
      </c>
      <c r="K4813">
        <v>136.80000000000001</v>
      </c>
      <c r="L4813">
        <v>488.5</v>
      </c>
      <c r="M4813">
        <v>0</v>
      </c>
      <c r="O4813" t="s">
        <v>34</v>
      </c>
    </row>
    <row r="4814" spans="1:15">
      <c r="A4814" t="s">
        <v>6455</v>
      </c>
      <c r="B4814" s="2">
        <v>44493.111458333333</v>
      </c>
      <c r="C4814" s="2">
        <v>44493.121874999997</v>
      </c>
      <c r="D4814" t="s">
        <v>953</v>
      </c>
      <c r="E4814" t="s">
        <v>6443</v>
      </c>
      <c r="F4814" t="s">
        <v>6444</v>
      </c>
      <c r="G4814" t="s">
        <v>1561</v>
      </c>
      <c r="H4814" t="s">
        <v>1020</v>
      </c>
      <c r="I4814">
        <v>410620009</v>
      </c>
      <c r="J4814" t="s">
        <v>1054</v>
      </c>
      <c r="K4814">
        <v>136.80000000000001</v>
      </c>
      <c r="L4814">
        <v>272.8</v>
      </c>
      <c r="M4814">
        <v>0</v>
      </c>
      <c r="O4814" t="s">
        <v>34</v>
      </c>
    </row>
    <row r="4815" spans="1:15">
      <c r="A4815" t="s">
        <v>6456</v>
      </c>
      <c r="B4815" s="2">
        <v>44864.111458333333</v>
      </c>
      <c r="C4815" s="2">
        <v>44864.121874999997</v>
      </c>
      <c r="D4815" t="s">
        <v>953</v>
      </c>
      <c r="E4815" t="s">
        <v>6443</v>
      </c>
      <c r="F4815" t="s">
        <v>6444</v>
      </c>
      <c r="G4815" t="s">
        <v>1561</v>
      </c>
      <c r="H4815" t="s">
        <v>1020</v>
      </c>
      <c r="I4815">
        <v>410620009</v>
      </c>
      <c r="J4815" t="s">
        <v>1054</v>
      </c>
      <c r="K4815">
        <v>136.80000000000001</v>
      </c>
      <c r="L4815">
        <v>1186.78</v>
      </c>
      <c r="M4815">
        <v>0</v>
      </c>
      <c r="O4815" t="s">
        <v>34</v>
      </c>
    </row>
    <row r="4816" spans="1:15">
      <c r="A4816" t="s">
        <v>6457</v>
      </c>
      <c r="B4816" s="2">
        <v>44871.069791666669</v>
      </c>
      <c r="C4816" s="2">
        <v>44871.192349537036</v>
      </c>
      <c r="D4816" t="s">
        <v>953</v>
      </c>
      <c r="E4816" t="s">
        <v>1057</v>
      </c>
      <c r="F4816" t="s">
        <v>1058</v>
      </c>
      <c r="G4816" t="s">
        <v>1561</v>
      </c>
      <c r="H4816" t="s">
        <v>1031</v>
      </c>
      <c r="I4816">
        <v>185349003</v>
      </c>
      <c r="J4816" t="s">
        <v>1038</v>
      </c>
      <c r="K4816">
        <v>85.55</v>
      </c>
      <c r="L4816">
        <v>3536.75</v>
      </c>
      <c r="M4816">
        <v>247.43</v>
      </c>
      <c r="N4816">
        <v>103697008</v>
      </c>
      <c r="O4816" t="s">
        <v>1039</v>
      </c>
    </row>
    <row r="4817" spans="1:15">
      <c r="A4817" t="s">
        <v>6458</v>
      </c>
      <c r="B4817" s="2">
        <v>45235.069791666669</v>
      </c>
      <c r="C4817" s="2">
        <v>45235.085300925923</v>
      </c>
      <c r="D4817" t="s">
        <v>953</v>
      </c>
      <c r="E4817" t="s">
        <v>6443</v>
      </c>
      <c r="F4817" t="s">
        <v>6444</v>
      </c>
      <c r="G4817" t="s">
        <v>1561</v>
      </c>
      <c r="H4817" t="s">
        <v>1020</v>
      </c>
      <c r="I4817">
        <v>410620009</v>
      </c>
      <c r="J4817" t="s">
        <v>1054</v>
      </c>
      <c r="K4817">
        <v>136.80000000000001</v>
      </c>
      <c r="L4817">
        <v>840.2</v>
      </c>
      <c r="M4817">
        <v>0</v>
      </c>
      <c r="O4817" t="s">
        <v>34</v>
      </c>
    </row>
    <row r="4818" spans="1:15">
      <c r="A4818" t="s">
        <v>6459</v>
      </c>
      <c r="B4818" s="2">
        <v>45127.594965277778</v>
      </c>
      <c r="C4818" s="2">
        <v>45127.605381944442</v>
      </c>
      <c r="D4818" t="s">
        <v>944</v>
      </c>
      <c r="E4818" t="s">
        <v>2270</v>
      </c>
      <c r="F4818" t="s">
        <v>2271</v>
      </c>
      <c r="G4818" t="s">
        <v>1325</v>
      </c>
      <c r="H4818" t="s">
        <v>1031</v>
      </c>
      <c r="I4818">
        <v>424441002</v>
      </c>
      <c r="J4818" t="s">
        <v>1059</v>
      </c>
      <c r="K4818">
        <v>142.58000000000001</v>
      </c>
      <c r="L4818">
        <v>44439.68</v>
      </c>
      <c r="M4818">
        <v>24201.94</v>
      </c>
      <c r="N4818">
        <v>72892002</v>
      </c>
      <c r="O4818" t="s">
        <v>1060</v>
      </c>
    </row>
    <row r="4819" spans="1:15">
      <c r="A4819" t="s">
        <v>6460</v>
      </c>
      <c r="B4819" s="2">
        <v>45256.069791666669</v>
      </c>
      <c r="C4819" s="2">
        <v>45256.080208333333</v>
      </c>
      <c r="D4819" t="s">
        <v>953</v>
      </c>
      <c r="E4819" t="s">
        <v>1057</v>
      </c>
      <c r="F4819" t="s">
        <v>1058</v>
      </c>
      <c r="G4819" t="s">
        <v>1561</v>
      </c>
      <c r="H4819" t="s">
        <v>1043</v>
      </c>
      <c r="I4819">
        <v>33879002</v>
      </c>
      <c r="J4819" t="s">
        <v>1044</v>
      </c>
      <c r="K4819">
        <v>142.58000000000001</v>
      </c>
      <c r="L4819">
        <v>278.58</v>
      </c>
      <c r="M4819">
        <v>0</v>
      </c>
      <c r="O4819" t="s">
        <v>34</v>
      </c>
    </row>
    <row r="4820" spans="1:15">
      <c r="A4820" t="s">
        <v>6461</v>
      </c>
      <c r="B4820" s="2">
        <v>45277.069791666669</v>
      </c>
      <c r="C4820" s="2">
        <v>45277.080208333333</v>
      </c>
      <c r="D4820" t="s">
        <v>953</v>
      </c>
      <c r="E4820" t="s">
        <v>1057</v>
      </c>
      <c r="F4820" t="s">
        <v>1058</v>
      </c>
      <c r="G4820" t="s">
        <v>1561</v>
      </c>
      <c r="H4820" t="s">
        <v>1043</v>
      </c>
      <c r="I4820">
        <v>33879002</v>
      </c>
      <c r="J4820" t="s">
        <v>1044</v>
      </c>
      <c r="K4820">
        <v>142.58000000000001</v>
      </c>
      <c r="L4820">
        <v>278.58</v>
      </c>
      <c r="M4820">
        <v>0</v>
      </c>
      <c r="O4820" t="s">
        <v>34</v>
      </c>
    </row>
    <row r="4821" spans="1:15">
      <c r="A4821" t="s">
        <v>6462</v>
      </c>
      <c r="B4821" s="2">
        <v>45587.278124999997</v>
      </c>
      <c r="C4821" s="2">
        <v>45587.288541666669</v>
      </c>
      <c r="D4821" t="s">
        <v>953</v>
      </c>
      <c r="E4821" t="s">
        <v>1057</v>
      </c>
      <c r="F4821" t="s">
        <v>1058</v>
      </c>
      <c r="G4821" t="s">
        <v>1561</v>
      </c>
      <c r="H4821" t="s">
        <v>1031</v>
      </c>
      <c r="I4821">
        <v>185345009</v>
      </c>
      <c r="J4821" t="s">
        <v>1032</v>
      </c>
      <c r="K4821">
        <v>85.55</v>
      </c>
      <c r="L4821">
        <v>3536.75</v>
      </c>
      <c r="M4821">
        <v>0</v>
      </c>
      <c r="N4821">
        <v>195662009</v>
      </c>
      <c r="O4821" t="s">
        <v>1130</v>
      </c>
    </row>
    <row r="4822" spans="1:15">
      <c r="A4822" t="s">
        <v>6463</v>
      </c>
      <c r="B4822" s="2">
        <v>45606.069791666669</v>
      </c>
      <c r="C4822" s="2">
        <v>45606.085810185185</v>
      </c>
      <c r="D4822" t="s">
        <v>953</v>
      </c>
      <c r="E4822" t="s">
        <v>6443</v>
      </c>
      <c r="F4822" t="s">
        <v>6444</v>
      </c>
      <c r="G4822" t="s">
        <v>1561</v>
      </c>
      <c r="H4822" t="s">
        <v>1020</v>
      </c>
      <c r="I4822">
        <v>410620009</v>
      </c>
      <c r="J4822" t="s">
        <v>1054</v>
      </c>
      <c r="K4822">
        <v>136.80000000000001</v>
      </c>
      <c r="L4822">
        <v>840.2</v>
      </c>
      <c r="M4822">
        <v>0</v>
      </c>
      <c r="O4822" t="s">
        <v>34</v>
      </c>
    </row>
    <row r="4823" spans="1:15">
      <c r="A4823" t="s">
        <v>6464</v>
      </c>
      <c r="B4823" s="2">
        <v>45620.069791666669</v>
      </c>
      <c r="C4823" s="2">
        <v>45620.198599537034</v>
      </c>
      <c r="D4823" t="s">
        <v>953</v>
      </c>
      <c r="E4823" t="s">
        <v>1057</v>
      </c>
      <c r="F4823" t="s">
        <v>1058</v>
      </c>
      <c r="G4823" t="s">
        <v>1561</v>
      </c>
      <c r="H4823" t="s">
        <v>1031</v>
      </c>
      <c r="I4823">
        <v>185349003</v>
      </c>
      <c r="J4823" t="s">
        <v>1038</v>
      </c>
      <c r="K4823">
        <v>85.55</v>
      </c>
      <c r="L4823">
        <v>3105.35</v>
      </c>
      <c r="M4823">
        <v>2087.61</v>
      </c>
      <c r="N4823">
        <v>66383009</v>
      </c>
      <c r="O4823" t="s">
        <v>1209</v>
      </c>
    </row>
    <row r="4824" spans="1:15">
      <c r="A4824" t="s">
        <v>6465</v>
      </c>
      <c r="B4824" s="2">
        <v>45945.111458333333</v>
      </c>
      <c r="C4824" s="2">
        <v>45945.121874999997</v>
      </c>
      <c r="D4824" t="s">
        <v>953</v>
      </c>
      <c r="E4824" t="s">
        <v>1057</v>
      </c>
      <c r="F4824" t="s">
        <v>1058</v>
      </c>
      <c r="G4824" t="s">
        <v>1561</v>
      </c>
      <c r="H4824" t="s">
        <v>1043</v>
      </c>
      <c r="I4824">
        <v>698314001</v>
      </c>
      <c r="J4824" t="s">
        <v>1190</v>
      </c>
      <c r="K4824">
        <v>142.58000000000001</v>
      </c>
      <c r="L4824">
        <v>142.58000000000001</v>
      </c>
      <c r="M4824">
        <v>99.81</v>
      </c>
      <c r="N4824">
        <v>389095005</v>
      </c>
      <c r="O4824" t="s">
        <v>1191</v>
      </c>
    </row>
    <row r="4825" spans="1:15">
      <c r="A4825" t="s">
        <v>6466</v>
      </c>
      <c r="B4825" s="2">
        <v>45155.594965277778</v>
      </c>
      <c r="C4825" s="2">
        <v>45155.605381944442</v>
      </c>
      <c r="D4825" t="s">
        <v>944</v>
      </c>
      <c r="E4825" t="s">
        <v>2270</v>
      </c>
      <c r="F4825" t="s">
        <v>2271</v>
      </c>
      <c r="G4825" t="s">
        <v>1325</v>
      </c>
      <c r="H4825" t="s">
        <v>1031</v>
      </c>
      <c r="I4825">
        <v>424619006</v>
      </c>
      <c r="J4825" t="s">
        <v>1062</v>
      </c>
      <c r="K4825">
        <v>142.58000000000001</v>
      </c>
      <c r="L4825">
        <v>18564.09</v>
      </c>
      <c r="M4825">
        <v>18564.09</v>
      </c>
      <c r="N4825">
        <v>72892002</v>
      </c>
      <c r="O4825" t="s">
        <v>1060</v>
      </c>
    </row>
    <row r="4826" spans="1:15">
      <c r="A4826" t="s">
        <v>6467</v>
      </c>
      <c r="B4826" s="2">
        <v>45977.069791666669</v>
      </c>
      <c r="C4826" s="2">
        <v>45977.089918981481</v>
      </c>
      <c r="D4826" t="s">
        <v>953</v>
      </c>
      <c r="E4826" t="s">
        <v>6443</v>
      </c>
      <c r="F4826" t="s">
        <v>6444</v>
      </c>
      <c r="G4826" t="s">
        <v>1561</v>
      </c>
      <c r="H4826" t="s">
        <v>1020</v>
      </c>
      <c r="I4826">
        <v>410620009</v>
      </c>
      <c r="J4826" t="s">
        <v>1054</v>
      </c>
      <c r="K4826">
        <v>136.80000000000001</v>
      </c>
      <c r="L4826">
        <v>704.2</v>
      </c>
      <c r="M4826">
        <v>0</v>
      </c>
      <c r="O4826" t="s">
        <v>34</v>
      </c>
    </row>
    <row r="4827" spans="1:15">
      <c r="A4827" t="s">
        <v>6468</v>
      </c>
      <c r="B4827" s="2">
        <v>45183.594965277778</v>
      </c>
      <c r="C4827" s="2">
        <v>45183.605381944442</v>
      </c>
      <c r="D4827" t="s">
        <v>944</v>
      </c>
      <c r="E4827" t="s">
        <v>2270</v>
      </c>
      <c r="F4827" t="s">
        <v>2271</v>
      </c>
      <c r="G4827" t="s">
        <v>1325</v>
      </c>
      <c r="H4827" t="s">
        <v>1031</v>
      </c>
      <c r="I4827">
        <v>424619006</v>
      </c>
      <c r="J4827" t="s">
        <v>1062</v>
      </c>
      <c r="K4827">
        <v>142.58000000000001</v>
      </c>
      <c r="L4827">
        <v>14160.53</v>
      </c>
      <c r="M4827">
        <v>14160.53</v>
      </c>
      <c r="N4827">
        <v>72892002</v>
      </c>
      <c r="O4827" t="s">
        <v>1060</v>
      </c>
    </row>
    <row r="4828" spans="1:15">
      <c r="A4828" t="s">
        <v>6469</v>
      </c>
      <c r="B4828" s="2">
        <v>45211.594965277778</v>
      </c>
      <c r="C4828" s="2">
        <v>45211.605381944442</v>
      </c>
      <c r="D4828" t="s">
        <v>944</v>
      </c>
      <c r="E4828" t="s">
        <v>2270</v>
      </c>
      <c r="F4828" t="s">
        <v>2271</v>
      </c>
      <c r="G4828" t="s">
        <v>1325</v>
      </c>
      <c r="H4828" t="s">
        <v>1031</v>
      </c>
      <c r="I4828">
        <v>424619006</v>
      </c>
      <c r="J4828" t="s">
        <v>1062</v>
      </c>
      <c r="K4828">
        <v>142.58000000000001</v>
      </c>
      <c r="L4828">
        <v>4665.96</v>
      </c>
      <c r="M4828">
        <v>4665.96</v>
      </c>
      <c r="N4828">
        <v>72892002</v>
      </c>
      <c r="O4828" t="s">
        <v>1060</v>
      </c>
    </row>
    <row r="4829" spans="1:15">
      <c r="A4829" t="s">
        <v>6470</v>
      </c>
      <c r="B4829" s="2">
        <v>46192.111458333333</v>
      </c>
      <c r="C4829" s="2">
        <v>46192.153124999997</v>
      </c>
      <c r="D4829" t="s">
        <v>953</v>
      </c>
      <c r="E4829" t="s">
        <v>6471</v>
      </c>
      <c r="F4829" t="s">
        <v>6472</v>
      </c>
      <c r="G4829" t="s">
        <v>1561</v>
      </c>
      <c r="H4829" t="s">
        <v>1076</v>
      </c>
      <c r="I4829">
        <v>50849002</v>
      </c>
      <c r="J4829" t="s">
        <v>1163</v>
      </c>
      <c r="K4829">
        <v>146.18</v>
      </c>
      <c r="L4829">
        <v>577.58000000000004</v>
      </c>
      <c r="M4829">
        <v>0</v>
      </c>
      <c r="N4829">
        <v>125601008</v>
      </c>
      <c r="O4829" t="s">
        <v>6473</v>
      </c>
    </row>
    <row r="4830" spans="1:15">
      <c r="A4830" t="s">
        <v>6474</v>
      </c>
      <c r="B4830" s="2">
        <v>45239.553298611114</v>
      </c>
      <c r="C4830" s="2">
        <v>45239.563715277778</v>
      </c>
      <c r="D4830" t="s">
        <v>944</v>
      </c>
      <c r="E4830" t="s">
        <v>2270</v>
      </c>
      <c r="F4830" t="s">
        <v>2271</v>
      </c>
      <c r="G4830" t="s">
        <v>1325</v>
      </c>
      <c r="H4830" t="s">
        <v>1031</v>
      </c>
      <c r="I4830">
        <v>424619006</v>
      </c>
      <c r="J4830" t="s">
        <v>1062</v>
      </c>
      <c r="K4830">
        <v>142.58000000000001</v>
      </c>
      <c r="L4830">
        <v>5094.8999999999996</v>
      </c>
      <c r="M4830">
        <v>5094.8999999999996</v>
      </c>
      <c r="N4830">
        <v>72892002</v>
      </c>
      <c r="O4830" t="s">
        <v>1060</v>
      </c>
    </row>
    <row r="4831" spans="1:15">
      <c r="A4831" t="s">
        <v>6475</v>
      </c>
      <c r="B4831" s="2">
        <v>45267.553298611114</v>
      </c>
      <c r="C4831" s="2">
        <v>45267.563715277778</v>
      </c>
      <c r="D4831" t="s">
        <v>944</v>
      </c>
      <c r="E4831" t="s">
        <v>2270</v>
      </c>
      <c r="F4831" t="s">
        <v>2271</v>
      </c>
      <c r="G4831" t="s">
        <v>1325</v>
      </c>
      <c r="H4831" t="s">
        <v>1031</v>
      </c>
      <c r="I4831">
        <v>424619006</v>
      </c>
      <c r="J4831" t="s">
        <v>1062</v>
      </c>
      <c r="K4831">
        <v>142.58000000000001</v>
      </c>
      <c r="L4831">
        <v>23792.799999999999</v>
      </c>
      <c r="M4831">
        <v>23792.799999999999</v>
      </c>
      <c r="N4831">
        <v>72892002</v>
      </c>
      <c r="O4831" t="s">
        <v>1060</v>
      </c>
    </row>
    <row r="4832" spans="1:15">
      <c r="A4832" t="s">
        <v>6476</v>
      </c>
      <c r="B4832" s="2">
        <v>45295.553298611114</v>
      </c>
      <c r="C4832" s="2">
        <v>45295.563715277778</v>
      </c>
      <c r="D4832" t="s">
        <v>944</v>
      </c>
      <c r="E4832" t="s">
        <v>2270</v>
      </c>
      <c r="F4832" t="s">
        <v>2271</v>
      </c>
      <c r="G4832" t="s">
        <v>1325</v>
      </c>
      <c r="H4832" t="s">
        <v>1031</v>
      </c>
      <c r="I4832">
        <v>424619006</v>
      </c>
      <c r="J4832" t="s">
        <v>1062</v>
      </c>
      <c r="K4832">
        <v>142.58000000000001</v>
      </c>
      <c r="L4832">
        <v>7923.92</v>
      </c>
      <c r="M4832">
        <v>1097.95</v>
      </c>
      <c r="N4832">
        <v>72892002</v>
      </c>
      <c r="O4832" t="s">
        <v>1060</v>
      </c>
    </row>
    <row r="4833" spans="1:15">
      <c r="A4833" t="s">
        <v>6477</v>
      </c>
      <c r="B4833" s="2">
        <v>45323.553298611114</v>
      </c>
      <c r="C4833" s="2">
        <v>45323.563715277778</v>
      </c>
      <c r="D4833" t="s">
        <v>944</v>
      </c>
      <c r="E4833" t="s">
        <v>2270</v>
      </c>
      <c r="F4833" t="s">
        <v>2271</v>
      </c>
      <c r="G4833" t="s">
        <v>1325</v>
      </c>
      <c r="H4833" t="s">
        <v>1031</v>
      </c>
      <c r="I4833">
        <v>424619006</v>
      </c>
      <c r="J4833" t="s">
        <v>1062</v>
      </c>
      <c r="K4833">
        <v>142.58000000000001</v>
      </c>
      <c r="L4833">
        <v>12313.82</v>
      </c>
      <c r="M4833">
        <v>7388.29</v>
      </c>
      <c r="N4833">
        <v>72892002</v>
      </c>
      <c r="O4833" t="s">
        <v>1060</v>
      </c>
    </row>
    <row r="4834" spans="1:15">
      <c r="A4834" t="s">
        <v>6478</v>
      </c>
      <c r="B4834" s="2">
        <v>45337.553298611114</v>
      </c>
      <c r="C4834" s="2">
        <v>45337.563715277778</v>
      </c>
      <c r="D4834" t="s">
        <v>944</v>
      </c>
      <c r="E4834" t="s">
        <v>2270</v>
      </c>
      <c r="F4834" t="s">
        <v>2271</v>
      </c>
      <c r="G4834" t="s">
        <v>1325</v>
      </c>
      <c r="H4834" t="s">
        <v>1031</v>
      </c>
      <c r="I4834">
        <v>424619006</v>
      </c>
      <c r="J4834" t="s">
        <v>1062</v>
      </c>
      <c r="K4834">
        <v>142.58000000000001</v>
      </c>
      <c r="L4834">
        <v>11451.02</v>
      </c>
      <c r="M4834">
        <v>11451.02</v>
      </c>
      <c r="N4834">
        <v>72892002</v>
      </c>
      <c r="O4834" t="s">
        <v>1060</v>
      </c>
    </row>
    <row r="4835" spans="1:15">
      <c r="A4835" t="s">
        <v>6479</v>
      </c>
      <c r="B4835" s="2">
        <v>45344.553298611114</v>
      </c>
      <c r="C4835" s="2">
        <v>45344.594965277778</v>
      </c>
      <c r="D4835" t="s">
        <v>944</v>
      </c>
      <c r="E4835" t="s">
        <v>6425</v>
      </c>
      <c r="F4835" t="s">
        <v>6426</v>
      </c>
      <c r="G4835" t="s">
        <v>1325</v>
      </c>
      <c r="H4835" t="s">
        <v>1076</v>
      </c>
      <c r="I4835">
        <v>183460006</v>
      </c>
      <c r="J4835" t="s">
        <v>1077</v>
      </c>
      <c r="K4835">
        <v>146.18</v>
      </c>
      <c r="L4835">
        <v>1440.38</v>
      </c>
      <c r="M4835">
        <v>1440.38</v>
      </c>
      <c r="N4835">
        <v>72892002</v>
      </c>
      <c r="O4835" t="s">
        <v>1060</v>
      </c>
    </row>
    <row r="4836" spans="1:15">
      <c r="A4836" t="s">
        <v>6480</v>
      </c>
      <c r="B4836" s="2">
        <v>45386.594965277778</v>
      </c>
      <c r="C4836" s="2">
        <v>45386.605381944442</v>
      </c>
      <c r="D4836" t="s">
        <v>944</v>
      </c>
      <c r="E4836" t="s">
        <v>2270</v>
      </c>
      <c r="F4836" t="s">
        <v>2271</v>
      </c>
      <c r="G4836" t="s">
        <v>1325</v>
      </c>
      <c r="H4836" t="s">
        <v>1031</v>
      </c>
      <c r="I4836">
        <v>169762003</v>
      </c>
      <c r="J4836" t="s">
        <v>1079</v>
      </c>
      <c r="K4836">
        <v>142.58000000000001</v>
      </c>
      <c r="L4836">
        <v>2113.65</v>
      </c>
      <c r="M4836">
        <v>2113.65</v>
      </c>
      <c r="O4836" t="s">
        <v>34</v>
      </c>
    </row>
    <row r="4837" spans="1:15">
      <c r="A4837" t="s">
        <v>6481</v>
      </c>
      <c r="B4837" s="2">
        <v>45407.594965277778</v>
      </c>
      <c r="C4837" s="2">
        <v>45407.619340277779</v>
      </c>
      <c r="D4837" t="s">
        <v>944</v>
      </c>
      <c r="E4837" t="s">
        <v>6404</v>
      </c>
      <c r="F4837" t="s">
        <v>6405</v>
      </c>
      <c r="G4837" t="s">
        <v>1325</v>
      </c>
      <c r="H4837" t="s">
        <v>1020</v>
      </c>
      <c r="I4837">
        <v>162673000</v>
      </c>
      <c r="J4837" t="s">
        <v>1021</v>
      </c>
      <c r="K4837">
        <v>136.80000000000001</v>
      </c>
      <c r="L4837">
        <v>1454.43</v>
      </c>
      <c r="M4837">
        <v>1454.43</v>
      </c>
      <c r="O4837" t="s">
        <v>34</v>
      </c>
    </row>
    <row r="4838" spans="1:15">
      <c r="A4838" t="s">
        <v>6482</v>
      </c>
      <c r="B4838" s="2">
        <v>45477.594965277778</v>
      </c>
      <c r="C4838" s="2">
        <v>45477.605381944442</v>
      </c>
      <c r="D4838" t="s">
        <v>944</v>
      </c>
      <c r="E4838" t="s">
        <v>2270</v>
      </c>
      <c r="F4838" t="s">
        <v>2271</v>
      </c>
      <c r="G4838" t="s">
        <v>1325</v>
      </c>
      <c r="H4838" t="s">
        <v>1031</v>
      </c>
      <c r="I4838">
        <v>424441002</v>
      </c>
      <c r="J4838" t="s">
        <v>1059</v>
      </c>
      <c r="K4838">
        <v>142.58000000000001</v>
      </c>
      <c r="L4838">
        <v>37569.699999999997</v>
      </c>
      <c r="M4838">
        <v>37569.699999999997</v>
      </c>
      <c r="N4838">
        <v>72892002</v>
      </c>
      <c r="O4838" t="s">
        <v>1060</v>
      </c>
    </row>
    <row r="4839" spans="1:15">
      <c r="A4839" t="s">
        <v>6483</v>
      </c>
      <c r="B4839" s="2">
        <v>45505.594965277778</v>
      </c>
      <c r="C4839" s="2">
        <v>45505.605381944442</v>
      </c>
      <c r="D4839" t="s">
        <v>944</v>
      </c>
      <c r="E4839" t="s">
        <v>2270</v>
      </c>
      <c r="F4839" t="s">
        <v>2271</v>
      </c>
      <c r="G4839" t="s">
        <v>1325</v>
      </c>
      <c r="H4839" t="s">
        <v>1031</v>
      </c>
      <c r="I4839">
        <v>424619006</v>
      </c>
      <c r="J4839" t="s">
        <v>1062</v>
      </c>
      <c r="K4839">
        <v>142.58000000000001</v>
      </c>
      <c r="L4839">
        <v>9149</v>
      </c>
      <c r="M4839">
        <v>9149</v>
      </c>
      <c r="N4839">
        <v>72892002</v>
      </c>
      <c r="O4839" t="s">
        <v>1060</v>
      </c>
    </row>
    <row r="4840" spans="1:15">
      <c r="A4840" t="s">
        <v>6484</v>
      </c>
      <c r="B4840" s="2">
        <v>45533.594965277778</v>
      </c>
      <c r="C4840" s="2">
        <v>45533.605381944442</v>
      </c>
      <c r="D4840" t="s">
        <v>944</v>
      </c>
      <c r="E4840" t="s">
        <v>2270</v>
      </c>
      <c r="F4840" t="s">
        <v>2271</v>
      </c>
      <c r="G4840" t="s">
        <v>1325</v>
      </c>
      <c r="H4840" t="s">
        <v>1031</v>
      </c>
      <c r="I4840">
        <v>424619006</v>
      </c>
      <c r="J4840" t="s">
        <v>1062</v>
      </c>
      <c r="K4840">
        <v>142.58000000000001</v>
      </c>
      <c r="L4840">
        <v>13020.51</v>
      </c>
      <c r="M4840">
        <v>13020.51</v>
      </c>
      <c r="N4840">
        <v>72892002</v>
      </c>
      <c r="O4840" t="s">
        <v>1060</v>
      </c>
    </row>
    <row r="4841" spans="1:15">
      <c r="A4841" t="s">
        <v>6485</v>
      </c>
      <c r="B4841" s="2">
        <v>45561.594965277778</v>
      </c>
      <c r="C4841" s="2">
        <v>45561.605381944442</v>
      </c>
      <c r="D4841" t="s">
        <v>944</v>
      </c>
      <c r="E4841" t="s">
        <v>2270</v>
      </c>
      <c r="F4841" t="s">
        <v>2271</v>
      </c>
      <c r="G4841" t="s">
        <v>1325</v>
      </c>
      <c r="H4841" t="s">
        <v>1031</v>
      </c>
      <c r="I4841">
        <v>424619006</v>
      </c>
      <c r="J4841" t="s">
        <v>1062</v>
      </c>
      <c r="K4841">
        <v>142.58000000000001</v>
      </c>
      <c r="L4841">
        <v>11086.31</v>
      </c>
      <c r="M4841">
        <v>11086.31</v>
      </c>
      <c r="N4841">
        <v>72892002</v>
      </c>
      <c r="O4841" t="s">
        <v>1060</v>
      </c>
    </row>
    <row r="4842" spans="1:15">
      <c r="A4842" t="s">
        <v>6486</v>
      </c>
      <c r="B4842" s="2">
        <v>45589.594965277778</v>
      </c>
      <c r="C4842" s="2">
        <v>45589.605381944442</v>
      </c>
      <c r="D4842" t="s">
        <v>944</v>
      </c>
      <c r="E4842" t="s">
        <v>2270</v>
      </c>
      <c r="F4842" t="s">
        <v>2271</v>
      </c>
      <c r="G4842" t="s">
        <v>1325</v>
      </c>
      <c r="H4842" t="s">
        <v>1031</v>
      </c>
      <c r="I4842">
        <v>424619006</v>
      </c>
      <c r="J4842" t="s">
        <v>1062</v>
      </c>
      <c r="K4842">
        <v>142.58000000000001</v>
      </c>
      <c r="L4842">
        <v>4665.96</v>
      </c>
      <c r="M4842">
        <v>4665.96</v>
      </c>
      <c r="N4842">
        <v>72892002</v>
      </c>
      <c r="O4842" t="s">
        <v>1060</v>
      </c>
    </row>
    <row r="4843" spans="1:15">
      <c r="A4843" t="s">
        <v>6487</v>
      </c>
      <c r="B4843" s="2">
        <v>45617.553298611114</v>
      </c>
      <c r="C4843" s="2">
        <v>45617.563715277778</v>
      </c>
      <c r="D4843" t="s">
        <v>944</v>
      </c>
      <c r="E4843" t="s">
        <v>2270</v>
      </c>
      <c r="F4843" t="s">
        <v>2271</v>
      </c>
      <c r="G4843" t="s">
        <v>1325</v>
      </c>
      <c r="H4843" t="s">
        <v>1031</v>
      </c>
      <c r="I4843">
        <v>424619006</v>
      </c>
      <c r="J4843" t="s">
        <v>1062</v>
      </c>
      <c r="K4843">
        <v>142.58000000000001</v>
      </c>
      <c r="L4843">
        <v>17533.509999999998</v>
      </c>
      <c r="M4843">
        <v>17533.509999999998</v>
      </c>
      <c r="N4843">
        <v>72892002</v>
      </c>
      <c r="O4843" t="s">
        <v>1060</v>
      </c>
    </row>
    <row r="4844" spans="1:15">
      <c r="A4844" t="s">
        <v>6488</v>
      </c>
      <c r="B4844" s="2">
        <v>45645.553298611114</v>
      </c>
      <c r="C4844" s="2">
        <v>45645.563715277778</v>
      </c>
      <c r="D4844" t="s">
        <v>944</v>
      </c>
      <c r="E4844" t="s">
        <v>2270</v>
      </c>
      <c r="F4844" t="s">
        <v>2271</v>
      </c>
      <c r="G4844" t="s">
        <v>1325</v>
      </c>
      <c r="H4844" t="s">
        <v>1031</v>
      </c>
      <c r="I4844">
        <v>424619006</v>
      </c>
      <c r="J4844" t="s">
        <v>1062</v>
      </c>
      <c r="K4844">
        <v>142.58000000000001</v>
      </c>
      <c r="L4844">
        <v>5203.46</v>
      </c>
      <c r="M4844">
        <v>5203.46</v>
      </c>
      <c r="N4844">
        <v>72892002</v>
      </c>
      <c r="O4844" t="s">
        <v>1060</v>
      </c>
    </row>
    <row r="4845" spans="1:15">
      <c r="A4845" t="s">
        <v>6489</v>
      </c>
      <c r="B4845" s="2">
        <v>45673.553298611114</v>
      </c>
      <c r="C4845" s="2">
        <v>45673.563715277778</v>
      </c>
      <c r="D4845" t="s">
        <v>944</v>
      </c>
      <c r="E4845" t="s">
        <v>2270</v>
      </c>
      <c r="F4845" t="s">
        <v>2271</v>
      </c>
      <c r="G4845" t="s">
        <v>1325</v>
      </c>
      <c r="H4845" t="s">
        <v>1031</v>
      </c>
      <c r="I4845">
        <v>424619006</v>
      </c>
      <c r="J4845" t="s">
        <v>1062</v>
      </c>
      <c r="K4845">
        <v>142.58000000000001</v>
      </c>
      <c r="L4845">
        <v>7233.01</v>
      </c>
      <c r="M4845">
        <v>683.41</v>
      </c>
      <c r="N4845">
        <v>72892002</v>
      </c>
      <c r="O4845" t="s">
        <v>1060</v>
      </c>
    </row>
    <row r="4846" spans="1:15">
      <c r="A4846" t="s">
        <v>6490</v>
      </c>
      <c r="B4846" s="2">
        <v>45687.553298611114</v>
      </c>
      <c r="C4846" s="2">
        <v>45687.594965277778</v>
      </c>
      <c r="D4846" t="s">
        <v>944</v>
      </c>
      <c r="E4846" t="s">
        <v>6425</v>
      </c>
      <c r="F4846" t="s">
        <v>6426</v>
      </c>
      <c r="G4846" t="s">
        <v>1325</v>
      </c>
      <c r="H4846" t="s">
        <v>1076</v>
      </c>
      <c r="I4846">
        <v>183460006</v>
      </c>
      <c r="J4846" t="s">
        <v>1077</v>
      </c>
      <c r="K4846">
        <v>146.18</v>
      </c>
      <c r="L4846">
        <v>5569.11</v>
      </c>
      <c r="M4846">
        <v>3341.47</v>
      </c>
      <c r="N4846">
        <v>72892002</v>
      </c>
      <c r="O4846" t="s">
        <v>1060</v>
      </c>
    </row>
    <row r="4847" spans="1:15">
      <c r="A4847" t="s">
        <v>6491</v>
      </c>
      <c r="B4847" s="2">
        <v>45729.594965277778</v>
      </c>
      <c r="C4847" s="2">
        <v>45729.605381944442</v>
      </c>
      <c r="D4847" t="s">
        <v>944</v>
      </c>
      <c r="E4847" t="s">
        <v>2270</v>
      </c>
      <c r="F4847" t="s">
        <v>2271</v>
      </c>
      <c r="G4847" t="s">
        <v>1325</v>
      </c>
      <c r="H4847" t="s">
        <v>1031</v>
      </c>
      <c r="I4847">
        <v>169762003</v>
      </c>
      <c r="J4847" t="s">
        <v>1079</v>
      </c>
      <c r="K4847">
        <v>142.58000000000001</v>
      </c>
      <c r="L4847">
        <v>2113.65</v>
      </c>
      <c r="M4847">
        <v>2113.65</v>
      </c>
      <c r="O4847" t="s">
        <v>34</v>
      </c>
    </row>
    <row r="4848" spans="1:15">
      <c r="A4848" t="s">
        <v>6492</v>
      </c>
      <c r="B4848" s="2">
        <v>45778.594965277778</v>
      </c>
      <c r="C4848" s="2">
        <v>45778.636469907404</v>
      </c>
      <c r="D4848" t="s">
        <v>944</v>
      </c>
      <c r="E4848" t="s">
        <v>6404</v>
      </c>
      <c r="F4848" t="s">
        <v>6405</v>
      </c>
      <c r="G4848" t="s">
        <v>1325</v>
      </c>
      <c r="H4848" t="s">
        <v>1020</v>
      </c>
      <c r="I4848">
        <v>162673000</v>
      </c>
      <c r="J4848" t="s">
        <v>1021</v>
      </c>
      <c r="K4848">
        <v>136.80000000000001</v>
      </c>
      <c r="L4848">
        <v>1548.53</v>
      </c>
      <c r="M4848">
        <v>1548.53</v>
      </c>
      <c r="O4848" t="s">
        <v>34</v>
      </c>
    </row>
    <row r="4849" spans="1:15">
      <c r="A4849" t="s">
        <v>6493</v>
      </c>
      <c r="B4849" s="2">
        <v>45792.594965277778</v>
      </c>
      <c r="C4849" s="2">
        <v>45792.702662037038</v>
      </c>
      <c r="D4849" t="s">
        <v>944</v>
      </c>
      <c r="E4849" t="s">
        <v>2270</v>
      </c>
      <c r="F4849" t="s">
        <v>2271</v>
      </c>
      <c r="G4849" t="s">
        <v>1325</v>
      </c>
      <c r="H4849" t="s">
        <v>1031</v>
      </c>
      <c r="I4849">
        <v>185349003</v>
      </c>
      <c r="J4849" t="s">
        <v>1038</v>
      </c>
      <c r="K4849">
        <v>85.55</v>
      </c>
      <c r="L4849">
        <v>3105.35</v>
      </c>
      <c r="M4849">
        <v>3105.35</v>
      </c>
      <c r="N4849">
        <v>66383009</v>
      </c>
      <c r="O4849" t="s">
        <v>1209</v>
      </c>
    </row>
    <row r="4850" spans="1:15">
      <c r="A4850" t="s">
        <v>6494</v>
      </c>
      <c r="B4850" s="2">
        <v>45883.594965277778</v>
      </c>
      <c r="C4850" s="2">
        <v>45883.605381944442</v>
      </c>
      <c r="D4850" t="s">
        <v>944</v>
      </c>
      <c r="E4850" t="s">
        <v>2270</v>
      </c>
      <c r="F4850" t="s">
        <v>2271</v>
      </c>
      <c r="G4850" t="s">
        <v>1325</v>
      </c>
      <c r="H4850" t="s">
        <v>1031</v>
      </c>
      <c r="I4850">
        <v>424441002</v>
      </c>
      <c r="J4850" t="s">
        <v>1059</v>
      </c>
      <c r="K4850">
        <v>142.58000000000001</v>
      </c>
      <c r="L4850">
        <v>6453.97</v>
      </c>
      <c r="M4850">
        <v>6453.97</v>
      </c>
      <c r="N4850">
        <v>72892002</v>
      </c>
      <c r="O4850" t="s">
        <v>1060</v>
      </c>
    </row>
    <row r="4851" spans="1:15">
      <c r="A4851" t="s">
        <v>6495</v>
      </c>
      <c r="B4851" s="2">
        <v>45892.594965277778</v>
      </c>
      <c r="C4851" s="2">
        <v>45892.605381944442</v>
      </c>
      <c r="D4851" t="s">
        <v>944</v>
      </c>
      <c r="E4851" t="s">
        <v>2270</v>
      </c>
      <c r="F4851" t="s">
        <v>2271</v>
      </c>
      <c r="G4851" t="s">
        <v>1325</v>
      </c>
      <c r="H4851" t="s">
        <v>1031</v>
      </c>
      <c r="I4851">
        <v>270427003</v>
      </c>
      <c r="J4851" t="s">
        <v>1179</v>
      </c>
      <c r="K4851">
        <v>85.55</v>
      </c>
      <c r="L4851">
        <v>12280.54</v>
      </c>
      <c r="M4851">
        <v>12280.54</v>
      </c>
      <c r="N4851">
        <v>72892002</v>
      </c>
      <c r="O4851" t="s">
        <v>1060</v>
      </c>
    </row>
    <row r="4852" spans="1:15">
      <c r="A4852" t="s">
        <v>6496</v>
      </c>
      <c r="B4852" s="2">
        <v>45903.594965277778</v>
      </c>
      <c r="C4852" s="2">
        <v>45903.605381944442</v>
      </c>
      <c r="D4852" t="s">
        <v>944</v>
      </c>
      <c r="E4852" t="s">
        <v>2270</v>
      </c>
      <c r="F4852" t="s">
        <v>2271</v>
      </c>
      <c r="G4852" t="s">
        <v>1325</v>
      </c>
      <c r="H4852" t="s">
        <v>1031</v>
      </c>
      <c r="I4852">
        <v>424619006</v>
      </c>
      <c r="J4852" t="s">
        <v>1062</v>
      </c>
      <c r="K4852">
        <v>142.58000000000001</v>
      </c>
      <c r="L4852">
        <v>2551.9499999999998</v>
      </c>
      <c r="M4852">
        <v>2551.9499999999998</v>
      </c>
      <c r="N4852">
        <v>72892002</v>
      </c>
      <c r="O4852" t="s">
        <v>1060</v>
      </c>
    </row>
    <row r="4853" spans="1:15">
      <c r="A4853" t="s">
        <v>6497</v>
      </c>
      <c r="B4853" s="2">
        <v>46121.594965277778</v>
      </c>
      <c r="C4853" s="2">
        <v>46121.605381944442</v>
      </c>
      <c r="D4853" t="s">
        <v>944</v>
      </c>
      <c r="E4853" t="s">
        <v>2270</v>
      </c>
      <c r="F4853" t="s">
        <v>2271</v>
      </c>
      <c r="G4853" t="s">
        <v>1325</v>
      </c>
      <c r="H4853" t="s">
        <v>1031</v>
      </c>
      <c r="I4853">
        <v>424441002</v>
      </c>
      <c r="J4853" t="s">
        <v>1059</v>
      </c>
      <c r="K4853">
        <v>142.58000000000001</v>
      </c>
      <c r="L4853">
        <v>35351.620000000003</v>
      </c>
      <c r="M4853">
        <v>17554.580000000002</v>
      </c>
      <c r="N4853">
        <v>72892002</v>
      </c>
      <c r="O4853" t="s">
        <v>1060</v>
      </c>
    </row>
    <row r="4854" spans="1:15">
      <c r="A4854" t="s">
        <v>6498</v>
      </c>
      <c r="B4854" s="2">
        <v>46149.594965277778</v>
      </c>
      <c r="C4854" s="2">
        <v>46149.622106481482</v>
      </c>
      <c r="D4854" t="s">
        <v>944</v>
      </c>
      <c r="E4854" t="s">
        <v>6404</v>
      </c>
      <c r="F4854" t="s">
        <v>6405</v>
      </c>
      <c r="G4854" t="s">
        <v>1325</v>
      </c>
      <c r="H4854" t="s">
        <v>1020</v>
      </c>
      <c r="I4854">
        <v>162673000</v>
      </c>
      <c r="J4854" t="s">
        <v>1021</v>
      </c>
      <c r="K4854">
        <v>136.80000000000001</v>
      </c>
      <c r="L4854">
        <v>989.36</v>
      </c>
      <c r="M4854">
        <v>989.36</v>
      </c>
      <c r="O4854" t="s">
        <v>34</v>
      </c>
    </row>
    <row r="4855" spans="1:15">
      <c r="A4855" t="s">
        <v>6499</v>
      </c>
      <c r="B4855" s="2">
        <v>46156.594965277778</v>
      </c>
      <c r="C4855" s="2">
        <v>46156.605381944442</v>
      </c>
      <c r="D4855" t="s">
        <v>944</v>
      </c>
      <c r="E4855" t="s">
        <v>2270</v>
      </c>
      <c r="F4855" t="s">
        <v>2271</v>
      </c>
      <c r="G4855" t="s">
        <v>1325</v>
      </c>
      <c r="H4855" t="s">
        <v>1031</v>
      </c>
      <c r="I4855">
        <v>424619006</v>
      </c>
      <c r="J4855" t="s">
        <v>1062</v>
      </c>
      <c r="K4855">
        <v>142.58000000000001</v>
      </c>
      <c r="L4855">
        <v>13926.76</v>
      </c>
      <c r="M4855">
        <v>13926.76</v>
      </c>
      <c r="N4855">
        <v>72892002</v>
      </c>
      <c r="O4855" t="s">
        <v>1060</v>
      </c>
    </row>
    <row r="4856" spans="1:15">
      <c r="A4856" t="s">
        <v>6500</v>
      </c>
      <c r="B4856" s="2">
        <v>46163.594965277778</v>
      </c>
      <c r="C4856" s="2">
        <v>46163.7340625</v>
      </c>
      <c r="D4856" t="s">
        <v>944</v>
      </c>
      <c r="E4856" t="s">
        <v>2270</v>
      </c>
      <c r="F4856" t="s">
        <v>2271</v>
      </c>
      <c r="G4856" t="s">
        <v>1325</v>
      </c>
      <c r="H4856" t="s">
        <v>1031</v>
      </c>
      <c r="I4856">
        <v>185349003</v>
      </c>
      <c r="J4856" t="s">
        <v>1038</v>
      </c>
      <c r="K4856">
        <v>85.55</v>
      </c>
      <c r="L4856">
        <v>3536.75</v>
      </c>
      <c r="M4856">
        <v>3536.75</v>
      </c>
      <c r="N4856">
        <v>103697008</v>
      </c>
      <c r="O4856" t="s">
        <v>1039</v>
      </c>
    </row>
    <row r="4857" spans="1:15">
      <c r="A4857" t="s">
        <v>6501</v>
      </c>
      <c r="B4857" s="2">
        <v>46184.594965277778</v>
      </c>
      <c r="C4857" s="2">
        <v>46184.605381944442</v>
      </c>
      <c r="D4857" t="s">
        <v>944</v>
      </c>
      <c r="E4857" t="s">
        <v>2270</v>
      </c>
      <c r="F4857" t="s">
        <v>2271</v>
      </c>
      <c r="G4857" t="s">
        <v>1325</v>
      </c>
      <c r="H4857" t="s">
        <v>1031</v>
      </c>
      <c r="I4857">
        <v>424619006</v>
      </c>
      <c r="J4857" t="s">
        <v>1062</v>
      </c>
      <c r="K4857">
        <v>142.58000000000001</v>
      </c>
      <c r="L4857">
        <v>142.58000000000001</v>
      </c>
      <c r="M4857">
        <v>142.58000000000001</v>
      </c>
      <c r="N4857">
        <v>72892002</v>
      </c>
      <c r="O4857" t="s">
        <v>1060</v>
      </c>
    </row>
    <row r="4858" spans="1:15">
      <c r="A4858" t="s">
        <v>6502</v>
      </c>
      <c r="B4858" s="2">
        <v>46194.594965277778</v>
      </c>
      <c r="C4858" s="2">
        <v>46194.605381944442</v>
      </c>
      <c r="D4858" t="s">
        <v>944</v>
      </c>
      <c r="E4858" t="s">
        <v>2270</v>
      </c>
      <c r="F4858" t="s">
        <v>2271</v>
      </c>
      <c r="G4858" t="s">
        <v>1325</v>
      </c>
      <c r="H4858" t="s">
        <v>1031</v>
      </c>
      <c r="I4858">
        <v>424619006</v>
      </c>
      <c r="J4858" t="s">
        <v>1062</v>
      </c>
      <c r="K4858">
        <v>142.58000000000001</v>
      </c>
      <c r="L4858">
        <v>2521.39</v>
      </c>
      <c r="M4858">
        <v>2521.39</v>
      </c>
      <c r="N4858">
        <v>267253006</v>
      </c>
      <c r="O4858" t="s">
        <v>1593</v>
      </c>
    </row>
    <row r="4859" spans="1:15">
      <c r="A4859" t="s">
        <v>6503</v>
      </c>
      <c r="B4859" s="2">
        <v>46205.594965277778</v>
      </c>
      <c r="C4859" s="2">
        <v>46205.605381944442</v>
      </c>
      <c r="D4859" t="s">
        <v>944</v>
      </c>
      <c r="E4859" t="s">
        <v>2270</v>
      </c>
      <c r="F4859" t="s">
        <v>2271</v>
      </c>
      <c r="G4859" t="s">
        <v>1325</v>
      </c>
      <c r="H4859" t="s">
        <v>1043</v>
      </c>
      <c r="I4859">
        <v>698314001</v>
      </c>
      <c r="J4859" t="s">
        <v>1190</v>
      </c>
      <c r="K4859">
        <v>142.58000000000001</v>
      </c>
      <c r="L4859">
        <v>142.58000000000001</v>
      </c>
      <c r="M4859">
        <v>142.58000000000001</v>
      </c>
      <c r="N4859">
        <v>389095005</v>
      </c>
      <c r="O4859" t="s">
        <v>1191</v>
      </c>
    </row>
    <row r="4860" spans="1:15">
      <c r="A4860" t="s">
        <v>6504</v>
      </c>
      <c r="B4860" s="2">
        <v>44057.022256944445</v>
      </c>
      <c r="C4860" s="2">
        <v>44057.032673611109</v>
      </c>
      <c r="D4860" t="s">
        <v>959</v>
      </c>
      <c r="E4860" t="s">
        <v>6505</v>
      </c>
      <c r="F4860" t="s">
        <v>6506</v>
      </c>
      <c r="G4860" t="s">
        <v>1474</v>
      </c>
      <c r="H4860" t="s">
        <v>1020</v>
      </c>
      <c r="I4860">
        <v>410620009</v>
      </c>
      <c r="J4860" t="s">
        <v>1054</v>
      </c>
      <c r="K4860">
        <v>136.80000000000001</v>
      </c>
      <c r="L4860">
        <v>347.38</v>
      </c>
      <c r="M4860">
        <v>0</v>
      </c>
      <c r="O4860" t="s">
        <v>34</v>
      </c>
    </row>
    <row r="4861" spans="1:15">
      <c r="A4861" t="s">
        <v>6507</v>
      </c>
      <c r="B4861" s="2">
        <v>44092.022256944445</v>
      </c>
      <c r="C4861" s="2">
        <v>44092.032673611109</v>
      </c>
      <c r="D4861" t="s">
        <v>959</v>
      </c>
      <c r="E4861" t="s">
        <v>6505</v>
      </c>
      <c r="F4861" t="s">
        <v>6506</v>
      </c>
      <c r="G4861" t="s">
        <v>1474</v>
      </c>
      <c r="H4861" t="s">
        <v>1020</v>
      </c>
      <c r="I4861">
        <v>410620009</v>
      </c>
      <c r="J4861" t="s">
        <v>1054</v>
      </c>
      <c r="K4861">
        <v>136.80000000000001</v>
      </c>
      <c r="L4861">
        <v>272.8</v>
      </c>
      <c r="M4861">
        <v>0</v>
      </c>
      <c r="O4861" t="s">
        <v>34</v>
      </c>
    </row>
    <row r="4862" spans="1:15">
      <c r="A4862" t="s">
        <v>6508</v>
      </c>
      <c r="B4862" s="2">
        <v>44146.980590277781</v>
      </c>
      <c r="C4862" s="2">
        <v>44146.991006944445</v>
      </c>
      <c r="D4862" t="s">
        <v>959</v>
      </c>
      <c r="E4862" t="s">
        <v>5669</v>
      </c>
      <c r="F4862" t="s">
        <v>5670</v>
      </c>
      <c r="G4862" t="s">
        <v>1474</v>
      </c>
      <c r="H4862" t="s">
        <v>1043</v>
      </c>
      <c r="I4862">
        <v>185345009</v>
      </c>
      <c r="J4862" t="s">
        <v>1032</v>
      </c>
      <c r="K4862">
        <v>85.55</v>
      </c>
      <c r="L4862">
        <v>85.55</v>
      </c>
      <c r="M4862">
        <v>0</v>
      </c>
      <c r="N4862">
        <v>65363002</v>
      </c>
      <c r="O4862" t="s">
        <v>1335</v>
      </c>
    </row>
    <row r="4863" spans="1:15">
      <c r="A4863" t="s">
        <v>6509</v>
      </c>
      <c r="B4863" s="2">
        <v>44154.980590277781</v>
      </c>
      <c r="C4863" s="2">
        <v>44154.991006944445</v>
      </c>
      <c r="D4863" t="s">
        <v>959</v>
      </c>
      <c r="E4863" t="s">
        <v>6505</v>
      </c>
      <c r="F4863" t="s">
        <v>6506</v>
      </c>
      <c r="G4863" t="s">
        <v>1474</v>
      </c>
      <c r="H4863" t="s">
        <v>1020</v>
      </c>
      <c r="I4863">
        <v>410620009</v>
      </c>
      <c r="J4863" t="s">
        <v>1054</v>
      </c>
      <c r="K4863">
        <v>136.80000000000001</v>
      </c>
      <c r="L4863">
        <v>816.8</v>
      </c>
      <c r="M4863">
        <v>304.06</v>
      </c>
      <c r="O4863" t="s">
        <v>34</v>
      </c>
    </row>
    <row r="4864" spans="1:15">
      <c r="A4864" t="s">
        <v>6510</v>
      </c>
      <c r="B4864" s="2">
        <v>44217.980590277781</v>
      </c>
      <c r="C4864" s="2">
        <v>44217.991006944445</v>
      </c>
      <c r="D4864" t="s">
        <v>959</v>
      </c>
      <c r="E4864" t="s">
        <v>6505</v>
      </c>
      <c r="F4864" t="s">
        <v>6506</v>
      </c>
      <c r="G4864" t="s">
        <v>1474</v>
      </c>
      <c r="H4864" t="s">
        <v>1020</v>
      </c>
      <c r="I4864">
        <v>410620009</v>
      </c>
      <c r="J4864" t="s">
        <v>1054</v>
      </c>
      <c r="K4864">
        <v>136.80000000000001</v>
      </c>
      <c r="L4864">
        <v>1032.5</v>
      </c>
      <c r="M4864">
        <v>826</v>
      </c>
      <c r="O4864" t="s">
        <v>34</v>
      </c>
    </row>
    <row r="4865" spans="1:15">
      <c r="A4865" t="s">
        <v>6511</v>
      </c>
      <c r="B4865" s="2">
        <v>44309.022256944445</v>
      </c>
      <c r="C4865" s="2">
        <v>44309.032673611109</v>
      </c>
      <c r="D4865" t="s">
        <v>959</v>
      </c>
      <c r="E4865" t="s">
        <v>6505</v>
      </c>
      <c r="F4865" t="s">
        <v>6506</v>
      </c>
      <c r="G4865" t="s">
        <v>1474</v>
      </c>
      <c r="H4865" t="s">
        <v>1020</v>
      </c>
      <c r="I4865">
        <v>410620009</v>
      </c>
      <c r="J4865" t="s">
        <v>1054</v>
      </c>
      <c r="K4865">
        <v>136.80000000000001</v>
      </c>
      <c r="L4865">
        <v>1211.8699999999999</v>
      </c>
      <c r="M4865">
        <v>969.5</v>
      </c>
      <c r="O4865" t="s">
        <v>34</v>
      </c>
    </row>
    <row r="4866" spans="1:15">
      <c r="A4866" t="s">
        <v>6512</v>
      </c>
      <c r="B4866" s="2">
        <v>44326.022256944445</v>
      </c>
      <c r="C4866" s="2">
        <v>44326.167395833334</v>
      </c>
      <c r="D4866" t="s">
        <v>959</v>
      </c>
      <c r="E4866" t="s">
        <v>6513</v>
      </c>
      <c r="F4866" t="s">
        <v>6514</v>
      </c>
      <c r="G4866" t="s">
        <v>1474</v>
      </c>
      <c r="H4866" t="s">
        <v>1076</v>
      </c>
      <c r="I4866">
        <v>50849002</v>
      </c>
      <c r="J4866" t="s">
        <v>1163</v>
      </c>
      <c r="K4866">
        <v>146.18</v>
      </c>
      <c r="L4866">
        <v>2512.9299999999998</v>
      </c>
      <c r="M4866">
        <v>2010.34</v>
      </c>
      <c r="N4866">
        <v>241929008</v>
      </c>
      <c r="O4866" t="s">
        <v>2099</v>
      </c>
    </row>
    <row r="4867" spans="1:15">
      <c r="A4867" t="s">
        <v>6515</v>
      </c>
      <c r="B4867" s="2">
        <v>44326.62572916667</v>
      </c>
      <c r="C4867" s="2">
        <v>44326.636145833334</v>
      </c>
      <c r="D4867" t="s">
        <v>959</v>
      </c>
      <c r="E4867" t="s">
        <v>5669</v>
      </c>
      <c r="F4867" t="s">
        <v>5670</v>
      </c>
      <c r="G4867" t="s">
        <v>1474</v>
      </c>
      <c r="H4867" t="s">
        <v>1031</v>
      </c>
      <c r="I4867">
        <v>185347001</v>
      </c>
      <c r="J4867" t="s">
        <v>1124</v>
      </c>
      <c r="K4867">
        <v>85.55</v>
      </c>
      <c r="L4867">
        <v>85.55</v>
      </c>
      <c r="M4867">
        <v>68.44</v>
      </c>
      <c r="N4867">
        <v>735029006</v>
      </c>
      <c r="O4867" t="s">
        <v>2130</v>
      </c>
    </row>
    <row r="4868" spans="1:15">
      <c r="A4868" t="s">
        <v>6516</v>
      </c>
      <c r="B4868" s="2">
        <v>44338.230590277781</v>
      </c>
      <c r="C4868" s="2">
        <v>44338.253877314812</v>
      </c>
      <c r="D4868" t="s">
        <v>959</v>
      </c>
      <c r="E4868" t="s">
        <v>5669</v>
      </c>
      <c r="F4868" t="s">
        <v>5670</v>
      </c>
      <c r="G4868" t="s">
        <v>1474</v>
      </c>
      <c r="H4868" t="s">
        <v>1031</v>
      </c>
      <c r="I4868">
        <v>185347001</v>
      </c>
      <c r="J4868" t="s">
        <v>1124</v>
      </c>
      <c r="K4868">
        <v>85.55</v>
      </c>
      <c r="L4868">
        <v>516.95000000000005</v>
      </c>
      <c r="M4868">
        <v>413.56</v>
      </c>
      <c r="N4868">
        <v>609328004</v>
      </c>
      <c r="O4868" t="s">
        <v>1137</v>
      </c>
    </row>
    <row r="4869" spans="1:15">
      <c r="A4869" t="s">
        <v>6517</v>
      </c>
      <c r="B4869" s="2">
        <v>44400.022256944445</v>
      </c>
      <c r="C4869" s="2">
        <v>44400.032673611109</v>
      </c>
      <c r="D4869" t="s">
        <v>959</v>
      </c>
      <c r="E4869" t="s">
        <v>6505</v>
      </c>
      <c r="F4869" t="s">
        <v>6506</v>
      </c>
      <c r="G4869" t="s">
        <v>1474</v>
      </c>
      <c r="H4869" t="s">
        <v>1020</v>
      </c>
      <c r="I4869">
        <v>410620009</v>
      </c>
      <c r="J4869" t="s">
        <v>1054</v>
      </c>
      <c r="K4869">
        <v>136.80000000000001</v>
      </c>
      <c r="L4869">
        <v>567.89</v>
      </c>
      <c r="M4869">
        <v>454.31</v>
      </c>
      <c r="O4869" t="s">
        <v>34</v>
      </c>
    </row>
    <row r="4870" spans="1:15">
      <c r="A4870" t="s">
        <v>6518</v>
      </c>
      <c r="B4870" s="2">
        <v>44491.022256944445</v>
      </c>
      <c r="C4870" s="2">
        <v>44491.032673611109</v>
      </c>
      <c r="D4870" t="s">
        <v>959</v>
      </c>
      <c r="E4870" t="s">
        <v>6505</v>
      </c>
      <c r="F4870" t="s">
        <v>6506</v>
      </c>
      <c r="G4870" t="s">
        <v>1474</v>
      </c>
      <c r="H4870" t="s">
        <v>1020</v>
      </c>
      <c r="I4870">
        <v>410620009</v>
      </c>
      <c r="J4870" t="s">
        <v>1054</v>
      </c>
      <c r="K4870">
        <v>136.80000000000001</v>
      </c>
      <c r="L4870">
        <v>816.8</v>
      </c>
      <c r="M4870">
        <v>0</v>
      </c>
      <c r="O4870" t="s">
        <v>34</v>
      </c>
    </row>
    <row r="4871" spans="1:15">
      <c r="A4871" t="s">
        <v>6519</v>
      </c>
      <c r="B4871" s="2">
        <v>44581.980590277781</v>
      </c>
      <c r="C4871" s="2">
        <v>44581.991006944445</v>
      </c>
      <c r="D4871" t="s">
        <v>959</v>
      </c>
      <c r="E4871" t="s">
        <v>6505</v>
      </c>
      <c r="F4871" t="s">
        <v>6506</v>
      </c>
      <c r="G4871" t="s">
        <v>1474</v>
      </c>
      <c r="H4871" t="s">
        <v>1020</v>
      </c>
      <c r="I4871">
        <v>410620009</v>
      </c>
      <c r="J4871" t="s">
        <v>1054</v>
      </c>
      <c r="K4871">
        <v>136.80000000000001</v>
      </c>
      <c r="L4871">
        <v>1135.5999999999999</v>
      </c>
      <c r="M4871">
        <v>395.52</v>
      </c>
      <c r="O4871" t="s">
        <v>34</v>
      </c>
    </row>
    <row r="4872" spans="1:15">
      <c r="A4872" t="s">
        <v>6520</v>
      </c>
      <c r="B4872" s="2">
        <v>44764.022256944445</v>
      </c>
      <c r="C4872" s="2">
        <v>44764.032673611109</v>
      </c>
      <c r="D4872" t="s">
        <v>959</v>
      </c>
      <c r="E4872" t="s">
        <v>6505</v>
      </c>
      <c r="F4872" t="s">
        <v>6506</v>
      </c>
      <c r="G4872" t="s">
        <v>1474</v>
      </c>
      <c r="H4872" t="s">
        <v>1020</v>
      </c>
      <c r="I4872">
        <v>410620009</v>
      </c>
      <c r="J4872" t="s">
        <v>1054</v>
      </c>
      <c r="K4872">
        <v>136.80000000000001</v>
      </c>
      <c r="L4872">
        <v>272.8</v>
      </c>
      <c r="M4872">
        <v>218.24</v>
      </c>
      <c r="O4872" t="s">
        <v>34</v>
      </c>
    </row>
    <row r="4873" spans="1:15">
      <c r="A4873" t="s">
        <v>6521</v>
      </c>
      <c r="B4873" s="2">
        <v>44907.980590277781</v>
      </c>
      <c r="C4873" s="2">
        <v>44907.991006944445</v>
      </c>
      <c r="D4873" t="s">
        <v>959</v>
      </c>
      <c r="E4873" t="s">
        <v>5669</v>
      </c>
      <c r="F4873" t="s">
        <v>5670</v>
      </c>
      <c r="G4873" t="s">
        <v>1474</v>
      </c>
      <c r="H4873" t="s">
        <v>1043</v>
      </c>
      <c r="I4873">
        <v>185345009</v>
      </c>
      <c r="J4873" t="s">
        <v>1032</v>
      </c>
      <c r="K4873">
        <v>85.55</v>
      </c>
      <c r="L4873">
        <v>85.55</v>
      </c>
      <c r="M4873">
        <v>0</v>
      </c>
      <c r="N4873">
        <v>65363002</v>
      </c>
      <c r="O4873" t="s">
        <v>1335</v>
      </c>
    </row>
    <row r="4874" spans="1:15">
      <c r="A4874" t="s">
        <v>6522</v>
      </c>
      <c r="B4874" s="2">
        <v>44945.980590277781</v>
      </c>
      <c r="C4874" s="2">
        <v>44945.991006944445</v>
      </c>
      <c r="D4874" t="s">
        <v>959</v>
      </c>
      <c r="E4874" t="s">
        <v>6505</v>
      </c>
      <c r="F4874" t="s">
        <v>6506</v>
      </c>
      <c r="G4874" t="s">
        <v>1474</v>
      </c>
      <c r="H4874" t="s">
        <v>1020</v>
      </c>
      <c r="I4874">
        <v>410620009</v>
      </c>
      <c r="J4874" t="s">
        <v>1054</v>
      </c>
      <c r="K4874">
        <v>136.80000000000001</v>
      </c>
      <c r="L4874">
        <v>272.8</v>
      </c>
      <c r="M4874">
        <v>0</v>
      </c>
      <c r="O4874" t="s">
        <v>34</v>
      </c>
    </row>
    <row r="4875" spans="1:15">
      <c r="A4875" t="s">
        <v>6523</v>
      </c>
      <c r="B4875" s="2">
        <v>45015.62572916667</v>
      </c>
      <c r="C4875" s="2">
        <v>45015.636145833334</v>
      </c>
      <c r="D4875" t="s">
        <v>959</v>
      </c>
      <c r="E4875" t="s">
        <v>5669</v>
      </c>
      <c r="F4875" t="s">
        <v>5670</v>
      </c>
      <c r="G4875" t="s">
        <v>1474</v>
      </c>
      <c r="H4875" t="s">
        <v>1031</v>
      </c>
      <c r="I4875">
        <v>185347001</v>
      </c>
      <c r="J4875" t="s">
        <v>1124</v>
      </c>
      <c r="K4875">
        <v>85.55</v>
      </c>
      <c r="L4875">
        <v>85.55</v>
      </c>
      <c r="M4875">
        <v>0</v>
      </c>
      <c r="N4875">
        <v>735029006</v>
      </c>
      <c r="O4875" t="s">
        <v>2130</v>
      </c>
    </row>
    <row r="4876" spans="1:15">
      <c r="A4876" t="s">
        <v>6524</v>
      </c>
      <c r="B4876" s="2">
        <v>45128.022256944445</v>
      </c>
      <c r="C4876" s="2">
        <v>45128.032673611109</v>
      </c>
      <c r="D4876" t="s">
        <v>959</v>
      </c>
      <c r="E4876" t="s">
        <v>6505</v>
      </c>
      <c r="F4876" t="s">
        <v>6506</v>
      </c>
      <c r="G4876" t="s">
        <v>1474</v>
      </c>
      <c r="H4876" t="s">
        <v>1020</v>
      </c>
      <c r="I4876">
        <v>410620009</v>
      </c>
      <c r="J4876" t="s">
        <v>1054</v>
      </c>
      <c r="K4876">
        <v>136.80000000000001</v>
      </c>
      <c r="L4876">
        <v>506.25</v>
      </c>
      <c r="M4876">
        <v>0</v>
      </c>
      <c r="O4876" t="s">
        <v>34</v>
      </c>
    </row>
    <row r="4877" spans="1:15">
      <c r="A4877" t="s">
        <v>6525</v>
      </c>
      <c r="B4877" s="2">
        <v>45309.980590277781</v>
      </c>
      <c r="C4877" s="2">
        <v>45309.991006944445</v>
      </c>
      <c r="D4877" t="s">
        <v>959</v>
      </c>
      <c r="E4877" t="s">
        <v>6505</v>
      </c>
      <c r="F4877" t="s">
        <v>6506</v>
      </c>
      <c r="G4877" t="s">
        <v>1474</v>
      </c>
      <c r="H4877" t="s">
        <v>1020</v>
      </c>
      <c r="I4877">
        <v>410620009</v>
      </c>
      <c r="J4877" t="s">
        <v>1054</v>
      </c>
      <c r="K4877">
        <v>136.80000000000001</v>
      </c>
      <c r="L4877">
        <v>352.5</v>
      </c>
      <c r="M4877">
        <v>0</v>
      </c>
      <c r="O4877" t="s">
        <v>34</v>
      </c>
    </row>
    <row r="4878" spans="1:15">
      <c r="A4878" t="s">
        <v>6526</v>
      </c>
      <c r="B4878" s="2">
        <v>45387.022256944445</v>
      </c>
      <c r="C4878" s="2">
        <v>45387.032673611109</v>
      </c>
      <c r="D4878" t="s">
        <v>959</v>
      </c>
      <c r="E4878" t="s">
        <v>5669</v>
      </c>
      <c r="F4878" t="s">
        <v>5670</v>
      </c>
      <c r="G4878" t="s">
        <v>1474</v>
      </c>
      <c r="H4878" t="s">
        <v>1043</v>
      </c>
      <c r="I4878">
        <v>185349003</v>
      </c>
      <c r="J4878" t="s">
        <v>1038</v>
      </c>
      <c r="K4878">
        <v>85.55</v>
      </c>
      <c r="L4878">
        <v>480.53</v>
      </c>
      <c r="M4878">
        <v>0</v>
      </c>
      <c r="O4878" t="s">
        <v>34</v>
      </c>
    </row>
    <row r="4879" spans="1:15">
      <c r="A4879" t="s">
        <v>6527</v>
      </c>
      <c r="B4879" s="2">
        <v>45394.022256944445</v>
      </c>
      <c r="C4879" s="2">
        <v>45394.032673611109</v>
      </c>
      <c r="D4879" t="s">
        <v>959</v>
      </c>
      <c r="E4879" t="s">
        <v>5669</v>
      </c>
      <c r="F4879" t="s">
        <v>5670</v>
      </c>
      <c r="G4879" t="s">
        <v>1474</v>
      </c>
      <c r="H4879" t="s">
        <v>1031</v>
      </c>
      <c r="I4879">
        <v>185345009</v>
      </c>
      <c r="J4879" t="s">
        <v>1032</v>
      </c>
      <c r="K4879">
        <v>85.55</v>
      </c>
      <c r="L4879">
        <v>85.55</v>
      </c>
      <c r="M4879">
        <v>0</v>
      </c>
      <c r="N4879">
        <v>75498004</v>
      </c>
      <c r="O4879" t="s">
        <v>1174</v>
      </c>
    </row>
    <row r="4880" spans="1:15">
      <c r="A4880" t="s">
        <v>6528</v>
      </c>
      <c r="B4880" s="2">
        <v>45474.022256944445</v>
      </c>
      <c r="C4880" s="2">
        <v>45474.032673611109</v>
      </c>
      <c r="D4880" t="s">
        <v>959</v>
      </c>
      <c r="E4880" t="s">
        <v>5669</v>
      </c>
      <c r="F4880" t="s">
        <v>5670</v>
      </c>
      <c r="G4880" t="s">
        <v>1474</v>
      </c>
      <c r="H4880" t="s">
        <v>1031</v>
      </c>
      <c r="I4880">
        <v>185345009</v>
      </c>
      <c r="J4880" t="s">
        <v>1032</v>
      </c>
      <c r="K4880">
        <v>85.55</v>
      </c>
      <c r="L4880">
        <v>92.93</v>
      </c>
      <c r="M4880">
        <v>0</v>
      </c>
      <c r="N4880">
        <v>75498004</v>
      </c>
      <c r="O4880" t="s">
        <v>1174</v>
      </c>
    </row>
    <row r="4881" spans="1:15">
      <c r="A4881" t="s">
        <v>6529</v>
      </c>
      <c r="B4881" s="2">
        <v>45485.022256944445</v>
      </c>
      <c r="C4881" s="2">
        <v>45485.032673611109</v>
      </c>
      <c r="D4881" t="s">
        <v>959</v>
      </c>
      <c r="E4881" t="s">
        <v>5669</v>
      </c>
      <c r="F4881" t="s">
        <v>5670</v>
      </c>
      <c r="G4881" t="s">
        <v>1474</v>
      </c>
      <c r="H4881" t="s">
        <v>1043</v>
      </c>
      <c r="I4881">
        <v>185349003</v>
      </c>
      <c r="J4881" t="s">
        <v>1038</v>
      </c>
      <c r="K4881">
        <v>85.55</v>
      </c>
      <c r="L4881">
        <v>85.55</v>
      </c>
      <c r="M4881">
        <v>0</v>
      </c>
      <c r="O4881" t="s">
        <v>34</v>
      </c>
    </row>
    <row r="4882" spans="1:15">
      <c r="A4882" t="s">
        <v>6530</v>
      </c>
      <c r="B4882" s="2">
        <v>45492.022256944445</v>
      </c>
      <c r="C4882" s="2">
        <v>45492.032673611109</v>
      </c>
      <c r="D4882" t="s">
        <v>959</v>
      </c>
      <c r="E4882" t="s">
        <v>6505</v>
      </c>
      <c r="F4882" t="s">
        <v>6506</v>
      </c>
      <c r="G4882" t="s">
        <v>1474</v>
      </c>
      <c r="H4882" t="s">
        <v>1020</v>
      </c>
      <c r="I4882">
        <v>410620009</v>
      </c>
      <c r="J4882" t="s">
        <v>1054</v>
      </c>
      <c r="K4882">
        <v>136.80000000000001</v>
      </c>
      <c r="L4882">
        <v>726.13</v>
      </c>
      <c r="M4882">
        <v>292.14999999999998</v>
      </c>
      <c r="O4882" t="s">
        <v>34</v>
      </c>
    </row>
    <row r="4883" spans="1:15">
      <c r="A4883" t="s">
        <v>6531</v>
      </c>
      <c r="B4883" s="2">
        <v>45695.980590277781</v>
      </c>
      <c r="C4883" s="2">
        <v>45695.991006944445</v>
      </c>
      <c r="D4883" t="s">
        <v>959</v>
      </c>
      <c r="E4883" t="s">
        <v>5669</v>
      </c>
      <c r="F4883" t="s">
        <v>5670</v>
      </c>
      <c r="G4883" t="s">
        <v>1474</v>
      </c>
      <c r="H4883" t="s">
        <v>1043</v>
      </c>
      <c r="I4883">
        <v>185345009</v>
      </c>
      <c r="J4883" t="s">
        <v>1032</v>
      </c>
      <c r="K4883">
        <v>85.55</v>
      </c>
      <c r="L4883">
        <v>85.55</v>
      </c>
      <c r="M4883">
        <v>0</v>
      </c>
      <c r="N4883">
        <v>65363002</v>
      </c>
      <c r="O4883" t="s">
        <v>1335</v>
      </c>
    </row>
    <row r="4884" spans="1:15">
      <c r="A4884" t="s">
        <v>6532</v>
      </c>
      <c r="B4884" s="2">
        <v>45863.022256944445</v>
      </c>
      <c r="C4884" s="2">
        <v>45863.032673611109</v>
      </c>
      <c r="D4884" t="s">
        <v>959</v>
      </c>
      <c r="E4884" t="s">
        <v>6505</v>
      </c>
      <c r="F4884" t="s">
        <v>6506</v>
      </c>
      <c r="G4884" t="s">
        <v>1474</v>
      </c>
      <c r="H4884" t="s">
        <v>1020</v>
      </c>
      <c r="I4884">
        <v>410620009</v>
      </c>
      <c r="J4884" t="s">
        <v>1054</v>
      </c>
      <c r="K4884">
        <v>136.80000000000001</v>
      </c>
      <c r="L4884">
        <v>1632.34</v>
      </c>
      <c r="M4884">
        <v>359.36</v>
      </c>
      <c r="O4884" t="s">
        <v>34</v>
      </c>
    </row>
    <row r="4885" spans="1:15">
      <c r="A4885" t="s">
        <v>6533</v>
      </c>
      <c r="B4885" s="2">
        <v>45893.022256944445</v>
      </c>
      <c r="C4885" s="2">
        <v>45893.032673611109</v>
      </c>
      <c r="D4885" t="s">
        <v>959</v>
      </c>
      <c r="E4885" t="s">
        <v>5669</v>
      </c>
      <c r="F4885" t="s">
        <v>5670</v>
      </c>
      <c r="G4885" t="s">
        <v>1474</v>
      </c>
      <c r="H4885" t="s">
        <v>1043</v>
      </c>
      <c r="I4885">
        <v>185345009</v>
      </c>
      <c r="J4885" t="s">
        <v>1032</v>
      </c>
      <c r="K4885">
        <v>85.55</v>
      </c>
      <c r="L4885">
        <v>85.55</v>
      </c>
      <c r="M4885">
        <v>0</v>
      </c>
      <c r="N4885">
        <v>65363002</v>
      </c>
      <c r="O4885" t="s">
        <v>1335</v>
      </c>
    </row>
    <row r="4886" spans="1:15">
      <c r="A4886" t="s">
        <v>6534</v>
      </c>
      <c r="B4886" s="2">
        <v>46234.022256944445</v>
      </c>
      <c r="C4886" s="2">
        <v>46234.032673611109</v>
      </c>
      <c r="D4886" t="s">
        <v>959</v>
      </c>
      <c r="E4886" t="s">
        <v>6505</v>
      </c>
      <c r="F4886" t="s">
        <v>6506</v>
      </c>
      <c r="G4886" t="s">
        <v>1474</v>
      </c>
      <c r="H4886" t="s">
        <v>1020</v>
      </c>
      <c r="I4886">
        <v>410620009</v>
      </c>
      <c r="J4886" t="s">
        <v>1054</v>
      </c>
      <c r="K4886">
        <v>136.80000000000001</v>
      </c>
      <c r="L4886">
        <v>778.78</v>
      </c>
      <c r="M4886">
        <v>0</v>
      </c>
      <c r="O4886" t="s">
        <v>34</v>
      </c>
    </row>
    <row r="4887" spans="1:15">
      <c r="A4887" t="s">
        <v>6535</v>
      </c>
      <c r="B4887" s="2">
        <v>46241.022256944445</v>
      </c>
      <c r="C4887" s="2">
        <v>46241.18209490741</v>
      </c>
      <c r="D4887" t="s">
        <v>959</v>
      </c>
      <c r="E4887" t="s">
        <v>5669</v>
      </c>
      <c r="F4887" t="s">
        <v>5670</v>
      </c>
      <c r="G4887" t="s">
        <v>1474</v>
      </c>
      <c r="H4887" t="s">
        <v>1031</v>
      </c>
      <c r="I4887">
        <v>185349003</v>
      </c>
      <c r="J4887" t="s">
        <v>1038</v>
      </c>
      <c r="K4887">
        <v>85.55</v>
      </c>
      <c r="L4887">
        <v>3536.75</v>
      </c>
      <c r="M4887">
        <v>2599.11</v>
      </c>
      <c r="N4887">
        <v>103697008</v>
      </c>
      <c r="O4887" t="s">
        <v>1039</v>
      </c>
    </row>
    <row r="4888" spans="1:15">
      <c r="A4888" t="s">
        <v>6536</v>
      </c>
      <c r="B4888" s="2">
        <v>36114.009571759256</v>
      </c>
      <c r="C4888" s="2">
        <v>36114.032280092593</v>
      </c>
      <c r="D4888" t="s">
        <v>967</v>
      </c>
      <c r="E4888" t="s">
        <v>6537</v>
      </c>
      <c r="F4888" t="s">
        <v>6538</v>
      </c>
      <c r="G4888" t="s">
        <v>1093</v>
      </c>
      <c r="H4888" t="s">
        <v>1020</v>
      </c>
      <c r="I4888">
        <v>162673000</v>
      </c>
      <c r="J4888" t="s">
        <v>1021</v>
      </c>
      <c r="K4888">
        <v>136.80000000000001</v>
      </c>
      <c r="L4888">
        <v>1269.8800000000001</v>
      </c>
      <c r="M4888">
        <v>1219.8800000000001</v>
      </c>
      <c r="O4888" t="s">
        <v>34</v>
      </c>
    </row>
    <row r="4889" spans="1:15">
      <c r="A4889" t="s">
        <v>6539</v>
      </c>
      <c r="B4889" s="2">
        <v>38186.051238425927</v>
      </c>
      <c r="C4889" s="2">
        <v>38186.061655092592</v>
      </c>
      <c r="D4889" t="s">
        <v>967</v>
      </c>
      <c r="E4889" t="s">
        <v>6540</v>
      </c>
      <c r="F4889" t="s">
        <v>6541</v>
      </c>
      <c r="G4889" t="s">
        <v>1019</v>
      </c>
      <c r="H4889" t="s">
        <v>1031</v>
      </c>
      <c r="I4889">
        <v>424619006</v>
      </c>
      <c r="J4889" t="s">
        <v>1062</v>
      </c>
      <c r="K4889">
        <v>142.58000000000001</v>
      </c>
      <c r="L4889">
        <v>1005.38</v>
      </c>
      <c r="M4889">
        <v>0</v>
      </c>
      <c r="N4889">
        <v>37849005</v>
      </c>
      <c r="O4889" t="s">
        <v>1102</v>
      </c>
    </row>
    <row r="4890" spans="1:15">
      <c r="A4890" t="s">
        <v>6542</v>
      </c>
      <c r="B4890" s="2">
        <v>40188.301238425927</v>
      </c>
      <c r="C4890" s="2">
        <v>40188.311655092592</v>
      </c>
      <c r="D4890" t="s">
        <v>967</v>
      </c>
      <c r="E4890" t="s">
        <v>6540</v>
      </c>
      <c r="F4890" t="s">
        <v>6541</v>
      </c>
      <c r="G4890" t="s">
        <v>1093</v>
      </c>
      <c r="H4890" t="s">
        <v>1031</v>
      </c>
      <c r="I4890">
        <v>185345009</v>
      </c>
      <c r="J4890" t="s">
        <v>1032</v>
      </c>
      <c r="K4890">
        <v>85.55</v>
      </c>
      <c r="L4890">
        <v>92.93</v>
      </c>
      <c r="M4890">
        <v>42.93</v>
      </c>
      <c r="N4890">
        <v>75498004</v>
      </c>
      <c r="O4890" t="s">
        <v>1174</v>
      </c>
    </row>
    <row r="4891" spans="1:15">
      <c r="A4891" t="s">
        <v>6543</v>
      </c>
      <c r="B4891" s="2">
        <v>40881.009571759256</v>
      </c>
      <c r="C4891" s="2">
        <v>40881.042164351849</v>
      </c>
      <c r="D4891" t="s">
        <v>967</v>
      </c>
      <c r="E4891" t="s">
        <v>6537</v>
      </c>
      <c r="F4891" t="s">
        <v>6538</v>
      </c>
      <c r="G4891" t="s">
        <v>1019</v>
      </c>
      <c r="H4891" t="s">
        <v>1020</v>
      </c>
      <c r="I4891">
        <v>162673000</v>
      </c>
      <c r="J4891" t="s">
        <v>1021</v>
      </c>
      <c r="K4891">
        <v>136.80000000000001</v>
      </c>
      <c r="L4891">
        <v>1130.48</v>
      </c>
      <c r="M4891">
        <v>0</v>
      </c>
      <c r="O4891" t="s">
        <v>34</v>
      </c>
    </row>
    <row r="4892" spans="1:15">
      <c r="A4892" t="s">
        <v>6544</v>
      </c>
      <c r="B4892" s="2">
        <v>41980.009571759256</v>
      </c>
      <c r="C4892" s="2">
        <v>41980.046412037038</v>
      </c>
      <c r="D4892" t="s">
        <v>967</v>
      </c>
      <c r="E4892" t="s">
        <v>6537</v>
      </c>
      <c r="F4892" t="s">
        <v>6538</v>
      </c>
      <c r="G4892" t="s">
        <v>1019</v>
      </c>
      <c r="H4892" t="s">
        <v>1020</v>
      </c>
      <c r="I4892">
        <v>162673000</v>
      </c>
      <c r="J4892" t="s">
        <v>1021</v>
      </c>
      <c r="K4892">
        <v>136.80000000000001</v>
      </c>
      <c r="L4892">
        <v>853.36</v>
      </c>
      <c r="M4892">
        <v>0</v>
      </c>
      <c r="O4892" t="s">
        <v>34</v>
      </c>
    </row>
    <row r="4893" spans="1:15">
      <c r="A4893" t="s">
        <v>6545</v>
      </c>
      <c r="B4893" s="2">
        <v>42538.925578703704</v>
      </c>
      <c r="C4893" s="2">
        <v>42538.935995370368</v>
      </c>
      <c r="D4893" t="s">
        <v>967</v>
      </c>
      <c r="E4893" t="s">
        <v>6546</v>
      </c>
      <c r="F4893" t="s">
        <v>6547</v>
      </c>
      <c r="G4893" t="s">
        <v>1093</v>
      </c>
      <c r="H4893" t="s">
        <v>1043</v>
      </c>
      <c r="I4893">
        <v>698314001</v>
      </c>
      <c r="J4893" t="s">
        <v>1190</v>
      </c>
      <c r="K4893">
        <v>142.58000000000001</v>
      </c>
      <c r="L4893">
        <v>142.58000000000001</v>
      </c>
      <c r="M4893">
        <v>92.58</v>
      </c>
      <c r="N4893">
        <v>389095005</v>
      </c>
      <c r="O4893" t="s">
        <v>1191</v>
      </c>
    </row>
    <row r="4894" spans="1:15">
      <c r="A4894" t="s">
        <v>6548</v>
      </c>
      <c r="B4894" s="2">
        <v>42898.925578703704</v>
      </c>
      <c r="C4894" s="2">
        <v>42898.935995370368</v>
      </c>
      <c r="D4894" t="s">
        <v>967</v>
      </c>
      <c r="E4894" t="s">
        <v>6546</v>
      </c>
      <c r="F4894" t="s">
        <v>6547</v>
      </c>
      <c r="G4894" t="s">
        <v>1019</v>
      </c>
      <c r="H4894" t="s">
        <v>1043</v>
      </c>
      <c r="I4894">
        <v>698314001</v>
      </c>
      <c r="J4894" t="s">
        <v>1190</v>
      </c>
      <c r="K4894">
        <v>142.58000000000001</v>
      </c>
      <c r="L4894">
        <v>142.58000000000001</v>
      </c>
      <c r="M4894">
        <v>0</v>
      </c>
      <c r="N4894">
        <v>389095005</v>
      </c>
      <c r="O4894" t="s">
        <v>1191</v>
      </c>
    </row>
    <row r="4895" spans="1:15">
      <c r="A4895" t="s">
        <v>6549</v>
      </c>
      <c r="B4895" s="2">
        <v>43079.009571759256</v>
      </c>
      <c r="C4895" s="2">
        <v>43079.045266203706</v>
      </c>
      <c r="D4895" t="s">
        <v>967</v>
      </c>
      <c r="E4895" t="s">
        <v>6537</v>
      </c>
      <c r="F4895" t="s">
        <v>6538</v>
      </c>
      <c r="G4895" t="s">
        <v>1019</v>
      </c>
      <c r="H4895" t="s">
        <v>1020</v>
      </c>
      <c r="I4895">
        <v>162673000</v>
      </c>
      <c r="J4895" t="s">
        <v>1021</v>
      </c>
      <c r="K4895">
        <v>136.80000000000001</v>
      </c>
      <c r="L4895">
        <v>923.8</v>
      </c>
      <c r="M4895">
        <v>0</v>
      </c>
      <c r="O4895" t="s">
        <v>34</v>
      </c>
    </row>
    <row r="4896" spans="1:15">
      <c r="A4896" t="s">
        <v>6550</v>
      </c>
      <c r="B4896" s="2">
        <v>43258.925578703704</v>
      </c>
      <c r="C4896" s="2">
        <v>43258.935995370368</v>
      </c>
      <c r="D4896" t="s">
        <v>967</v>
      </c>
      <c r="E4896" t="s">
        <v>6546</v>
      </c>
      <c r="F4896" t="s">
        <v>6547</v>
      </c>
      <c r="G4896" t="s">
        <v>1019</v>
      </c>
      <c r="H4896" t="s">
        <v>1043</v>
      </c>
      <c r="I4896">
        <v>698314001</v>
      </c>
      <c r="J4896" t="s">
        <v>1190</v>
      </c>
      <c r="K4896">
        <v>142.58000000000001</v>
      </c>
      <c r="L4896">
        <v>142.58000000000001</v>
      </c>
      <c r="M4896">
        <v>0</v>
      </c>
      <c r="N4896">
        <v>389095005</v>
      </c>
      <c r="O4896" t="s">
        <v>1191</v>
      </c>
    </row>
    <row r="4897" spans="1:15">
      <c r="A4897" t="s">
        <v>6551</v>
      </c>
      <c r="B4897" s="2">
        <v>43303.051238425927</v>
      </c>
      <c r="C4897" s="2">
        <v>43303.080451388887</v>
      </c>
      <c r="D4897" t="s">
        <v>967</v>
      </c>
      <c r="E4897" t="s">
        <v>6546</v>
      </c>
      <c r="F4897" t="s">
        <v>6547</v>
      </c>
      <c r="G4897" t="s">
        <v>1019</v>
      </c>
      <c r="H4897" t="s">
        <v>1043</v>
      </c>
      <c r="I4897">
        <v>185349003</v>
      </c>
      <c r="J4897" t="s">
        <v>1038</v>
      </c>
      <c r="K4897">
        <v>85.55</v>
      </c>
      <c r="L4897">
        <v>727.53</v>
      </c>
      <c r="M4897">
        <v>0</v>
      </c>
      <c r="O4897" t="s">
        <v>34</v>
      </c>
    </row>
    <row r="4898" spans="1:15">
      <c r="A4898" t="s">
        <v>6552</v>
      </c>
      <c r="B4898" s="2">
        <v>43310.051238425927</v>
      </c>
      <c r="C4898" s="2">
        <v>43310.098182870373</v>
      </c>
      <c r="D4898" t="s">
        <v>967</v>
      </c>
      <c r="E4898" t="s">
        <v>6540</v>
      </c>
      <c r="F4898" t="s">
        <v>6541</v>
      </c>
      <c r="G4898" t="s">
        <v>1019</v>
      </c>
      <c r="H4898" t="s">
        <v>1031</v>
      </c>
      <c r="I4898">
        <v>185347001</v>
      </c>
      <c r="J4898" t="s">
        <v>1124</v>
      </c>
      <c r="K4898">
        <v>85.55</v>
      </c>
      <c r="L4898">
        <v>1112.8699999999999</v>
      </c>
      <c r="M4898">
        <v>0</v>
      </c>
      <c r="N4898">
        <v>271737000</v>
      </c>
      <c r="O4898" t="s">
        <v>1479</v>
      </c>
    </row>
    <row r="4899" spans="1:15">
      <c r="A4899" t="s">
        <v>6553</v>
      </c>
      <c r="B4899" s="2">
        <v>43317.051238425927</v>
      </c>
      <c r="C4899" s="2">
        <v>43317.061655092592</v>
      </c>
      <c r="D4899" t="s">
        <v>967</v>
      </c>
      <c r="E4899" t="s">
        <v>6540</v>
      </c>
      <c r="F4899" t="s">
        <v>6541</v>
      </c>
      <c r="G4899" t="s">
        <v>1019</v>
      </c>
      <c r="H4899" t="s">
        <v>1031</v>
      </c>
      <c r="I4899">
        <v>185345009</v>
      </c>
      <c r="J4899" t="s">
        <v>1032</v>
      </c>
      <c r="K4899">
        <v>85.55</v>
      </c>
      <c r="L4899">
        <v>85.55</v>
      </c>
      <c r="M4899">
        <v>0</v>
      </c>
      <c r="N4899">
        <v>444814009</v>
      </c>
      <c r="O4899" t="s">
        <v>1035</v>
      </c>
    </row>
    <row r="4900" spans="1:15">
      <c r="A4900" t="s">
        <v>6554</v>
      </c>
      <c r="B4900" s="2">
        <v>43324.051238425927</v>
      </c>
      <c r="C4900" s="2">
        <v>43324.173518518517</v>
      </c>
      <c r="D4900" t="s">
        <v>967</v>
      </c>
      <c r="E4900" t="s">
        <v>6540</v>
      </c>
      <c r="F4900" t="s">
        <v>6541</v>
      </c>
      <c r="G4900" t="s">
        <v>1019</v>
      </c>
      <c r="H4900" t="s">
        <v>1031</v>
      </c>
      <c r="I4900">
        <v>185349003</v>
      </c>
      <c r="J4900" t="s">
        <v>1038</v>
      </c>
      <c r="K4900">
        <v>85.55</v>
      </c>
      <c r="L4900">
        <v>3105.35</v>
      </c>
      <c r="M4900">
        <v>0</v>
      </c>
      <c r="N4900">
        <v>103697008</v>
      </c>
      <c r="O4900" t="s">
        <v>1039</v>
      </c>
    </row>
    <row r="4901" spans="1:15">
      <c r="A4901" t="s">
        <v>6555</v>
      </c>
      <c r="B4901" s="2">
        <v>43901.676238425927</v>
      </c>
      <c r="C4901" s="2">
        <v>43901.686932870369</v>
      </c>
      <c r="D4901" t="s">
        <v>967</v>
      </c>
      <c r="E4901" t="s">
        <v>6540</v>
      </c>
      <c r="F4901" t="s">
        <v>6541</v>
      </c>
      <c r="G4901" t="s">
        <v>1019</v>
      </c>
      <c r="H4901" t="s">
        <v>1031</v>
      </c>
      <c r="I4901">
        <v>185345009</v>
      </c>
      <c r="J4901" t="s">
        <v>1032</v>
      </c>
      <c r="K4901">
        <v>85.55</v>
      </c>
      <c r="L4901">
        <v>493.77</v>
      </c>
      <c r="M4901">
        <v>0</v>
      </c>
      <c r="N4901">
        <v>10509002</v>
      </c>
      <c r="O4901" t="s">
        <v>1033</v>
      </c>
    </row>
    <row r="4902" spans="1:15">
      <c r="A4902" t="s">
        <v>6556</v>
      </c>
      <c r="B4902" s="2">
        <v>43912.051238425927</v>
      </c>
      <c r="C4902" s="2">
        <v>43912.092881944445</v>
      </c>
      <c r="D4902" t="s">
        <v>967</v>
      </c>
      <c r="E4902" t="s">
        <v>2236</v>
      </c>
      <c r="F4902" t="s">
        <v>2237</v>
      </c>
      <c r="G4902" t="s">
        <v>1019</v>
      </c>
      <c r="H4902" t="s">
        <v>1159</v>
      </c>
      <c r="I4902">
        <v>702927004</v>
      </c>
      <c r="J4902" t="s">
        <v>1160</v>
      </c>
      <c r="K4902">
        <v>142.58000000000001</v>
      </c>
      <c r="L4902">
        <v>1081.6400000000001</v>
      </c>
      <c r="M4902">
        <v>0</v>
      </c>
      <c r="O4902" t="s">
        <v>34</v>
      </c>
    </row>
    <row r="4903" spans="1:15">
      <c r="A4903" t="s">
        <v>6557</v>
      </c>
      <c r="B4903" s="2">
        <v>43978.925578703704</v>
      </c>
      <c r="C4903" s="2">
        <v>43978.935995370368</v>
      </c>
      <c r="D4903" t="s">
        <v>967</v>
      </c>
      <c r="E4903" t="s">
        <v>6546</v>
      </c>
      <c r="F4903" t="s">
        <v>6547</v>
      </c>
      <c r="G4903" t="s">
        <v>1019</v>
      </c>
      <c r="H4903" t="s">
        <v>1043</v>
      </c>
      <c r="I4903">
        <v>698314001</v>
      </c>
      <c r="J4903" t="s">
        <v>1190</v>
      </c>
      <c r="K4903">
        <v>142.58000000000001</v>
      </c>
      <c r="L4903">
        <v>142.58000000000001</v>
      </c>
      <c r="M4903">
        <v>0</v>
      </c>
      <c r="N4903">
        <v>389095005</v>
      </c>
      <c r="O4903" t="s">
        <v>1191</v>
      </c>
    </row>
    <row r="4904" spans="1:15">
      <c r="A4904" t="s">
        <v>6558</v>
      </c>
      <c r="B4904" s="2">
        <v>43982.425578703704</v>
      </c>
      <c r="C4904" s="2">
        <v>43982.47347222222</v>
      </c>
      <c r="D4904" t="s">
        <v>967</v>
      </c>
      <c r="E4904" t="s">
        <v>6546</v>
      </c>
      <c r="F4904" t="s">
        <v>6547</v>
      </c>
      <c r="G4904" t="s">
        <v>1019</v>
      </c>
      <c r="H4904" t="s">
        <v>1043</v>
      </c>
      <c r="I4904">
        <v>308335008</v>
      </c>
      <c r="J4904" t="s">
        <v>1194</v>
      </c>
      <c r="K4904">
        <v>142.58000000000001</v>
      </c>
      <c r="L4904">
        <v>4052.91</v>
      </c>
      <c r="M4904">
        <v>0</v>
      </c>
      <c r="N4904">
        <v>389095005</v>
      </c>
      <c r="O4904" t="s">
        <v>1191</v>
      </c>
    </row>
    <row r="4905" spans="1:15">
      <c r="A4905" t="s">
        <v>6559</v>
      </c>
      <c r="B4905" s="2">
        <v>44010.051238425927</v>
      </c>
      <c r="C4905" s="2">
        <v>44010.087766203702</v>
      </c>
      <c r="D4905" t="s">
        <v>967</v>
      </c>
      <c r="E4905" t="s">
        <v>6546</v>
      </c>
      <c r="F4905" t="s">
        <v>6547</v>
      </c>
      <c r="G4905" t="s">
        <v>1019</v>
      </c>
      <c r="H4905" t="s">
        <v>1043</v>
      </c>
      <c r="I4905">
        <v>308335008</v>
      </c>
      <c r="J4905" t="s">
        <v>1194</v>
      </c>
      <c r="K4905">
        <v>142.58000000000001</v>
      </c>
      <c r="L4905">
        <v>5886.62</v>
      </c>
      <c r="M4905">
        <v>0</v>
      </c>
      <c r="N4905">
        <v>389095005</v>
      </c>
      <c r="O4905" t="s">
        <v>1191</v>
      </c>
    </row>
    <row r="4906" spans="1:15">
      <c r="A4906" t="s">
        <v>6560</v>
      </c>
      <c r="B4906" s="2">
        <v>44101.051238425927</v>
      </c>
      <c r="C4906" s="2">
        <v>44101.086956018517</v>
      </c>
      <c r="D4906" t="s">
        <v>967</v>
      </c>
      <c r="E4906" t="s">
        <v>6537</v>
      </c>
      <c r="F4906" t="s">
        <v>6538</v>
      </c>
      <c r="G4906" t="s">
        <v>1019</v>
      </c>
      <c r="H4906" t="s">
        <v>1020</v>
      </c>
      <c r="I4906">
        <v>162673000</v>
      </c>
      <c r="J4906" t="s">
        <v>1021</v>
      </c>
      <c r="K4906">
        <v>136.80000000000001</v>
      </c>
      <c r="L4906">
        <v>1140.0899999999999</v>
      </c>
      <c r="M4906">
        <v>0</v>
      </c>
      <c r="O4906" t="s">
        <v>34</v>
      </c>
    </row>
    <row r="4907" spans="1:15">
      <c r="A4907" t="s">
        <v>6561</v>
      </c>
      <c r="B4907" s="2">
        <v>44234.009571759256</v>
      </c>
      <c r="C4907" s="2">
        <v>44234.019988425927</v>
      </c>
      <c r="D4907" t="s">
        <v>967</v>
      </c>
      <c r="E4907" t="s">
        <v>6546</v>
      </c>
      <c r="F4907" t="s">
        <v>6547</v>
      </c>
      <c r="G4907" t="s">
        <v>1019</v>
      </c>
      <c r="H4907" t="s">
        <v>1043</v>
      </c>
      <c r="I4907">
        <v>33879002</v>
      </c>
      <c r="J4907" t="s">
        <v>1044</v>
      </c>
      <c r="K4907">
        <v>142.58000000000001</v>
      </c>
      <c r="L4907">
        <v>278.58</v>
      </c>
      <c r="M4907">
        <v>0</v>
      </c>
      <c r="O4907" t="s">
        <v>34</v>
      </c>
    </row>
    <row r="4908" spans="1:15">
      <c r="A4908" t="s">
        <v>6562</v>
      </c>
      <c r="B4908" s="2">
        <v>44262.009571759256</v>
      </c>
      <c r="C4908" s="2">
        <v>44262.019988425927</v>
      </c>
      <c r="D4908" t="s">
        <v>967</v>
      </c>
      <c r="E4908" t="s">
        <v>6546</v>
      </c>
      <c r="F4908" t="s">
        <v>6547</v>
      </c>
      <c r="G4908" t="s">
        <v>1019</v>
      </c>
      <c r="H4908" t="s">
        <v>1043</v>
      </c>
      <c r="I4908">
        <v>33879002</v>
      </c>
      <c r="J4908" t="s">
        <v>1044</v>
      </c>
      <c r="K4908">
        <v>142.58000000000001</v>
      </c>
      <c r="L4908">
        <v>278.58</v>
      </c>
      <c r="M4908">
        <v>0</v>
      </c>
      <c r="O4908" t="s">
        <v>34</v>
      </c>
    </row>
    <row r="4909" spans="1:15">
      <c r="A4909" t="s">
        <v>6563</v>
      </c>
      <c r="B4909" s="2">
        <v>44267.426238425927</v>
      </c>
      <c r="C4909" s="2">
        <v>44267.436655092592</v>
      </c>
      <c r="D4909" t="s">
        <v>967</v>
      </c>
      <c r="E4909" t="s">
        <v>6540</v>
      </c>
      <c r="F4909" t="s">
        <v>6541</v>
      </c>
      <c r="G4909" t="s">
        <v>1019</v>
      </c>
      <c r="H4909" t="s">
        <v>1031</v>
      </c>
      <c r="I4909">
        <v>185345009</v>
      </c>
      <c r="J4909" t="s">
        <v>1032</v>
      </c>
      <c r="K4909">
        <v>85.55</v>
      </c>
      <c r="L4909">
        <v>85.55</v>
      </c>
      <c r="M4909">
        <v>0</v>
      </c>
      <c r="N4909">
        <v>36971009</v>
      </c>
      <c r="O4909" t="s">
        <v>1278</v>
      </c>
    </row>
    <row r="4910" spans="1:15">
      <c r="A4910" t="s">
        <v>6564</v>
      </c>
      <c r="B4910" s="2">
        <v>44342.47347222222</v>
      </c>
      <c r="C4910" s="2">
        <v>44342.483888888892</v>
      </c>
      <c r="D4910" t="s">
        <v>967</v>
      </c>
      <c r="E4910" t="s">
        <v>6546</v>
      </c>
      <c r="F4910" t="s">
        <v>6547</v>
      </c>
      <c r="G4910" t="s">
        <v>1019</v>
      </c>
      <c r="H4910" t="s">
        <v>1043</v>
      </c>
      <c r="I4910">
        <v>698314001</v>
      </c>
      <c r="J4910" t="s">
        <v>1190</v>
      </c>
      <c r="K4910">
        <v>142.58000000000001</v>
      </c>
      <c r="L4910">
        <v>142.58000000000001</v>
      </c>
      <c r="M4910">
        <v>0</v>
      </c>
      <c r="N4910">
        <v>389095005</v>
      </c>
      <c r="O4910" t="s">
        <v>1191</v>
      </c>
    </row>
    <row r="4911" spans="1:15">
      <c r="A4911" t="s">
        <v>6565</v>
      </c>
      <c r="B4911" s="2">
        <v>44444.051238425927</v>
      </c>
      <c r="C4911" s="2">
        <v>44444.09516203704</v>
      </c>
      <c r="D4911" t="s">
        <v>967</v>
      </c>
      <c r="E4911" t="s">
        <v>6546</v>
      </c>
      <c r="F4911" t="s">
        <v>6547</v>
      </c>
      <c r="G4911" t="s">
        <v>1019</v>
      </c>
      <c r="H4911" t="s">
        <v>1043</v>
      </c>
      <c r="I4911">
        <v>308335008</v>
      </c>
      <c r="J4911" t="s">
        <v>1194</v>
      </c>
      <c r="K4911">
        <v>142.58000000000001</v>
      </c>
      <c r="L4911">
        <v>573.98</v>
      </c>
      <c r="M4911">
        <v>0</v>
      </c>
      <c r="N4911">
        <v>389095005</v>
      </c>
      <c r="O4911" t="s">
        <v>1191</v>
      </c>
    </row>
    <row r="4912" spans="1:15">
      <c r="A4912" t="s">
        <v>6566</v>
      </c>
      <c r="B4912" s="2">
        <v>44493.051238425927</v>
      </c>
      <c r="C4912" s="2">
        <v>44493.061655092592</v>
      </c>
      <c r="D4912" t="s">
        <v>967</v>
      </c>
      <c r="E4912" t="s">
        <v>6540</v>
      </c>
      <c r="F4912" t="s">
        <v>6541</v>
      </c>
      <c r="G4912" t="s">
        <v>1019</v>
      </c>
      <c r="H4912" t="s">
        <v>1031</v>
      </c>
      <c r="I4912">
        <v>424441002</v>
      </c>
      <c r="J4912" t="s">
        <v>1059</v>
      </c>
      <c r="K4912">
        <v>142.58000000000001</v>
      </c>
      <c r="L4912">
        <v>55894.5</v>
      </c>
      <c r="M4912">
        <v>0</v>
      </c>
      <c r="N4912">
        <v>72892002</v>
      </c>
      <c r="O4912" t="s">
        <v>1060</v>
      </c>
    </row>
    <row r="4913" spans="1:15">
      <c r="A4913" t="s">
        <v>6567</v>
      </c>
      <c r="B4913" s="2">
        <v>44521.009571759256</v>
      </c>
      <c r="C4913" s="2">
        <v>44521.019988425927</v>
      </c>
      <c r="D4913" t="s">
        <v>967</v>
      </c>
      <c r="E4913" t="s">
        <v>6540</v>
      </c>
      <c r="F4913" t="s">
        <v>6541</v>
      </c>
      <c r="G4913" t="s">
        <v>1019</v>
      </c>
      <c r="H4913" t="s">
        <v>1031</v>
      </c>
      <c r="I4913">
        <v>424619006</v>
      </c>
      <c r="J4913" t="s">
        <v>1062</v>
      </c>
      <c r="K4913">
        <v>142.58000000000001</v>
      </c>
      <c r="L4913">
        <v>12432.4</v>
      </c>
      <c r="M4913">
        <v>0</v>
      </c>
      <c r="N4913">
        <v>72892002</v>
      </c>
      <c r="O4913" t="s">
        <v>1060</v>
      </c>
    </row>
    <row r="4914" spans="1:15">
      <c r="A4914" t="s">
        <v>6568</v>
      </c>
      <c r="B4914" s="2">
        <v>44549.009571759256</v>
      </c>
      <c r="C4914" s="2">
        <v>44549.019988425927</v>
      </c>
      <c r="D4914" t="s">
        <v>967</v>
      </c>
      <c r="E4914" t="s">
        <v>6540</v>
      </c>
      <c r="F4914" t="s">
        <v>6541</v>
      </c>
      <c r="G4914" t="s">
        <v>1019</v>
      </c>
      <c r="H4914" t="s">
        <v>1031</v>
      </c>
      <c r="I4914">
        <v>424619006</v>
      </c>
      <c r="J4914" t="s">
        <v>1062</v>
      </c>
      <c r="K4914">
        <v>142.58000000000001</v>
      </c>
      <c r="L4914">
        <v>10494.48</v>
      </c>
      <c r="M4914">
        <v>0</v>
      </c>
      <c r="N4914">
        <v>72892002</v>
      </c>
      <c r="O4914" t="s">
        <v>1060</v>
      </c>
    </row>
    <row r="4915" spans="1:15">
      <c r="A4915" t="s">
        <v>6569</v>
      </c>
      <c r="B4915" s="2">
        <v>44577.009571759256</v>
      </c>
      <c r="C4915" s="2">
        <v>44577.019988425927</v>
      </c>
      <c r="D4915" t="s">
        <v>967</v>
      </c>
      <c r="E4915" t="s">
        <v>6540</v>
      </c>
      <c r="F4915" t="s">
        <v>6541</v>
      </c>
      <c r="G4915" t="s">
        <v>1019</v>
      </c>
      <c r="H4915" t="s">
        <v>1031</v>
      </c>
      <c r="I4915">
        <v>424619006</v>
      </c>
      <c r="J4915" t="s">
        <v>1062</v>
      </c>
      <c r="K4915">
        <v>142.58000000000001</v>
      </c>
      <c r="L4915">
        <v>12316.65</v>
      </c>
      <c r="M4915">
        <v>0</v>
      </c>
      <c r="N4915">
        <v>72892002</v>
      </c>
      <c r="O4915" t="s">
        <v>1060</v>
      </c>
    </row>
    <row r="4916" spans="1:15">
      <c r="A4916" t="s">
        <v>6570</v>
      </c>
      <c r="B4916" s="2">
        <v>44605.009571759256</v>
      </c>
      <c r="C4916" s="2">
        <v>44605.019988425927</v>
      </c>
      <c r="D4916" t="s">
        <v>967</v>
      </c>
      <c r="E4916" t="s">
        <v>6540</v>
      </c>
      <c r="F4916" t="s">
        <v>6541</v>
      </c>
      <c r="G4916" t="s">
        <v>1019</v>
      </c>
      <c r="H4916" t="s">
        <v>1031</v>
      </c>
      <c r="I4916">
        <v>424619006</v>
      </c>
      <c r="J4916" t="s">
        <v>1062</v>
      </c>
      <c r="K4916">
        <v>142.58000000000001</v>
      </c>
      <c r="L4916">
        <v>7209.82</v>
      </c>
      <c r="M4916">
        <v>0</v>
      </c>
      <c r="N4916">
        <v>72892002</v>
      </c>
      <c r="O4916" t="s">
        <v>1060</v>
      </c>
    </row>
    <row r="4917" spans="1:15">
      <c r="A4917" t="s">
        <v>6571</v>
      </c>
      <c r="B4917" s="2">
        <v>44633.009571759256</v>
      </c>
      <c r="C4917" s="2">
        <v>44633.019988425927</v>
      </c>
      <c r="D4917" t="s">
        <v>967</v>
      </c>
      <c r="E4917" t="s">
        <v>6540</v>
      </c>
      <c r="F4917" t="s">
        <v>6541</v>
      </c>
      <c r="G4917" t="s">
        <v>1019</v>
      </c>
      <c r="H4917" t="s">
        <v>1031</v>
      </c>
      <c r="I4917">
        <v>424619006</v>
      </c>
      <c r="J4917" t="s">
        <v>1062</v>
      </c>
      <c r="K4917">
        <v>142.58000000000001</v>
      </c>
      <c r="L4917">
        <v>14989.46</v>
      </c>
      <c r="M4917">
        <v>0</v>
      </c>
      <c r="N4917">
        <v>72892002</v>
      </c>
      <c r="O4917" t="s">
        <v>1060</v>
      </c>
    </row>
    <row r="4918" spans="1:15">
      <c r="A4918" t="s">
        <v>6572</v>
      </c>
      <c r="B4918" s="2">
        <v>44661.051238425927</v>
      </c>
      <c r="C4918" s="2">
        <v>44661.061655092592</v>
      </c>
      <c r="D4918" t="s">
        <v>967</v>
      </c>
      <c r="E4918" t="s">
        <v>6540</v>
      </c>
      <c r="F4918" t="s">
        <v>6541</v>
      </c>
      <c r="G4918" t="s">
        <v>1019</v>
      </c>
      <c r="H4918" t="s">
        <v>1031</v>
      </c>
      <c r="I4918">
        <v>424619006</v>
      </c>
      <c r="J4918" t="s">
        <v>1062</v>
      </c>
      <c r="K4918">
        <v>142.58000000000001</v>
      </c>
      <c r="L4918">
        <v>8538.44</v>
      </c>
      <c r="M4918">
        <v>0</v>
      </c>
      <c r="N4918">
        <v>72892002</v>
      </c>
      <c r="O4918" t="s">
        <v>1060</v>
      </c>
    </row>
    <row r="4919" spans="1:15">
      <c r="A4919" t="s">
        <v>6573</v>
      </c>
      <c r="B4919" s="2">
        <v>44689.051238425927</v>
      </c>
      <c r="C4919" s="2">
        <v>44689.092905092592</v>
      </c>
      <c r="D4919" t="s">
        <v>967</v>
      </c>
      <c r="E4919" t="s">
        <v>5600</v>
      </c>
      <c r="F4919" t="s">
        <v>5601</v>
      </c>
      <c r="G4919" t="s">
        <v>1019</v>
      </c>
      <c r="H4919" t="s">
        <v>1076</v>
      </c>
      <c r="I4919">
        <v>183460006</v>
      </c>
      <c r="J4919" t="s">
        <v>1077</v>
      </c>
      <c r="K4919">
        <v>146.18</v>
      </c>
      <c r="L4919">
        <v>577.58000000000004</v>
      </c>
      <c r="M4919">
        <v>0</v>
      </c>
      <c r="N4919">
        <v>72892002</v>
      </c>
      <c r="O4919" t="s">
        <v>1060</v>
      </c>
    </row>
    <row r="4920" spans="1:15">
      <c r="A4920" t="s">
        <v>6574</v>
      </c>
      <c r="B4920" s="2">
        <v>44731.051238425927</v>
      </c>
      <c r="C4920" s="2">
        <v>44731.061655092592</v>
      </c>
      <c r="D4920" t="s">
        <v>967</v>
      </c>
      <c r="E4920" t="s">
        <v>6540</v>
      </c>
      <c r="F4920" t="s">
        <v>6541</v>
      </c>
      <c r="G4920" t="s">
        <v>1019</v>
      </c>
      <c r="H4920" t="s">
        <v>1031</v>
      </c>
      <c r="I4920">
        <v>169762003</v>
      </c>
      <c r="J4920" t="s">
        <v>1079</v>
      </c>
      <c r="K4920">
        <v>142.58000000000001</v>
      </c>
      <c r="L4920">
        <v>1005.38</v>
      </c>
      <c r="M4920">
        <v>0</v>
      </c>
      <c r="O4920" t="s">
        <v>34</v>
      </c>
    </row>
    <row r="4921" spans="1:15">
      <c r="A4921" t="s">
        <v>6575</v>
      </c>
      <c r="B4921" s="2">
        <v>44738.051238425927</v>
      </c>
      <c r="C4921" s="2">
        <v>44738.061655092592</v>
      </c>
      <c r="D4921" t="s">
        <v>967</v>
      </c>
      <c r="E4921" t="s">
        <v>6546</v>
      </c>
      <c r="F4921" t="s">
        <v>6547</v>
      </c>
      <c r="G4921" t="s">
        <v>1019</v>
      </c>
      <c r="H4921" t="s">
        <v>1043</v>
      </c>
      <c r="I4921">
        <v>698314001</v>
      </c>
      <c r="J4921" t="s">
        <v>1190</v>
      </c>
      <c r="K4921">
        <v>142.58000000000001</v>
      </c>
      <c r="L4921">
        <v>142.58000000000001</v>
      </c>
      <c r="M4921">
        <v>0</v>
      </c>
      <c r="N4921">
        <v>389095005</v>
      </c>
      <c r="O4921" t="s">
        <v>1191</v>
      </c>
    </row>
    <row r="4922" spans="1:15">
      <c r="A4922" t="s">
        <v>6576</v>
      </c>
      <c r="B4922" s="2">
        <v>44836.051238425927</v>
      </c>
      <c r="C4922" s="2">
        <v>44836.091921296298</v>
      </c>
      <c r="D4922" t="s">
        <v>967</v>
      </c>
      <c r="E4922" t="s">
        <v>6537</v>
      </c>
      <c r="F4922" t="s">
        <v>6538</v>
      </c>
      <c r="G4922" t="s">
        <v>1093</v>
      </c>
      <c r="H4922" t="s">
        <v>1020</v>
      </c>
      <c r="I4922">
        <v>162673000</v>
      </c>
      <c r="J4922" t="s">
        <v>1021</v>
      </c>
      <c r="K4922">
        <v>136.80000000000001</v>
      </c>
      <c r="L4922">
        <v>1132.1600000000001</v>
      </c>
      <c r="M4922">
        <v>1032.1600000000001</v>
      </c>
      <c r="O4922" t="s">
        <v>34</v>
      </c>
    </row>
    <row r="4923" spans="1:15">
      <c r="A4923" t="s">
        <v>6577</v>
      </c>
      <c r="B4923" s="2">
        <v>44850.051238425927</v>
      </c>
      <c r="C4923" s="2">
        <v>44850.182210648149</v>
      </c>
      <c r="D4923" t="s">
        <v>967</v>
      </c>
      <c r="E4923" t="s">
        <v>6540</v>
      </c>
      <c r="F4923" t="s">
        <v>6541</v>
      </c>
      <c r="G4923" t="s">
        <v>1093</v>
      </c>
      <c r="H4923" t="s">
        <v>1031</v>
      </c>
      <c r="I4923">
        <v>185349003</v>
      </c>
      <c r="J4923" t="s">
        <v>1038</v>
      </c>
      <c r="K4923">
        <v>85.55</v>
      </c>
      <c r="L4923">
        <v>3105.35</v>
      </c>
      <c r="M4923">
        <v>3055.35</v>
      </c>
      <c r="N4923">
        <v>103697008</v>
      </c>
      <c r="O4923" t="s">
        <v>1039</v>
      </c>
    </row>
    <row r="4924" spans="1:15">
      <c r="A4924" t="s">
        <v>6578</v>
      </c>
      <c r="B4924" s="2">
        <v>45098.051238425927</v>
      </c>
      <c r="C4924" s="2">
        <v>45098.061655092592</v>
      </c>
      <c r="D4924" t="s">
        <v>967</v>
      </c>
      <c r="E4924" t="s">
        <v>6546</v>
      </c>
      <c r="F4924" t="s">
        <v>6547</v>
      </c>
      <c r="G4924" t="s">
        <v>1093</v>
      </c>
      <c r="H4924" t="s">
        <v>1043</v>
      </c>
      <c r="I4924">
        <v>698314001</v>
      </c>
      <c r="J4924" t="s">
        <v>1190</v>
      </c>
      <c r="K4924">
        <v>142.58000000000001</v>
      </c>
      <c r="L4924">
        <v>142.58000000000001</v>
      </c>
      <c r="M4924">
        <v>92.58</v>
      </c>
      <c r="N4924">
        <v>389095005</v>
      </c>
      <c r="O4924" t="s">
        <v>1191</v>
      </c>
    </row>
    <row r="4925" spans="1:15">
      <c r="A4925" t="s">
        <v>6579</v>
      </c>
      <c r="B4925" s="2">
        <v>45445.051238425927</v>
      </c>
      <c r="C4925" s="2">
        <v>45445.061655092592</v>
      </c>
      <c r="D4925" t="s">
        <v>967</v>
      </c>
      <c r="E4925" t="s">
        <v>6540</v>
      </c>
      <c r="F4925" t="s">
        <v>6541</v>
      </c>
      <c r="G4925" t="s">
        <v>1019</v>
      </c>
      <c r="H4925" t="s">
        <v>1031</v>
      </c>
      <c r="I4925">
        <v>424441002</v>
      </c>
      <c r="J4925" t="s">
        <v>1059</v>
      </c>
      <c r="K4925">
        <v>142.58000000000001</v>
      </c>
      <c r="L4925">
        <v>7521.87</v>
      </c>
      <c r="M4925">
        <v>0</v>
      </c>
      <c r="N4925">
        <v>72892002</v>
      </c>
      <c r="O4925" t="s">
        <v>1060</v>
      </c>
    </row>
    <row r="4926" spans="1:15">
      <c r="A4926" t="s">
        <v>6580</v>
      </c>
      <c r="B4926" s="2">
        <v>45457.051238425927</v>
      </c>
      <c r="C4926" s="2">
        <v>45459.676238425927</v>
      </c>
      <c r="D4926" t="s">
        <v>967</v>
      </c>
      <c r="E4926" t="s">
        <v>6546</v>
      </c>
      <c r="F4926" t="s">
        <v>6547</v>
      </c>
      <c r="G4926" t="s">
        <v>1019</v>
      </c>
      <c r="H4926" t="s">
        <v>1431</v>
      </c>
      <c r="I4926">
        <v>305408004</v>
      </c>
      <c r="J4926" t="s">
        <v>1626</v>
      </c>
      <c r="K4926">
        <v>146.18</v>
      </c>
      <c r="L4926">
        <v>4322.28</v>
      </c>
      <c r="M4926">
        <v>0</v>
      </c>
      <c r="N4926">
        <v>79586000</v>
      </c>
      <c r="O4926" t="s">
        <v>1780</v>
      </c>
    </row>
    <row r="4927" spans="1:15">
      <c r="A4927" t="s">
        <v>6581</v>
      </c>
      <c r="B4927" s="2">
        <v>45473.676238425927</v>
      </c>
      <c r="C4927" s="2">
        <v>45473.686655092592</v>
      </c>
      <c r="D4927" t="s">
        <v>967</v>
      </c>
      <c r="E4927" t="s">
        <v>6540</v>
      </c>
      <c r="F4927" t="s">
        <v>6541</v>
      </c>
      <c r="G4927" t="s">
        <v>1019</v>
      </c>
      <c r="H4927" t="s">
        <v>1031</v>
      </c>
      <c r="I4927">
        <v>424619006</v>
      </c>
      <c r="J4927" t="s">
        <v>1062</v>
      </c>
      <c r="K4927">
        <v>142.58000000000001</v>
      </c>
      <c r="L4927">
        <v>1005.38</v>
      </c>
      <c r="M4927">
        <v>0</v>
      </c>
      <c r="N4927">
        <v>79586000</v>
      </c>
      <c r="O4927" t="s">
        <v>1780</v>
      </c>
    </row>
    <row r="4928" spans="1:15">
      <c r="A4928" t="s">
        <v>6582</v>
      </c>
      <c r="B4928" s="2">
        <v>45487.051238425927</v>
      </c>
      <c r="C4928" s="2">
        <v>45487.061655092592</v>
      </c>
      <c r="D4928" t="s">
        <v>967</v>
      </c>
      <c r="E4928" t="s">
        <v>6546</v>
      </c>
      <c r="F4928" t="s">
        <v>6547</v>
      </c>
      <c r="G4928" t="s">
        <v>1019</v>
      </c>
      <c r="H4928" t="s">
        <v>1043</v>
      </c>
      <c r="I4928">
        <v>698314001</v>
      </c>
      <c r="J4928" t="s">
        <v>1190</v>
      </c>
      <c r="K4928">
        <v>142.58000000000001</v>
      </c>
      <c r="L4928">
        <v>142.58000000000001</v>
      </c>
      <c r="M4928">
        <v>0</v>
      </c>
      <c r="N4928">
        <v>389095005</v>
      </c>
      <c r="O4928" t="s">
        <v>1191</v>
      </c>
    </row>
    <row r="4929" spans="1:15">
      <c r="A4929" t="s">
        <v>6583</v>
      </c>
      <c r="B4929" s="2">
        <v>45571.051238425927</v>
      </c>
      <c r="C4929" s="2">
        <v>45571.080266203702</v>
      </c>
      <c r="D4929" t="s">
        <v>967</v>
      </c>
      <c r="E4929" t="s">
        <v>6537</v>
      </c>
      <c r="F4929" t="s">
        <v>6538</v>
      </c>
      <c r="G4929" t="s">
        <v>1019</v>
      </c>
      <c r="H4929" t="s">
        <v>1020</v>
      </c>
      <c r="I4929">
        <v>162673000</v>
      </c>
      <c r="J4929" t="s">
        <v>1021</v>
      </c>
      <c r="K4929">
        <v>136.80000000000001</v>
      </c>
      <c r="L4929">
        <v>1001.28</v>
      </c>
      <c r="M4929">
        <v>0</v>
      </c>
      <c r="O4929" t="s">
        <v>34</v>
      </c>
    </row>
    <row r="4930" spans="1:15">
      <c r="A4930" t="s">
        <v>6584</v>
      </c>
      <c r="B4930" s="2">
        <v>45897.967905092592</v>
      </c>
      <c r="C4930" s="2">
        <v>45897.978321759256</v>
      </c>
      <c r="D4930" t="s">
        <v>967</v>
      </c>
      <c r="E4930" t="s">
        <v>6540</v>
      </c>
      <c r="F4930" t="s">
        <v>6541</v>
      </c>
      <c r="G4930" t="s">
        <v>1019</v>
      </c>
      <c r="H4930" t="s">
        <v>1031</v>
      </c>
      <c r="I4930">
        <v>185345009</v>
      </c>
      <c r="J4930" t="s">
        <v>1032</v>
      </c>
      <c r="K4930">
        <v>85.55</v>
      </c>
      <c r="L4930">
        <v>85.55</v>
      </c>
      <c r="M4930">
        <v>0</v>
      </c>
      <c r="N4930">
        <v>444814009</v>
      </c>
      <c r="O4930" t="s">
        <v>1035</v>
      </c>
    </row>
    <row r="4931" spans="1:15">
      <c r="A4931" t="s">
        <v>6585</v>
      </c>
      <c r="B4931" s="2">
        <v>46207.051238425927</v>
      </c>
      <c r="C4931" s="2">
        <v>46207.061655092592</v>
      </c>
      <c r="D4931" t="s">
        <v>967</v>
      </c>
      <c r="E4931" t="s">
        <v>6546</v>
      </c>
      <c r="F4931" t="s">
        <v>6547</v>
      </c>
      <c r="G4931" t="s">
        <v>1019</v>
      </c>
      <c r="H4931" t="s">
        <v>1043</v>
      </c>
      <c r="I4931">
        <v>698314001</v>
      </c>
      <c r="J4931" t="s">
        <v>1190</v>
      </c>
      <c r="K4931">
        <v>142.58000000000001</v>
      </c>
      <c r="L4931">
        <v>142.58000000000001</v>
      </c>
      <c r="M4931">
        <v>0</v>
      </c>
      <c r="N4931">
        <v>389095005</v>
      </c>
      <c r="O4931" t="s">
        <v>1191</v>
      </c>
    </row>
    <row r="4932" spans="1:15">
      <c r="A4932" t="s">
        <v>6586</v>
      </c>
      <c r="B4932" s="2">
        <v>17192.694386574072</v>
      </c>
      <c r="C4932" s="2">
        <v>17192.70480324074</v>
      </c>
      <c r="D4932" t="s">
        <v>976</v>
      </c>
      <c r="E4932" t="s">
        <v>6587</v>
      </c>
      <c r="F4932" t="s">
        <v>6588</v>
      </c>
      <c r="G4932" t="s">
        <v>1019</v>
      </c>
      <c r="H4932" t="s">
        <v>1031</v>
      </c>
      <c r="I4932">
        <v>185345009</v>
      </c>
      <c r="J4932" t="s">
        <v>1032</v>
      </c>
      <c r="K4932">
        <v>85.55</v>
      </c>
      <c r="L4932">
        <v>92.93</v>
      </c>
      <c r="M4932">
        <v>0</v>
      </c>
      <c r="N4932">
        <v>36971009</v>
      </c>
      <c r="O4932" t="s">
        <v>1278</v>
      </c>
    </row>
    <row r="4933" spans="1:15">
      <c r="A4933" t="s">
        <v>6589</v>
      </c>
      <c r="B4933" s="2">
        <v>22985.277719907408</v>
      </c>
      <c r="C4933" s="2">
        <v>22985.318668981483</v>
      </c>
      <c r="D4933" t="s">
        <v>976</v>
      </c>
      <c r="E4933" t="s">
        <v>6590</v>
      </c>
      <c r="F4933" t="s">
        <v>6591</v>
      </c>
      <c r="G4933" t="s">
        <v>1019</v>
      </c>
      <c r="H4933" t="s">
        <v>1020</v>
      </c>
      <c r="I4933">
        <v>162673000</v>
      </c>
      <c r="J4933" t="s">
        <v>1021</v>
      </c>
      <c r="K4933">
        <v>136.80000000000001</v>
      </c>
      <c r="L4933">
        <v>704.2</v>
      </c>
      <c r="M4933">
        <v>0</v>
      </c>
      <c r="O4933" t="s">
        <v>34</v>
      </c>
    </row>
    <row r="4934" spans="1:15">
      <c r="A4934" t="s">
        <v>6592</v>
      </c>
      <c r="B4934" s="2">
        <v>23356.277719907408</v>
      </c>
      <c r="C4934" s="2">
        <v>23356.299131944445</v>
      </c>
      <c r="D4934" t="s">
        <v>976</v>
      </c>
      <c r="E4934" t="s">
        <v>6590</v>
      </c>
      <c r="F4934" t="s">
        <v>6591</v>
      </c>
      <c r="G4934" t="s">
        <v>1019</v>
      </c>
      <c r="H4934" t="s">
        <v>1020</v>
      </c>
      <c r="I4934">
        <v>162673000</v>
      </c>
      <c r="J4934" t="s">
        <v>1021</v>
      </c>
      <c r="K4934">
        <v>136.80000000000001</v>
      </c>
      <c r="L4934">
        <v>704.2</v>
      </c>
      <c r="M4934">
        <v>0</v>
      </c>
      <c r="O4934" t="s">
        <v>34</v>
      </c>
    </row>
    <row r="4935" spans="1:15">
      <c r="A4935" t="s">
        <v>6593</v>
      </c>
      <c r="B4935" s="2">
        <v>28851.277719907408</v>
      </c>
      <c r="C4935" s="2">
        <v>28851.313831018517</v>
      </c>
      <c r="D4935" t="s">
        <v>976</v>
      </c>
      <c r="E4935" t="s">
        <v>6590</v>
      </c>
      <c r="F4935" t="s">
        <v>6591</v>
      </c>
      <c r="G4935" t="s">
        <v>1019</v>
      </c>
      <c r="H4935" t="s">
        <v>1020</v>
      </c>
      <c r="I4935">
        <v>162673000</v>
      </c>
      <c r="J4935" t="s">
        <v>1021</v>
      </c>
      <c r="K4935">
        <v>136.80000000000001</v>
      </c>
      <c r="L4935">
        <v>998.38</v>
      </c>
      <c r="M4935">
        <v>0</v>
      </c>
      <c r="O4935" t="s">
        <v>34</v>
      </c>
    </row>
    <row r="4936" spans="1:15">
      <c r="A4936" t="s">
        <v>6594</v>
      </c>
      <c r="B4936" s="2">
        <v>30972.319386574072</v>
      </c>
      <c r="C4936" s="2">
        <v>30972.356157407408</v>
      </c>
      <c r="D4936" t="s">
        <v>976</v>
      </c>
      <c r="E4936" t="s">
        <v>6590</v>
      </c>
      <c r="F4936" t="s">
        <v>6591</v>
      </c>
      <c r="G4936" t="s">
        <v>1019</v>
      </c>
      <c r="H4936" t="s">
        <v>1020</v>
      </c>
      <c r="I4936">
        <v>162673000</v>
      </c>
      <c r="J4936" t="s">
        <v>1021</v>
      </c>
      <c r="K4936">
        <v>136.80000000000001</v>
      </c>
      <c r="L4936">
        <v>1722.96</v>
      </c>
      <c r="M4936">
        <v>0</v>
      </c>
      <c r="O4936" t="s">
        <v>34</v>
      </c>
    </row>
    <row r="4937" spans="1:15">
      <c r="A4937" t="s">
        <v>6595</v>
      </c>
      <c r="B4937" s="2">
        <v>31707.319386574072</v>
      </c>
      <c r="C4937" s="2">
        <v>31707.34613425926</v>
      </c>
      <c r="D4937" t="s">
        <v>976</v>
      </c>
      <c r="E4937" t="s">
        <v>6590</v>
      </c>
      <c r="F4937" t="s">
        <v>6591</v>
      </c>
      <c r="G4937" t="s">
        <v>1019</v>
      </c>
      <c r="H4937" t="s">
        <v>1020</v>
      </c>
      <c r="I4937">
        <v>162673000</v>
      </c>
      <c r="J4937" t="s">
        <v>1021</v>
      </c>
      <c r="K4937">
        <v>136.80000000000001</v>
      </c>
      <c r="L4937">
        <v>1009.32</v>
      </c>
      <c r="M4937">
        <v>0</v>
      </c>
      <c r="O4937" t="s">
        <v>34</v>
      </c>
    </row>
    <row r="4938" spans="1:15">
      <c r="A4938" t="s">
        <v>6596</v>
      </c>
      <c r="B4938" s="2">
        <v>31728.277719907408</v>
      </c>
      <c r="C4938" s="2">
        <v>31728.288136574072</v>
      </c>
      <c r="D4938" t="s">
        <v>976</v>
      </c>
      <c r="E4938" t="s">
        <v>6587</v>
      </c>
      <c r="F4938" t="s">
        <v>6588</v>
      </c>
      <c r="G4938" t="s">
        <v>1019</v>
      </c>
      <c r="H4938" t="s">
        <v>1031</v>
      </c>
      <c r="I4938">
        <v>390906007</v>
      </c>
      <c r="J4938" t="s">
        <v>1255</v>
      </c>
      <c r="K4938">
        <v>85.55</v>
      </c>
      <c r="L4938">
        <v>85.55</v>
      </c>
      <c r="M4938">
        <v>0</v>
      </c>
      <c r="N4938">
        <v>55822004</v>
      </c>
      <c r="O4938" t="s">
        <v>2010</v>
      </c>
    </row>
    <row r="4939" spans="1:15">
      <c r="A4939" t="s">
        <v>6597</v>
      </c>
      <c r="B4939" s="2">
        <v>33177.277719907404</v>
      </c>
      <c r="C4939" s="2">
        <v>33177.317118055558</v>
      </c>
      <c r="D4939" t="s">
        <v>976</v>
      </c>
      <c r="E4939" t="s">
        <v>6590</v>
      </c>
      <c r="F4939" t="s">
        <v>6591</v>
      </c>
      <c r="G4939" t="s">
        <v>1019</v>
      </c>
      <c r="H4939" t="s">
        <v>1020</v>
      </c>
      <c r="I4939">
        <v>162673000</v>
      </c>
      <c r="J4939" t="s">
        <v>1021</v>
      </c>
      <c r="K4939">
        <v>136.80000000000001</v>
      </c>
      <c r="L4939">
        <v>1150.44</v>
      </c>
      <c r="M4939">
        <v>0</v>
      </c>
      <c r="O4939" t="s">
        <v>34</v>
      </c>
    </row>
    <row r="4940" spans="1:15">
      <c r="A4940" t="s">
        <v>6598</v>
      </c>
      <c r="B4940" s="2">
        <v>33457.319386574076</v>
      </c>
      <c r="C4940" s="2">
        <v>33457.355081018519</v>
      </c>
      <c r="D4940" t="s">
        <v>976</v>
      </c>
      <c r="E4940" t="s">
        <v>3753</v>
      </c>
      <c r="F4940" t="s">
        <v>3754</v>
      </c>
      <c r="G4940" t="s">
        <v>1019</v>
      </c>
      <c r="H4940" t="s">
        <v>1159</v>
      </c>
      <c r="I4940">
        <v>702927004</v>
      </c>
      <c r="J4940" t="s">
        <v>1160</v>
      </c>
      <c r="K4940">
        <v>142.58000000000001</v>
      </c>
      <c r="L4940">
        <v>1081.6400000000001</v>
      </c>
      <c r="M4940">
        <v>0</v>
      </c>
      <c r="O4940" t="s">
        <v>34</v>
      </c>
    </row>
    <row r="4941" spans="1:15">
      <c r="A4941" t="s">
        <v>6599</v>
      </c>
      <c r="B4941" s="2">
        <v>34290.277719907404</v>
      </c>
      <c r="C4941" s="2">
        <v>34290.305601851855</v>
      </c>
      <c r="D4941" t="s">
        <v>976</v>
      </c>
      <c r="E4941" t="s">
        <v>6590</v>
      </c>
      <c r="F4941" t="s">
        <v>6591</v>
      </c>
      <c r="G4941" t="s">
        <v>1019</v>
      </c>
      <c r="H4941" t="s">
        <v>1020</v>
      </c>
      <c r="I4941">
        <v>162673000</v>
      </c>
      <c r="J4941" t="s">
        <v>1021</v>
      </c>
      <c r="K4941">
        <v>136.80000000000001</v>
      </c>
      <c r="L4941">
        <v>1716.16</v>
      </c>
      <c r="M4941">
        <v>0</v>
      </c>
      <c r="O4941" t="s">
        <v>34</v>
      </c>
    </row>
    <row r="4942" spans="1:15">
      <c r="A4942" t="s">
        <v>6600</v>
      </c>
      <c r="B4942" s="2">
        <v>36432.319386574076</v>
      </c>
      <c r="C4942" s="2">
        <v>36432.343773148146</v>
      </c>
      <c r="D4942" t="s">
        <v>976</v>
      </c>
      <c r="E4942" t="s">
        <v>6587</v>
      </c>
      <c r="F4942" t="s">
        <v>6588</v>
      </c>
      <c r="G4942" t="s">
        <v>1019</v>
      </c>
      <c r="H4942" t="s">
        <v>1043</v>
      </c>
      <c r="I4942">
        <v>185349003</v>
      </c>
      <c r="J4942" t="s">
        <v>1038</v>
      </c>
      <c r="K4942">
        <v>85.55</v>
      </c>
      <c r="L4942">
        <v>808.91</v>
      </c>
      <c r="M4942">
        <v>0</v>
      </c>
      <c r="O4942" t="s">
        <v>34</v>
      </c>
    </row>
    <row r="4943" spans="1:15">
      <c r="A4943" t="s">
        <v>6601</v>
      </c>
      <c r="B4943" s="2">
        <v>38371.277719907404</v>
      </c>
      <c r="C4943" s="2">
        <v>38371.302523148152</v>
      </c>
      <c r="D4943" t="s">
        <v>976</v>
      </c>
      <c r="E4943" t="s">
        <v>6590</v>
      </c>
      <c r="F4943" t="s">
        <v>6591</v>
      </c>
      <c r="G4943" t="s">
        <v>1019</v>
      </c>
      <c r="H4943" t="s">
        <v>1020</v>
      </c>
      <c r="I4943">
        <v>162673000</v>
      </c>
      <c r="J4943" t="s">
        <v>1021</v>
      </c>
      <c r="K4943">
        <v>136.80000000000001</v>
      </c>
      <c r="L4943">
        <v>853.36</v>
      </c>
      <c r="M4943">
        <v>0</v>
      </c>
      <c r="O4943" t="s">
        <v>34</v>
      </c>
    </row>
    <row r="4944" spans="1:15">
      <c r="A4944" t="s">
        <v>6602</v>
      </c>
      <c r="B4944" s="2">
        <v>38382.268252314818</v>
      </c>
      <c r="C4944" s="2">
        <v>38382.461921296293</v>
      </c>
      <c r="D4944" t="s">
        <v>976</v>
      </c>
      <c r="E4944" t="s">
        <v>1226</v>
      </c>
      <c r="F4944" t="s">
        <v>1227</v>
      </c>
      <c r="G4944" t="s">
        <v>1019</v>
      </c>
      <c r="H4944" t="s">
        <v>1031</v>
      </c>
      <c r="I4944">
        <v>185347001</v>
      </c>
      <c r="J4944" t="s">
        <v>1124</v>
      </c>
      <c r="K4944">
        <v>85.55</v>
      </c>
      <c r="L4944">
        <v>1444.46</v>
      </c>
      <c r="M4944">
        <v>0</v>
      </c>
      <c r="N4944">
        <v>414545008</v>
      </c>
      <c r="O4944" t="s">
        <v>1228</v>
      </c>
    </row>
    <row r="4945" spans="1:15">
      <c r="A4945" t="s">
        <v>6603</v>
      </c>
      <c r="B4945" s="2">
        <v>38399.277719907404</v>
      </c>
      <c r="C4945" s="2">
        <v>38399.485821759263</v>
      </c>
      <c r="D4945" t="s">
        <v>976</v>
      </c>
      <c r="E4945" t="s">
        <v>1226</v>
      </c>
      <c r="F4945" t="s">
        <v>1227</v>
      </c>
      <c r="G4945" t="s">
        <v>1019</v>
      </c>
      <c r="H4945" t="s">
        <v>1031</v>
      </c>
      <c r="I4945">
        <v>32485007</v>
      </c>
      <c r="J4945" t="s">
        <v>1837</v>
      </c>
      <c r="K4945">
        <v>142.58000000000001</v>
      </c>
      <c r="L4945">
        <v>3959.5</v>
      </c>
      <c r="M4945">
        <v>0</v>
      </c>
      <c r="N4945">
        <v>274531002</v>
      </c>
      <c r="O4945" t="s">
        <v>2044</v>
      </c>
    </row>
    <row r="4946" spans="1:15">
      <c r="A4946" t="s">
        <v>6604</v>
      </c>
      <c r="B4946" s="2">
        <v>38742.277719907404</v>
      </c>
      <c r="C4946" s="2">
        <v>38742.307592592595</v>
      </c>
      <c r="D4946" t="s">
        <v>976</v>
      </c>
      <c r="E4946" t="s">
        <v>6590</v>
      </c>
      <c r="F4946" t="s">
        <v>6591</v>
      </c>
      <c r="G4946" t="s">
        <v>1019</v>
      </c>
      <c r="H4946" t="s">
        <v>1020</v>
      </c>
      <c r="I4946">
        <v>162673000</v>
      </c>
      <c r="J4946" t="s">
        <v>1021</v>
      </c>
      <c r="K4946">
        <v>136.80000000000001</v>
      </c>
      <c r="L4946">
        <v>1606.41</v>
      </c>
      <c r="M4946">
        <v>0</v>
      </c>
      <c r="O4946" t="s">
        <v>34</v>
      </c>
    </row>
    <row r="4947" spans="1:15">
      <c r="A4947" t="s">
        <v>6605</v>
      </c>
      <c r="B4947" s="2">
        <v>40576.277719907404</v>
      </c>
      <c r="C4947" s="2">
        <v>40576.309618055559</v>
      </c>
      <c r="D4947" t="s">
        <v>976</v>
      </c>
      <c r="E4947" t="s">
        <v>3753</v>
      </c>
      <c r="F4947" t="s">
        <v>3754</v>
      </c>
      <c r="G4947" t="s">
        <v>1122</v>
      </c>
      <c r="H4947" t="s">
        <v>1159</v>
      </c>
      <c r="I4947">
        <v>702927004</v>
      </c>
      <c r="J4947" t="s">
        <v>1160</v>
      </c>
      <c r="K4947">
        <v>142.58000000000001</v>
      </c>
      <c r="L4947">
        <v>1298.58</v>
      </c>
      <c r="M4947">
        <v>1038.8399999999999</v>
      </c>
      <c r="O4947" t="s">
        <v>34</v>
      </c>
    </row>
    <row r="4948" spans="1:15">
      <c r="A4948" t="s">
        <v>6606</v>
      </c>
      <c r="B4948" s="2">
        <v>41479.319386574076</v>
      </c>
      <c r="C4948" s="2">
        <v>41479.341539351852</v>
      </c>
      <c r="D4948" t="s">
        <v>976</v>
      </c>
      <c r="E4948" t="s">
        <v>3753</v>
      </c>
      <c r="F4948" t="s">
        <v>3754</v>
      </c>
      <c r="G4948" t="s">
        <v>1122</v>
      </c>
      <c r="H4948" t="s">
        <v>1159</v>
      </c>
      <c r="I4948">
        <v>702927004</v>
      </c>
      <c r="J4948" t="s">
        <v>1160</v>
      </c>
      <c r="K4948">
        <v>142.58000000000001</v>
      </c>
      <c r="L4948">
        <v>1328.48</v>
      </c>
      <c r="M4948">
        <v>1062.76</v>
      </c>
      <c r="O4948" t="s">
        <v>34</v>
      </c>
    </row>
    <row r="4949" spans="1:15">
      <c r="A4949" t="s">
        <v>6607</v>
      </c>
      <c r="B4949" s="2">
        <v>41670.277719907404</v>
      </c>
      <c r="C4949" s="2">
        <v>41670.288136574076</v>
      </c>
      <c r="D4949" t="s">
        <v>976</v>
      </c>
      <c r="E4949" t="s">
        <v>6587</v>
      </c>
      <c r="F4949" t="s">
        <v>6588</v>
      </c>
      <c r="G4949" t="s">
        <v>1122</v>
      </c>
      <c r="H4949" t="s">
        <v>1043</v>
      </c>
      <c r="I4949">
        <v>185347001</v>
      </c>
      <c r="J4949" t="s">
        <v>1124</v>
      </c>
      <c r="K4949">
        <v>85.55</v>
      </c>
      <c r="L4949">
        <v>85.55</v>
      </c>
      <c r="M4949">
        <v>68.44</v>
      </c>
      <c r="N4949">
        <v>82423001</v>
      </c>
      <c r="O4949" t="s">
        <v>1542</v>
      </c>
    </row>
    <row r="4950" spans="1:15">
      <c r="A4950" t="s">
        <v>6608</v>
      </c>
      <c r="B4950" s="2">
        <v>41886.319386574076</v>
      </c>
      <c r="C4950" s="2">
        <v>41886.361296296294</v>
      </c>
      <c r="D4950" t="s">
        <v>976</v>
      </c>
      <c r="E4950" t="s">
        <v>1226</v>
      </c>
      <c r="F4950" t="s">
        <v>1227</v>
      </c>
      <c r="G4950" t="s">
        <v>1122</v>
      </c>
      <c r="H4950" t="s">
        <v>1076</v>
      </c>
      <c r="I4950">
        <v>50849002</v>
      </c>
      <c r="J4950" t="s">
        <v>1163</v>
      </c>
      <c r="K4950">
        <v>146.18</v>
      </c>
      <c r="L4950">
        <v>6955.36</v>
      </c>
      <c r="M4950">
        <v>5564.27</v>
      </c>
      <c r="N4950">
        <v>22298006</v>
      </c>
      <c r="O4950" t="s">
        <v>2648</v>
      </c>
    </row>
    <row r="4951" spans="1:15">
      <c r="A4951" t="s">
        <v>6609</v>
      </c>
      <c r="B4951" s="2">
        <v>41891.29478009259</v>
      </c>
      <c r="C4951" s="2">
        <v>41891.333518518521</v>
      </c>
      <c r="D4951" t="s">
        <v>976</v>
      </c>
      <c r="E4951" t="s">
        <v>1226</v>
      </c>
      <c r="F4951" t="s">
        <v>1227</v>
      </c>
      <c r="G4951" t="s">
        <v>1122</v>
      </c>
      <c r="H4951" t="s">
        <v>1031</v>
      </c>
      <c r="I4951">
        <v>185347001</v>
      </c>
      <c r="J4951" t="s">
        <v>1124</v>
      </c>
      <c r="K4951">
        <v>85.55</v>
      </c>
      <c r="L4951">
        <v>14709.42</v>
      </c>
      <c r="M4951">
        <v>11767.54</v>
      </c>
      <c r="N4951">
        <v>401314000</v>
      </c>
      <c r="O4951" t="s">
        <v>2650</v>
      </c>
    </row>
    <row r="4952" spans="1:15">
      <c r="A4952" t="s">
        <v>6610</v>
      </c>
      <c r="B4952" s="2">
        <v>42165.319386574076</v>
      </c>
      <c r="C4952" s="2">
        <v>42165.356412037036</v>
      </c>
      <c r="D4952" t="s">
        <v>976</v>
      </c>
      <c r="E4952" t="s">
        <v>6587</v>
      </c>
      <c r="F4952" t="s">
        <v>6588</v>
      </c>
      <c r="G4952" t="s">
        <v>1122</v>
      </c>
      <c r="H4952" t="s">
        <v>1043</v>
      </c>
      <c r="I4952">
        <v>185349003</v>
      </c>
      <c r="J4952" t="s">
        <v>1038</v>
      </c>
      <c r="K4952">
        <v>85.55</v>
      </c>
      <c r="L4952">
        <v>815.27</v>
      </c>
      <c r="M4952">
        <v>652.20000000000005</v>
      </c>
      <c r="O4952" t="s">
        <v>34</v>
      </c>
    </row>
    <row r="4953" spans="1:15">
      <c r="A4953" t="s">
        <v>6611</v>
      </c>
      <c r="B4953" s="2">
        <v>42452.319386574076</v>
      </c>
      <c r="C4953" s="2">
        <v>42452.34574074074</v>
      </c>
      <c r="D4953" t="s">
        <v>976</v>
      </c>
      <c r="E4953" t="s">
        <v>6590</v>
      </c>
      <c r="F4953" t="s">
        <v>6591</v>
      </c>
      <c r="G4953" t="s">
        <v>1122</v>
      </c>
      <c r="H4953" t="s">
        <v>1020</v>
      </c>
      <c r="I4953">
        <v>162673000</v>
      </c>
      <c r="J4953" t="s">
        <v>1021</v>
      </c>
      <c r="K4953">
        <v>136.80000000000001</v>
      </c>
      <c r="L4953">
        <v>866.52</v>
      </c>
      <c r="M4953">
        <v>693.2</v>
      </c>
      <c r="O4953" t="s">
        <v>34</v>
      </c>
    </row>
    <row r="4954" spans="1:15">
      <c r="A4954" t="s">
        <v>6612</v>
      </c>
      <c r="B4954" s="2">
        <v>42461.319386574076</v>
      </c>
      <c r="C4954" s="2">
        <v>42461.32980324074</v>
      </c>
      <c r="D4954" t="s">
        <v>976</v>
      </c>
      <c r="E4954" t="s">
        <v>6587</v>
      </c>
      <c r="F4954" t="s">
        <v>6588</v>
      </c>
      <c r="G4954" t="s">
        <v>1122</v>
      </c>
      <c r="H4954" t="s">
        <v>1031</v>
      </c>
      <c r="I4954">
        <v>390906007</v>
      </c>
      <c r="J4954" t="s">
        <v>1255</v>
      </c>
      <c r="K4954">
        <v>85.55</v>
      </c>
      <c r="L4954">
        <v>234.71</v>
      </c>
      <c r="M4954">
        <v>187.76</v>
      </c>
      <c r="N4954">
        <v>55822004</v>
      </c>
      <c r="O4954" t="s">
        <v>2010</v>
      </c>
    </row>
    <row r="4955" spans="1:15">
      <c r="A4955" t="s">
        <v>6613</v>
      </c>
      <c r="B4955" s="2">
        <v>42613.319386574076</v>
      </c>
      <c r="C4955" s="2">
        <v>42613.345879629633</v>
      </c>
      <c r="D4955" t="s">
        <v>976</v>
      </c>
      <c r="E4955" t="s">
        <v>6587</v>
      </c>
      <c r="F4955" t="s">
        <v>6588</v>
      </c>
      <c r="G4955" t="s">
        <v>1122</v>
      </c>
      <c r="H4955" t="s">
        <v>1043</v>
      </c>
      <c r="I4955">
        <v>185349003</v>
      </c>
      <c r="J4955" t="s">
        <v>1038</v>
      </c>
      <c r="K4955">
        <v>85.55</v>
      </c>
      <c r="L4955">
        <v>1166.97</v>
      </c>
      <c r="M4955">
        <v>933.56</v>
      </c>
      <c r="O4955" t="s">
        <v>34</v>
      </c>
    </row>
    <row r="4956" spans="1:15">
      <c r="A4956" t="s">
        <v>6614</v>
      </c>
      <c r="B4956" s="2">
        <v>42633.406759259262</v>
      </c>
      <c r="C4956" s="2">
        <v>42633.437314814815</v>
      </c>
      <c r="D4956" t="s">
        <v>976</v>
      </c>
      <c r="E4956" t="s">
        <v>6587</v>
      </c>
      <c r="F4956" t="s">
        <v>6588</v>
      </c>
      <c r="G4956" t="s">
        <v>1122</v>
      </c>
      <c r="H4956" t="s">
        <v>1031</v>
      </c>
      <c r="I4956">
        <v>36228007</v>
      </c>
      <c r="J4956" t="s">
        <v>1705</v>
      </c>
      <c r="K4956">
        <v>142.58000000000001</v>
      </c>
      <c r="L4956">
        <v>2730.98</v>
      </c>
      <c r="M4956">
        <v>2184.7800000000002</v>
      </c>
      <c r="O4956" t="s">
        <v>34</v>
      </c>
    </row>
    <row r="4957" spans="1:15">
      <c r="A4957" t="s">
        <v>6615</v>
      </c>
      <c r="B4957" s="2">
        <v>42648.319386574076</v>
      </c>
      <c r="C4957" s="2">
        <v>42648.343541666669</v>
      </c>
      <c r="D4957" t="s">
        <v>976</v>
      </c>
      <c r="E4957" t="s">
        <v>3753</v>
      </c>
      <c r="F4957" t="s">
        <v>3754</v>
      </c>
      <c r="G4957" t="s">
        <v>1122</v>
      </c>
      <c r="H4957" t="s">
        <v>1159</v>
      </c>
      <c r="I4957">
        <v>702927004</v>
      </c>
      <c r="J4957" t="s">
        <v>1160</v>
      </c>
      <c r="K4957">
        <v>142.58000000000001</v>
      </c>
      <c r="L4957">
        <v>872.3</v>
      </c>
      <c r="M4957">
        <v>697.82</v>
      </c>
      <c r="O4957" t="s">
        <v>34</v>
      </c>
    </row>
    <row r="4958" spans="1:15">
      <c r="A4958" t="s">
        <v>6616</v>
      </c>
      <c r="B4958" s="2">
        <v>42676.319386574076</v>
      </c>
      <c r="C4958" s="2">
        <v>42676.361006944448</v>
      </c>
      <c r="D4958" t="s">
        <v>976</v>
      </c>
      <c r="E4958" t="s">
        <v>3753</v>
      </c>
      <c r="F4958" t="s">
        <v>3754</v>
      </c>
      <c r="G4958" t="s">
        <v>1122</v>
      </c>
      <c r="H4958" t="s">
        <v>1159</v>
      </c>
      <c r="I4958">
        <v>702927004</v>
      </c>
      <c r="J4958" t="s">
        <v>1160</v>
      </c>
      <c r="K4958">
        <v>142.58000000000001</v>
      </c>
      <c r="L4958">
        <v>872.3</v>
      </c>
      <c r="M4958">
        <v>697.82</v>
      </c>
      <c r="O4958" t="s">
        <v>34</v>
      </c>
    </row>
    <row r="4959" spans="1:15">
      <c r="A4959" t="s">
        <v>6617</v>
      </c>
      <c r="B4959" s="2">
        <v>42690.277719907404</v>
      </c>
      <c r="C4959" s="2">
        <v>42690.555243055554</v>
      </c>
      <c r="D4959" t="s">
        <v>976</v>
      </c>
      <c r="E4959" t="s">
        <v>6587</v>
      </c>
      <c r="F4959" t="s">
        <v>6588</v>
      </c>
      <c r="G4959" t="s">
        <v>1122</v>
      </c>
      <c r="H4959" t="s">
        <v>1031</v>
      </c>
      <c r="I4959">
        <v>185349003</v>
      </c>
      <c r="J4959" t="s">
        <v>1038</v>
      </c>
      <c r="K4959">
        <v>85.55</v>
      </c>
      <c r="L4959">
        <v>5262.35</v>
      </c>
      <c r="M4959">
        <v>4209.88</v>
      </c>
      <c r="N4959">
        <v>103697008</v>
      </c>
      <c r="O4959" t="s">
        <v>1039</v>
      </c>
    </row>
    <row r="4960" spans="1:15">
      <c r="A4960" t="s">
        <v>6618</v>
      </c>
      <c r="B4960" s="2">
        <v>42739.277719907404</v>
      </c>
      <c r="C4960" s="2">
        <v>42739.317916666667</v>
      </c>
      <c r="D4960" t="s">
        <v>976</v>
      </c>
      <c r="E4960" t="s">
        <v>6587</v>
      </c>
      <c r="F4960" t="s">
        <v>6588</v>
      </c>
      <c r="G4960" t="s">
        <v>1122</v>
      </c>
      <c r="H4960" t="s">
        <v>1043</v>
      </c>
      <c r="I4960">
        <v>185349003</v>
      </c>
      <c r="J4960" t="s">
        <v>1038</v>
      </c>
      <c r="K4960">
        <v>85.55</v>
      </c>
      <c r="L4960">
        <v>815.27</v>
      </c>
      <c r="M4960">
        <v>652.20000000000005</v>
      </c>
      <c r="O4960" t="s">
        <v>34</v>
      </c>
    </row>
    <row r="4961" spans="1:15">
      <c r="A4961" t="s">
        <v>6619</v>
      </c>
      <c r="B4961" s="2">
        <v>42753.277719907404</v>
      </c>
      <c r="C4961" s="2">
        <v>42753.483576388891</v>
      </c>
      <c r="D4961" t="s">
        <v>976</v>
      </c>
      <c r="E4961" t="s">
        <v>6587</v>
      </c>
      <c r="F4961" t="s">
        <v>6588</v>
      </c>
      <c r="G4961" t="s">
        <v>1122</v>
      </c>
      <c r="H4961" t="s">
        <v>1031</v>
      </c>
      <c r="I4961">
        <v>185349003</v>
      </c>
      <c r="J4961" t="s">
        <v>1038</v>
      </c>
      <c r="K4961">
        <v>85.55</v>
      </c>
      <c r="L4961">
        <v>4399.55</v>
      </c>
      <c r="M4961">
        <v>3519.64</v>
      </c>
      <c r="N4961">
        <v>66383009</v>
      </c>
      <c r="O4961" t="s">
        <v>1209</v>
      </c>
    </row>
    <row r="4962" spans="1:15">
      <c r="A4962" t="s">
        <v>6620</v>
      </c>
      <c r="B4962" s="2">
        <v>42781.277719907404</v>
      </c>
      <c r="C4962" s="2">
        <v>42781.319386574076</v>
      </c>
      <c r="D4962" t="s">
        <v>976</v>
      </c>
      <c r="E4962" t="s">
        <v>6621</v>
      </c>
      <c r="F4962" t="s">
        <v>6622</v>
      </c>
      <c r="G4962" t="s">
        <v>1122</v>
      </c>
      <c r="H4962" t="s">
        <v>1076</v>
      </c>
      <c r="I4962">
        <v>50849002</v>
      </c>
      <c r="J4962" t="s">
        <v>1163</v>
      </c>
      <c r="K4962">
        <v>146.18</v>
      </c>
      <c r="L4962">
        <v>875.9</v>
      </c>
      <c r="M4962">
        <v>700.7</v>
      </c>
      <c r="O4962" t="s">
        <v>34</v>
      </c>
    </row>
    <row r="4963" spans="1:15">
      <c r="A4963" t="s">
        <v>6623</v>
      </c>
      <c r="B4963" s="2">
        <v>42788.277719907404</v>
      </c>
      <c r="C4963" s="2">
        <v>42788.288136574076</v>
      </c>
      <c r="D4963" t="s">
        <v>976</v>
      </c>
      <c r="E4963" t="s">
        <v>3753</v>
      </c>
      <c r="F4963" t="s">
        <v>3754</v>
      </c>
      <c r="G4963" t="s">
        <v>1122</v>
      </c>
      <c r="H4963" t="s">
        <v>1159</v>
      </c>
      <c r="I4963">
        <v>702927004</v>
      </c>
      <c r="J4963" t="s">
        <v>1160</v>
      </c>
      <c r="K4963">
        <v>142.58000000000001</v>
      </c>
      <c r="L4963">
        <v>933.6</v>
      </c>
      <c r="M4963">
        <v>746.87</v>
      </c>
      <c r="O4963" t="s">
        <v>34</v>
      </c>
    </row>
    <row r="4964" spans="1:15">
      <c r="A4964" t="s">
        <v>6624</v>
      </c>
      <c r="B4964" s="2">
        <v>42795.277719907404</v>
      </c>
      <c r="C4964" s="2">
        <v>42795.30914351852</v>
      </c>
      <c r="D4964" t="s">
        <v>976</v>
      </c>
      <c r="E4964" t="s">
        <v>3753</v>
      </c>
      <c r="F4964" t="s">
        <v>3754</v>
      </c>
      <c r="G4964" t="s">
        <v>1122</v>
      </c>
      <c r="H4964" t="s">
        <v>1159</v>
      </c>
      <c r="I4964">
        <v>702927004</v>
      </c>
      <c r="J4964" t="s">
        <v>1160</v>
      </c>
      <c r="K4964">
        <v>142.58000000000001</v>
      </c>
      <c r="L4964">
        <v>872.3</v>
      </c>
      <c r="M4964">
        <v>697.82</v>
      </c>
      <c r="O4964" t="s">
        <v>34</v>
      </c>
    </row>
    <row r="4965" spans="1:15">
      <c r="A4965" t="s">
        <v>6625</v>
      </c>
      <c r="B4965" s="2">
        <v>42802.277719907404</v>
      </c>
      <c r="C4965" s="2">
        <v>42802.288136574076</v>
      </c>
      <c r="D4965" t="s">
        <v>976</v>
      </c>
      <c r="E4965" t="s">
        <v>3753</v>
      </c>
      <c r="F4965" t="s">
        <v>3754</v>
      </c>
      <c r="G4965" t="s">
        <v>1122</v>
      </c>
      <c r="H4965" t="s">
        <v>1159</v>
      </c>
      <c r="I4965">
        <v>702927004</v>
      </c>
      <c r="J4965" t="s">
        <v>1160</v>
      </c>
      <c r="K4965">
        <v>142.58000000000001</v>
      </c>
      <c r="L4965">
        <v>1140.19</v>
      </c>
      <c r="M4965">
        <v>912.14</v>
      </c>
      <c r="O4965" t="s">
        <v>34</v>
      </c>
    </row>
    <row r="4966" spans="1:15">
      <c r="A4966" t="s">
        <v>6626</v>
      </c>
      <c r="B4966" s="2">
        <v>42809.319386574076</v>
      </c>
      <c r="C4966" s="2">
        <v>42809.469768518517</v>
      </c>
      <c r="D4966" t="s">
        <v>976</v>
      </c>
      <c r="E4966" t="s">
        <v>6587</v>
      </c>
      <c r="F4966" t="s">
        <v>6588</v>
      </c>
      <c r="G4966" t="s">
        <v>1122</v>
      </c>
      <c r="H4966" t="s">
        <v>1031</v>
      </c>
      <c r="I4966">
        <v>185349003</v>
      </c>
      <c r="J4966" t="s">
        <v>1038</v>
      </c>
      <c r="K4966">
        <v>85.55</v>
      </c>
      <c r="L4966">
        <v>3968.15</v>
      </c>
      <c r="M4966">
        <v>3174.52</v>
      </c>
      <c r="N4966">
        <v>66383009</v>
      </c>
      <c r="O4966" t="s">
        <v>1209</v>
      </c>
    </row>
    <row r="4967" spans="1:15">
      <c r="A4967" t="s">
        <v>6627</v>
      </c>
      <c r="B4967" s="2">
        <v>42816.319386574076</v>
      </c>
      <c r="C4967" s="2">
        <v>42816.32980324074</v>
      </c>
      <c r="D4967" t="s">
        <v>976</v>
      </c>
      <c r="E4967" t="s">
        <v>6587</v>
      </c>
      <c r="F4967" t="s">
        <v>6588</v>
      </c>
      <c r="G4967" t="s">
        <v>1122</v>
      </c>
      <c r="H4967" t="s">
        <v>1031</v>
      </c>
      <c r="I4967">
        <v>185345009</v>
      </c>
      <c r="J4967" t="s">
        <v>1032</v>
      </c>
      <c r="K4967">
        <v>85.55</v>
      </c>
      <c r="L4967">
        <v>85.55</v>
      </c>
      <c r="M4967">
        <v>68.44</v>
      </c>
      <c r="N4967">
        <v>444814009</v>
      </c>
      <c r="O4967" t="s">
        <v>1035</v>
      </c>
    </row>
    <row r="4968" spans="1:15">
      <c r="A4968" t="s">
        <v>6628</v>
      </c>
      <c r="B4968" s="2">
        <v>42823.319386574076</v>
      </c>
      <c r="C4968" s="2">
        <v>42823.358356481483</v>
      </c>
      <c r="D4968" t="s">
        <v>976</v>
      </c>
      <c r="E4968" t="s">
        <v>6590</v>
      </c>
      <c r="F4968" t="s">
        <v>6591</v>
      </c>
      <c r="G4968" t="s">
        <v>1122</v>
      </c>
      <c r="H4968" t="s">
        <v>1020</v>
      </c>
      <c r="I4968">
        <v>162673000</v>
      </c>
      <c r="J4968" t="s">
        <v>1021</v>
      </c>
      <c r="K4968">
        <v>136.80000000000001</v>
      </c>
      <c r="L4968">
        <v>866.52</v>
      </c>
      <c r="M4968">
        <v>693.2</v>
      </c>
      <c r="O4968" t="s">
        <v>34</v>
      </c>
    </row>
    <row r="4969" spans="1:15">
      <c r="A4969" t="s">
        <v>6629</v>
      </c>
      <c r="B4969" s="2">
        <v>42830.319386574076</v>
      </c>
      <c r="C4969" s="2">
        <v>42830.32980324074</v>
      </c>
      <c r="D4969" t="s">
        <v>976</v>
      </c>
      <c r="E4969" t="s">
        <v>3753</v>
      </c>
      <c r="F4969" t="s">
        <v>3754</v>
      </c>
      <c r="G4969" t="s">
        <v>1122</v>
      </c>
      <c r="H4969" t="s">
        <v>1159</v>
      </c>
      <c r="I4969">
        <v>702927004</v>
      </c>
      <c r="J4969" t="s">
        <v>1160</v>
      </c>
      <c r="K4969">
        <v>142.58000000000001</v>
      </c>
      <c r="L4969">
        <v>671.13</v>
      </c>
      <c r="M4969">
        <v>536.89</v>
      </c>
      <c r="O4969" t="s">
        <v>34</v>
      </c>
    </row>
    <row r="4970" spans="1:15">
      <c r="A4970" t="s">
        <v>6630</v>
      </c>
      <c r="B4970" s="2">
        <v>42837.319386574076</v>
      </c>
      <c r="C4970" s="2">
        <v>42837.343113425923</v>
      </c>
      <c r="D4970" t="s">
        <v>976</v>
      </c>
      <c r="E4970" t="s">
        <v>3753</v>
      </c>
      <c r="F4970" t="s">
        <v>3754</v>
      </c>
      <c r="G4970" t="s">
        <v>1122</v>
      </c>
      <c r="H4970" t="s">
        <v>1159</v>
      </c>
      <c r="I4970">
        <v>702927004</v>
      </c>
      <c r="J4970" t="s">
        <v>1160</v>
      </c>
      <c r="K4970">
        <v>142.58000000000001</v>
      </c>
      <c r="L4970">
        <v>1791.92</v>
      </c>
      <c r="M4970">
        <v>1433.52</v>
      </c>
      <c r="O4970" t="s">
        <v>34</v>
      </c>
    </row>
    <row r="4971" spans="1:15">
      <c r="A4971" t="s">
        <v>6631</v>
      </c>
      <c r="B4971" s="2">
        <v>42844.319386574076</v>
      </c>
      <c r="C4971" s="2">
        <v>42844.32980324074</v>
      </c>
      <c r="D4971" t="s">
        <v>976</v>
      </c>
      <c r="E4971" t="s">
        <v>6587</v>
      </c>
      <c r="F4971" t="s">
        <v>6588</v>
      </c>
      <c r="G4971" t="s">
        <v>1122</v>
      </c>
      <c r="H4971" t="s">
        <v>1043</v>
      </c>
      <c r="I4971">
        <v>185349003</v>
      </c>
      <c r="J4971" t="s">
        <v>1038</v>
      </c>
      <c r="K4971">
        <v>85.55</v>
      </c>
      <c r="L4971">
        <v>234.71</v>
      </c>
      <c r="M4971">
        <v>187.76</v>
      </c>
      <c r="O4971" t="s">
        <v>34</v>
      </c>
    </row>
    <row r="4972" spans="1:15">
      <c r="A4972" t="s">
        <v>6632</v>
      </c>
      <c r="B4972" s="2">
        <v>42851.319386574076</v>
      </c>
      <c r="C4972" s="2">
        <v>42851.448750000003</v>
      </c>
      <c r="D4972" t="s">
        <v>976</v>
      </c>
      <c r="E4972" t="s">
        <v>6587</v>
      </c>
      <c r="F4972" t="s">
        <v>6588</v>
      </c>
      <c r="G4972" t="s">
        <v>1122</v>
      </c>
      <c r="H4972" t="s">
        <v>1031</v>
      </c>
      <c r="I4972">
        <v>185349003</v>
      </c>
      <c r="J4972" t="s">
        <v>1038</v>
      </c>
      <c r="K4972">
        <v>85.55</v>
      </c>
      <c r="L4972">
        <v>2673.95</v>
      </c>
      <c r="M4972">
        <v>2139.16</v>
      </c>
      <c r="N4972">
        <v>103697008</v>
      </c>
      <c r="O4972" t="s">
        <v>1039</v>
      </c>
    </row>
    <row r="4973" spans="1:15">
      <c r="A4973" t="s">
        <v>6633</v>
      </c>
      <c r="B4973" s="2">
        <v>42858.319386574076</v>
      </c>
      <c r="C4973" s="2">
        <v>42858.32980324074</v>
      </c>
      <c r="D4973" t="s">
        <v>976</v>
      </c>
      <c r="E4973" t="s">
        <v>6587</v>
      </c>
      <c r="F4973" t="s">
        <v>6588</v>
      </c>
      <c r="G4973" t="s">
        <v>1122</v>
      </c>
      <c r="H4973" t="s">
        <v>1031</v>
      </c>
      <c r="I4973">
        <v>390906007</v>
      </c>
      <c r="J4973" t="s">
        <v>1255</v>
      </c>
      <c r="K4973">
        <v>85.55</v>
      </c>
      <c r="L4973">
        <v>234.71</v>
      </c>
      <c r="M4973">
        <v>187.76</v>
      </c>
      <c r="N4973">
        <v>55822004</v>
      </c>
      <c r="O4973" t="s">
        <v>2010</v>
      </c>
    </row>
    <row r="4974" spans="1:15">
      <c r="A4974" t="s">
        <v>6634</v>
      </c>
      <c r="B4974" s="2">
        <v>42865.319386574076</v>
      </c>
      <c r="C4974" s="2">
        <v>42865.360763888886</v>
      </c>
      <c r="D4974" t="s">
        <v>976</v>
      </c>
      <c r="E4974" t="s">
        <v>6587</v>
      </c>
      <c r="F4974" t="s">
        <v>6588</v>
      </c>
      <c r="G4974" t="s">
        <v>1122</v>
      </c>
      <c r="H4974" t="s">
        <v>1043</v>
      </c>
      <c r="I4974">
        <v>185349003</v>
      </c>
      <c r="J4974" t="s">
        <v>1038</v>
      </c>
      <c r="K4974">
        <v>85.55</v>
      </c>
      <c r="L4974">
        <v>1030.97</v>
      </c>
      <c r="M4974">
        <v>824.76</v>
      </c>
      <c r="O4974" t="s">
        <v>34</v>
      </c>
    </row>
    <row r="4975" spans="1:15">
      <c r="A4975" t="s">
        <v>6635</v>
      </c>
      <c r="B4975" s="2">
        <v>42879.319386574076</v>
      </c>
      <c r="C4975" s="2">
        <v>42879.514768518522</v>
      </c>
      <c r="D4975" t="s">
        <v>976</v>
      </c>
      <c r="E4975" t="s">
        <v>6587</v>
      </c>
      <c r="F4975" t="s">
        <v>6588</v>
      </c>
      <c r="G4975" t="s">
        <v>1122</v>
      </c>
      <c r="H4975" t="s">
        <v>1031</v>
      </c>
      <c r="I4975">
        <v>185349003</v>
      </c>
      <c r="J4975" t="s">
        <v>1038</v>
      </c>
      <c r="K4975">
        <v>85.55</v>
      </c>
      <c r="L4975">
        <v>4399.55</v>
      </c>
      <c r="M4975">
        <v>3519.64</v>
      </c>
      <c r="N4975">
        <v>66383009</v>
      </c>
      <c r="O4975" t="s">
        <v>1209</v>
      </c>
    </row>
    <row r="4976" spans="1:15">
      <c r="A4976" t="s">
        <v>6636</v>
      </c>
      <c r="B4976" s="2">
        <v>42893.319386574076</v>
      </c>
      <c r="C4976" s="2">
        <v>42893.355405092596</v>
      </c>
      <c r="D4976" t="s">
        <v>976</v>
      </c>
      <c r="E4976" t="s">
        <v>6587</v>
      </c>
      <c r="F4976" t="s">
        <v>6588</v>
      </c>
      <c r="G4976" t="s">
        <v>1122</v>
      </c>
      <c r="H4976" t="s">
        <v>1043</v>
      </c>
      <c r="I4976">
        <v>185349003</v>
      </c>
      <c r="J4976" t="s">
        <v>1038</v>
      </c>
      <c r="K4976">
        <v>85.55</v>
      </c>
      <c r="L4976">
        <v>1175.29</v>
      </c>
      <c r="M4976">
        <v>940.22</v>
      </c>
      <c r="O4976" t="s">
        <v>34</v>
      </c>
    </row>
    <row r="4977" spans="1:15">
      <c r="A4977" t="s">
        <v>6637</v>
      </c>
      <c r="B4977" s="2">
        <v>42914.319386574076</v>
      </c>
      <c r="C4977" s="2">
        <v>42914.344189814816</v>
      </c>
      <c r="D4977" t="s">
        <v>976</v>
      </c>
      <c r="E4977" t="s">
        <v>6587</v>
      </c>
      <c r="F4977" t="s">
        <v>6588</v>
      </c>
      <c r="G4977" t="s">
        <v>1122</v>
      </c>
      <c r="H4977" t="s">
        <v>1043</v>
      </c>
      <c r="I4977">
        <v>185349003</v>
      </c>
      <c r="J4977" t="s">
        <v>1038</v>
      </c>
      <c r="K4977">
        <v>85.55</v>
      </c>
      <c r="L4977">
        <v>815.27</v>
      </c>
      <c r="M4977">
        <v>652.20000000000005</v>
      </c>
      <c r="O4977" t="s">
        <v>34</v>
      </c>
    </row>
    <row r="4978" spans="1:15">
      <c r="A4978" t="s">
        <v>6638</v>
      </c>
      <c r="B4978" s="2">
        <v>42928.319386574076</v>
      </c>
      <c r="C4978" s="2">
        <v>42928.435439814813</v>
      </c>
      <c r="D4978" t="s">
        <v>976</v>
      </c>
      <c r="E4978" t="s">
        <v>6587</v>
      </c>
      <c r="F4978" t="s">
        <v>6588</v>
      </c>
      <c r="G4978" t="s">
        <v>1122</v>
      </c>
      <c r="H4978" t="s">
        <v>1031</v>
      </c>
      <c r="I4978">
        <v>185349003</v>
      </c>
      <c r="J4978" t="s">
        <v>1038</v>
      </c>
      <c r="K4978">
        <v>85.55</v>
      </c>
      <c r="L4978">
        <v>3105.35</v>
      </c>
      <c r="M4978">
        <v>2484.2800000000002</v>
      </c>
      <c r="N4978">
        <v>103697008</v>
      </c>
      <c r="O4978" t="s">
        <v>1039</v>
      </c>
    </row>
    <row r="4979" spans="1:15">
      <c r="A4979" t="s">
        <v>6639</v>
      </c>
      <c r="B4979" s="2">
        <v>42977.319386574076</v>
      </c>
      <c r="C4979" s="2">
        <v>42977.354930555557</v>
      </c>
      <c r="D4979" t="s">
        <v>976</v>
      </c>
      <c r="E4979" t="s">
        <v>6587</v>
      </c>
      <c r="F4979" t="s">
        <v>6588</v>
      </c>
      <c r="G4979" t="s">
        <v>1122</v>
      </c>
      <c r="H4979" t="s">
        <v>1043</v>
      </c>
      <c r="I4979">
        <v>185349003</v>
      </c>
      <c r="J4979" t="s">
        <v>1038</v>
      </c>
      <c r="K4979">
        <v>85.55</v>
      </c>
      <c r="L4979">
        <v>1030.97</v>
      </c>
      <c r="M4979">
        <v>824.76</v>
      </c>
      <c r="O4979" t="s">
        <v>34</v>
      </c>
    </row>
    <row r="4980" spans="1:15">
      <c r="A4980" t="s">
        <v>6640</v>
      </c>
      <c r="B4980" s="2">
        <v>42993.419710648152</v>
      </c>
      <c r="C4980" s="2">
        <v>42993.450266203705</v>
      </c>
      <c r="D4980" t="s">
        <v>976</v>
      </c>
      <c r="E4980" t="s">
        <v>6587</v>
      </c>
      <c r="F4980" t="s">
        <v>6588</v>
      </c>
      <c r="G4980" t="s">
        <v>1122</v>
      </c>
      <c r="H4980" t="s">
        <v>1031</v>
      </c>
      <c r="I4980">
        <v>36228007</v>
      </c>
      <c r="J4980" t="s">
        <v>1705</v>
      </c>
      <c r="K4980">
        <v>142.58000000000001</v>
      </c>
      <c r="L4980">
        <v>2730.98</v>
      </c>
      <c r="M4980">
        <v>2730.98</v>
      </c>
      <c r="O4980" t="s">
        <v>34</v>
      </c>
    </row>
    <row r="4981" spans="1:15">
      <c r="A4981" t="s">
        <v>6641</v>
      </c>
      <c r="B4981" s="2">
        <v>43005.319386574076</v>
      </c>
      <c r="C4981" s="2">
        <v>43005.347754629627</v>
      </c>
      <c r="D4981" t="s">
        <v>976</v>
      </c>
      <c r="E4981" t="s">
        <v>6587</v>
      </c>
      <c r="F4981" t="s">
        <v>6588</v>
      </c>
      <c r="G4981" t="s">
        <v>1122</v>
      </c>
      <c r="H4981" t="s">
        <v>1043</v>
      </c>
      <c r="I4981">
        <v>185349003</v>
      </c>
      <c r="J4981" t="s">
        <v>1038</v>
      </c>
      <c r="K4981">
        <v>85.55</v>
      </c>
      <c r="L4981">
        <v>815.27</v>
      </c>
      <c r="M4981">
        <v>815.27</v>
      </c>
      <c r="O4981" t="s">
        <v>34</v>
      </c>
    </row>
    <row r="4982" spans="1:15">
      <c r="A4982" t="s">
        <v>6642</v>
      </c>
      <c r="B4982" s="2">
        <v>43033.319386574076</v>
      </c>
      <c r="C4982" s="2">
        <v>43033.348391203705</v>
      </c>
      <c r="D4982" t="s">
        <v>976</v>
      </c>
      <c r="E4982" t="s">
        <v>3753</v>
      </c>
      <c r="F4982" t="s">
        <v>3754</v>
      </c>
      <c r="G4982" t="s">
        <v>1122</v>
      </c>
      <c r="H4982" t="s">
        <v>1159</v>
      </c>
      <c r="I4982">
        <v>702927004</v>
      </c>
      <c r="J4982" t="s">
        <v>1160</v>
      </c>
      <c r="K4982">
        <v>142.58000000000001</v>
      </c>
      <c r="L4982">
        <v>1214.57</v>
      </c>
      <c r="M4982">
        <v>971.64</v>
      </c>
      <c r="O4982" t="s">
        <v>34</v>
      </c>
    </row>
    <row r="4983" spans="1:15">
      <c r="A4983" t="s">
        <v>6643</v>
      </c>
      <c r="B4983" s="2">
        <v>43047.277719907404</v>
      </c>
      <c r="C4983" s="2">
        <v>43047.374791666669</v>
      </c>
      <c r="D4983" t="s">
        <v>976</v>
      </c>
      <c r="E4983" t="s">
        <v>6587</v>
      </c>
      <c r="F4983" t="s">
        <v>6588</v>
      </c>
      <c r="G4983" t="s">
        <v>1122</v>
      </c>
      <c r="H4983" t="s">
        <v>1031</v>
      </c>
      <c r="I4983">
        <v>185349003</v>
      </c>
      <c r="J4983" t="s">
        <v>1038</v>
      </c>
      <c r="K4983">
        <v>85.55</v>
      </c>
      <c r="L4983">
        <v>2673.95</v>
      </c>
      <c r="M4983">
        <v>2139.16</v>
      </c>
      <c r="N4983">
        <v>103697008</v>
      </c>
      <c r="O4983" t="s">
        <v>1039</v>
      </c>
    </row>
    <row r="4984" spans="1:15">
      <c r="A4984" t="s">
        <v>6644</v>
      </c>
      <c r="B4984" s="2">
        <v>43124.277719907404</v>
      </c>
      <c r="C4984" s="2">
        <v>43124.302361111113</v>
      </c>
      <c r="D4984" t="s">
        <v>976</v>
      </c>
      <c r="E4984" t="s">
        <v>6587</v>
      </c>
      <c r="F4984" t="s">
        <v>6588</v>
      </c>
      <c r="G4984" t="s">
        <v>1122</v>
      </c>
      <c r="H4984" t="s">
        <v>1043</v>
      </c>
      <c r="I4984">
        <v>185349003</v>
      </c>
      <c r="J4984" t="s">
        <v>1038</v>
      </c>
      <c r="K4984">
        <v>85.55</v>
      </c>
      <c r="L4984">
        <v>815.27</v>
      </c>
      <c r="M4984">
        <v>652.20000000000005</v>
      </c>
      <c r="O4984" t="s">
        <v>34</v>
      </c>
    </row>
    <row r="4985" spans="1:15">
      <c r="A4985" t="s">
        <v>6645</v>
      </c>
      <c r="B4985" s="2">
        <v>43138.277719907404</v>
      </c>
      <c r="C4985" s="2">
        <v>43138.434189814812</v>
      </c>
      <c r="D4985" t="s">
        <v>976</v>
      </c>
      <c r="E4985" t="s">
        <v>6587</v>
      </c>
      <c r="F4985" t="s">
        <v>6588</v>
      </c>
      <c r="G4985" t="s">
        <v>1122</v>
      </c>
      <c r="H4985" t="s">
        <v>1031</v>
      </c>
      <c r="I4985">
        <v>185349003</v>
      </c>
      <c r="J4985" t="s">
        <v>1038</v>
      </c>
      <c r="K4985">
        <v>85.55</v>
      </c>
      <c r="L4985">
        <v>3968.15</v>
      </c>
      <c r="M4985">
        <v>3174.52</v>
      </c>
      <c r="N4985">
        <v>103697008</v>
      </c>
      <c r="O4985" t="s">
        <v>1039</v>
      </c>
    </row>
    <row r="4986" spans="1:15">
      <c r="A4986" t="s">
        <v>6646</v>
      </c>
      <c r="B4986" s="2">
        <v>43159.277719907404</v>
      </c>
      <c r="C4986" s="2">
        <v>43159.308796296296</v>
      </c>
      <c r="D4986" t="s">
        <v>976</v>
      </c>
      <c r="E4986" t="s">
        <v>6587</v>
      </c>
      <c r="F4986" t="s">
        <v>6588</v>
      </c>
      <c r="G4986" t="s">
        <v>1122</v>
      </c>
      <c r="H4986" t="s">
        <v>1043</v>
      </c>
      <c r="I4986">
        <v>185349003</v>
      </c>
      <c r="J4986" t="s">
        <v>1038</v>
      </c>
      <c r="K4986">
        <v>85.55</v>
      </c>
      <c r="L4986">
        <v>1117.42</v>
      </c>
      <c r="M4986">
        <v>893.92</v>
      </c>
      <c r="O4986" t="s">
        <v>34</v>
      </c>
    </row>
    <row r="4987" spans="1:15">
      <c r="A4987" t="s">
        <v>6647</v>
      </c>
      <c r="B4987" s="2">
        <v>43187.319386574076</v>
      </c>
      <c r="C4987" s="2">
        <v>43187.348449074074</v>
      </c>
      <c r="D4987" t="s">
        <v>976</v>
      </c>
      <c r="E4987" t="s">
        <v>6587</v>
      </c>
      <c r="F4987" t="s">
        <v>6588</v>
      </c>
      <c r="G4987" t="s">
        <v>1122</v>
      </c>
      <c r="H4987" t="s">
        <v>1043</v>
      </c>
      <c r="I4987">
        <v>185349003</v>
      </c>
      <c r="J4987" t="s">
        <v>1038</v>
      </c>
      <c r="K4987">
        <v>85.55</v>
      </c>
      <c r="L4987">
        <v>1030.97</v>
      </c>
      <c r="M4987">
        <v>824.76</v>
      </c>
      <c r="O4987" t="s">
        <v>34</v>
      </c>
    </row>
    <row r="4988" spans="1:15">
      <c r="A4988" t="s">
        <v>6648</v>
      </c>
      <c r="B4988" s="2">
        <v>43194.319386574076</v>
      </c>
      <c r="C4988" s="2">
        <v>43194.32980324074</v>
      </c>
      <c r="D4988" t="s">
        <v>976</v>
      </c>
      <c r="E4988" t="s">
        <v>6590</v>
      </c>
      <c r="F4988" t="s">
        <v>6591</v>
      </c>
      <c r="G4988" t="s">
        <v>1122</v>
      </c>
      <c r="H4988" t="s">
        <v>1020</v>
      </c>
      <c r="I4988">
        <v>162673000</v>
      </c>
      <c r="J4988" t="s">
        <v>1021</v>
      </c>
      <c r="K4988">
        <v>136.80000000000001</v>
      </c>
      <c r="L4988">
        <v>285.95999999999998</v>
      </c>
      <c r="M4988">
        <v>228.76</v>
      </c>
      <c r="O4988" t="s">
        <v>34</v>
      </c>
    </row>
    <row r="4989" spans="1:15">
      <c r="A4989" t="s">
        <v>6649</v>
      </c>
      <c r="B4989" s="2">
        <v>43201.319386574076</v>
      </c>
      <c r="C4989" s="2">
        <v>43201.448460648149</v>
      </c>
      <c r="D4989" t="s">
        <v>976</v>
      </c>
      <c r="E4989" t="s">
        <v>6587</v>
      </c>
      <c r="F4989" t="s">
        <v>6588</v>
      </c>
      <c r="G4989" t="s">
        <v>1122</v>
      </c>
      <c r="H4989" t="s">
        <v>1031</v>
      </c>
      <c r="I4989">
        <v>185349003</v>
      </c>
      <c r="J4989" t="s">
        <v>1038</v>
      </c>
      <c r="K4989">
        <v>85.55</v>
      </c>
      <c r="L4989">
        <v>2673.95</v>
      </c>
      <c r="M4989">
        <v>2139.16</v>
      </c>
      <c r="N4989">
        <v>66383009</v>
      </c>
      <c r="O4989" t="s">
        <v>1209</v>
      </c>
    </row>
    <row r="4990" spans="1:15">
      <c r="A4990" t="s">
        <v>6650</v>
      </c>
      <c r="B4990" s="2">
        <v>43215.319386574076</v>
      </c>
      <c r="C4990" s="2">
        <v>43215.340462962966</v>
      </c>
      <c r="D4990" t="s">
        <v>976</v>
      </c>
      <c r="E4990" t="s">
        <v>3753</v>
      </c>
      <c r="F4990" t="s">
        <v>3754</v>
      </c>
      <c r="G4990" t="s">
        <v>1122</v>
      </c>
      <c r="H4990" t="s">
        <v>1159</v>
      </c>
      <c r="I4990">
        <v>702927004</v>
      </c>
      <c r="J4990" t="s">
        <v>1160</v>
      </c>
      <c r="K4990">
        <v>142.58000000000001</v>
      </c>
      <c r="L4990">
        <v>1008.3</v>
      </c>
      <c r="M4990">
        <v>806.62</v>
      </c>
      <c r="O4990" t="s">
        <v>34</v>
      </c>
    </row>
    <row r="4991" spans="1:15">
      <c r="A4991" t="s">
        <v>6651</v>
      </c>
      <c r="B4991" s="2">
        <v>43222.319386574076</v>
      </c>
      <c r="C4991" s="2">
        <v>43222.32980324074</v>
      </c>
      <c r="D4991" t="s">
        <v>976</v>
      </c>
      <c r="E4991" t="s">
        <v>6587</v>
      </c>
      <c r="F4991" t="s">
        <v>6588</v>
      </c>
      <c r="G4991" t="s">
        <v>1122</v>
      </c>
      <c r="H4991" t="s">
        <v>1043</v>
      </c>
      <c r="I4991">
        <v>185349003</v>
      </c>
      <c r="J4991" t="s">
        <v>1038</v>
      </c>
      <c r="K4991">
        <v>85.55</v>
      </c>
      <c r="L4991">
        <v>579.44000000000005</v>
      </c>
      <c r="M4991">
        <v>463.54</v>
      </c>
      <c r="O4991" t="s">
        <v>34</v>
      </c>
    </row>
    <row r="4992" spans="1:15">
      <c r="A4992" t="s">
        <v>6652</v>
      </c>
      <c r="B4992" s="2">
        <v>43229.319386574076</v>
      </c>
      <c r="C4992" s="2">
        <v>43229.465462962966</v>
      </c>
      <c r="D4992" t="s">
        <v>976</v>
      </c>
      <c r="E4992" t="s">
        <v>6587</v>
      </c>
      <c r="F4992" t="s">
        <v>6588</v>
      </c>
      <c r="G4992" t="s">
        <v>1122</v>
      </c>
      <c r="H4992" t="s">
        <v>1031</v>
      </c>
      <c r="I4992">
        <v>185349003</v>
      </c>
      <c r="J4992" t="s">
        <v>1038</v>
      </c>
      <c r="K4992">
        <v>85.55</v>
      </c>
      <c r="L4992">
        <v>3105.35</v>
      </c>
      <c r="M4992">
        <v>2484.2800000000002</v>
      </c>
      <c r="N4992">
        <v>103697008</v>
      </c>
      <c r="O4992" t="s">
        <v>1039</v>
      </c>
    </row>
    <row r="4993" spans="1:15">
      <c r="A4993" t="s">
        <v>6653</v>
      </c>
      <c r="B4993" s="2">
        <v>43236.319386574076</v>
      </c>
      <c r="C4993" s="2">
        <v>43236.32980324074</v>
      </c>
      <c r="D4993" t="s">
        <v>976</v>
      </c>
      <c r="E4993" t="s">
        <v>6587</v>
      </c>
      <c r="F4993" t="s">
        <v>6588</v>
      </c>
      <c r="G4993" t="s">
        <v>1122</v>
      </c>
      <c r="H4993" t="s">
        <v>1031</v>
      </c>
      <c r="I4993">
        <v>390906007</v>
      </c>
      <c r="J4993" t="s">
        <v>1255</v>
      </c>
      <c r="K4993">
        <v>85.55</v>
      </c>
      <c r="L4993">
        <v>234.71</v>
      </c>
      <c r="M4993">
        <v>187.76</v>
      </c>
      <c r="N4993">
        <v>55822004</v>
      </c>
      <c r="O4993" t="s">
        <v>2010</v>
      </c>
    </row>
    <row r="4994" spans="1:15">
      <c r="A4994" t="s">
        <v>6654</v>
      </c>
      <c r="B4994" s="2">
        <v>43278.319386574076</v>
      </c>
      <c r="C4994" s="2">
        <v>43278.351793981485</v>
      </c>
      <c r="D4994" t="s">
        <v>976</v>
      </c>
      <c r="E4994" t="s">
        <v>6587</v>
      </c>
      <c r="F4994" t="s">
        <v>6588</v>
      </c>
      <c r="G4994" t="s">
        <v>1122</v>
      </c>
      <c r="H4994" t="s">
        <v>1043</v>
      </c>
      <c r="I4994">
        <v>185349003</v>
      </c>
      <c r="J4994" t="s">
        <v>1038</v>
      </c>
      <c r="K4994">
        <v>85.55</v>
      </c>
      <c r="L4994">
        <v>1387.78</v>
      </c>
      <c r="M4994">
        <v>1110.21</v>
      </c>
      <c r="O4994" t="s">
        <v>34</v>
      </c>
    </row>
    <row r="4995" spans="1:15">
      <c r="A4995" t="s">
        <v>6655</v>
      </c>
      <c r="B4995" s="2">
        <v>43292.319386574076</v>
      </c>
      <c r="C4995" s="2">
        <v>43292.425706018519</v>
      </c>
      <c r="D4995" t="s">
        <v>976</v>
      </c>
      <c r="E4995" t="s">
        <v>6587</v>
      </c>
      <c r="F4995" t="s">
        <v>6588</v>
      </c>
      <c r="G4995" t="s">
        <v>1122</v>
      </c>
      <c r="H4995" t="s">
        <v>1031</v>
      </c>
      <c r="I4995">
        <v>185349003</v>
      </c>
      <c r="J4995" t="s">
        <v>1038</v>
      </c>
      <c r="K4995">
        <v>85.55</v>
      </c>
      <c r="L4995">
        <v>2673.95</v>
      </c>
      <c r="M4995">
        <v>2139.16</v>
      </c>
      <c r="N4995">
        <v>103697008</v>
      </c>
      <c r="O4995" t="s">
        <v>1039</v>
      </c>
    </row>
    <row r="4996" spans="1:15">
      <c r="A4996" t="s">
        <v>6656</v>
      </c>
      <c r="B4996" s="2">
        <v>43306.319386574076</v>
      </c>
      <c r="C4996" s="2">
        <v>43306.342083333337</v>
      </c>
      <c r="D4996" t="s">
        <v>976</v>
      </c>
      <c r="E4996" t="s">
        <v>3753</v>
      </c>
      <c r="F4996" t="s">
        <v>3754</v>
      </c>
      <c r="G4996" t="s">
        <v>1122</v>
      </c>
      <c r="H4996" t="s">
        <v>1159</v>
      </c>
      <c r="I4996">
        <v>702927004</v>
      </c>
      <c r="J4996" t="s">
        <v>1160</v>
      </c>
      <c r="K4996">
        <v>142.58000000000001</v>
      </c>
      <c r="L4996">
        <v>1088</v>
      </c>
      <c r="M4996">
        <v>870.38</v>
      </c>
      <c r="O4996" t="s">
        <v>34</v>
      </c>
    </row>
    <row r="4997" spans="1:15">
      <c r="A4997" t="s">
        <v>6657</v>
      </c>
      <c r="B4997" s="2">
        <v>43320.319386574076</v>
      </c>
      <c r="C4997" s="2">
        <v>43320.466134259259</v>
      </c>
      <c r="D4997" t="s">
        <v>976</v>
      </c>
      <c r="E4997" t="s">
        <v>6587</v>
      </c>
      <c r="F4997" t="s">
        <v>6588</v>
      </c>
      <c r="G4997" t="s">
        <v>1122</v>
      </c>
      <c r="H4997" t="s">
        <v>1031</v>
      </c>
      <c r="I4997">
        <v>185349003</v>
      </c>
      <c r="J4997" t="s">
        <v>1038</v>
      </c>
      <c r="K4997">
        <v>85.55</v>
      </c>
      <c r="L4997">
        <v>3536.75</v>
      </c>
      <c r="M4997">
        <v>2829.4</v>
      </c>
      <c r="N4997">
        <v>103697008</v>
      </c>
      <c r="O4997" t="s">
        <v>1039</v>
      </c>
    </row>
    <row r="4998" spans="1:15">
      <c r="A4998" t="s">
        <v>6658</v>
      </c>
      <c r="B4998" s="2">
        <v>43334.319386574076</v>
      </c>
      <c r="C4998" s="2">
        <v>43334.35328703704</v>
      </c>
      <c r="D4998" t="s">
        <v>976</v>
      </c>
      <c r="E4998" t="s">
        <v>6587</v>
      </c>
      <c r="F4998" t="s">
        <v>6588</v>
      </c>
      <c r="G4998" t="s">
        <v>1122</v>
      </c>
      <c r="H4998" t="s">
        <v>1043</v>
      </c>
      <c r="I4998">
        <v>185349003</v>
      </c>
      <c r="J4998" t="s">
        <v>1038</v>
      </c>
      <c r="K4998">
        <v>85.55</v>
      </c>
      <c r="L4998">
        <v>1112.1199999999999</v>
      </c>
      <c r="M4998">
        <v>889.68</v>
      </c>
      <c r="O4998" t="s">
        <v>34</v>
      </c>
    </row>
    <row r="4999" spans="1:15">
      <c r="A4999" t="s">
        <v>6659</v>
      </c>
      <c r="B4999" s="2">
        <v>43348.319386574076</v>
      </c>
      <c r="C4999" s="2">
        <v>43348.45815972222</v>
      </c>
      <c r="D4999" t="s">
        <v>976</v>
      </c>
      <c r="E4999" t="s">
        <v>6587</v>
      </c>
      <c r="F4999" t="s">
        <v>6588</v>
      </c>
      <c r="G4999" t="s">
        <v>1122</v>
      </c>
      <c r="H4999" t="s">
        <v>1031</v>
      </c>
      <c r="I4999">
        <v>185349003</v>
      </c>
      <c r="J4999" t="s">
        <v>1038</v>
      </c>
      <c r="K4999">
        <v>85.55</v>
      </c>
      <c r="L4999">
        <v>3105.35</v>
      </c>
      <c r="M4999">
        <v>2484.2800000000002</v>
      </c>
      <c r="N4999">
        <v>66383009</v>
      </c>
      <c r="O4999" t="s">
        <v>1209</v>
      </c>
    </row>
    <row r="5000" spans="1:15">
      <c r="A5000" t="s">
        <v>6660</v>
      </c>
      <c r="B5000" s="2">
        <v>43353.431168981479</v>
      </c>
      <c r="C5000" s="2">
        <v>43353.461724537039</v>
      </c>
      <c r="D5000" t="s">
        <v>976</v>
      </c>
      <c r="E5000" t="s">
        <v>6587</v>
      </c>
      <c r="F5000" t="s">
        <v>6588</v>
      </c>
      <c r="G5000" t="s">
        <v>1122</v>
      </c>
      <c r="H5000" t="s">
        <v>1031</v>
      </c>
      <c r="I5000">
        <v>36228007</v>
      </c>
      <c r="J5000" t="s">
        <v>1705</v>
      </c>
      <c r="K5000">
        <v>142.58000000000001</v>
      </c>
      <c r="L5000">
        <v>2730.98</v>
      </c>
      <c r="M5000">
        <v>2184.7800000000002</v>
      </c>
      <c r="O5000" t="s">
        <v>34</v>
      </c>
    </row>
    <row r="5001" spans="1:15">
      <c r="A5001" t="s">
        <v>6661</v>
      </c>
      <c r="B5001" s="2">
        <v>43397.319386574076</v>
      </c>
      <c r="C5001" s="2">
        <v>43397.3437962963</v>
      </c>
      <c r="D5001" t="s">
        <v>976</v>
      </c>
      <c r="E5001" t="s">
        <v>6587</v>
      </c>
      <c r="F5001" t="s">
        <v>6588</v>
      </c>
      <c r="G5001" t="s">
        <v>1122</v>
      </c>
      <c r="H5001" t="s">
        <v>1043</v>
      </c>
      <c r="I5001">
        <v>185349003</v>
      </c>
      <c r="J5001" t="s">
        <v>1038</v>
      </c>
      <c r="K5001">
        <v>85.55</v>
      </c>
      <c r="L5001">
        <v>1030.97</v>
      </c>
      <c r="M5001">
        <v>824.76</v>
      </c>
      <c r="O5001" t="s">
        <v>34</v>
      </c>
    </row>
    <row r="5002" spans="1:15">
      <c r="A5002" t="s">
        <v>6662</v>
      </c>
      <c r="B5002" s="2">
        <v>43411.277719907404</v>
      </c>
      <c r="C5002" s="2">
        <v>43411.398784722223</v>
      </c>
      <c r="D5002" t="s">
        <v>976</v>
      </c>
      <c r="E5002" t="s">
        <v>6587</v>
      </c>
      <c r="F5002" t="s">
        <v>6588</v>
      </c>
      <c r="G5002" t="s">
        <v>1122</v>
      </c>
      <c r="H5002" t="s">
        <v>1031</v>
      </c>
      <c r="I5002">
        <v>185349003</v>
      </c>
      <c r="J5002" t="s">
        <v>1038</v>
      </c>
      <c r="K5002">
        <v>85.55</v>
      </c>
      <c r="L5002">
        <v>2673.95</v>
      </c>
      <c r="M5002">
        <v>2139.16</v>
      </c>
      <c r="N5002">
        <v>103697008</v>
      </c>
      <c r="O5002" t="s">
        <v>1039</v>
      </c>
    </row>
    <row r="5003" spans="1:15">
      <c r="A5003" t="s">
        <v>6663</v>
      </c>
      <c r="B5003" s="2">
        <v>43425.277719907404</v>
      </c>
      <c r="C5003" s="2">
        <v>43425.313530092593</v>
      </c>
      <c r="D5003" t="s">
        <v>976</v>
      </c>
      <c r="E5003" t="s">
        <v>3753</v>
      </c>
      <c r="F5003" t="s">
        <v>3754</v>
      </c>
      <c r="G5003" t="s">
        <v>1122</v>
      </c>
      <c r="H5003" t="s">
        <v>1159</v>
      </c>
      <c r="I5003">
        <v>702927004</v>
      </c>
      <c r="J5003" t="s">
        <v>1160</v>
      </c>
      <c r="K5003">
        <v>142.58000000000001</v>
      </c>
      <c r="L5003">
        <v>872.3</v>
      </c>
      <c r="M5003">
        <v>697.82</v>
      </c>
      <c r="O5003" t="s">
        <v>34</v>
      </c>
    </row>
    <row r="5004" spans="1:15">
      <c r="A5004" t="s">
        <v>6664</v>
      </c>
      <c r="B5004" s="2">
        <v>43453.277719907404</v>
      </c>
      <c r="C5004" s="2">
        <v>43453.308831018519</v>
      </c>
      <c r="D5004" t="s">
        <v>976</v>
      </c>
      <c r="E5004" t="s">
        <v>6587</v>
      </c>
      <c r="F5004" t="s">
        <v>6588</v>
      </c>
      <c r="G5004" t="s">
        <v>1122</v>
      </c>
      <c r="H5004" t="s">
        <v>1043</v>
      </c>
      <c r="I5004">
        <v>185349003</v>
      </c>
      <c r="J5004" t="s">
        <v>1038</v>
      </c>
      <c r="K5004">
        <v>85.55</v>
      </c>
      <c r="L5004">
        <v>1278</v>
      </c>
      <c r="M5004">
        <v>1022.38</v>
      </c>
      <c r="O5004" t="s">
        <v>34</v>
      </c>
    </row>
    <row r="5005" spans="1:15">
      <c r="A5005" t="s">
        <v>6665</v>
      </c>
      <c r="B5005" s="2">
        <v>43516.277719907404</v>
      </c>
      <c r="C5005" s="2">
        <v>43516.301689814813</v>
      </c>
      <c r="D5005" t="s">
        <v>976</v>
      </c>
      <c r="E5005" t="s">
        <v>6587</v>
      </c>
      <c r="F5005" t="s">
        <v>6588</v>
      </c>
      <c r="G5005" t="s">
        <v>1122</v>
      </c>
      <c r="H5005" t="s">
        <v>1043</v>
      </c>
      <c r="I5005">
        <v>185349003</v>
      </c>
      <c r="J5005" t="s">
        <v>1038</v>
      </c>
      <c r="K5005">
        <v>85.55</v>
      </c>
      <c r="L5005">
        <v>815.27</v>
      </c>
      <c r="M5005">
        <v>652.20000000000005</v>
      </c>
      <c r="O5005" t="s">
        <v>34</v>
      </c>
    </row>
    <row r="5006" spans="1:15">
      <c r="A5006" t="s">
        <v>6666</v>
      </c>
      <c r="B5006" s="2">
        <v>43530.277719907404</v>
      </c>
      <c r="C5006" s="2">
        <v>43530.578194444446</v>
      </c>
      <c r="D5006" t="s">
        <v>976</v>
      </c>
      <c r="E5006" t="s">
        <v>6587</v>
      </c>
      <c r="F5006" t="s">
        <v>6588</v>
      </c>
      <c r="G5006" t="s">
        <v>1122</v>
      </c>
      <c r="H5006" t="s">
        <v>1031</v>
      </c>
      <c r="I5006">
        <v>185349003</v>
      </c>
      <c r="J5006" t="s">
        <v>1038</v>
      </c>
      <c r="K5006">
        <v>85.55</v>
      </c>
      <c r="L5006">
        <v>5262.35</v>
      </c>
      <c r="M5006">
        <v>4209.88</v>
      </c>
      <c r="N5006">
        <v>66383009</v>
      </c>
      <c r="O5006" t="s">
        <v>1209</v>
      </c>
    </row>
    <row r="5007" spans="1:15">
      <c r="A5007" t="s">
        <v>6667</v>
      </c>
      <c r="B5007" s="2">
        <v>43533.277719907404</v>
      </c>
      <c r="C5007" s="2">
        <v>43533.288136574076</v>
      </c>
      <c r="D5007" t="s">
        <v>976</v>
      </c>
      <c r="E5007" t="s">
        <v>6587</v>
      </c>
      <c r="F5007" t="s">
        <v>6588</v>
      </c>
      <c r="G5007" t="s">
        <v>1122</v>
      </c>
      <c r="H5007" t="s">
        <v>1043</v>
      </c>
      <c r="I5007">
        <v>185345009</v>
      </c>
      <c r="J5007" t="s">
        <v>1032</v>
      </c>
      <c r="K5007">
        <v>85.55</v>
      </c>
      <c r="L5007">
        <v>85.55</v>
      </c>
      <c r="M5007">
        <v>68.44</v>
      </c>
      <c r="N5007">
        <v>65363002</v>
      </c>
      <c r="O5007" t="s">
        <v>1335</v>
      </c>
    </row>
    <row r="5008" spans="1:15">
      <c r="A5008" t="s">
        <v>6668</v>
      </c>
      <c r="B5008" s="2">
        <v>43544.319386574076</v>
      </c>
      <c r="C5008" s="2">
        <v>43544.345254629632</v>
      </c>
      <c r="D5008" t="s">
        <v>976</v>
      </c>
      <c r="E5008" t="s">
        <v>6587</v>
      </c>
      <c r="F5008" t="s">
        <v>6588</v>
      </c>
      <c r="G5008" t="s">
        <v>1122</v>
      </c>
      <c r="H5008" t="s">
        <v>1043</v>
      </c>
      <c r="I5008">
        <v>185349003</v>
      </c>
      <c r="J5008" t="s">
        <v>1038</v>
      </c>
      <c r="K5008">
        <v>85.55</v>
      </c>
      <c r="L5008">
        <v>815.27</v>
      </c>
      <c r="M5008">
        <v>652.20000000000005</v>
      </c>
      <c r="O5008" t="s">
        <v>34</v>
      </c>
    </row>
    <row r="5009" spans="1:15">
      <c r="A5009" t="s">
        <v>6669</v>
      </c>
      <c r="B5009" s="2">
        <v>38010.205104166664</v>
      </c>
      <c r="C5009" s="2">
        <v>38010.241909722223</v>
      </c>
      <c r="D5009" t="s">
        <v>985</v>
      </c>
      <c r="E5009" t="s">
        <v>6670</v>
      </c>
      <c r="F5009" t="s">
        <v>6671</v>
      </c>
      <c r="G5009" t="s">
        <v>1019</v>
      </c>
      <c r="H5009" t="s">
        <v>1020</v>
      </c>
      <c r="I5009">
        <v>162673000</v>
      </c>
      <c r="J5009" t="s">
        <v>1021</v>
      </c>
      <c r="K5009">
        <v>136.80000000000001</v>
      </c>
      <c r="L5009">
        <v>704.2</v>
      </c>
      <c r="M5009">
        <v>0</v>
      </c>
      <c r="O5009" t="s">
        <v>34</v>
      </c>
    </row>
    <row r="5010" spans="1:15">
      <c r="A5010" t="s">
        <v>6672</v>
      </c>
      <c r="B5010" s="2">
        <v>39914.246770833335</v>
      </c>
      <c r="C5010" s="2">
        <v>39914.268090277779</v>
      </c>
      <c r="D5010" t="s">
        <v>985</v>
      </c>
      <c r="E5010" t="s">
        <v>6673</v>
      </c>
      <c r="F5010" t="s">
        <v>6674</v>
      </c>
      <c r="G5010" t="s">
        <v>1325</v>
      </c>
      <c r="H5010" t="s">
        <v>1043</v>
      </c>
      <c r="I5010">
        <v>185349003</v>
      </c>
      <c r="J5010" t="s">
        <v>1038</v>
      </c>
      <c r="K5010">
        <v>85.55</v>
      </c>
      <c r="L5010">
        <v>1124.95</v>
      </c>
      <c r="M5010">
        <v>1124.95</v>
      </c>
      <c r="O5010" t="s">
        <v>34</v>
      </c>
    </row>
    <row r="5011" spans="1:15">
      <c r="A5011" t="s">
        <v>6675</v>
      </c>
      <c r="B5011" s="2">
        <v>41685.205104166664</v>
      </c>
      <c r="C5011" s="2">
        <v>41685.215520833335</v>
      </c>
      <c r="D5011" t="s">
        <v>985</v>
      </c>
      <c r="E5011" t="s">
        <v>6673</v>
      </c>
      <c r="F5011" t="s">
        <v>6674</v>
      </c>
      <c r="G5011" t="s">
        <v>1325</v>
      </c>
      <c r="H5011" t="s">
        <v>1043</v>
      </c>
      <c r="I5011">
        <v>185347001</v>
      </c>
      <c r="J5011" t="s">
        <v>1124</v>
      </c>
      <c r="K5011">
        <v>85.55</v>
      </c>
      <c r="L5011">
        <v>85.55</v>
      </c>
      <c r="M5011">
        <v>0</v>
      </c>
      <c r="N5011">
        <v>82423001</v>
      </c>
      <c r="O5011" t="s">
        <v>1542</v>
      </c>
    </row>
    <row r="5012" spans="1:15">
      <c r="A5012" t="s">
        <v>6676</v>
      </c>
      <c r="B5012" s="2">
        <v>41741.246770833335</v>
      </c>
      <c r="C5012" s="2">
        <v>41741.257187499999</v>
      </c>
      <c r="D5012" t="s">
        <v>985</v>
      </c>
      <c r="E5012" t="s">
        <v>6673</v>
      </c>
      <c r="F5012" t="s">
        <v>6674</v>
      </c>
      <c r="G5012" t="s">
        <v>1325</v>
      </c>
      <c r="H5012" t="s">
        <v>1031</v>
      </c>
      <c r="I5012">
        <v>390906007</v>
      </c>
      <c r="J5012" t="s">
        <v>1255</v>
      </c>
      <c r="K5012">
        <v>85.55</v>
      </c>
      <c r="L5012">
        <v>85.55</v>
      </c>
      <c r="M5012">
        <v>0</v>
      </c>
      <c r="N5012">
        <v>82423001</v>
      </c>
      <c r="O5012" t="s">
        <v>1542</v>
      </c>
    </row>
    <row r="5013" spans="1:15">
      <c r="A5013" t="s">
        <v>6677</v>
      </c>
      <c r="B5013" s="2">
        <v>43565.319386574076</v>
      </c>
      <c r="C5013" s="2">
        <v>43565.351273148146</v>
      </c>
      <c r="D5013" t="s">
        <v>976</v>
      </c>
      <c r="E5013" t="s">
        <v>6590</v>
      </c>
      <c r="F5013" t="s">
        <v>6591</v>
      </c>
      <c r="G5013" t="s">
        <v>1122</v>
      </c>
      <c r="H5013" t="s">
        <v>1020</v>
      </c>
      <c r="I5013">
        <v>162673000</v>
      </c>
      <c r="J5013" t="s">
        <v>1021</v>
      </c>
      <c r="K5013">
        <v>136.80000000000001</v>
      </c>
      <c r="L5013">
        <v>1429.59</v>
      </c>
      <c r="M5013">
        <v>1143.6600000000001</v>
      </c>
      <c r="O5013" t="s">
        <v>34</v>
      </c>
    </row>
    <row r="5014" spans="1:15">
      <c r="A5014" t="s">
        <v>6678</v>
      </c>
      <c r="B5014" s="2">
        <v>42049.205104166664</v>
      </c>
      <c r="C5014" s="2">
        <v>42049.230613425927</v>
      </c>
      <c r="D5014" t="s">
        <v>985</v>
      </c>
      <c r="E5014" t="s">
        <v>6670</v>
      </c>
      <c r="F5014" t="s">
        <v>6671</v>
      </c>
      <c r="G5014" t="s">
        <v>1325</v>
      </c>
      <c r="H5014" t="s">
        <v>1020</v>
      </c>
      <c r="I5014">
        <v>162673000</v>
      </c>
      <c r="J5014" t="s">
        <v>1021</v>
      </c>
      <c r="K5014">
        <v>136.80000000000001</v>
      </c>
      <c r="L5014">
        <v>1371.22</v>
      </c>
      <c r="M5014">
        <v>0</v>
      </c>
      <c r="O5014" t="s">
        <v>34</v>
      </c>
    </row>
    <row r="5015" spans="1:15">
      <c r="A5015" t="s">
        <v>6679</v>
      </c>
      <c r="B5015" s="2">
        <v>42056.205104166664</v>
      </c>
      <c r="C5015" s="2">
        <v>42056.251817129632</v>
      </c>
      <c r="D5015" t="s">
        <v>985</v>
      </c>
      <c r="E5015" t="s">
        <v>6673</v>
      </c>
      <c r="F5015" t="s">
        <v>6674</v>
      </c>
      <c r="G5015" t="s">
        <v>1325</v>
      </c>
      <c r="H5015" t="s">
        <v>1031</v>
      </c>
      <c r="I5015">
        <v>185347001</v>
      </c>
      <c r="J5015" t="s">
        <v>1124</v>
      </c>
      <c r="K5015">
        <v>85.55</v>
      </c>
      <c r="L5015">
        <v>1706.26</v>
      </c>
      <c r="M5015">
        <v>0</v>
      </c>
      <c r="N5015">
        <v>271737000</v>
      </c>
      <c r="O5015" t="s">
        <v>1479</v>
      </c>
    </row>
    <row r="5016" spans="1:15">
      <c r="A5016" t="s">
        <v>6680</v>
      </c>
      <c r="B5016" s="2">
        <v>42420.205104166664</v>
      </c>
      <c r="C5016" s="2">
        <v>42420.238668981481</v>
      </c>
      <c r="D5016" t="s">
        <v>985</v>
      </c>
      <c r="E5016" t="s">
        <v>6670</v>
      </c>
      <c r="F5016" t="s">
        <v>6671</v>
      </c>
      <c r="G5016" t="s">
        <v>1325</v>
      </c>
      <c r="H5016" t="s">
        <v>1020</v>
      </c>
      <c r="I5016">
        <v>162673000</v>
      </c>
      <c r="J5016" t="s">
        <v>1021</v>
      </c>
      <c r="K5016">
        <v>136.80000000000001</v>
      </c>
      <c r="L5016">
        <v>1716.16</v>
      </c>
      <c r="M5016">
        <v>0</v>
      </c>
      <c r="O5016" t="s">
        <v>34</v>
      </c>
    </row>
    <row r="5017" spans="1:15">
      <c r="A5017" t="s">
        <v>6681</v>
      </c>
      <c r="B5017" s="2">
        <v>42624.258090277777</v>
      </c>
      <c r="C5017" s="2">
        <v>42624.268506944441</v>
      </c>
      <c r="D5017" t="s">
        <v>985</v>
      </c>
      <c r="E5017" t="s">
        <v>6673</v>
      </c>
      <c r="F5017" t="s">
        <v>6674</v>
      </c>
      <c r="G5017" t="s">
        <v>1325</v>
      </c>
      <c r="H5017" t="s">
        <v>1043</v>
      </c>
      <c r="I5017">
        <v>698314001</v>
      </c>
      <c r="J5017" t="s">
        <v>1190</v>
      </c>
      <c r="K5017">
        <v>142.58000000000001</v>
      </c>
      <c r="L5017">
        <v>142.58000000000001</v>
      </c>
      <c r="M5017">
        <v>85.55</v>
      </c>
      <c r="N5017">
        <v>389095005</v>
      </c>
      <c r="O5017" t="s">
        <v>1191</v>
      </c>
    </row>
    <row r="5018" spans="1:15">
      <c r="A5018" t="s">
        <v>6682</v>
      </c>
      <c r="B5018" s="2">
        <v>42644.246770833335</v>
      </c>
      <c r="C5018" s="2">
        <v>42644.257187499999</v>
      </c>
      <c r="D5018" t="s">
        <v>985</v>
      </c>
      <c r="E5018" t="s">
        <v>6673</v>
      </c>
      <c r="F5018" t="s">
        <v>6674</v>
      </c>
      <c r="G5018" t="s">
        <v>1325</v>
      </c>
      <c r="H5018" t="s">
        <v>1043</v>
      </c>
      <c r="I5018">
        <v>308335008</v>
      </c>
      <c r="J5018" t="s">
        <v>1194</v>
      </c>
      <c r="K5018">
        <v>142.58000000000001</v>
      </c>
      <c r="L5018">
        <v>3134.23</v>
      </c>
      <c r="M5018">
        <v>1880.54</v>
      </c>
      <c r="N5018">
        <v>389095005</v>
      </c>
      <c r="O5018" t="s">
        <v>1191</v>
      </c>
    </row>
    <row r="5019" spans="1:15">
      <c r="A5019" t="s">
        <v>6683</v>
      </c>
      <c r="B5019" s="2">
        <v>42735.205104166664</v>
      </c>
      <c r="C5019" s="2">
        <v>42735.215520833335</v>
      </c>
      <c r="D5019" t="s">
        <v>985</v>
      </c>
      <c r="E5019" t="s">
        <v>6673</v>
      </c>
      <c r="F5019" t="s">
        <v>6674</v>
      </c>
      <c r="G5019" t="s">
        <v>1325</v>
      </c>
      <c r="H5019" t="s">
        <v>1043</v>
      </c>
      <c r="I5019">
        <v>308335008</v>
      </c>
      <c r="J5019" t="s">
        <v>1194</v>
      </c>
      <c r="K5019">
        <v>142.58000000000001</v>
      </c>
      <c r="L5019">
        <v>2819.84</v>
      </c>
      <c r="M5019">
        <v>0</v>
      </c>
      <c r="N5019">
        <v>389095005</v>
      </c>
      <c r="O5019" t="s">
        <v>1191</v>
      </c>
    </row>
    <row r="5020" spans="1:15">
      <c r="A5020" t="s">
        <v>6684</v>
      </c>
      <c r="B5020" s="2">
        <v>42791.205104166664</v>
      </c>
      <c r="C5020" s="2">
        <v>42791.231909722221</v>
      </c>
      <c r="D5020" t="s">
        <v>985</v>
      </c>
      <c r="E5020" t="s">
        <v>6670</v>
      </c>
      <c r="F5020" t="s">
        <v>6671</v>
      </c>
      <c r="G5020" t="s">
        <v>1325</v>
      </c>
      <c r="H5020" t="s">
        <v>1020</v>
      </c>
      <c r="I5020">
        <v>162673000</v>
      </c>
      <c r="J5020" t="s">
        <v>1021</v>
      </c>
      <c r="K5020">
        <v>136.80000000000001</v>
      </c>
      <c r="L5020">
        <v>921.58</v>
      </c>
      <c r="M5020">
        <v>0</v>
      </c>
      <c r="O5020" t="s">
        <v>34</v>
      </c>
    </row>
    <row r="5021" spans="1:15">
      <c r="A5021" t="s">
        <v>6685</v>
      </c>
      <c r="B5021" s="2">
        <v>43579.319386574076</v>
      </c>
      <c r="C5021" s="2">
        <v>43579.349328703705</v>
      </c>
      <c r="D5021" t="s">
        <v>976</v>
      </c>
      <c r="E5021" t="s">
        <v>3753</v>
      </c>
      <c r="F5021" t="s">
        <v>3754</v>
      </c>
      <c r="G5021" t="s">
        <v>1122</v>
      </c>
      <c r="H5021" t="s">
        <v>1159</v>
      </c>
      <c r="I5021">
        <v>702927004</v>
      </c>
      <c r="J5021" t="s">
        <v>1160</v>
      </c>
      <c r="K5021">
        <v>142.58000000000001</v>
      </c>
      <c r="L5021">
        <v>1008.3</v>
      </c>
      <c r="M5021">
        <v>806.62</v>
      </c>
      <c r="O5021" t="s">
        <v>34</v>
      </c>
    </row>
    <row r="5022" spans="1:15">
      <c r="A5022" t="s">
        <v>6686</v>
      </c>
      <c r="B5022" s="2">
        <v>42826.246770833335</v>
      </c>
      <c r="C5022" s="2">
        <v>42826.257187499999</v>
      </c>
      <c r="D5022" t="s">
        <v>985</v>
      </c>
      <c r="E5022" t="s">
        <v>6673</v>
      </c>
      <c r="F5022" t="s">
        <v>6674</v>
      </c>
      <c r="G5022" t="s">
        <v>1325</v>
      </c>
      <c r="H5022" t="s">
        <v>1043</v>
      </c>
      <c r="I5022">
        <v>308335008</v>
      </c>
      <c r="J5022" t="s">
        <v>1194</v>
      </c>
      <c r="K5022">
        <v>142.58000000000001</v>
      </c>
      <c r="L5022">
        <v>1323.37</v>
      </c>
      <c r="M5022">
        <v>0</v>
      </c>
      <c r="N5022">
        <v>389095005</v>
      </c>
      <c r="O5022" t="s">
        <v>1191</v>
      </c>
    </row>
    <row r="5023" spans="1:15">
      <c r="A5023" t="s">
        <v>6687</v>
      </c>
      <c r="B5023" s="2">
        <v>42917.246770833335</v>
      </c>
      <c r="C5023" s="2">
        <v>42917.26</v>
      </c>
      <c r="D5023" t="s">
        <v>985</v>
      </c>
      <c r="E5023" t="s">
        <v>6673</v>
      </c>
      <c r="F5023" t="s">
        <v>6674</v>
      </c>
      <c r="G5023" t="s">
        <v>1325</v>
      </c>
      <c r="H5023" t="s">
        <v>1043</v>
      </c>
      <c r="I5023">
        <v>308335008</v>
      </c>
      <c r="J5023" t="s">
        <v>1194</v>
      </c>
      <c r="K5023">
        <v>142.58000000000001</v>
      </c>
      <c r="L5023">
        <v>1250.8499999999999</v>
      </c>
      <c r="M5023">
        <v>288.91000000000003</v>
      </c>
      <c r="N5023">
        <v>389095005</v>
      </c>
      <c r="O5023" t="s">
        <v>1191</v>
      </c>
    </row>
    <row r="5024" spans="1:15">
      <c r="A5024" t="s">
        <v>6688</v>
      </c>
      <c r="B5024" s="2">
        <v>43008.246770833335</v>
      </c>
      <c r="C5024" s="2">
        <v>43008.258645833332</v>
      </c>
      <c r="D5024" t="s">
        <v>985</v>
      </c>
      <c r="E5024" t="s">
        <v>6673</v>
      </c>
      <c r="F5024" t="s">
        <v>6674</v>
      </c>
      <c r="G5024" t="s">
        <v>1325</v>
      </c>
      <c r="H5024" t="s">
        <v>1043</v>
      </c>
      <c r="I5024">
        <v>308335008</v>
      </c>
      <c r="J5024" t="s">
        <v>1194</v>
      </c>
      <c r="K5024">
        <v>142.58000000000001</v>
      </c>
      <c r="L5024">
        <v>2823.35</v>
      </c>
      <c r="M5024">
        <v>1694.01</v>
      </c>
      <c r="N5024">
        <v>389095005</v>
      </c>
      <c r="O5024" t="s">
        <v>1191</v>
      </c>
    </row>
    <row r="5025" spans="1:15">
      <c r="A5025" t="s">
        <v>6689</v>
      </c>
      <c r="B5025" s="2">
        <v>43099.205104166664</v>
      </c>
      <c r="C5025" s="2">
        <v>43099.217916666668</v>
      </c>
      <c r="D5025" t="s">
        <v>985</v>
      </c>
      <c r="E5025" t="s">
        <v>6673</v>
      </c>
      <c r="F5025" t="s">
        <v>6674</v>
      </c>
      <c r="G5025" t="s">
        <v>1325</v>
      </c>
      <c r="H5025" t="s">
        <v>1043</v>
      </c>
      <c r="I5025">
        <v>308335008</v>
      </c>
      <c r="J5025" t="s">
        <v>1194</v>
      </c>
      <c r="K5025">
        <v>142.58000000000001</v>
      </c>
      <c r="L5025">
        <v>1374.04</v>
      </c>
      <c r="M5025">
        <v>0</v>
      </c>
      <c r="N5025">
        <v>389095005</v>
      </c>
      <c r="O5025" t="s">
        <v>1191</v>
      </c>
    </row>
    <row r="5026" spans="1:15">
      <c r="A5026" t="s">
        <v>6690</v>
      </c>
      <c r="B5026" s="2">
        <v>43162.205104166664</v>
      </c>
      <c r="C5026" s="2">
        <v>43162.229490740741</v>
      </c>
      <c r="D5026" t="s">
        <v>985</v>
      </c>
      <c r="E5026" t="s">
        <v>6670</v>
      </c>
      <c r="F5026" t="s">
        <v>6671</v>
      </c>
      <c r="G5026" t="s">
        <v>1325</v>
      </c>
      <c r="H5026" t="s">
        <v>1020</v>
      </c>
      <c r="I5026">
        <v>162673000</v>
      </c>
      <c r="J5026" t="s">
        <v>1021</v>
      </c>
      <c r="K5026">
        <v>136.80000000000001</v>
      </c>
      <c r="L5026">
        <v>1001.28</v>
      </c>
      <c r="M5026">
        <v>0</v>
      </c>
      <c r="O5026" t="s">
        <v>34</v>
      </c>
    </row>
    <row r="5027" spans="1:15">
      <c r="A5027" t="s">
        <v>6691</v>
      </c>
      <c r="B5027" s="2">
        <v>43586.319386574076</v>
      </c>
      <c r="C5027" s="2">
        <v>43586.32980324074</v>
      </c>
      <c r="D5027" t="s">
        <v>976</v>
      </c>
      <c r="E5027" t="s">
        <v>6587</v>
      </c>
      <c r="F5027" t="s">
        <v>6588</v>
      </c>
      <c r="G5027" t="s">
        <v>1122</v>
      </c>
      <c r="H5027" t="s">
        <v>1043</v>
      </c>
      <c r="I5027">
        <v>185349003</v>
      </c>
      <c r="J5027" t="s">
        <v>1038</v>
      </c>
      <c r="K5027">
        <v>85.55</v>
      </c>
      <c r="L5027">
        <v>234.71</v>
      </c>
      <c r="M5027">
        <v>187.76</v>
      </c>
      <c r="O5027" t="s">
        <v>34</v>
      </c>
    </row>
    <row r="5028" spans="1:15">
      <c r="A5028" t="s">
        <v>6692</v>
      </c>
      <c r="B5028" s="2">
        <v>43211.246770833335</v>
      </c>
      <c r="C5028" s="2">
        <v>43211.257187499999</v>
      </c>
      <c r="D5028" t="s">
        <v>985</v>
      </c>
      <c r="E5028" t="s">
        <v>6673</v>
      </c>
      <c r="F5028" t="s">
        <v>6674</v>
      </c>
      <c r="G5028" t="s">
        <v>1325</v>
      </c>
      <c r="H5028" t="s">
        <v>1031</v>
      </c>
      <c r="I5028">
        <v>424441002</v>
      </c>
      <c r="J5028" t="s">
        <v>1059</v>
      </c>
      <c r="K5028">
        <v>142.58000000000001</v>
      </c>
      <c r="L5028">
        <v>16326.3</v>
      </c>
      <c r="M5028">
        <v>7720.5</v>
      </c>
      <c r="N5028">
        <v>72892002</v>
      </c>
      <c r="O5028" t="s">
        <v>1060</v>
      </c>
    </row>
    <row r="5029" spans="1:15">
      <c r="A5029" t="s">
        <v>6693</v>
      </c>
      <c r="B5029" s="2">
        <v>43222.246770833335</v>
      </c>
      <c r="C5029" s="2">
        <v>43222.257187499999</v>
      </c>
      <c r="D5029" t="s">
        <v>985</v>
      </c>
      <c r="E5029" t="s">
        <v>6673</v>
      </c>
      <c r="F5029" t="s">
        <v>6674</v>
      </c>
      <c r="G5029" t="s">
        <v>1325</v>
      </c>
      <c r="H5029" t="s">
        <v>1031</v>
      </c>
      <c r="I5029">
        <v>270427003</v>
      </c>
      <c r="J5029" t="s">
        <v>1179</v>
      </c>
      <c r="K5029">
        <v>85.55</v>
      </c>
      <c r="L5029">
        <v>13650.02</v>
      </c>
      <c r="M5029">
        <v>13650.02</v>
      </c>
      <c r="N5029">
        <v>72892002</v>
      </c>
      <c r="O5029" t="s">
        <v>1060</v>
      </c>
    </row>
    <row r="5030" spans="1:15">
      <c r="A5030" t="s">
        <v>6694</v>
      </c>
      <c r="B5030" s="2">
        <v>43231.246770833335</v>
      </c>
      <c r="C5030" s="2">
        <v>43231.257187499999</v>
      </c>
      <c r="D5030" t="s">
        <v>985</v>
      </c>
      <c r="E5030" t="s">
        <v>6673</v>
      </c>
      <c r="F5030" t="s">
        <v>6674</v>
      </c>
      <c r="G5030" t="s">
        <v>1325</v>
      </c>
      <c r="H5030" t="s">
        <v>1031</v>
      </c>
      <c r="I5030">
        <v>424619006</v>
      </c>
      <c r="J5030" t="s">
        <v>1062</v>
      </c>
      <c r="K5030">
        <v>142.58000000000001</v>
      </c>
      <c r="L5030">
        <v>1764.83</v>
      </c>
      <c r="M5030">
        <v>1764.83</v>
      </c>
      <c r="N5030">
        <v>72892002</v>
      </c>
      <c r="O5030" t="s">
        <v>1060</v>
      </c>
    </row>
    <row r="5031" spans="1:15">
      <c r="A5031" t="s">
        <v>6695</v>
      </c>
      <c r="B5031" s="2">
        <v>43593.319386574076</v>
      </c>
      <c r="C5031" s="2">
        <v>43593.41642361111</v>
      </c>
      <c r="D5031" t="s">
        <v>976</v>
      </c>
      <c r="E5031" t="s">
        <v>6587</v>
      </c>
      <c r="F5031" t="s">
        <v>6588</v>
      </c>
      <c r="G5031" t="s">
        <v>1122</v>
      </c>
      <c r="H5031" t="s">
        <v>1031</v>
      </c>
      <c r="I5031">
        <v>185349003</v>
      </c>
      <c r="J5031" t="s">
        <v>1038</v>
      </c>
      <c r="K5031">
        <v>85.55</v>
      </c>
      <c r="L5031">
        <v>2673.95</v>
      </c>
      <c r="M5031">
        <v>2139.16</v>
      </c>
      <c r="N5031">
        <v>103697008</v>
      </c>
      <c r="O5031" t="s">
        <v>1039</v>
      </c>
    </row>
    <row r="5032" spans="1:15">
      <c r="A5032" t="s">
        <v>6696</v>
      </c>
      <c r="B5032" s="2">
        <v>43607.319386574076</v>
      </c>
      <c r="C5032" s="2">
        <v>43607.342118055552</v>
      </c>
      <c r="D5032" t="s">
        <v>976</v>
      </c>
      <c r="E5032" t="s">
        <v>6587</v>
      </c>
      <c r="F5032" t="s">
        <v>6588</v>
      </c>
      <c r="G5032" t="s">
        <v>1122</v>
      </c>
      <c r="H5032" t="s">
        <v>1043</v>
      </c>
      <c r="I5032">
        <v>185349003</v>
      </c>
      <c r="J5032" t="s">
        <v>1038</v>
      </c>
      <c r="K5032">
        <v>85.55</v>
      </c>
      <c r="L5032">
        <v>815.27</v>
      </c>
      <c r="M5032">
        <v>652.20000000000005</v>
      </c>
      <c r="O5032" t="s">
        <v>34</v>
      </c>
    </row>
    <row r="5033" spans="1:15">
      <c r="A5033" t="s">
        <v>6697</v>
      </c>
      <c r="B5033" s="2">
        <v>43614.319386574076</v>
      </c>
      <c r="C5033" s="2">
        <v>43614.32980324074</v>
      </c>
      <c r="D5033" t="s">
        <v>976</v>
      </c>
      <c r="E5033" t="s">
        <v>6587</v>
      </c>
      <c r="F5033" t="s">
        <v>6588</v>
      </c>
      <c r="G5033" t="s">
        <v>1122</v>
      </c>
      <c r="H5033" t="s">
        <v>1031</v>
      </c>
      <c r="I5033">
        <v>390906007</v>
      </c>
      <c r="J5033" t="s">
        <v>1255</v>
      </c>
      <c r="K5033">
        <v>85.55</v>
      </c>
      <c r="L5033">
        <v>234.71</v>
      </c>
      <c r="M5033">
        <v>187.76</v>
      </c>
      <c r="N5033">
        <v>55822004</v>
      </c>
      <c r="O5033" t="s">
        <v>2010</v>
      </c>
    </row>
    <row r="5034" spans="1:15">
      <c r="A5034" t="s">
        <v>6698</v>
      </c>
      <c r="B5034" s="2">
        <v>43621.319386574076</v>
      </c>
      <c r="C5034" s="2">
        <v>43621.472824074073</v>
      </c>
      <c r="D5034" t="s">
        <v>976</v>
      </c>
      <c r="E5034" t="s">
        <v>6587</v>
      </c>
      <c r="F5034" t="s">
        <v>6588</v>
      </c>
      <c r="G5034" t="s">
        <v>1122</v>
      </c>
      <c r="H5034" t="s">
        <v>1031</v>
      </c>
      <c r="I5034">
        <v>185349003</v>
      </c>
      <c r="J5034" t="s">
        <v>1038</v>
      </c>
      <c r="K5034">
        <v>85.55</v>
      </c>
      <c r="L5034">
        <v>3105.35</v>
      </c>
      <c r="M5034">
        <v>2484.2800000000002</v>
      </c>
      <c r="N5034">
        <v>66383009</v>
      </c>
      <c r="O5034" t="s">
        <v>1209</v>
      </c>
    </row>
    <row r="5035" spans="1:15">
      <c r="A5035" t="s">
        <v>6699</v>
      </c>
      <c r="B5035" s="2">
        <v>43683.443055555559</v>
      </c>
      <c r="C5035" s="2">
        <v>43683.473611111112</v>
      </c>
      <c r="D5035" t="s">
        <v>976</v>
      </c>
      <c r="E5035" t="s">
        <v>6587</v>
      </c>
      <c r="F5035" t="s">
        <v>6588</v>
      </c>
      <c r="G5035" t="s">
        <v>1122</v>
      </c>
      <c r="H5035" t="s">
        <v>1031</v>
      </c>
      <c r="I5035">
        <v>36228007</v>
      </c>
      <c r="J5035" t="s">
        <v>1705</v>
      </c>
      <c r="K5035">
        <v>142.58000000000001</v>
      </c>
      <c r="L5035">
        <v>2730.98</v>
      </c>
      <c r="M5035">
        <v>2184.7800000000002</v>
      </c>
      <c r="O5035" t="s">
        <v>34</v>
      </c>
    </row>
    <row r="5036" spans="1:15">
      <c r="A5036" t="s">
        <v>6700</v>
      </c>
      <c r="B5036" s="2">
        <v>43344.258090277777</v>
      </c>
      <c r="C5036" s="2">
        <v>43344.268506944441</v>
      </c>
      <c r="D5036" t="s">
        <v>985</v>
      </c>
      <c r="E5036" t="s">
        <v>6673</v>
      </c>
      <c r="F5036" t="s">
        <v>6674</v>
      </c>
      <c r="G5036" t="s">
        <v>1325</v>
      </c>
      <c r="H5036" t="s">
        <v>1043</v>
      </c>
      <c r="I5036">
        <v>698314001</v>
      </c>
      <c r="J5036" t="s">
        <v>1190</v>
      </c>
      <c r="K5036">
        <v>142.58000000000001</v>
      </c>
      <c r="L5036">
        <v>142.58000000000001</v>
      </c>
      <c r="M5036">
        <v>142.58000000000001</v>
      </c>
      <c r="N5036">
        <v>389095005</v>
      </c>
      <c r="O5036" t="s">
        <v>1191</v>
      </c>
    </row>
    <row r="5037" spans="1:15">
      <c r="A5037" t="s">
        <v>6701</v>
      </c>
      <c r="B5037" s="2">
        <v>43533.205104166664</v>
      </c>
      <c r="C5037" s="2">
        <v>43533.232905092591</v>
      </c>
      <c r="D5037" t="s">
        <v>985</v>
      </c>
      <c r="E5037" t="s">
        <v>6670</v>
      </c>
      <c r="F5037" t="s">
        <v>6671</v>
      </c>
      <c r="G5037" t="s">
        <v>1325</v>
      </c>
      <c r="H5037" t="s">
        <v>1020</v>
      </c>
      <c r="I5037">
        <v>162673000</v>
      </c>
      <c r="J5037" t="s">
        <v>1021</v>
      </c>
      <c r="K5037">
        <v>136.80000000000001</v>
      </c>
      <c r="L5037">
        <v>927.94</v>
      </c>
      <c r="M5037">
        <v>0</v>
      </c>
      <c r="O5037" t="s">
        <v>34</v>
      </c>
    </row>
    <row r="5038" spans="1:15">
      <c r="A5038" t="s">
        <v>6702</v>
      </c>
      <c r="B5038" s="2">
        <v>43704.258090277777</v>
      </c>
      <c r="C5038" s="2">
        <v>43704.268506944441</v>
      </c>
      <c r="D5038" t="s">
        <v>985</v>
      </c>
      <c r="E5038" t="s">
        <v>6673</v>
      </c>
      <c r="F5038" t="s">
        <v>6674</v>
      </c>
      <c r="G5038" t="s">
        <v>1325</v>
      </c>
      <c r="H5038" t="s">
        <v>1043</v>
      </c>
      <c r="I5038">
        <v>698314001</v>
      </c>
      <c r="J5038" t="s">
        <v>1190</v>
      </c>
      <c r="K5038">
        <v>142.58000000000001</v>
      </c>
      <c r="L5038">
        <v>142.58000000000001</v>
      </c>
      <c r="M5038">
        <v>0</v>
      </c>
      <c r="N5038">
        <v>389095005</v>
      </c>
      <c r="O5038" t="s">
        <v>1191</v>
      </c>
    </row>
    <row r="5039" spans="1:15">
      <c r="A5039" t="s">
        <v>6703</v>
      </c>
      <c r="B5039" s="2">
        <v>43904.246770833335</v>
      </c>
      <c r="C5039" s="2">
        <v>43904.267893518518</v>
      </c>
      <c r="D5039" t="s">
        <v>985</v>
      </c>
      <c r="E5039" t="s">
        <v>6670</v>
      </c>
      <c r="F5039" t="s">
        <v>6671</v>
      </c>
      <c r="G5039" t="s">
        <v>1325</v>
      </c>
      <c r="H5039" t="s">
        <v>1020</v>
      </c>
      <c r="I5039">
        <v>162673000</v>
      </c>
      <c r="J5039" t="s">
        <v>1021</v>
      </c>
      <c r="K5039">
        <v>136.80000000000001</v>
      </c>
      <c r="L5039">
        <v>785.58</v>
      </c>
      <c r="M5039">
        <v>0</v>
      </c>
      <c r="O5039" t="s">
        <v>34</v>
      </c>
    </row>
    <row r="5040" spans="1:15">
      <c r="A5040" t="s">
        <v>6704</v>
      </c>
      <c r="B5040" s="2">
        <v>43918.246770833335</v>
      </c>
      <c r="C5040" s="2">
        <v>43918.512372685182</v>
      </c>
      <c r="D5040" t="s">
        <v>985</v>
      </c>
      <c r="E5040" t="s">
        <v>6673</v>
      </c>
      <c r="F5040" t="s">
        <v>6674</v>
      </c>
      <c r="G5040" t="s">
        <v>1325</v>
      </c>
      <c r="H5040" t="s">
        <v>1031</v>
      </c>
      <c r="I5040">
        <v>185349003</v>
      </c>
      <c r="J5040" t="s">
        <v>1038</v>
      </c>
      <c r="K5040">
        <v>85.55</v>
      </c>
      <c r="L5040">
        <v>4830.95</v>
      </c>
      <c r="M5040">
        <v>0</v>
      </c>
      <c r="N5040">
        <v>66383009</v>
      </c>
      <c r="O5040" t="s">
        <v>1209</v>
      </c>
    </row>
    <row r="5041" spans="1:15">
      <c r="A5041" t="s">
        <v>6705</v>
      </c>
      <c r="B5041" s="2">
        <v>44064.258090277777</v>
      </c>
      <c r="C5041" s="2">
        <v>44064.268506944441</v>
      </c>
      <c r="D5041" t="s">
        <v>985</v>
      </c>
      <c r="E5041" t="s">
        <v>6673</v>
      </c>
      <c r="F5041" t="s">
        <v>6674</v>
      </c>
      <c r="G5041" t="s">
        <v>1325</v>
      </c>
      <c r="H5041" t="s">
        <v>1043</v>
      </c>
      <c r="I5041">
        <v>698314001</v>
      </c>
      <c r="J5041" t="s">
        <v>1190</v>
      </c>
      <c r="K5041">
        <v>142.58000000000001</v>
      </c>
      <c r="L5041">
        <v>142.58000000000001</v>
      </c>
      <c r="M5041">
        <v>85.55</v>
      </c>
      <c r="N5041">
        <v>389095005</v>
      </c>
      <c r="O5041" t="s">
        <v>1191</v>
      </c>
    </row>
    <row r="5042" spans="1:15">
      <c r="A5042" t="s">
        <v>6706</v>
      </c>
      <c r="B5042" s="2">
        <v>44275.246770833335</v>
      </c>
      <c r="C5042" s="2">
        <v>44275.267824074072</v>
      </c>
      <c r="D5042" t="s">
        <v>985</v>
      </c>
      <c r="E5042" t="s">
        <v>6670</v>
      </c>
      <c r="F5042" t="s">
        <v>6671</v>
      </c>
      <c r="G5042" t="s">
        <v>1325</v>
      </c>
      <c r="H5042" t="s">
        <v>1020</v>
      </c>
      <c r="I5042">
        <v>162673000</v>
      </c>
      <c r="J5042" t="s">
        <v>1021</v>
      </c>
      <c r="K5042">
        <v>136.80000000000001</v>
      </c>
      <c r="L5042">
        <v>785.58</v>
      </c>
      <c r="M5042">
        <v>0</v>
      </c>
      <c r="O5042" t="s">
        <v>34</v>
      </c>
    </row>
    <row r="5043" spans="1:15">
      <c r="A5043" t="s">
        <v>6707</v>
      </c>
      <c r="B5043" s="2">
        <v>43698.319386574076</v>
      </c>
      <c r="C5043" s="2">
        <v>43698.35015046296</v>
      </c>
      <c r="D5043" t="s">
        <v>976</v>
      </c>
      <c r="E5043" t="s">
        <v>6587</v>
      </c>
      <c r="F5043" t="s">
        <v>6588</v>
      </c>
      <c r="G5043" t="s">
        <v>1122</v>
      </c>
      <c r="H5043" t="s">
        <v>1043</v>
      </c>
      <c r="I5043">
        <v>185349003</v>
      </c>
      <c r="J5043" t="s">
        <v>1038</v>
      </c>
      <c r="K5043">
        <v>85.55</v>
      </c>
      <c r="L5043">
        <v>815.27</v>
      </c>
      <c r="M5043">
        <v>652.20000000000005</v>
      </c>
      <c r="O5043" t="s">
        <v>34</v>
      </c>
    </row>
    <row r="5044" spans="1:15">
      <c r="A5044" t="s">
        <v>6708</v>
      </c>
      <c r="B5044" s="2">
        <v>43712.319386574076</v>
      </c>
      <c r="C5044" s="2">
        <v>43712.44321759259</v>
      </c>
      <c r="D5044" t="s">
        <v>976</v>
      </c>
      <c r="E5044" t="s">
        <v>6587</v>
      </c>
      <c r="F5044" t="s">
        <v>6588</v>
      </c>
      <c r="G5044" t="s">
        <v>1122</v>
      </c>
      <c r="H5044" t="s">
        <v>1031</v>
      </c>
      <c r="I5044">
        <v>185349003</v>
      </c>
      <c r="J5044" t="s">
        <v>1038</v>
      </c>
      <c r="K5044">
        <v>85.55</v>
      </c>
      <c r="L5044">
        <v>3105.35</v>
      </c>
      <c r="M5044">
        <v>2484.2800000000002</v>
      </c>
      <c r="N5044">
        <v>103697008</v>
      </c>
      <c r="O5044" t="s">
        <v>1039</v>
      </c>
    </row>
    <row r="5045" spans="1:15">
      <c r="A5045" t="s">
        <v>6709</v>
      </c>
      <c r="B5045" s="2">
        <v>43726.319386574076</v>
      </c>
      <c r="C5045" s="2">
        <v>43726.345208333332</v>
      </c>
      <c r="D5045" t="s">
        <v>976</v>
      </c>
      <c r="E5045" t="s">
        <v>6587</v>
      </c>
      <c r="F5045" t="s">
        <v>6588</v>
      </c>
      <c r="G5045" t="s">
        <v>1122</v>
      </c>
      <c r="H5045" t="s">
        <v>1043</v>
      </c>
      <c r="I5045">
        <v>185349003</v>
      </c>
      <c r="J5045" t="s">
        <v>1038</v>
      </c>
      <c r="K5045">
        <v>85.55</v>
      </c>
      <c r="L5045">
        <v>815.27</v>
      </c>
      <c r="M5045">
        <v>652.20000000000005</v>
      </c>
      <c r="O5045" t="s">
        <v>34</v>
      </c>
    </row>
    <row r="5046" spans="1:15">
      <c r="A5046" t="s">
        <v>6710</v>
      </c>
      <c r="B5046" s="2">
        <v>43740.319386574076</v>
      </c>
      <c r="C5046" s="2">
        <v>43740.428877314815</v>
      </c>
      <c r="D5046" t="s">
        <v>976</v>
      </c>
      <c r="E5046" t="s">
        <v>6587</v>
      </c>
      <c r="F5046" t="s">
        <v>6588</v>
      </c>
      <c r="G5046" t="s">
        <v>1122</v>
      </c>
      <c r="H5046" t="s">
        <v>1031</v>
      </c>
      <c r="I5046">
        <v>185349003</v>
      </c>
      <c r="J5046" t="s">
        <v>1038</v>
      </c>
      <c r="K5046">
        <v>85.55</v>
      </c>
      <c r="L5046">
        <v>2673.95</v>
      </c>
      <c r="M5046">
        <v>2139.16</v>
      </c>
      <c r="N5046">
        <v>103697008</v>
      </c>
      <c r="O5046" t="s">
        <v>1039</v>
      </c>
    </row>
    <row r="5047" spans="1:15">
      <c r="A5047" t="s">
        <v>6711</v>
      </c>
      <c r="B5047" s="2">
        <v>44289.246770833335</v>
      </c>
      <c r="C5047" s="2">
        <v>44289.392094907409</v>
      </c>
      <c r="D5047" t="s">
        <v>985</v>
      </c>
      <c r="E5047" t="s">
        <v>6673</v>
      </c>
      <c r="F5047" t="s">
        <v>6674</v>
      </c>
      <c r="G5047" t="s">
        <v>1325</v>
      </c>
      <c r="H5047" t="s">
        <v>1031</v>
      </c>
      <c r="I5047">
        <v>185349003</v>
      </c>
      <c r="J5047" t="s">
        <v>1038</v>
      </c>
      <c r="K5047">
        <v>85.55</v>
      </c>
      <c r="L5047">
        <v>3105.35</v>
      </c>
      <c r="M5047">
        <v>0</v>
      </c>
      <c r="N5047">
        <v>103697008</v>
      </c>
      <c r="O5047" t="s">
        <v>1039</v>
      </c>
    </row>
    <row r="5048" spans="1:15">
      <c r="A5048" t="s">
        <v>6712</v>
      </c>
      <c r="B5048" s="2">
        <v>44424.258090277777</v>
      </c>
      <c r="C5048" s="2">
        <v>44424.271979166668</v>
      </c>
      <c r="D5048" t="s">
        <v>985</v>
      </c>
      <c r="E5048" t="s">
        <v>6673</v>
      </c>
      <c r="F5048" t="s">
        <v>6674</v>
      </c>
      <c r="G5048" t="s">
        <v>1325</v>
      </c>
      <c r="H5048" t="s">
        <v>1043</v>
      </c>
      <c r="I5048">
        <v>698314001</v>
      </c>
      <c r="J5048" t="s">
        <v>1190</v>
      </c>
      <c r="K5048">
        <v>142.58000000000001</v>
      </c>
      <c r="L5048">
        <v>6503.52</v>
      </c>
      <c r="M5048">
        <v>2746.12</v>
      </c>
      <c r="N5048">
        <v>389095005</v>
      </c>
      <c r="O5048" t="s">
        <v>1191</v>
      </c>
    </row>
    <row r="5049" spans="1:15">
      <c r="A5049" t="s">
        <v>6713</v>
      </c>
      <c r="B5049" s="2">
        <v>44485.246770833335</v>
      </c>
      <c r="C5049" s="2">
        <v>44485.257187499999</v>
      </c>
      <c r="D5049" t="s">
        <v>985</v>
      </c>
      <c r="E5049" t="s">
        <v>6673</v>
      </c>
      <c r="F5049" t="s">
        <v>6674</v>
      </c>
      <c r="G5049" t="s">
        <v>1325</v>
      </c>
      <c r="H5049" t="s">
        <v>1043</v>
      </c>
      <c r="I5049">
        <v>33879002</v>
      </c>
      <c r="J5049" t="s">
        <v>1044</v>
      </c>
      <c r="K5049">
        <v>142.58000000000001</v>
      </c>
      <c r="L5049">
        <v>278.58</v>
      </c>
      <c r="M5049">
        <v>167.15</v>
      </c>
      <c r="O5049" t="s">
        <v>34</v>
      </c>
    </row>
    <row r="5050" spans="1:15">
      <c r="A5050" t="s">
        <v>6714</v>
      </c>
      <c r="B5050" s="2">
        <v>44506.246770833335</v>
      </c>
      <c r="C5050" s="2">
        <v>44506.257187499999</v>
      </c>
      <c r="D5050" t="s">
        <v>985</v>
      </c>
      <c r="E5050" t="s">
        <v>6673</v>
      </c>
      <c r="F5050" t="s">
        <v>6674</v>
      </c>
      <c r="G5050" t="s">
        <v>1325</v>
      </c>
      <c r="H5050" t="s">
        <v>1043</v>
      </c>
      <c r="I5050">
        <v>33879002</v>
      </c>
      <c r="J5050" t="s">
        <v>1044</v>
      </c>
      <c r="K5050">
        <v>142.58000000000001</v>
      </c>
      <c r="L5050">
        <v>278.58</v>
      </c>
      <c r="M5050">
        <v>167.15</v>
      </c>
      <c r="O5050" t="s">
        <v>34</v>
      </c>
    </row>
    <row r="5051" spans="1:15">
      <c r="A5051" t="s">
        <v>6715</v>
      </c>
      <c r="B5051" s="2">
        <v>44646.246770833335</v>
      </c>
      <c r="C5051" s="2">
        <v>44646.268125000002</v>
      </c>
      <c r="D5051" t="s">
        <v>985</v>
      </c>
      <c r="E5051" t="s">
        <v>6670</v>
      </c>
      <c r="F5051" t="s">
        <v>6671</v>
      </c>
      <c r="G5051" t="s">
        <v>1325</v>
      </c>
      <c r="H5051" t="s">
        <v>1020</v>
      </c>
      <c r="I5051">
        <v>162673000</v>
      </c>
      <c r="J5051" t="s">
        <v>1021</v>
      </c>
      <c r="K5051">
        <v>136.80000000000001</v>
      </c>
      <c r="L5051">
        <v>1715.29</v>
      </c>
      <c r="M5051">
        <v>0</v>
      </c>
      <c r="O5051" t="s">
        <v>34</v>
      </c>
    </row>
    <row r="5052" spans="1:15">
      <c r="A5052" t="s">
        <v>6716</v>
      </c>
      <c r="B5052" s="2">
        <v>44660.246770833335</v>
      </c>
      <c r="C5052" s="2">
        <v>44660.401539351849</v>
      </c>
      <c r="D5052" t="s">
        <v>985</v>
      </c>
      <c r="E5052" t="s">
        <v>6673</v>
      </c>
      <c r="F5052" t="s">
        <v>6674</v>
      </c>
      <c r="G5052" t="s">
        <v>1325</v>
      </c>
      <c r="H5052" t="s">
        <v>1031</v>
      </c>
      <c r="I5052">
        <v>185349003</v>
      </c>
      <c r="J5052" t="s">
        <v>1038</v>
      </c>
      <c r="K5052">
        <v>85.55</v>
      </c>
      <c r="L5052">
        <v>3105.35</v>
      </c>
      <c r="M5052">
        <v>0</v>
      </c>
      <c r="N5052">
        <v>103697008</v>
      </c>
      <c r="O5052" t="s">
        <v>1039</v>
      </c>
    </row>
    <row r="5053" spans="1:15">
      <c r="A5053" t="s">
        <v>6717</v>
      </c>
      <c r="B5053" s="2">
        <v>44784.271979166668</v>
      </c>
      <c r="C5053" s="2">
        <v>44784.282395833332</v>
      </c>
      <c r="D5053" t="s">
        <v>985</v>
      </c>
      <c r="E5053" t="s">
        <v>6673</v>
      </c>
      <c r="F5053" t="s">
        <v>6674</v>
      </c>
      <c r="G5053" t="s">
        <v>1325</v>
      </c>
      <c r="H5053" t="s">
        <v>1043</v>
      </c>
      <c r="I5053">
        <v>698314001</v>
      </c>
      <c r="J5053" t="s">
        <v>1190</v>
      </c>
      <c r="K5053">
        <v>142.58000000000001</v>
      </c>
      <c r="L5053">
        <v>142.58000000000001</v>
      </c>
      <c r="M5053">
        <v>0</v>
      </c>
      <c r="N5053">
        <v>389095005</v>
      </c>
      <c r="O5053" t="s">
        <v>1191</v>
      </c>
    </row>
    <row r="5054" spans="1:15">
      <c r="A5054" t="s">
        <v>6718</v>
      </c>
      <c r="B5054" s="2">
        <v>44818.413437499999</v>
      </c>
      <c r="C5054" s="2">
        <v>44818.423854166664</v>
      </c>
      <c r="D5054" t="s">
        <v>985</v>
      </c>
      <c r="E5054" t="s">
        <v>6673</v>
      </c>
      <c r="F5054" t="s">
        <v>6674</v>
      </c>
      <c r="G5054" t="s">
        <v>1325</v>
      </c>
      <c r="H5054" t="s">
        <v>1031</v>
      </c>
      <c r="I5054">
        <v>185345009</v>
      </c>
      <c r="J5054" t="s">
        <v>1032</v>
      </c>
      <c r="K5054">
        <v>85.55</v>
      </c>
      <c r="L5054">
        <v>2657.8</v>
      </c>
      <c r="M5054">
        <v>1409.17</v>
      </c>
      <c r="N5054">
        <v>195662009</v>
      </c>
      <c r="O5054" t="s">
        <v>1130</v>
      </c>
    </row>
    <row r="5055" spans="1:15">
      <c r="A5055" t="s">
        <v>6719</v>
      </c>
      <c r="B5055" s="2">
        <v>44898.205104166664</v>
      </c>
      <c r="C5055" s="2">
        <v>44898.246770833335</v>
      </c>
      <c r="D5055" t="s">
        <v>985</v>
      </c>
      <c r="E5055" t="s">
        <v>6720</v>
      </c>
      <c r="F5055" t="s">
        <v>6721</v>
      </c>
      <c r="G5055" t="s">
        <v>1325</v>
      </c>
      <c r="H5055" t="s">
        <v>1076</v>
      </c>
      <c r="I5055">
        <v>50849002</v>
      </c>
      <c r="J5055" t="s">
        <v>1163</v>
      </c>
      <c r="K5055">
        <v>146.18</v>
      </c>
      <c r="L5055">
        <v>20794.05</v>
      </c>
      <c r="M5055">
        <v>8823.01</v>
      </c>
      <c r="N5055">
        <v>196416002</v>
      </c>
      <c r="O5055" t="s">
        <v>1414</v>
      </c>
    </row>
    <row r="5056" spans="1:15">
      <c r="A5056" t="s">
        <v>6722</v>
      </c>
      <c r="B5056" s="2">
        <v>44961.205104166664</v>
      </c>
      <c r="C5056" s="2">
        <v>44961.226898148147</v>
      </c>
      <c r="D5056" t="s">
        <v>985</v>
      </c>
      <c r="E5056" t="s">
        <v>6673</v>
      </c>
      <c r="F5056" t="s">
        <v>6674</v>
      </c>
      <c r="G5056" t="s">
        <v>1325</v>
      </c>
      <c r="H5056" t="s">
        <v>1043</v>
      </c>
      <c r="I5056">
        <v>308335008</v>
      </c>
      <c r="J5056" t="s">
        <v>1194</v>
      </c>
      <c r="K5056">
        <v>142.58000000000001</v>
      </c>
      <c r="L5056">
        <v>11360.39</v>
      </c>
      <c r="M5056">
        <v>11360.39</v>
      </c>
      <c r="N5056">
        <v>389095005</v>
      </c>
      <c r="O5056" t="s">
        <v>1191</v>
      </c>
    </row>
    <row r="5057" spans="1:15">
      <c r="A5057" t="s">
        <v>6723</v>
      </c>
      <c r="B5057" s="2">
        <v>45010.246770833335</v>
      </c>
      <c r="C5057" s="2">
        <v>45010.257187499999</v>
      </c>
      <c r="D5057" t="s">
        <v>985</v>
      </c>
      <c r="E5057" t="s">
        <v>6673</v>
      </c>
      <c r="F5057" t="s">
        <v>6674</v>
      </c>
      <c r="G5057" t="s">
        <v>1325</v>
      </c>
      <c r="H5057" t="s">
        <v>1031</v>
      </c>
      <c r="I5057">
        <v>424441002</v>
      </c>
      <c r="J5057" t="s">
        <v>1059</v>
      </c>
      <c r="K5057">
        <v>142.58000000000001</v>
      </c>
      <c r="L5057">
        <v>6453.97</v>
      </c>
      <c r="M5057">
        <v>6453.97</v>
      </c>
      <c r="N5057">
        <v>72892002</v>
      </c>
      <c r="O5057" t="s">
        <v>1060</v>
      </c>
    </row>
    <row r="5058" spans="1:15">
      <c r="A5058" t="s">
        <v>6724</v>
      </c>
      <c r="B5058" s="2">
        <v>45017.246770833335</v>
      </c>
      <c r="C5058" s="2">
        <v>45017.281504629631</v>
      </c>
      <c r="D5058" t="s">
        <v>985</v>
      </c>
      <c r="E5058" t="s">
        <v>6670</v>
      </c>
      <c r="F5058" t="s">
        <v>6671</v>
      </c>
      <c r="G5058" t="s">
        <v>1325</v>
      </c>
      <c r="H5058" t="s">
        <v>1020</v>
      </c>
      <c r="I5058">
        <v>162673000</v>
      </c>
      <c r="J5058" t="s">
        <v>1021</v>
      </c>
      <c r="K5058">
        <v>136.80000000000001</v>
      </c>
      <c r="L5058">
        <v>1497.39</v>
      </c>
      <c r="M5058">
        <v>1497.39</v>
      </c>
      <c r="O5058" t="s">
        <v>34</v>
      </c>
    </row>
    <row r="5059" spans="1:15">
      <c r="A5059" t="s">
        <v>6725</v>
      </c>
      <c r="B5059" s="2">
        <v>43749.435208333336</v>
      </c>
      <c r="C5059" s="2">
        <v>43749.456631944442</v>
      </c>
      <c r="D5059" t="s">
        <v>976</v>
      </c>
      <c r="E5059" t="s">
        <v>6587</v>
      </c>
      <c r="F5059" t="s">
        <v>6588</v>
      </c>
      <c r="G5059" t="s">
        <v>1122</v>
      </c>
      <c r="H5059" t="s">
        <v>1031</v>
      </c>
      <c r="I5059">
        <v>185349003</v>
      </c>
      <c r="J5059" t="s">
        <v>1038</v>
      </c>
      <c r="K5059">
        <v>85.55</v>
      </c>
      <c r="L5059">
        <v>13214.05</v>
      </c>
      <c r="M5059">
        <v>10571.24</v>
      </c>
      <c r="N5059">
        <v>275978004</v>
      </c>
      <c r="O5059" t="s">
        <v>1449</v>
      </c>
    </row>
    <row r="5060" spans="1:15">
      <c r="A5060" t="s">
        <v>6726</v>
      </c>
      <c r="B5060" s="2">
        <v>43754.319386574076</v>
      </c>
      <c r="C5060" s="2">
        <v>43764.32980324074</v>
      </c>
      <c r="D5060" t="s">
        <v>976</v>
      </c>
      <c r="E5060" t="s">
        <v>6727</v>
      </c>
      <c r="F5060" t="s">
        <v>6728</v>
      </c>
      <c r="G5060" t="s">
        <v>1122</v>
      </c>
      <c r="H5060" t="s">
        <v>1263</v>
      </c>
      <c r="I5060">
        <v>305336008</v>
      </c>
      <c r="J5060" t="s">
        <v>1264</v>
      </c>
      <c r="K5060">
        <v>137.53</v>
      </c>
      <c r="L5060">
        <v>6608.53</v>
      </c>
      <c r="M5060">
        <v>5100.42</v>
      </c>
      <c r="N5060">
        <v>26929004</v>
      </c>
      <c r="O5060" t="s">
        <v>1265</v>
      </c>
    </row>
    <row r="5061" spans="1:15">
      <c r="A5061" t="s">
        <v>6729</v>
      </c>
      <c r="B5061" s="2">
        <v>43789.277719907404</v>
      </c>
      <c r="C5061" s="2">
        <v>43789.316180555557</v>
      </c>
      <c r="D5061" t="s">
        <v>976</v>
      </c>
      <c r="E5061" t="s">
        <v>6587</v>
      </c>
      <c r="F5061" t="s">
        <v>6588</v>
      </c>
      <c r="G5061" t="s">
        <v>1122</v>
      </c>
      <c r="H5061" t="s">
        <v>1043</v>
      </c>
      <c r="I5061">
        <v>185349003</v>
      </c>
      <c r="J5061" t="s">
        <v>1038</v>
      </c>
      <c r="K5061">
        <v>85.55</v>
      </c>
      <c r="L5061">
        <v>815.27</v>
      </c>
      <c r="M5061">
        <v>652.20000000000005</v>
      </c>
      <c r="O5061" t="s">
        <v>34</v>
      </c>
    </row>
    <row r="5062" spans="1:15">
      <c r="A5062" t="s">
        <v>6730</v>
      </c>
      <c r="B5062" s="2">
        <v>43817.277719907404</v>
      </c>
      <c r="C5062" s="2">
        <v>43817.302708333336</v>
      </c>
      <c r="D5062" t="s">
        <v>976</v>
      </c>
      <c r="E5062" t="s">
        <v>6587</v>
      </c>
      <c r="F5062" t="s">
        <v>6588</v>
      </c>
      <c r="G5062" t="s">
        <v>1122</v>
      </c>
      <c r="H5062" t="s">
        <v>1043</v>
      </c>
      <c r="I5062">
        <v>185349003</v>
      </c>
      <c r="J5062" t="s">
        <v>1038</v>
      </c>
      <c r="K5062">
        <v>85.55</v>
      </c>
      <c r="L5062">
        <v>1030.97</v>
      </c>
      <c r="M5062">
        <v>824.76</v>
      </c>
      <c r="O5062" t="s">
        <v>34</v>
      </c>
    </row>
    <row r="5063" spans="1:15">
      <c r="A5063" t="s">
        <v>6731</v>
      </c>
      <c r="B5063" s="2">
        <v>45024.246770833335</v>
      </c>
      <c r="C5063" s="2">
        <v>45024.257187499999</v>
      </c>
      <c r="D5063" t="s">
        <v>985</v>
      </c>
      <c r="E5063" t="s">
        <v>6673</v>
      </c>
      <c r="F5063" t="s">
        <v>6674</v>
      </c>
      <c r="G5063" t="s">
        <v>1325</v>
      </c>
      <c r="H5063" t="s">
        <v>1031</v>
      </c>
      <c r="I5063">
        <v>270427003</v>
      </c>
      <c r="J5063" t="s">
        <v>1179</v>
      </c>
      <c r="K5063">
        <v>85.55</v>
      </c>
      <c r="L5063">
        <v>5534.53</v>
      </c>
      <c r="M5063">
        <v>5534.53</v>
      </c>
      <c r="N5063">
        <v>72892002</v>
      </c>
      <c r="O5063" t="s">
        <v>1060</v>
      </c>
    </row>
    <row r="5064" spans="1:15">
      <c r="A5064" t="s">
        <v>6732</v>
      </c>
      <c r="B5064" s="2">
        <v>45040.246770833335</v>
      </c>
      <c r="C5064" s="2">
        <v>45040.257187499999</v>
      </c>
      <c r="D5064" t="s">
        <v>985</v>
      </c>
      <c r="E5064" t="s">
        <v>6673</v>
      </c>
      <c r="F5064" t="s">
        <v>6674</v>
      </c>
      <c r="G5064" t="s">
        <v>1325</v>
      </c>
      <c r="H5064" t="s">
        <v>1031</v>
      </c>
      <c r="I5064">
        <v>424619006</v>
      </c>
      <c r="J5064" t="s">
        <v>1062</v>
      </c>
      <c r="K5064">
        <v>142.58000000000001</v>
      </c>
      <c r="L5064">
        <v>1443.68</v>
      </c>
      <c r="M5064">
        <v>1443.68</v>
      </c>
      <c r="N5064">
        <v>72892002</v>
      </c>
      <c r="O5064" t="s">
        <v>1060</v>
      </c>
    </row>
    <row r="5065" spans="1:15">
      <c r="A5065" t="s">
        <v>6733</v>
      </c>
      <c r="B5065" s="2">
        <v>45388.246770833335</v>
      </c>
      <c r="C5065" s="2">
        <v>45388.275034722225</v>
      </c>
      <c r="D5065" t="s">
        <v>985</v>
      </c>
      <c r="E5065" t="s">
        <v>6670</v>
      </c>
      <c r="F5065" t="s">
        <v>6671</v>
      </c>
      <c r="G5065" t="s">
        <v>1325</v>
      </c>
      <c r="H5065" t="s">
        <v>1020</v>
      </c>
      <c r="I5065">
        <v>162673000</v>
      </c>
      <c r="J5065" t="s">
        <v>1021</v>
      </c>
      <c r="K5065">
        <v>136.80000000000001</v>
      </c>
      <c r="L5065">
        <v>1069.06</v>
      </c>
      <c r="M5065">
        <v>0</v>
      </c>
      <c r="O5065" t="s">
        <v>34</v>
      </c>
    </row>
    <row r="5066" spans="1:15">
      <c r="A5066" t="s">
        <v>6734</v>
      </c>
      <c r="B5066" s="2">
        <v>45402.246770833335</v>
      </c>
      <c r="C5066" s="2">
        <v>45402.348773148151</v>
      </c>
      <c r="D5066" t="s">
        <v>985</v>
      </c>
      <c r="E5066" t="s">
        <v>6673</v>
      </c>
      <c r="F5066" t="s">
        <v>6674</v>
      </c>
      <c r="G5066" t="s">
        <v>1325</v>
      </c>
      <c r="H5066" t="s">
        <v>1031</v>
      </c>
      <c r="I5066">
        <v>185349003</v>
      </c>
      <c r="J5066" t="s">
        <v>1038</v>
      </c>
      <c r="K5066">
        <v>85.55</v>
      </c>
      <c r="L5066">
        <v>3105.35</v>
      </c>
      <c r="M5066">
        <v>0</v>
      </c>
      <c r="N5066">
        <v>103697008</v>
      </c>
      <c r="O5066" t="s">
        <v>1039</v>
      </c>
    </row>
    <row r="5067" spans="1:15">
      <c r="A5067" t="s">
        <v>6735</v>
      </c>
      <c r="B5067" s="2">
        <v>45451.246770833335</v>
      </c>
      <c r="C5067" s="2">
        <v>45451.257187499999</v>
      </c>
      <c r="D5067" t="s">
        <v>985</v>
      </c>
      <c r="E5067" t="s">
        <v>6673</v>
      </c>
      <c r="F5067" t="s">
        <v>6674</v>
      </c>
      <c r="G5067" t="s">
        <v>1325</v>
      </c>
      <c r="H5067" t="s">
        <v>1031</v>
      </c>
      <c r="I5067">
        <v>424441002</v>
      </c>
      <c r="J5067" t="s">
        <v>1059</v>
      </c>
      <c r="K5067">
        <v>142.58000000000001</v>
      </c>
      <c r="L5067">
        <v>36597.31</v>
      </c>
      <c r="M5067">
        <v>20962.57</v>
      </c>
      <c r="N5067">
        <v>72892002</v>
      </c>
      <c r="O5067" t="s">
        <v>1060</v>
      </c>
    </row>
    <row r="5068" spans="1:15">
      <c r="A5068" t="s">
        <v>6736</v>
      </c>
      <c r="B5068" s="2">
        <v>45479.246770833335</v>
      </c>
      <c r="C5068" s="2">
        <v>45479.257187499999</v>
      </c>
      <c r="D5068" t="s">
        <v>985</v>
      </c>
      <c r="E5068" t="s">
        <v>6673</v>
      </c>
      <c r="F5068" t="s">
        <v>6674</v>
      </c>
      <c r="G5068" t="s">
        <v>1325</v>
      </c>
      <c r="H5068" t="s">
        <v>1031</v>
      </c>
      <c r="I5068">
        <v>424619006</v>
      </c>
      <c r="J5068" t="s">
        <v>1062</v>
      </c>
      <c r="K5068">
        <v>142.58000000000001</v>
      </c>
      <c r="L5068">
        <v>8894.48</v>
      </c>
      <c r="M5068">
        <v>8894.48</v>
      </c>
      <c r="N5068">
        <v>72892002</v>
      </c>
      <c r="O5068" t="s">
        <v>1060</v>
      </c>
    </row>
    <row r="5069" spans="1:15">
      <c r="A5069" t="s">
        <v>6737</v>
      </c>
      <c r="B5069" s="2">
        <v>43845.277719907404</v>
      </c>
      <c r="C5069" s="2">
        <v>43845.298796296294</v>
      </c>
      <c r="D5069" t="s">
        <v>976</v>
      </c>
      <c r="E5069" t="s">
        <v>6587</v>
      </c>
      <c r="F5069" t="s">
        <v>6588</v>
      </c>
      <c r="G5069" t="s">
        <v>1122</v>
      </c>
      <c r="H5069" t="s">
        <v>1043</v>
      </c>
      <c r="I5069">
        <v>185349003</v>
      </c>
      <c r="J5069" t="s">
        <v>1038</v>
      </c>
      <c r="K5069">
        <v>85.55</v>
      </c>
      <c r="L5069">
        <v>815.27</v>
      </c>
      <c r="M5069">
        <v>652.20000000000005</v>
      </c>
      <c r="O5069" t="s">
        <v>34</v>
      </c>
    </row>
    <row r="5070" spans="1:15">
      <c r="A5070" t="s">
        <v>6738</v>
      </c>
      <c r="B5070" s="2">
        <v>43873.277719907404</v>
      </c>
      <c r="C5070" s="2">
        <v>43873.304201388892</v>
      </c>
      <c r="D5070" t="s">
        <v>976</v>
      </c>
      <c r="E5070" t="s">
        <v>6587</v>
      </c>
      <c r="F5070" t="s">
        <v>6588</v>
      </c>
      <c r="G5070" t="s">
        <v>1122</v>
      </c>
      <c r="H5070" t="s">
        <v>1043</v>
      </c>
      <c r="I5070">
        <v>185349003</v>
      </c>
      <c r="J5070" t="s">
        <v>1038</v>
      </c>
      <c r="K5070">
        <v>85.55</v>
      </c>
      <c r="L5070">
        <v>815.27</v>
      </c>
      <c r="M5070">
        <v>652.20000000000005</v>
      </c>
      <c r="O5070" t="s">
        <v>34</v>
      </c>
    </row>
    <row r="5071" spans="1:15">
      <c r="A5071" t="s">
        <v>6739</v>
      </c>
      <c r="B5071" s="2">
        <v>43887.277719907404</v>
      </c>
      <c r="C5071" s="2">
        <v>43887.465243055558</v>
      </c>
      <c r="D5071" t="s">
        <v>976</v>
      </c>
      <c r="E5071" t="s">
        <v>6587</v>
      </c>
      <c r="F5071" t="s">
        <v>6588</v>
      </c>
      <c r="G5071" t="s">
        <v>1122</v>
      </c>
      <c r="H5071" t="s">
        <v>1031</v>
      </c>
      <c r="I5071">
        <v>185349003</v>
      </c>
      <c r="J5071" t="s">
        <v>1038</v>
      </c>
      <c r="K5071">
        <v>85.55</v>
      </c>
      <c r="L5071">
        <v>3536.75</v>
      </c>
      <c r="M5071">
        <v>2829.4</v>
      </c>
      <c r="N5071">
        <v>103697008</v>
      </c>
      <c r="O5071" t="s">
        <v>1039</v>
      </c>
    </row>
    <row r="5072" spans="1:15">
      <c r="A5072" t="s">
        <v>6740</v>
      </c>
      <c r="B5072" s="2">
        <v>45507.246770833335</v>
      </c>
      <c r="C5072" s="2">
        <v>45507.257187499999</v>
      </c>
      <c r="D5072" t="s">
        <v>985</v>
      </c>
      <c r="E5072" t="s">
        <v>6673</v>
      </c>
      <c r="F5072" t="s">
        <v>6674</v>
      </c>
      <c r="G5072" t="s">
        <v>1325</v>
      </c>
      <c r="H5072" t="s">
        <v>1031</v>
      </c>
      <c r="I5072">
        <v>424619006</v>
      </c>
      <c r="J5072" t="s">
        <v>1062</v>
      </c>
      <c r="K5072">
        <v>142.58000000000001</v>
      </c>
      <c r="L5072">
        <v>16156.03</v>
      </c>
      <c r="M5072">
        <v>16156.03</v>
      </c>
      <c r="N5072">
        <v>72892002</v>
      </c>
      <c r="O5072" t="s">
        <v>1060</v>
      </c>
    </row>
    <row r="5073" spans="1:15">
      <c r="A5073" t="s">
        <v>6741</v>
      </c>
      <c r="B5073" s="2">
        <v>45535.246770833335</v>
      </c>
      <c r="C5073" s="2">
        <v>45535.257187499999</v>
      </c>
      <c r="D5073" t="s">
        <v>985</v>
      </c>
      <c r="E5073" t="s">
        <v>6673</v>
      </c>
      <c r="F5073" t="s">
        <v>6674</v>
      </c>
      <c r="G5073" t="s">
        <v>1325</v>
      </c>
      <c r="H5073" t="s">
        <v>1031</v>
      </c>
      <c r="I5073">
        <v>424619006</v>
      </c>
      <c r="J5073" t="s">
        <v>1062</v>
      </c>
      <c r="K5073">
        <v>142.58000000000001</v>
      </c>
      <c r="L5073">
        <v>13015.91</v>
      </c>
      <c r="M5073">
        <v>13015.91</v>
      </c>
      <c r="N5073">
        <v>72892002</v>
      </c>
      <c r="O5073" t="s">
        <v>1060</v>
      </c>
    </row>
    <row r="5074" spans="1:15">
      <c r="A5074" t="s">
        <v>6742</v>
      </c>
      <c r="B5074" s="2">
        <v>45563.246770833335</v>
      </c>
      <c r="C5074" s="2">
        <v>45563.257187499999</v>
      </c>
      <c r="D5074" t="s">
        <v>985</v>
      </c>
      <c r="E5074" t="s">
        <v>6673</v>
      </c>
      <c r="F5074" t="s">
        <v>6674</v>
      </c>
      <c r="G5074" t="s">
        <v>1325</v>
      </c>
      <c r="H5074" t="s">
        <v>1031</v>
      </c>
      <c r="I5074">
        <v>424619006</v>
      </c>
      <c r="J5074" t="s">
        <v>1062</v>
      </c>
      <c r="K5074">
        <v>142.58000000000001</v>
      </c>
      <c r="L5074">
        <v>7446.26</v>
      </c>
      <c r="M5074">
        <v>7446.26</v>
      </c>
      <c r="N5074">
        <v>72892002</v>
      </c>
      <c r="O5074" t="s">
        <v>1060</v>
      </c>
    </row>
    <row r="5075" spans="1:15">
      <c r="A5075" t="s">
        <v>6743</v>
      </c>
      <c r="B5075" s="2">
        <v>45591.246770833335</v>
      </c>
      <c r="C5075" s="2">
        <v>45591.257187499999</v>
      </c>
      <c r="D5075" t="s">
        <v>985</v>
      </c>
      <c r="E5075" t="s">
        <v>6673</v>
      </c>
      <c r="F5075" t="s">
        <v>6674</v>
      </c>
      <c r="G5075" t="s">
        <v>1325</v>
      </c>
      <c r="H5075" t="s">
        <v>1031</v>
      </c>
      <c r="I5075">
        <v>424619006</v>
      </c>
      <c r="J5075" t="s">
        <v>1062</v>
      </c>
      <c r="K5075">
        <v>142.58000000000001</v>
      </c>
      <c r="L5075">
        <v>12384.76</v>
      </c>
      <c r="M5075">
        <v>12384.76</v>
      </c>
      <c r="N5075">
        <v>72892002</v>
      </c>
      <c r="O5075" t="s">
        <v>1060</v>
      </c>
    </row>
    <row r="5076" spans="1:15">
      <c r="A5076" t="s">
        <v>6744</v>
      </c>
      <c r="B5076" s="2">
        <v>45619.205104166664</v>
      </c>
      <c r="C5076" s="2">
        <v>45619.215520833335</v>
      </c>
      <c r="D5076" t="s">
        <v>985</v>
      </c>
      <c r="E5076" t="s">
        <v>6673</v>
      </c>
      <c r="F5076" t="s">
        <v>6674</v>
      </c>
      <c r="G5076" t="s">
        <v>1325</v>
      </c>
      <c r="H5076" t="s">
        <v>1031</v>
      </c>
      <c r="I5076">
        <v>424619006</v>
      </c>
      <c r="J5076" t="s">
        <v>1062</v>
      </c>
      <c r="K5076">
        <v>142.58000000000001</v>
      </c>
      <c r="L5076">
        <v>8308.3799999999992</v>
      </c>
      <c r="M5076">
        <v>8308.3799999999992</v>
      </c>
      <c r="N5076">
        <v>72892002</v>
      </c>
      <c r="O5076" t="s">
        <v>1060</v>
      </c>
    </row>
    <row r="5077" spans="1:15">
      <c r="A5077" t="s">
        <v>6745</v>
      </c>
      <c r="B5077" s="2">
        <v>45647.205104166664</v>
      </c>
      <c r="C5077" s="2">
        <v>45647.215520833335</v>
      </c>
      <c r="D5077" t="s">
        <v>985</v>
      </c>
      <c r="E5077" t="s">
        <v>6673</v>
      </c>
      <c r="F5077" t="s">
        <v>6674</v>
      </c>
      <c r="G5077" t="s">
        <v>1325</v>
      </c>
      <c r="H5077" t="s">
        <v>1031</v>
      </c>
      <c r="I5077">
        <v>424619006</v>
      </c>
      <c r="J5077" t="s">
        <v>1062</v>
      </c>
      <c r="K5077">
        <v>142.58000000000001</v>
      </c>
      <c r="L5077">
        <v>8732.23</v>
      </c>
      <c r="M5077">
        <v>1582.94</v>
      </c>
      <c r="N5077">
        <v>72892002</v>
      </c>
      <c r="O5077" t="s">
        <v>1060</v>
      </c>
    </row>
    <row r="5078" spans="1:15">
      <c r="A5078" t="s">
        <v>6746</v>
      </c>
      <c r="B5078" s="2">
        <v>45661.205104166664</v>
      </c>
      <c r="C5078" s="2">
        <v>45661.215520833335</v>
      </c>
      <c r="D5078" t="s">
        <v>985</v>
      </c>
      <c r="E5078" t="s">
        <v>6673</v>
      </c>
      <c r="F5078" t="s">
        <v>6674</v>
      </c>
      <c r="G5078" t="s">
        <v>1325</v>
      </c>
      <c r="H5078" t="s">
        <v>1031</v>
      </c>
      <c r="I5078">
        <v>424619006</v>
      </c>
      <c r="J5078" t="s">
        <v>1062</v>
      </c>
      <c r="K5078">
        <v>142.58000000000001</v>
      </c>
      <c r="L5078">
        <v>8125.93</v>
      </c>
      <c r="M5078">
        <v>4875.5600000000004</v>
      </c>
      <c r="N5078">
        <v>72892002</v>
      </c>
      <c r="O5078" t="s">
        <v>1060</v>
      </c>
    </row>
    <row r="5079" spans="1:15">
      <c r="A5079" t="s">
        <v>6747</v>
      </c>
      <c r="B5079" s="2">
        <v>45668.205104166664</v>
      </c>
      <c r="C5079" s="2">
        <v>45668.246770833335</v>
      </c>
      <c r="D5079" t="s">
        <v>985</v>
      </c>
      <c r="E5079" t="s">
        <v>6720</v>
      </c>
      <c r="F5079" t="s">
        <v>6721</v>
      </c>
      <c r="G5079" t="s">
        <v>1325</v>
      </c>
      <c r="H5079" t="s">
        <v>1076</v>
      </c>
      <c r="I5079">
        <v>183460006</v>
      </c>
      <c r="J5079" t="s">
        <v>1077</v>
      </c>
      <c r="K5079">
        <v>146.18</v>
      </c>
      <c r="L5079">
        <v>4028.78</v>
      </c>
      <c r="M5079">
        <v>4028.78</v>
      </c>
      <c r="N5079">
        <v>72892002</v>
      </c>
      <c r="O5079" t="s">
        <v>1060</v>
      </c>
    </row>
    <row r="5080" spans="1:15">
      <c r="A5080" t="s">
        <v>6748</v>
      </c>
      <c r="B5080" s="2">
        <v>45671.913437499999</v>
      </c>
      <c r="C5080" s="2">
        <v>45671.923854166664</v>
      </c>
      <c r="D5080" t="s">
        <v>985</v>
      </c>
      <c r="E5080" t="s">
        <v>6673</v>
      </c>
      <c r="F5080" t="s">
        <v>6674</v>
      </c>
      <c r="G5080" t="s">
        <v>1325</v>
      </c>
      <c r="H5080" t="s">
        <v>1031</v>
      </c>
      <c r="I5080">
        <v>185345009</v>
      </c>
      <c r="J5080" t="s">
        <v>1032</v>
      </c>
      <c r="K5080">
        <v>85.55</v>
      </c>
      <c r="L5080">
        <v>85.55</v>
      </c>
      <c r="M5080">
        <v>85.55</v>
      </c>
      <c r="N5080">
        <v>195662009</v>
      </c>
      <c r="O5080" t="s">
        <v>1130</v>
      </c>
    </row>
    <row r="5081" spans="1:15">
      <c r="A5081" t="s">
        <v>6749</v>
      </c>
      <c r="B5081" s="2">
        <v>45710.205104166664</v>
      </c>
      <c r="C5081" s="2">
        <v>45710.215520833335</v>
      </c>
      <c r="D5081" t="s">
        <v>985</v>
      </c>
      <c r="E5081" t="s">
        <v>6673</v>
      </c>
      <c r="F5081" t="s">
        <v>6674</v>
      </c>
      <c r="G5081" t="s">
        <v>1325</v>
      </c>
      <c r="H5081" t="s">
        <v>1031</v>
      </c>
      <c r="I5081">
        <v>169762003</v>
      </c>
      <c r="J5081" t="s">
        <v>1079</v>
      </c>
      <c r="K5081">
        <v>142.58000000000001</v>
      </c>
      <c r="L5081">
        <v>1005.38</v>
      </c>
      <c r="M5081">
        <v>1005.38</v>
      </c>
      <c r="O5081" t="s">
        <v>34</v>
      </c>
    </row>
    <row r="5082" spans="1:15">
      <c r="A5082" t="s">
        <v>6750</v>
      </c>
      <c r="B5082" s="2">
        <v>45717.205104166664</v>
      </c>
      <c r="C5082" s="2">
        <v>45717.215520833335</v>
      </c>
      <c r="D5082" t="s">
        <v>985</v>
      </c>
      <c r="E5082" t="s">
        <v>6673</v>
      </c>
      <c r="F5082" t="s">
        <v>6674</v>
      </c>
      <c r="G5082" t="s">
        <v>1325</v>
      </c>
      <c r="H5082" t="s">
        <v>1043</v>
      </c>
      <c r="I5082">
        <v>698314001</v>
      </c>
      <c r="J5082" t="s">
        <v>1190</v>
      </c>
      <c r="K5082">
        <v>142.58000000000001</v>
      </c>
      <c r="L5082">
        <v>142.58000000000001</v>
      </c>
      <c r="M5082">
        <v>142.58000000000001</v>
      </c>
      <c r="N5082">
        <v>389095005</v>
      </c>
      <c r="O5082" t="s">
        <v>1191</v>
      </c>
    </row>
    <row r="5083" spans="1:15">
      <c r="A5083" t="s">
        <v>6751</v>
      </c>
      <c r="B5083" s="2">
        <v>45759.246770833335</v>
      </c>
      <c r="C5083" s="2">
        <v>45759.270300925928</v>
      </c>
      <c r="D5083" t="s">
        <v>985</v>
      </c>
      <c r="E5083" t="s">
        <v>6670</v>
      </c>
      <c r="F5083" t="s">
        <v>6671</v>
      </c>
      <c r="G5083" t="s">
        <v>1325</v>
      </c>
      <c r="H5083" t="s">
        <v>1020</v>
      </c>
      <c r="I5083">
        <v>162673000</v>
      </c>
      <c r="J5083" t="s">
        <v>1021</v>
      </c>
      <c r="K5083">
        <v>136.80000000000001</v>
      </c>
      <c r="L5083">
        <v>860.16</v>
      </c>
      <c r="M5083">
        <v>860.16</v>
      </c>
      <c r="O5083" t="s">
        <v>34</v>
      </c>
    </row>
    <row r="5084" spans="1:15">
      <c r="A5084" t="s">
        <v>6752</v>
      </c>
      <c r="B5084" s="2">
        <v>45773.246770833335</v>
      </c>
      <c r="C5084" s="2">
        <v>45773.373773148145</v>
      </c>
      <c r="D5084" t="s">
        <v>985</v>
      </c>
      <c r="E5084" t="s">
        <v>6673</v>
      </c>
      <c r="F5084" t="s">
        <v>6674</v>
      </c>
      <c r="G5084" t="s">
        <v>1325</v>
      </c>
      <c r="H5084" t="s">
        <v>1031</v>
      </c>
      <c r="I5084">
        <v>185349003</v>
      </c>
      <c r="J5084" t="s">
        <v>1038</v>
      </c>
      <c r="K5084">
        <v>85.55</v>
      </c>
      <c r="L5084">
        <v>3105.35</v>
      </c>
      <c r="M5084">
        <v>3105.35</v>
      </c>
      <c r="N5084">
        <v>66383009</v>
      </c>
      <c r="O5084" t="s">
        <v>1209</v>
      </c>
    </row>
    <row r="5085" spans="1:15">
      <c r="A5085" t="s">
        <v>6753</v>
      </c>
      <c r="B5085" s="2">
        <v>45780.246770833335</v>
      </c>
      <c r="C5085" s="2">
        <v>45780.257187499999</v>
      </c>
      <c r="D5085" t="s">
        <v>985</v>
      </c>
      <c r="E5085" t="s">
        <v>6673</v>
      </c>
      <c r="F5085" t="s">
        <v>6674</v>
      </c>
      <c r="G5085" t="s">
        <v>1325</v>
      </c>
      <c r="H5085" t="s">
        <v>1031</v>
      </c>
      <c r="I5085">
        <v>185345009</v>
      </c>
      <c r="J5085" t="s">
        <v>1032</v>
      </c>
      <c r="K5085">
        <v>85.55</v>
      </c>
      <c r="L5085">
        <v>85.55</v>
      </c>
      <c r="M5085">
        <v>85.55</v>
      </c>
      <c r="N5085">
        <v>444814009</v>
      </c>
      <c r="O5085" t="s">
        <v>1035</v>
      </c>
    </row>
    <row r="5086" spans="1:15">
      <c r="A5086" t="s">
        <v>6754</v>
      </c>
      <c r="B5086" s="2">
        <v>46130.246770833335</v>
      </c>
      <c r="C5086" s="2">
        <v>46130.286296296297</v>
      </c>
      <c r="D5086" t="s">
        <v>985</v>
      </c>
      <c r="E5086" t="s">
        <v>6670</v>
      </c>
      <c r="F5086" t="s">
        <v>6671</v>
      </c>
      <c r="G5086" t="s">
        <v>1325</v>
      </c>
      <c r="H5086" t="s">
        <v>1020</v>
      </c>
      <c r="I5086">
        <v>162673000</v>
      </c>
      <c r="J5086" t="s">
        <v>1021</v>
      </c>
      <c r="K5086">
        <v>136.80000000000001</v>
      </c>
      <c r="L5086">
        <v>1340.99</v>
      </c>
      <c r="M5086">
        <v>0</v>
      </c>
      <c r="O5086" t="s">
        <v>34</v>
      </c>
    </row>
    <row r="5087" spans="1:15">
      <c r="A5087" t="s">
        <v>6755</v>
      </c>
      <c r="B5087" s="2">
        <v>43908.319386574076</v>
      </c>
      <c r="C5087" s="2">
        <v>43908.341215277775</v>
      </c>
      <c r="D5087" t="s">
        <v>976</v>
      </c>
      <c r="E5087" t="s">
        <v>6587</v>
      </c>
      <c r="F5087" t="s">
        <v>6588</v>
      </c>
      <c r="G5087" t="s">
        <v>1122</v>
      </c>
      <c r="H5087" t="s">
        <v>1043</v>
      </c>
      <c r="I5087">
        <v>185349003</v>
      </c>
      <c r="J5087" t="s">
        <v>1038</v>
      </c>
      <c r="K5087">
        <v>85.55</v>
      </c>
      <c r="L5087">
        <v>1678.07</v>
      </c>
      <c r="M5087">
        <v>1342.44</v>
      </c>
      <c r="O5087" t="s">
        <v>34</v>
      </c>
    </row>
    <row r="5088" spans="1:15">
      <c r="A5088" t="s">
        <v>6756</v>
      </c>
      <c r="B5088" s="2">
        <v>43922.319386574076</v>
      </c>
      <c r="C5088" s="2">
        <v>43922.456597222219</v>
      </c>
      <c r="D5088" t="s">
        <v>976</v>
      </c>
      <c r="E5088" t="s">
        <v>6587</v>
      </c>
      <c r="F5088" t="s">
        <v>6588</v>
      </c>
      <c r="G5088" t="s">
        <v>1122</v>
      </c>
      <c r="H5088" t="s">
        <v>1031</v>
      </c>
      <c r="I5088">
        <v>185349003</v>
      </c>
      <c r="J5088" t="s">
        <v>1038</v>
      </c>
      <c r="K5088">
        <v>85.55</v>
      </c>
      <c r="L5088">
        <v>3105.35</v>
      </c>
      <c r="M5088">
        <v>2484.2800000000002</v>
      </c>
      <c r="N5088">
        <v>66383009</v>
      </c>
      <c r="O5088" t="s">
        <v>1209</v>
      </c>
    </row>
    <row r="5089" spans="1:15">
      <c r="A5089" t="s">
        <v>6757</v>
      </c>
      <c r="B5089" s="2">
        <v>43936.319386574076</v>
      </c>
      <c r="C5089" s="2">
        <v>43936.349733796298</v>
      </c>
      <c r="D5089" t="s">
        <v>976</v>
      </c>
      <c r="E5089" t="s">
        <v>6590</v>
      </c>
      <c r="F5089" t="s">
        <v>6591</v>
      </c>
      <c r="G5089" t="s">
        <v>1122</v>
      </c>
      <c r="H5089" t="s">
        <v>1020</v>
      </c>
      <c r="I5089">
        <v>162673000</v>
      </c>
      <c r="J5089" t="s">
        <v>1021</v>
      </c>
      <c r="K5089">
        <v>136.80000000000001</v>
      </c>
      <c r="L5089">
        <v>1865.32</v>
      </c>
      <c r="M5089">
        <v>1492.24</v>
      </c>
      <c r="O5089" t="s">
        <v>34</v>
      </c>
    </row>
    <row r="5090" spans="1:15">
      <c r="A5090" t="s">
        <v>6758</v>
      </c>
      <c r="B5090" s="2">
        <v>43943.319386574076</v>
      </c>
      <c r="C5090" s="2">
        <v>43943.32980324074</v>
      </c>
      <c r="D5090" t="s">
        <v>976</v>
      </c>
      <c r="E5090" t="s">
        <v>6587</v>
      </c>
      <c r="F5090" t="s">
        <v>6588</v>
      </c>
      <c r="G5090" t="s">
        <v>1122</v>
      </c>
      <c r="H5090" t="s">
        <v>1043</v>
      </c>
      <c r="I5090">
        <v>185349003</v>
      </c>
      <c r="J5090" t="s">
        <v>1038</v>
      </c>
      <c r="K5090">
        <v>85.55</v>
      </c>
      <c r="L5090">
        <v>234.71</v>
      </c>
      <c r="M5090">
        <v>187.76</v>
      </c>
      <c r="O5090" t="s">
        <v>34</v>
      </c>
    </row>
    <row r="5091" spans="1:15">
      <c r="A5091" t="s">
        <v>6759</v>
      </c>
      <c r="B5091" s="2">
        <v>43950.319386574076</v>
      </c>
      <c r="C5091" s="2">
        <v>43950.456238425926</v>
      </c>
      <c r="D5091" t="s">
        <v>976</v>
      </c>
      <c r="E5091" t="s">
        <v>6587</v>
      </c>
      <c r="F5091" t="s">
        <v>6588</v>
      </c>
      <c r="G5091" t="s">
        <v>1122</v>
      </c>
      <c r="H5091" t="s">
        <v>1031</v>
      </c>
      <c r="I5091">
        <v>185349003</v>
      </c>
      <c r="J5091" t="s">
        <v>1038</v>
      </c>
      <c r="K5091">
        <v>85.55</v>
      </c>
      <c r="L5091">
        <v>2673.95</v>
      </c>
      <c r="M5091">
        <v>2139.16</v>
      </c>
      <c r="N5091">
        <v>103697008</v>
      </c>
      <c r="O5091" t="s">
        <v>1039</v>
      </c>
    </row>
    <row r="5092" spans="1:15">
      <c r="A5092" t="s">
        <v>6760</v>
      </c>
      <c r="B5092" s="2">
        <v>43964.319386574076</v>
      </c>
      <c r="C5092" s="2">
        <v>43964.344201388885</v>
      </c>
      <c r="D5092" t="s">
        <v>976</v>
      </c>
      <c r="E5092" t="s">
        <v>6587</v>
      </c>
      <c r="F5092" t="s">
        <v>6588</v>
      </c>
      <c r="G5092" t="s">
        <v>1122</v>
      </c>
      <c r="H5092" t="s">
        <v>1043</v>
      </c>
      <c r="I5092">
        <v>185349003</v>
      </c>
      <c r="J5092" t="s">
        <v>1038</v>
      </c>
      <c r="K5092">
        <v>85.55</v>
      </c>
      <c r="L5092">
        <v>815.27</v>
      </c>
      <c r="M5092">
        <v>652.20000000000005</v>
      </c>
      <c r="O5092" t="s">
        <v>34</v>
      </c>
    </row>
    <row r="5093" spans="1:15">
      <c r="A5093" t="s">
        <v>6761</v>
      </c>
      <c r="B5093" s="2">
        <v>43979.319386574076</v>
      </c>
      <c r="C5093" s="2">
        <v>43979.32980324074</v>
      </c>
      <c r="D5093" t="s">
        <v>976</v>
      </c>
      <c r="E5093" t="s">
        <v>6587</v>
      </c>
      <c r="F5093" t="s">
        <v>6588</v>
      </c>
      <c r="G5093" t="s">
        <v>1122</v>
      </c>
      <c r="H5093" t="s">
        <v>1031</v>
      </c>
      <c r="I5093">
        <v>390906007</v>
      </c>
      <c r="J5093" t="s">
        <v>1255</v>
      </c>
      <c r="K5093">
        <v>85.55</v>
      </c>
      <c r="L5093">
        <v>234.71</v>
      </c>
      <c r="M5093">
        <v>187.76</v>
      </c>
      <c r="N5093">
        <v>55822004</v>
      </c>
      <c r="O5093" t="s">
        <v>2010</v>
      </c>
    </row>
    <row r="5094" spans="1:15">
      <c r="A5094" t="s">
        <v>6762</v>
      </c>
      <c r="B5094" s="2">
        <v>43999.319386574076</v>
      </c>
      <c r="C5094" s="2">
        <v>43999.358275462961</v>
      </c>
      <c r="D5094" t="s">
        <v>976</v>
      </c>
      <c r="E5094" t="s">
        <v>6587</v>
      </c>
      <c r="F5094" t="s">
        <v>6588</v>
      </c>
      <c r="G5094" t="s">
        <v>1122</v>
      </c>
      <c r="H5094" t="s">
        <v>1043</v>
      </c>
      <c r="I5094">
        <v>185349003</v>
      </c>
      <c r="J5094" t="s">
        <v>1038</v>
      </c>
      <c r="K5094">
        <v>85.55</v>
      </c>
      <c r="L5094">
        <v>1678.07</v>
      </c>
      <c r="M5094">
        <v>1342.44</v>
      </c>
      <c r="O5094" t="s">
        <v>34</v>
      </c>
    </row>
    <row r="5095" spans="1:15">
      <c r="A5095" t="s">
        <v>6763</v>
      </c>
      <c r="B5095" s="2">
        <v>44013.319386574076</v>
      </c>
      <c r="C5095" s="2">
        <v>44013.447106481479</v>
      </c>
      <c r="D5095" t="s">
        <v>976</v>
      </c>
      <c r="E5095" t="s">
        <v>6587</v>
      </c>
      <c r="F5095" t="s">
        <v>6588</v>
      </c>
      <c r="G5095" t="s">
        <v>1122</v>
      </c>
      <c r="H5095" t="s">
        <v>1031</v>
      </c>
      <c r="I5095">
        <v>185349003</v>
      </c>
      <c r="J5095" t="s">
        <v>1038</v>
      </c>
      <c r="K5095">
        <v>85.55</v>
      </c>
      <c r="L5095">
        <v>3105.35</v>
      </c>
      <c r="M5095">
        <v>2484.2800000000002</v>
      </c>
      <c r="N5095">
        <v>103697008</v>
      </c>
      <c r="O5095" t="s">
        <v>1039</v>
      </c>
    </row>
    <row r="5096" spans="1:15">
      <c r="A5096" t="s">
        <v>6764</v>
      </c>
      <c r="B5096" s="2">
        <v>44027.319386574076</v>
      </c>
      <c r="C5096" s="2">
        <v>44027.347314814811</v>
      </c>
      <c r="D5096" t="s">
        <v>976</v>
      </c>
      <c r="E5096" t="s">
        <v>6587</v>
      </c>
      <c r="F5096" t="s">
        <v>6588</v>
      </c>
      <c r="G5096" t="s">
        <v>1122</v>
      </c>
      <c r="H5096" t="s">
        <v>1043</v>
      </c>
      <c r="I5096">
        <v>185349003</v>
      </c>
      <c r="J5096" t="s">
        <v>1038</v>
      </c>
      <c r="K5096">
        <v>85.55</v>
      </c>
      <c r="L5096">
        <v>1030.97</v>
      </c>
      <c r="M5096">
        <v>824.76</v>
      </c>
      <c r="O5096" t="s">
        <v>34</v>
      </c>
    </row>
    <row r="5097" spans="1:15">
      <c r="A5097" t="s">
        <v>6765</v>
      </c>
      <c r="B5097" s="2">
        <v>44041.319386574076</v>
      </c>
      <c r="C5097" s="2">
        <v>44041.57435185185</v>
      </c>
      <c r="D5097" t="s">
        <v>976</v>
      </c>
      <c r="E5097" t="s">
        <v>6587</v>
      </c>
      <c r="F5097" t="s">
        <v>6588</v>
      </c>
      <c r="G5097" t="s">
        <v>1122</v>
      </c>
      <c r="H5097" t="s">
        <v>1031</v>
      </c>
      <c r="I5097">
        <v>185349003</v>
      </c>
      <c r="J5097" t="s">
        <v>1038</v>
      </c>
      <c r="K5097">
        <v>85.55</v>
      </c>
      <c r="L5097">
        <v>4399.55</v>
      </c>
      <c r="M5097">
        <v>3519.64</v>
      </c>
      <c r="N5097">
        <v>66383009</v>
      </c>
      <c r="O5097" t="s">
        <v>1209</v>
      </c>
    </row>
    <row r="5098" spans="1:15">
      <c r="A5098" t="s">
        <v>6766</v>
      </c>
      <c r="B5098" s="2">
        <v>44043.455752314818</v>
      </c>
      <c r="C5098" s="2">
        <v>44043.486307870371</v>
      </c>
      <c r="D5098" t="s">
        <v>976</v>
      </c>
      <c r="E5098" t="s">
        <v>6587</v>
      </c>
      <c r="F5098" t="s">
        <v>6588</v>
      </c>
      <c r="G5098" t="s">
        <v>1122</v>
      </c>
      <c r="H5098" t="s">
        <v>1031</v>
      </c>
      <c r="I5098">
        <v>36228007</v>
      </c>
      <c r="J5098" t="s">
        <v>1705</v>
      </c>
      <c r="K5098">
        <v>142.58000000000001</v>
      </c>
      <c r="L5098">
        <v>2730.98</v>
      </c>
      <c r="M5098">
        <v>2184.7800000000002</v>
      </c>
      <c r="O5098" t="s">
        <v>34</v>
      </c>
    </row>
    <row r="5099" spans="1:15">
      <c r="A5099" t="s">
        <v>6767</v>
      </c>
      <c r="B5099" s="2">
        <v>44083.319386574076</v>
      </c>
      <c r="C5099" s="2">
        <v>44083.352777777778</v>
      </c>
      <c r="D5099" t="s">
        <v>976</v>
      </c>
      <c r="E5099" t="s">
        <v>3753</v>
      </c>
      <c r="F5099" t="s">
        <v>3754</v>
      </c>
      <c r="G5099" t="s">
        <v>1122</v>
      </c>
      <c r="H5099" t="s">
        <v>1159</v>
      </c>
      <c r="I5099">
        <v>702927004</v>
      </c>
      <c r="J5099" t="s">
        <v>1160</v>
      </c>
      <c r="K5099">
        <v>142.58000000000001</v>
      </c>
      <c r="L5099">
        <v>1181.29</v>
      </c>
      <c r="M5099">
        <v>945.01</v>
      </c>
      <c r="O5099" t="s">
        <v>34</v>
      </c>
    </row>
    <row r="5100" spans="1:15">
      <c r="A5100" t="s">
        <v>6768</v>
      </c>
      <c r="B5100" s="2">
        <v>44090.319386574076</v>
      </c>
      <c r="C5100" s="2">
        <v>44090.32980324074</v>
      </c>
      <c r="D5100" t="s">
        <v>976</v>
      </c>
      <c r="E5100" t="s">
        <v>3753</v>
      </c>
      <c r="F5100" t="s">
        <v>3754</v>
      </c>
      <c r="G5100" t="s">
        <v>1122</v>
      </c>
      <c r="H5100" t="s">
        <v>1159</v>
      </c>
      <c r="I5100">
        <v>702927004</v>
      </c>
      <c r="J5100" t="s">
        <v>1160</v>
      </c>
      <c r="K5100">
        <v>142.58000000000001</v>
      </c>
      <c r="L5100">
        <v>507.44</v>
      </c>
      <c r="M5100">
        <v>405.94</v>
      </c>
      <c r="O5100" t="s">
        <v>34</v>
      </c>
    </row>
    <row r="5101" spans="1:15">
      <c r="A5101" t="s">
        <v>6769</v>
      </c>
      <c r="B5101" s="2">
        <v>44097.319386574076</v>
      </c>
      <c r="C5101" s="2">
        <v>44097.346782407411</v>
      </c>
      <c r="D5101" t="s">
        <v>976</v>
      </c>
      <c r="E5101" t="s">
        <v>6587</v>
      </c>
      <c r="F5101" t="s">
        <v>6588</v>
      </c>
      <c r="G5101" t="s">
        <v>1122</v>
      </c>
      <c r="H5101" t="s">
        <v>1043</v>
      </c>
      <c r="I5101">
        <v>185349003</v>
      </c>
      <c r="J5101" t="s">
        <v>1038</v>
      </c>
      <c r="K5101">
        <v>85.55</v>
      </c>
      <c r="L5101">
        <v>815.27</v>
      </c>
      <c r="M5101">
        <v>652.20000000000005</v>
      </c>
      <c r="O5101" t="s">
        <v>34</v>
      </c>
    </row>
    <row r="5102" spans="1:15">
      <c r="A5102" t="s">
        <v>6770</v>
      </c>
      <c r="B5102" s="2">
        <v>44104.319386574076</v>
      </c>
      <c r="C5102" s="2">
        <v>44104.414872685185</v>
      </c>
      <c r="D5102" t="s">
        <v>976</v>
      </c>
      <c r="E5102" t="s">
        <v>6587</v>
      </c>
      <c r="F5102" t="s">
        <v>6588</v>
      </c>
      <c r="G5102" t="s">
        <v>1122</v>
      </c>
      <c r="H5102" t="s">
        <v>1031</v>
      </c>
      <c r="I5102">
        <v>185349003</v>
      </c>
      <c r="J5102" t="s">
        <v>1038</v>
      </c>
      <c r="K5102">
        <v>85.55</v>
      </c>
      <c r="L5102">
        <v>3105.35</v>
      </c>
      <c r="M5102">
        <v>2484.2800000000002</v>
      </c>
      <c r="N5102">
        <v>103697008</v>
      </c>
      <c r="O5102" t="s">
        <v>1039</v>
      </c>
    </row>
    <row r="5103" spans="1:15">
      <c r="A5103" t="s">
        <v>6771</v>
      </c>
      <c r="B5103" s="2">
        <v>44111.319386574076</v>
      </c>
      <c r="C5103" s="2">
        <v>44111.32980324074</v>
      </c>
      <c r="D5103" t="s">
        <v>976</v>
      </c>
      <c r="E5103" t="s">
        <v>6587</v>
      </c>
      <c r="F5103" t="s">
        <v>6588</v>
      </c>
      <c r="G5103" t="s">
        <v>1122</v>
      </c>
      <c r="H5103" t="s">
        <v>1031</v>
      </c>
      <c r="I5103">
        <v>185345009</v>
      </c>
      <c r="J5103" t="s">
        <v>1032</v>
      </c>
      <c r="K5103">
        <v>85.55</v>
      </c>
      <c r="L5103">
        <v>85.55</v>
      </c>
      <c r="M5103">
        <v>68.44</v>
      </c>
      <c r="N5103">
        <v>444814009</v>
      </c>
      <c r="O5103" t="s">
        <v>1035</v>
      </c>
    </row>
    <row r="5104" spans="1:15">
      <c r="A5104" t="s">
        <v>6772</v>
      </c>
      <c r="B5104" s="2">
        <v>44118.319386574076</v>
      </c>
      <c r="C5104" s="2">
        <v>44118.36105324074</v>
      </c>
      <c r="D5104" t="s">
        <v>976</v>
      </c>
      <c r="E5104" t="s">
        <v>6621</v>
      </c>
      <c r="F5104" t="s">
        <v>6622</v>
      </c>
      <c r="G5104" t="s">
        <v>1122</v>
      </c>
      <c r="H5104" t="s">
        <v>1076</v>
      </c>
      <c r="I5104">
        <v>50849002</v>
      </c>
      <c r="J5104" t="s">
        <v>1163</v>
      </c>
      <c r="K5104">
        <v>146.18</v>
      </c>
      <c r="L5104">
        <v>875.9</v>
      </c>
      <c r="M5104">
        <v>700.7</v>
      </c>
      <c r="O5104" t="s">
        <v>34</v>
      </c>
    </row>
    <row r="5105" spans="1:15">
      <c r="A5105" t="s">
        <v>6773</v>
      </c>
      <c r="B5105" s="2">
        <v>44125.319386574076</v>
      </c>
      <c r="C5105" s="2">
        <v>44125.32980324074</v>
      </c>
      <c r="D5105" t="s">
        <v>976</v>
      </c>
      <c r="E5105" t="s">
        <v>3753</v>
      </c>
      <c r="F5105" t="s">
        <v>3754</v>
      </c>
      <c r="G5105" t="s">
        <v>1122</v>
      </c>
      <c r="H5105" t="s">
        <v>1159</v>
      </c>
      <c r="I5105">
        <v>702927004</v>
      </c>
      <c r="J5105" t="s">
        <v>1160</v>
      </c>
      <c r="K5105">
        <v>142.58000000000001</v>
      </c>
      <c r="L5105">
        <v>507.44</v>
      </c>
      <c r="M5105">
        <v>405.94</v>
      </c>
      <c r="O5105" t="s">
        <v>34</v>
      </c>
    </row>
    <row r="5106" spans="1:15">
      <c r="A5106" t="s">
        <v>6774</v>
      </c>
      <c r="B5106" s="2">
        <v>44132.319386574076</v>
      </c>
      <c r="C5106" s="2">
        <v>44132.345810185187</v>
      </c>
      <c r="D5106" t="s">
        <v>976</v>
      </c>
      <c r="E5106" t="s">
        <v>6587</v>
      </c>
      <c r="F5106" t="s">
        <v>6588</v>
      </c>
      <c r="G5106" t="s">
        <v>1122</v>
      </c>
      <c r="H5106" t="s">
        <v>1043</v>
      </c>
      <c r="I5106">
        <v>185349003</v>
      </c>
      <c r="J5106" t="s">
        <v>1038</v>
      </c>
      <c r="K5106">
        <v>85.55</v>
      </c>
      <c r="L5106">
        <v>815.27</v>
      </c>
      <c r="M5106">
        <v>652.20000000000005</v>
      </c>
      <c r="O5106" t="s">
        <v>34</v>
      </c>
    </row>
    <row r="5107" spans="1:15">
      <c r="A5107" t="s">
        <v>6775</v>
      </c>
      <c r="B5107" s="2">
        <v>44146.277719907404</v>
      </c>
      <c r="C5107" s="2">
        <v>44146.394490740742</v>
      </c>
      <c r="D5107" t="s">
        <v>976</v>
      </c>
      <c r="E5107" t="s">
        <v>6587</v>
      </c>
      <c r="F5107" t="s">
        <v>6588</v>
      </c>
      <c r="G5107" t="s">
        <v>1122</v>
      </c>
      <c r="H5107" t="s">
        <v>1031</v>
      </c>
      <c r="I5107">
        <v>185349003</v>
      </c>
      <c r="J5107" t="s">
        <v>1038</v>
      </c>
      <c r="K5107">
        <v>85.55</v>
      </c>
      <c r="L5107">
        <v>3105.35</v>
      </c>
      <c r="M5107">
        <v>2484.2800000000002</v>
      </c>
      <c r="N5107">
        <v>103697008</v>
      </c>
      <c r="O5107" t="s">
        <v>1039</v>
      </c>
    </row>
    <row r="5108" spans="1:15">
      <c r="A5108" t="s">
        <v>6776</v>
      </c>
      <c r="B5108" s="2">
        <v>44209.277719907404</v>
      </c>
      <c r="C5108" s="2">
        <v>44209.298831018517</v>
      </c>
      <c r="D5108" t="s">
        <v>976</v>
      </c>
      <c r="E5108" t="s">
        <v>3753</v>
      </c>
      <c r="F5108" t="s">
        <v>3754</v>
      </c>
      <c r="G5108" t="s">
        <v>1122</v>
      </c>
      <c r="H5108" t="s">
        <v>1159</v>
      </c>
      <c r="I5108">
        <v>702927004</v>
      </c>
      <c r="J5108" t="s">
        <v>1160</v>
      </c>
      <c r="K5108">
        <v>142.58000000000001</v>
      </c>
      <c r="L5108">
        <v>1088</v>
      </c>
      <c r="M5108">
        <v>870.38</v>
      </c>
      <c r="O5108" t="s">
        <v>34</v>
      </c>
    </row>
    <row r="5109" spans="1:15">
      <c r="A5109" t="s">
        <v>6777</v>
      </c>
      <c r="B5109" s="2">
        <v>44237.277719907404</v>
      </c>
      <c r="C5109" s="2">
        <v>44237.303506944445</v>
      </c>
      <c r="D5109" t="s">
        <v>976</v>
      </c>
      <c r="E5109" t="s">
        <v>6587</v>
      </c>
      <c r="F5109" t="s">
        <v>6588</v>
      </c>
      <c r="G5109" t="s">
        <v>1122</v>
      </c>
      <c r="H5109" t="s">
        <v>1043</v>
      </c>
      <c r="I5109">
        <v>185349003</v>
      </c>
      <c r="J5109" t="s">
        <v>1038</v>
      </c>
      <c r="K5109">
        <v>85.55</v>
      </c>
      <c r="L5109">
        <v>889.85</v>
      </c>
      <c r="M5109">
        <v>711.86</v>
      </c>
      <c r="O5109" t="s">
        <v>34</v>
      </c>
    </row>
    <row r="5110" spans="1:15">
      <c r="A5110" t="s">
        <v>6778</v>
      </c>
      <c r="B5110" s="2">
        <v>44244.277719907404</v>
      </c>
      <c r="C5110" s="2">
        <v>44244.288136574076</v>
      </c>
      <c r="D5110" t="s">
        <v>976</v>
      </c>
      <c r="E5110" t="s">
        <v>6587</v>
      </c>
      <c r="F5110" t="s">
        <v>6588</v>
      </c>
      <c r="G5110" t="s">
        <v>1122</v>
      </c>
      <c r="H5110" t="s">
        <v>1043</v>
      </c>
      <c r="I5110">
        <v>33879002</v>
      </c>
      <c r="J5110" t="s">
        <v>1044</v>
      </c>
      <c r="K5110">
        <v>142.58000000000001</v>
      </c>
      <c r="L5110">
        <v>278.58</v>
      </c>
      <c r="M5110">
        <v>222.86</v>
      </c>
      <c r="O5110" t="s">
        <v>34</v>
      </c>
    </row>
    <row r="5111" spans="1:15">
      <c r="A5111" t="s">
        <v>6779</v>
      </c>
      <c r="B5111" s="2">
        <v>44272.319386574076</v>
      </c>
      <c r="C5111" s="2">
        <v>44272.32980324074</v>
      </c>
      <c r="D5111" t="s">
        <v>976</v>
      </c>
      <c r="E5111" t="s">
        <v>6587</v>
      </c>
      <c r="F5111" t="s">
        <v>6588</v>
      </c>
      <c r="G5111" t="s">
        <v>1122</v>
      </c>
      <c r="H5111" t="s">
        <v>1043</v>
      </c>
      <c r="I5111">
        <v>33879002</v>
      </c>
      <c r="J5111" t="s">
        <v>1044</v>
      </c>
      <c r="K5111">
        <v>142.58000000000001</v>
      </c>
      <c r="L5111">
        <v>278.58</v>
      </c>
      <c r="M5111">
        <v>222.86</v>
      </c>
      <c r="O5111" t="s">
        <v>34</v>
      </c>
    </row>
    <row r="5112" spans="1:15">
      <c r="A5112" t="s">
        <v>6780</v>
      </c>
      <c r="B5112" s="2">
        <v>44293.319386574076</v>
      </c>
      <c r="C5112" s="2">
        <v>44293.35019675926</v>
      </c>
      <c r="D5112" t="s">
        <v>976</v>
      </c>
      <c r="E5112" t="s">
        <v>3753</v>
      </c>
      <c r="F5112" t="s">
        <v>3754</v>
      </c>
      <c r="G5112" t="s">
        <v>1122</v>
      </c>
      <c r="H5112" t="s">
        <v>1159</v>
      </c>
      <c r="I5112">
        <v>702927004</v>
      </c>
      <c r="J5112" t="s">
        <v>1160</v>
      </c>
      <c r="K5112">
        <v>142.58000000000001</v>
      </c>
      <c r="L5112">
        <v>1145.6099999999999</v>
      </c>
      <c r="M5112">
        <v>916.47</v>
      </c>
      <c r="O5112" t="s">
        <v>34</v>
      </c>
    </row>
    <row r="5113" spans="1:15">
      <c r="A5113" t="s">
        <v>6781</v>
      </c>
      <c r="B5113" s="2">
        <v>44307.319386574076</v>
      </c>
      <c r="C5113" s="2">
        <v>44307.358182870368</v>
      </c>
      <c r="D5113" t="s">
        <v>976</v>
      </c>
      <c r="E5113" t="s">
        <v>6590</v>
      </c>
      <c r="F5113" t="s">
        <v>6591</v>
      </c>
      <c r="G5113" t="s">
        <v>1122</v>
      </c>
      <c r="H5113" t="s">
        <v>1020</v>
      </c>
      <c r="I5113">
        <v>162673000</v>
      </c>
      <c r="J5113" t="s">
        <v>1021</v>
      </c>
      <c r="K5113">
        <v>136.80000000000001</v>
      </c>
      <c r="L5113">
        <v>1002.52</v>
      </c>
      <c r="M5113">
        <v>802</v>
      </c>
      <c r="O5113" t="s">
        <v>34</v>
      </c>
    </row>
    <row r="5114" spans="1:15">
      <c r="A5114" t="s">
        <v>6782</v>
      </c>
      <c r="B5114" s="2">
        <v>44321.319386574076</v>
      </c>
      <c r="C5114" s="2">
        <v>44321.457314814812</v>
      </c>
      <c r="D5114" t="s">
        <v>976</v>
      </c>
      <c r="E5114" t="s">
        <v>6587</v>
      </c>
      <c r="F5114" t="s">
        <v>6588</v>
      </c>
      <c r="G5114" t="s">
        <v>1122</v>
      </c>
      <c r="H5114" t="s">
        <v>1031</v>
      </c>
      <c r="I5114">
        <v>185349003</v>
      </c>
      <c r="J5114" t="s">
        <v>1038</v>
      </c>
      <c r="K5114">
        <v>85.55</v>
      </c>
      <c r="L5114">
        <v>3536.75</v>
      </c>
      <c r="M5114">
        <v>2829.4</v>
      </c>
      <c r="N5114">
        <v>66383009</v>
      </c>
      <c r="O5114" t="s">
        <v>1209</v>
      </c>
    </row>
    <row r="5115" spans="1:15">
      <c r="A5115" t="s">
        <v>6783</v>
      </c>
      <c r="B5115" s="2">
        <v>44344.319386574076</v>
      </c>
      <c r="C5115" s="2">
        <v>44344.32980324074</v>
      </c>
      <c r="D5115" t="s">
        <v>976</v>
      </c>
      <c r="E5115" t="s">
        <v>6587</v>
      </c>
      <c r="F5115" t="s">
        <v>6588</v>
      </c>
      <c r="G5115" t="s">
        <v>1122</v>
      </c>
      <c r="H5115" t="s">
        <v>1031</v>
      </c>
      <c r="I5115">
        <v>390906007</v>
      </c>
      <c r="J5115" t="s">
        <v>1255</v>
      </c>
      <c r="K5115">
        <v>85.55</v>
      </c>
      <c r="L5115">
        <v>234.71</v>
      </c>
      <c r="M5115">
        <v>187.76</v>
      </c>
      <c r="N5115">
        <v>55822004</v>
      </c>
      <c r="O5115" t="s">
        <v>2010</v>
      </c>
    </row>
    <row r="5116" spans="1:15">
      <c r="A5116" t="s">
        <v>6784</v>
      </c>
      <c r="B5116" s="2">
        <v>44356.319386574076</v>
      </c>
      <c r="C5116" s="2">
        <v>44356.357199074075</v>
      </c>
      <c r="D5116" t="s">
        <v>976</v>
      </c>
      <c r="E5116" t="s">
        <v>6587</v>
      </c>
      <c r="F5116" t="s">
        <v>6588</v>
      </c>
      <c r="G5116" t="s">
        <v>1122</v>
      </c>
      <c r="H5116" t="s">
        <v>1043</v>
      </c>
      <c r="I5116">
        <v>185349003</v>
      </c>
      <c r="J5116" t="s">
        <v>1038</v>
      </c>
      <c r="K5116">
        <v>85.55</v>
      </c>
      <c r="L5116">
        <v>815.27</v>
      </c>
      <c r="M5116">
        <v>652.20000000000005</v>
      </c>
      <c r="O5116" t="s">
        <v>34</v>
      </c>
    </row>
    <row r="5117" spans="1:15">
      <c r="A5117" t="s">
        <v>6785</v>
      </c>
      <c r="B5117" s="2">
        <v>44370.319386574076</v>
      </c>
      <c r="C5117" s="2">
        <v>44370.591435185182</v>
      </c>
      <c r="D5117" t="s">
        <v>976</v>
      </c>
      <c r="E5117" t="s">
        <v>6587</v>
      </c>
      <c r="F5117" t="s">
        <v>6588</v>
      </c>
      <c r="G5117" t="s">
        <v>1122</v>
      </c>
      <c r="H5117" t="s">
        <v>1031</v>
      </c>
      <c r="I5117">
        <v>185349003</v>
      </c>
      <c r="J5117" t="s">
        <v>1038</v>
      </c>
      <c r="K5117">
        <v>85.55</v>
      </c>
      <c r="L5117">
        <v>4830.95</v>
      </c>
      <c r="M5117">
        <v>3864.76</v>
      </c>
      <c r="N5117">
        <v>66383009</v>
      </c>
      <c r="O5117" t="s">
        <v>1209</v>
      </c>
    </row>
    <row r="5118" spans="1:15">
      <c r="A5118" t="s">
        <v>6786</v>
      </c>
      <c r="B5118" s="2">
        <v>44373.467615740738</v>
      </c>
      <c r="C5118" s="2">
        <v>44373.498171296298</v>
      </c>
      <c r="D5118" t="s">
        <v>976</v>
      </c>
      <c r="E5118" t="s">
        <v>6587</v>
      </c>
      <c r="F5118" t="s">
        <v>6588</v>
      </c>
      <c r="G5118" t="s">
        <v>1122</v>
      </c>
      <c r="H5118" t="s">
        <v>1031</v>
      </c>
      <c r="I5118">
        <v>36228007</v>
      </c>
      <c r="J5118" t="s">
        <v>1705</v>
      </c>
      <c r="K5118">
        <v>142.58000000000001</v>
      </c>
      <c r="L5118">
        <v>2730.98</v>
      </c>
      <c r="M5118">
        <v>2184.7800000000002</v>
      </c>
      <c r="O5118" t="s">
        <v>34</v>
      </c>
    </row>
    <row r="5119" spans="1:15">
      <c r="A5119" t="s">
        <v>6787</v>
      </c>
      <c r="B5119" s="2">
        <v>44384.319386574076</v>
      </c>
      <c r="C5119" s="2">
        <v>44384.35701388889</v>
      </c>
      <c r="D5119" t="s">
        <v>976</v>
      </c>
      <c r="E5119" t="s">
        <v>3753</v>
      </c>
      <c r="F5119" t="s">
        <v>3754</v>
      </c>
      <c r="G5119" t="s">
        <v>1122</v>
      </c>
      <c r="H5119" t="s">
        <v>1159</v>
      </c>
      <c r="I5119">
        <v>702927004</v>
      </c>
      <c r="J5119" t="s">
        <v>1160</v>
      </c>
      <c r="K5119">
        <v>142.58000000000001</v>
      </c>
      <c r="L5119">
        <v>872.3</v>
      </c>
      <c r="M5119">
        <v>697.82</v>
      </c>
      <c r="O5119" t="s">
        <v>34</v>
      </c>
    </row>
    <row r="5120" spans="1:15">
      <c r="A5120" t="s">
        <v>6788</v>
      </c>
      <c r="B5120" s="2">
        <v>44391.319386574076</v>
      </c>
      <c r="C5120" s="2">
        <v>44391.32980324074</v>
      </c>
      <c r="D5120" t="s">
        <v>976</v>
      </c>
      <c r="E5120" t="s">
        <v>6587</v>
      </c>
      <c r="F5120" t="s">
        <v>6588</v>
      </c>
      <c r="G5120" t="s">
        <v>1122</v>
      </c>
      <c r="H5120" t="s">
        <v>1043</v>
      </c>
      <c r="I5120">
        <v>185349003</v>
      </c>
      <c r="J5120" t="s">
        <v>1038</v>
      </c>
      <c r="K5120">
        <v>85.55</v>
      </c>
      <c r="L5120">
        <v>1097.51</v>
      </c>
      <c r="M5120">
        <v>878</v>
      </c>
      <c r="O5120" t="s">
        <v>34</v>
      </c>
    </row>
    <row r="5121" spans="1:15">
      <c r="A5121" t="s">
        <v>6789</v>
      </c>
      <c r="B5121" s="2">
        <v>44447.319386574076</v>
      </c>
      <c r="C5121" s="2">
        <v>44447.359016203707</v>
      </c>
      <c r="D5121" t="s">
        <v>976</v>
      </c>
      <c r="E5121" t="s">
        <v>6587</v>
      </c>
      <c r="F5121" t="s">
        <v>6588</v>
      </c>
      <c r="G5121" t="s">
        <v>1122</v>
      </c>
      <c r="H5121" t="s">
        <v>1043</v>
      </c>
      <c r="I5121">
        <v>185349003</v>
      </c>
      <c r="J5121" t="s">
        <v>1038</v>
      </c>
      <c r="K5121">
        <v>85.55</v>
      </c>
      <c r="L5121">
        <v>1030.97</v>
      </c>
      <c r="M5121">
        <v>824.76</v>
      </c>
      <c r="O5121" t="s">
        <v>34</v>
      </c>
    </row>
    <row r="5122" spans="1:15">
      <c r="A5122" t="s">
        <v>6790</v>
      </c>
      <c r="B5122" s="2">
        <v>44475.319386574076</v>
      </c>
      <c r="C5122" s="2">
        <v>44475.355509259258</v>
      </c>
      <c r="D5122" t="s">
        <v>976</v>
      </c>
      <c r="E5122" t="s">
        <v>6587</v>
      </c>
      <c r="F5122" t="s">
        <v>6588</v>
      </c>
      <c r="G5122" t="s">
        <v>1122</v>
      </c>
      <c r="H5122" t="s">
        <v>1043</v>
      </c>
      <c r="I5122">
        <v>185349003</v>
      </c>
      <c r="J5122" t="s">
        <v>1038</v>
      </c>
      <c r="K5122">
        <v>85.55</v>
      </c>
      <c r="L5122">
        <v>815.27</v>
      </c>
      <c r="M5122">
        <v>652.20000000000005</v>
      </c>
      <c r="O5122" t="s">
        <v>34</v>
      </c>
    </row>
    <row r="5123" spans="1:15">
      <c r="A5123" t="s">
        <v>6791</v>
      </c>
      <c r="B5123" s="2">
        <v>44538.277719907404</v>
      </c>
      <c r="C5123" s="2">
        <v>44538.3125462963</v>
      </c>
      <c r="D5123" t="s">
        <v>976</v>
      </c>
      <c r="E5123" t="s">
        <v>3753</v>
      </c>
      <c r="F5123" t="s">
        <v>3754</v>
      </c>
      <c r="G5123" t="s">
        <v>1122</v>
      </c>
      <c r="H5123" t="s">
        <v>1159</v>
      </c>
      <c r="I5123">
        <v>702927004</v>
      </c>
      <c r="J5123" t="s">
        <v>1160</v>
      </c>
      <c r="K5123">
        <v>142.58000000000001</v>
      </c>
      <c r="L5123">
        <v>872.3</v>
      </c>
      <c r="M5123">
        <v>697.82</v>
      </c>
      <c r="O5123" t="s">
        <v>34</v>
      </c>
    </row>
    <row r="5124" spans="1:15">
      <c r="A5124" t="s">
        <v>6792</v>
      </c>
      <c r="B5124" s="2">
        <v>44566.277719907404</v>
      </c>
      <c r="C5124" s="2">
        <v>44566.317685185182</v>
      </c>
      <c r="D5124" t="s">
        <v>976</v>
      </c>
      <c r="E5124" t="s">
        <v>3753</v>
      </c>
      <c r="F5124" t="s">
        <v>3754</v>
      </c>
      <c r="G5124" t="s">
        <v>1122</v>
      </c>
      <c r="H5124" t="s">
        <v>1159</v>
      </c>
      <c r="I5124">
        <v>702927004</v>
      </c>
      <c r="J5124" t="s">
        <v>1160</v>
      </c>
      <c r="K5124">
        <v>142.58000000000001</v>
      </c>
      <c r="L5124">
        <v>1097.53</v>
      </c>
      <c r="M5124">
        <v>878</v>
      </c>
      <c r="O5124" t="s">
        <v>34</v>
      </c>
    </row>
    <row r="5125" spans="1:15">
      <c r="A5125" t="s">
        <v>6793</v>
      </c>
      <c r="B5125" s="2">
        <v>44594.277719907404</v>
      </c>
      <c r="C5125" s="2">
        <v>44594.314074074071</v>
      </c>
      <c r="D5125" t="s">
        <v>976</v>
      </c>
      <c r="E5125" t="s">
        <v>3753</v>
      </c>
      <c r="F5125" t="s">
        <v>3754</v>
      </c>
      <c r="G5125" t="s">
        <v>1122</v>
      </c>
      <c r="H5125" t="s">
        <v>1159</v>
      </c>
      <c r="I5125">
        <v>702927004</v>
      </c>
      <c r="J5125" t="s">
        <v>1160</v>
      </c>
      <c r="K5125">
        <v>142.58000000000001</v>
      </c>
      <c r="L5125">
        <v>872.3</v>
      </c>
      <c r="M5125">
        <v>697.82</v>
      </c>
      <c r="O5125" t="s">
        <v>34</v>
      </c>
    </row>
    <row r="5126" spans="1:15">
      <c r="A5126" t="s">
        <v>6794</v>
      </c>
      <c r="B5126" s="2">
        <v>44629.277719907404</v>
      </c>
      <c r="C5126" s="2">
        <v>44629.303657407407</v>
      </c>
      <c r="D5126" t="s">
        <v>976</v>
      </c>
      <c r="E5126" t="s">
        <v>3753</v>
      </c>
      <c r="F5126" t="s">
        <v>3754</v>
      </c>
      <c r="G5126" t="s">
        <v>1122</v>
      </c>
      <c r="H5126" t="s">
        <v>1159</v>
      </c>
      <c r="I5126">
        <v>702927004</v>
      </c>
      <c r="J5126" t="s">
        <v>1160</v>
      </c>
      <c r="K5126">
        <v>142.58000000000001</v>
      </c>
      <c r="L5126">
        <v>1510.24</v>
      </c>
      <c r="M5126">
        <v>1208.17</v>
      </c>
      <c r="O5126" t="s">
        <v>34</v>
      </c>
    </row>
    <row r="5127" spans="1:15">
      <c r="A5127" t="s">
        <v>6795</v>
      </c>
      <c r="B5127" s="2">
        <v>44657.319386574076</v>
      </c>
      <c r="C5127" s="2">
        <v>44657.354745370372</v>
      </c>
      <c r="D5127" t="s">
        <v>976</v>
      </c>
      <c r="E5127" t="s">
        <v>6587</v>
      </c>
      <c r="F5127" t="s">
        <v>6588</v>
      </c>
      <c r="G5127" t="s">
        <v>1122</v>
      </c>
      <c r="H5127" t="s">
        <v>1043</v>
      </c>
      <c r="I5127">
        <v>185349003</v>
      </c>
      <c r="J5127" t="s">
        <v>1038</v>
      </c>
      <c r="K5127">
        <v>85.55</v>
      </c>
      <c r="L5127">
        <v>815.27</v>
      </c>
      <c r="M5127">
        <v>652.20000000000005</v>
      </c>
      <c r="O5127" t="s">
        <v>34</v>
      </c>
    </row>
    <row r="5128" spans="1:15">
      <c r="A5128" t="s">
        <v>6796</v>
      </c>
      <c r="B5128" s="2">
        <v>44678.319386574076</v>
      </c>
      <c r="C5128" s="2">
        <v>44678.352442129632</v>
      </c>
      <c r="D5128" t="s">
        <v>976</v>
      </c>
      <c r="E5128" t="s">
        <v>6590</v>
      </c>
      <c r="F5128" t="s">
        <v>6591</v>
      </c>
      <c r="G5128" t="s">
        <v>1122</v>
      </c>
      <c r="H5128" t="s">
        <v>1020</v>
      </c>
      <c r="I5128">
        <v>162673000</v>
      </c>
      <c r="J5128" t="s">
        <v>1021</v>
      </c>
      <c r="K5128">
        <v>136.80000000000001</v>
      </c>
      <c r="L5128">
        <v>1002.52</v>
      </c>
      <c r="M5128">
        <v>802</v>
      </c>
      <c r="O5128" t="s">
        <v>34</v>
      </c>
    </row>
    <row r="5129" spans="1:15">
      <c r="A5129" t="s">
        <v>6797</v>
      </c>
      <c r="B5129" s="2">
        <v>44692.319386574076</v>
      </c>
      <c r="C5129" s="2">
        <v>44692.494479166664</v>
      </c>
      <c r="D5129" t="s">
        <v>976</v>
      </c>
      <c r="E5129" t="s">
        <v>6587</v>
      </c>
      <c r="F5129" t="s">
        <v>6588</v>
      </c>
      <c r="G5129" t="s">
        <v>1122</v>
      </c>
      <c r="H5129" t="s">
        <v>1031</v>
      </c>
      <c r="I5129">
        <v>185349003</v>
      </c>
      <c r="J5129" t="s">
        <v>1038</v>
      </c>
      <c r="K5129">
        <v>85.55</v>
      </c>
      <c r="L5129">
        <v>3105.35</v>
      </c>
      <c r="M5129">
        <v>2484.2800000000002</v>
      </c>
      <c r="N5129">
        <v>103697008</v>
      </c>
      <c r="O5129" t="s">
        <v>1039</v>
      </c>
    </row>
    <row r="5130" spans="1:15">
      <c r="A5130" t="s">
        <v>6798</v>
      </c>
      <c r="B5130" s="2">
        <v>44709.319386574076</v>
      </c>
      <c r="C5130" s="2">
        <v>44709.445775462962</v>
      </c>
      <c r="D5130" t="s">
        <v>976</v>
      </c>
      <c r="E5130" t="s">
        <v>6587</v>
      </c>
      <c r="F5130" t="s">
        <v>6588</v>
      </c>
      <c r="G5130" t="s">
        <v>1122</v>
      </c>
      <c r="H5130" t="s">
        <v>1031</v>
      </c>
      <c r="I5130">
        <v>185347001</v>
      </c>
      <c r="J5130" t="s">
        <v>1124</v>
      </c>
      <c r="K5130">
        <v>85.55</v>
      </c>
      <c r="L5130">
        <v>535.87</v>
      </c>
      <c r="M5130">
        <v>428.7</v>
      </c>
      <c r="O5130" t="s">
        <v>34</v>
      </c>
    </row>
    <row r="5131" spans="1:15">
      <c r="A5131" t="s">
        <v>6799</v>
      </c>
      <c r="B5131" s="2">
        <v>44709.445775462962</v>
      </c>
      <c r="C5131" s="2">
        <v>44709.456192129626</v>
      </c>
      <c r="D5131" t="s">
        <v>976</v>
      </c>
      <c r="E5131" t="s">
        <v>6587</v>
      </c>
      <c r="F5131" t="s">
        <v>6588</v>
      </c>
      <c r="G5131" t="s">
        <v>1122</v>
      </c>
      <c r="H5131" t="s">
        <v>1031</v>
      </c>
      <c r="I5131">
        <v>185347001</v>
      </c>
      <c r="J5131" t="s">
        <v>1124</v>
      </c>
      <c r="K5131">
        <v>85.55</v>
      </c>
      <c r="L5131">
        <v>234.71</v>
      </c>
      <c r="M5131">
        <v>187.76</v>
      </c>
      <c r="O5131" t="s">
        <v>34</v>
      </c>
    </row>
    <row r="5132" spans="1:15">
      <c r="A5132" t="s">
        <v>6800</v>
      </c>
      <c r="B5132" s="2">
        <v>44712.445775462962</v>
      </c>
      <c r="C5132" s="2">
        <v>44712.558969907404</v>
      </c>
      <c r="D5132" t="s">
        <v>976</v>
      </c>
      <c r="E5132" t="s">
        <v>6587</v>
      </c>
      <c r="F5132" t="s">
        <v>6588</v>
      </c>
      <c r="G5132" t="s">
        <v>1122</v>
      </c>
      <c r="H5132" t="s">
        <v>1031</v>
      </c>
      <c r="I5132">
        <v>185347001</v>
      </c>
      <c r="J5132" t="s">
        <v>1124</v>
      </c>
      <c r="K5132">
        <v>85.55</v>
      </c>
      <c r="L5132">
        <v>535.87</v>
      </c>
      <c r="M5132">
        <v>428.7</v>
      </c>
      <c r="O5132" t="s">
        <v>34</v>
      </c>
    </row>
    <row r="5133" spans="1:15">
      <c r="A5133" t="s">
        <v>6801</v>
      </c>
      <c r="B5133" s="2">
        <v>44709.319386574076</v>
      </c>
      <c r="C5133" s="2">
        <v>44709.32980324074</v>
      </c>
      <c r="D5133" t="s">
        <v>976</v>
      </c>
      <c r="E5133" t="s">
        <v>6587</v>
      </c>
      <c r="F5133" t="s">
        <v>6588</v>
      </c>
      <c r="G5133" t="s">
        <v>1122</v>
      </c>
      <c r="H5133" t="s">
        <v>1031</v>
      </c>
      <c r="I5133">
        <v>390906007</v>
      </c>
      <c r="J5133" t="s">
        <v>1255</v>
      </c>
      <c r="K5133">
        <v>85.55</v>
      </c>
      <c r="L5133">
        <v>234.71</v>
      </c>
      <c r="M5133">
        <v>187.76</v>
      </c>
      <c r="N5133">
        <v>55822004</v>
      </c>
      <c r="O5133" t="s">
        <v>2010</v>
      </c>
    </row>
    <row r="5134" spans="1:15">
      <c r="A5134" t="s">
        <v>6802</v>
      </c>
      <c r="B5134" s="2">
        <v>44715.558969907404</v>
      </c>
      <c r="C5134" s="2">
        <v>44715.72146990741</v>
      </c>
      <c r="D5134" t="s">
        <v>976</v>
      </c>
      <c r="E5134" t="s">
        <v>6587</v>
      </c>
      <c r="F5134" t="s">
        <v>6588</v>
      </c>
      <c r="G5134" t="s">
        <v>1122</v>
      </c>
      <c r="H5134" t="s">
        <v>1031</v>
      </c>
      <c r="I5134">
        <v>185347001</v>
      </c>
      <c r="J5134" t="s">
        <v>1124</v>
      </c>
      <c r="K5134">
        <v>85.55</v>
      </c>
      <c r="L5134">
        <v>535.87</v>
      </c>
      <c r="M5134">
        <v>428.7</v>
      </c>
      <c r="O5134" t="s">
        <v>34</v>
      </c>
    </row>
    <row r="5135" spans="1:15">
      <c r="A5135" t="s">
        <v>6803</v>
      </c>
      <c r="B5135" s="2">
        <v>44718.72146990741</v>
      </c>
      <c r="C5135" s="2">
        <v>44718.862442129626</v>
      </c>
      <c r="D5135" t="s">
        <v>976</v>
      </c>
      <c r="E5135" t="s">
        <v>6587</v>
      </c>
      <c r="F5135" t="s">
        <v>6588</v>
      </c>
      <c r="G5135" t="s">
        <v>1122</v>
      </c>
      <c r="H5135" t="s">
        <v>1031</v>
      </c>
      <c r="I5135">
        <v>185347001</v>
      </c>
      <c r="J5135" t="s">
        <v>1124</v>
      </c>
      <c r="K5135">
        <v>85.55</v>
      </c>
      <c r="L5135">
        <v>1791.03</v>
      </c>
      <c r="M5135">
        <v>1432.82</v>
      </c>
      <c r="O5135" t="s">
        <v>34</v>
      </c>
    </row>
    <row r="5136" spans="1:15">
      <c r="A5136" t="s">
        <v>6804</v>
      </c>
      <c r="B5136" s="2">
        <v>44721.862442129626</v>
      </c>
      <c r="C5136" s="2">
        <v>44721.987442129626</v>
      </c>
      <c r="D5136" t="s">
        <v>976</v>
      </c>
      <c r="E5136" t="s">
        <v>6587</v>
      </c>
      <c r="F5136" t="s">
        <v>6588</v>
      </c>
      <c r="G5136" t="s">
        <v>1122</v>
      </c>
      <c r="H5136" t="s">
        <v>1031</v>
      </c>
      <c r="I5136">
        <v>185347001</v>
      </c>
      <c r="J5136" t="s">
        <v>1124</v>
      </c>
      <c r="K5136">
        <v>85.55</v>
      </c>
      <c r="L5136">
        <v>578.19000000000005</v>
      </c>
      <c r="M5136">
        <v>462.55</v>
      </c>
      <c r="O5136" t="s">
        <v>34</v>
      </c>
    </row>
    <row r="5137" spans="1:15">
      <c r="A5137" t="s">
        <v>6805</v>
      </c>
      <c r="B5137" s="2">
        <v>44724.987442129626</v>
      </c>
      <c r="C5137" s="2">
        <v>44725.110358796293</v>
      </c>
      <c r="D5137" t="s">
        <v>976</v>
      </c>
      <c r="E5137" t="s">
        <v>6587</v>
      </c>
      <c r="F5137" t="s">
        <v>6588</v>
      </c>
      <c r="G5137" t="s">
        <v>1122</v>
      </c>
      <c r="H5137" t="s">
        <v>1031</v>
      </c>
      <c r="I5137">
        <v>185347001</v>
      </c>
      <c r="J5137" t="s">
        <v>1124</v>
      </c>
      <c r="K5137">
        <v>85.55</v>
      </c>
      <c r="L5137">
        <v>1674.28</v>
      </c>
      <c r="M5137">
        <v>1339.42</v>
      </c>
      <c r="O5137" t="s">
        <v>34</v>
      </c>
    </row>
    <row r="5138" spans="1:15">
      <c r="A5138" t="s">
        <v>6806</v>
      </c>
      <c r="B5138" s="2">
        <v>44733.478993055556</v>
      </c>
      <c r="C5138" s="2">
        <v>44733.509548611109</v>
      </c>
      <c r="D5138" t="s">
        <v>976</v>
      </c>
      <c r="E5138" t="s">
        <v>6587</v>
      </c>
      <c r="F5138" t="s">
        <v>6588</v>
      </c>
      <c r="G5138" t="s">
        <v>1122</v>
      </c>
      <c r="H5138" t="s">
        <v>1031</v>
      </c>
      <c r="I5138">
        <v>36228007</v>
      </c>
      <c r="J5138" t="s">
        <v>1705</v>
      </c>
      <c r="K5138">
        <v>142.58000000000001</v>
      </c>
      <c r="L5138">
        <v>2730.98</v>
      </c>
      <c r="M5138">
        <v>2184.7800000000002</v>
      </c>
      <c r="O5138" t="s">
        <v>34</v>
      </c>
    </row>
    <row r="5139" spans="1:15">
      <c r="A5139" t="s">
        <v>6807</v>
      </c>
      <c r="B5139" s="2">
        <v>44728.110358796293</v>
      </c>
      <c r="C5139" s="2">
        <v>44728.22216435185</v>
      </c>
      <c r="D5139" t="s">
        <v>976</v>
      </c>
      <c r="E5139" t="s">
        <v>6587</v>
      </c>
      <c r="F5139" t="s">
        <v>6588</v>
      </c>
      <c r="G5139" t="s">
        <v>1122</v>
      </c>
      <c r="H5139" t="s">
        <v>1031</v>
      </c>
      <c r="I5139">
        <v>185347001</v>
      </c>
      <c r="J5139" t="s">
        <v>1124</v>
      </c>
      <c r="K5139">
        <v>85.55</v>
      </c>
      <c r="L5139">
        <v>840.11</v>
      </c>
      <c r="M5139">
        <v>672.09</v>
      </c>
      <c r="O5139" t="s">
        <v>34</v>
      </c>
    </row>
    <row r="5140" spans="1:15">
      <c r="A5140" t="s">
        <v>6808</v>
      </c>
      <c r="B5140" s="2">
        <v>44731.22216435185</v>
      </c>
      <c r="C5140" s="2">
        <v>44731.321469907409</v>
      </c>
      <c r="D5140" t="s">
        <v>976</v>
      </c>
      <c r="E5140" t="s">
        <v>6587</v>
      </c>
      <c r="F5140" t="s">
        <v>6588</v>
      </c>
      <c r="G5140" t="s">
        <v>1122</v>
      </c>
      <c r="H5140" t="s">
        <v>1031</v>
      </c>
      <c r="I5140">
        <v>185347001</v>
      </c>
      <c r="J5140" t="s">
        <v>1124</v>
      </c>
      <c r="K5140">
        <v>85.55</v>
      </c>
      <c r="L5140">
        <v>633.9</v>
      </c>
      <c r="M5140">
        <v>507.12</v>
      </c>
      <c r="O5140" t="s">
        <v>34</v>
      </c>
    </row>
    <row r="5141" spans="1:15">
      <c r="A5141" t="s">
        <v>6809</v>
      </c>
      <c r="B5141" s="2">
        <v>44734.321469907409</v>
      </c>
      <c r="C5141" s="2">
        <v>44734.445775462962</v>
      </c>
      <c r="D5141" t="s">
        <v>976</v>
      </c>
      <c r="E5141" t="s">
        <v>6587</v>
      </c>
      <c r="F5141" t="s">
        <v>6588</v>
      </c>
      <c r="G5141" t="s">
        <v>1122</v>
      </c>
      <c r="H5141" t="s">
        <v>1031</v>
      </c>
      <c r="I5141">
        <v>185347001</v>
      </c>
      <c r="J5141" t="s">
        <v>1124</v>
      </c>
      <c r="K5141">
        <v>85.55</v>
      </c>
      <c r="L5141">
        <v>1791.03</v>
      </c>
      <c r="M5141">
        <v>1432.82</v>
      </c>
      <c r="O5141" t="s">
        <v>34</v>
      </c>
    </row>
    <row r="5142" spans="1:15">
      <c r="A5142" t="s">
        <v>6810</v>
      </c>
      <c r="B5142" s="2">
        <v>44737.445775462962</v>
      </c>
      <c r="C5142" s="2">
        <v>44737.552025462966</v>
      </c>
      <c r="D5142" t="s">
        <v>976</v>
      </c>
      <c r="E5142" t="s">
        <v>6587</v>
      </c>
      <c r="F5142" t="s">
        <v>6588</v>
      </c>
      <c r="G5142" t="s">
        <v>1122</v>
      </c>
      <c r="H5142" t="s">
        <v>1031</v>
      </c>
      <c r="I5142">
        <v>185347001</v>
      </c>
      <c r="J5142" t="s">
        <v>1124</v>
      </c>
      <c r="K5142">
        <v>85.55</v>
      </c>
      <c r="L5142">
        <v>1791.03</v>
      </c>
      <c r="M5142">
        <v>1432.82</v>
      </c>
      <c r="O5142" t="s">
        <v>34</v>
      </c>
    </row>
    <row r="5143" spans="1:15">
      <c r="A5143" t="s">
        <v>6811</v>
      </c>
      <c r="B5143" s="2">
        <v>44740.552025462966</v>
      </c>
      <c r="C5143" s="2">
        <v>44740.686747685184</v>
      </c>
      <c r="D5143" t="s">
        <v>976</v>
      </c>
      <c r="E5143" t="s">
        <v>6587</v>
      </c>
      <c r="F5143" t="s">
        <v>6588</v>
      </c>
      <c r="G5143" t="s">
        <v>1122</v>
      </c>
      <c r="H5143" t="s">
        <v>1031</v>
      </c>
      <c r="I5143">
        <v>185347001</v>
      </c>
      <c r="J5143" t="s">
        <v>1124</v>
      </c>
      <c r="K5143">
        <v>85.55</v>
      </c>
      <c r="L5143">
        <v>901.58</v>
      </c>
      <c r="M5143">
        <v>721.26</v>
      </c>
      <c r="O5143" t="s">
        <v>34</v>
      </c>
    </row>
    <row r="5144" spans="1:15">
      <c r="A5144" t="s">
        <v>6812</v>
      </c>
      <c r="B5144" s="2">
        <v>44740.686747685184</v>
      </c>
      <c r="C5144" s="2">
        <v>44740.697164351855</v>
      </c>
      <c r="D5144" t="s">
        <v>976</v>
      </c>
      <c r="E5144" t="s">
        <v>6587</v>
      </c>
      <c r="F5144" t="s">
        <v>6588</v>
      </c>
      <c r="G5144" t="s">
        <v>1122</v>
      </c>
      <c r="H5144" t="s">
        <v>1031</v>
      </c>
      <c r="I5144">
        <v>185347001</v>
      </c>
      <c r="J5144" t="s">
        <v>1124</v>
      </c>
      <c r="K5144">
        <v>85.55</v>
      </c>
      <c r="L5144">
        <v>234.71</v>
      </c>
      <c r="M5144">
        <v>187.76</v>
      </c>
      <c r="O5144" t="s">
        <v>34</v>
      </c>
    </row>
    <row r="5145" spans="1:15">
      <c r="A5145" t="s">
        <v>6813</v>
      </c>
      <c r="B5145" s="2">
        <v>44736.319386574076</v>
      </c>
      <c r="C5145" s="2">
        <v>44736.360092592593</v>
      </c>
      <c r="D5145" t="s">
        <v>976</v>
      </c>
      <c r="E5145" t="s">
        <v>6587</v>
      </c>
      <c r="F5145" t="s">
        <v>6588</v>
      </c>
      <c r="G5145" t="s">
        <v>1122</v>
      </c>
      <c r="H5145" t="s">
        <v>1031</v>
      </c>
      <c r="I5145">
        <v>185347001</v>
      </c>
      <c r="J5145" t="s">
        <v>1124</v>
      </c>
      <c r="K5145">
        <v>85.55</v>
      </c>
      <c r="L5145">
        <v>666.11</v>
      </c>
      <c r="M5145">
        <v>532.88</v>
      </c>
      <c r="O5145" t="s">
        <v>34</v>
      </c>
    </row>
    <row r="5146" spans="1:15">
      <c r="A5146" t="s">
        <v>6814</v>
      </c>
      <c r="B5146" s="2">
        <v>44748.319386574076</v>
      </c>
      <c r="C5146" s="2">
        <v>44748.349305555559</v>
      </c>
      <c r="D5146" t="s">
        <v>976</v>
      </c>
      <c r="E5146" t="s">
        <v>6587</v>
      </c>
      <c r="F5146" t="s">
        <v>6588</v>
      </c>
      <c r="G5146" t="s">
        <v>1122</v>
      </c>
      <c r="H5146" t="s">
        <v>1043</v>
      </c>
      <c r="I5146">
        <v>185349003</v>
      </c>
      <c r="J5146" t="s">
        <v>1038</v>
      </c>
      <c r="K5146">
        <v>85.55</v>
      </c>
      <c r="L5146">
        <v>1030.97</v>
      </c>
      <c r="M5146">
        <v>824.76</v>
      </c>
      <c r="O5146" t="s">
        <v>34</v>
      </c>
    </row>
    <row r="5147" spans="1:15">
      <c r="A5147" t="s">
        <v>6815</v>
      </c>
      <c r="B5147" s="2">
        <v>44755.319386574076</v>
      </c>
      <c r="C5147" s="2">
        <v>44755.403414351851</v>
      </c>
      <c r="D5147" t="s">
        <v>976</v>
      </c>
      <c r="E5147" t="s">
        <v>6587</v>
      </c>
      <c r="F5147" t="s">
        <v>6588</v>
      </c>
      <c r="G5147" t="s">
        <v>1122</v>
      </c>
      <c r="H5147" t="s">
        <v>1031</v>
      </c>
      <c r="I5147">
        <v>185347001</v>
      </c>
      <c r="J5147" t="s">
        <v>1124</v>
      </c>
      <c r="K5147">
        <v>85.55</v>
      </c>
      <c r="L5147">
        <v>922.54</v>
      </c>
      <c r="M5147">
        <v>738.03</v>
      </c>
      <c r="N5147">
        <v>431857002</v>
      </c>
      <c r="O5147" t="s">
        <v>4125</v>
      </c>
    </row>
    <row r="5148" spans="1:15">
      <c r="A5148" t="s">
        <v>6816</v>
      </c>
      <c r="B5148" s="2">
        <v>44758.403414351851</v>
      </c>
      <c r="C5148" s="2">
        <v>44758.527025462965</v>
      </c>
      <c r="D5148" t="s">
        <v>976</v>
      </c>
      <c r="E5148" t="s">
        <v>6587</v>
      </c>
      <c r="F5148" t="s">
        <v>6588</v>
      </c>
      <c r="G5148" t="s">
        <v>1122</v>
      </c>
      <c r="H5148" t="s">
        <v>1031</v>
      </c>
      <c r="I5148">
        <v>185347001</v>
      </c>
      <c r="J5148" t="s">
        <v>1124</v>
      </c>
      <c r="K5148">
        <v>85.55</v>
      </c>
      <c r="L5148">
        <v>539.64</v>
      </c>
      <c r="M5148">
        <v>431.71</v>
      </c>
      <c r="N5148">
        <v>431857002</v>
      </c>
      <c r="O5148" t="s">
        <v>4125</v>
      </c>
    </row>
    <row r="5149" spans="1:15">
      <c r="A5149" t="s">
        <v>6817</v>
      </c>
      <c r="B5149" s="2">
        <v>44761.527025462965</v>
      </c>
      <c r="C5149" s="2">
        <v>44761.639525462961</v>
      </c>
      <c r="D5149" t="s">
        <v>976</v>
      </c>
      <c r="E5149" t="s">
        <v>6587</v>
      </c>
      <c r="F5149" t="s">
        <v>6588</v>
      </c>
      <c r="G5149" t="s">
        <v>1122</v>
      </c>
      <c r="H5149" t="s">
        <v>1031</v>
      </c>
      <c r="I5149">
        <v>185347001</v>
      </c>
      <c r="J5149" t="s">
        <v>1124</v>
      </c>
      <c r="K5149">
        <v>85.55</v>
      </c>
      <c r="L5149">
        <v>670.92</v>
      </c>
      <c r="M5149">
        <v>536.74</v>
      </c>
      <c r="N5149">
        <v>431857002</v>
      </c>
      <c r="O5149" t="s">
        <v>4125</v>
      </c>
    </row>
    <row r="5150" spans="1:15">
      <c r="A5150" t="s">
        <v>6818</v>
      </c>
      <c r="B5150" s="2">
        <v>44769.319386574076</v>
      </c>
      <c r="C5150" s="2">
        <v>44769.453263888892</v>
      </c>
      <c r="D5150" t="s">
        <v>976</v>
      </c>
      <c r="E5150" t="s">
        <v>6587</v>
      </c>
      <c r="F5150" t="s">
        <v>6588</v>
      </c>
      <c r="G5150" t="s">
        <v>1122</v>
      </c>
      <c r="H5150" t="s">
        <v>1031</v>
      </c>
      <c r="I5150">
        <v>185349003</v>
      </c>
      <c r="J5150" t="s">
        <v>1038</v>
      </c>
      <c r="K5150">
        <v>85.55</v>
      </c>
      <c r="L5150">
        <v>3105.35</v>
      </c>
      <c r="M5150">
        <v>2484.2800000000002</v>
      </c>
      <c r="N5150">
        <v>103697008</v>
      </c>
      <c r="O5150" t="s">
        <v>1039</v>
      </c>
    </row>
    <row r="5151" spans="1:15">
      <c r="A5151" t="s">
        <v>6819</v>
      </c>
      <c r="B5151" s="2">
        <v>44776.319386574076</v>
      </c>
      <c r="C5151" s="2">
        <v>44776.40966435185</v>
      </c>
      <c r="D5151" t="s">
        <v>976</v>
      </c>
      <c r="E5151" t="s">
        <v>6587</v>
      </c>
      <c r="F5151" t="s">
        <v>6588</v>
      </c>
      <c r="G5151" t="s">
        <v>1122</v>
      </c>
      <c r="H5151" t="s">
        <v>1031</v>
      </c>
      <c r="I5151">
        <v>185347001</v>
      </c>
      <c r="J5151" t="s">
        <v>1124</v>
      </c>
      <c r="K5151">
        <v>85.55</v>
      </c>
      <c r="L5151">
        <v>953.61</v>
      </c>
      <c r="M5151">
        <v>762.89</v>
      </c>
      <c r="N5151">
        <v>431857002</v>
      </c>
      <c r="O5151" t="s">
        <v>4125</v>
      </c>
    </row>
    <row r="5152" spans="1:15">
      <c r="A5152" t="s">
        <v>6820</v>
      </c>
      <c r="B5152" s="2">
        <v>33377.826550925929</v>
      </c>
      <c r="C5152" s="2">
        <v>33377.853402777779</v>
      </c>
      <c r="D5152" t="s">
        <v>994</v>
      </c>
      <c r="E5152" t="s">
        <v>6821</v>
      </c>
      <c r="F5152" t="s">
        <v>6822</v>
      </c>
      <c r="G5152" t="s">
        <v>1019</v>
      </c>
      <c r="H5152" t="s">
        <v>1020</v>
      </c>
      <c r="I5152">
        <v>162673000</v>
      </c>
      <c r="J5152" t="s">
        <v>1021</v>
      </c>
      <c r="K5152">
        <v>136.80000000000001</v>
      </c>
      <c r="L5152">
        <v>704.2</v>
      </c>
      <c r="M5152">
        <v>0</v>
      </c>
      <c r="O5152" t="s">
        <v>34</v>
      </c>
    </row>
    <row r="5153" spans="1:15">
      <c r="A5153" t="s">
        <v>6823</v>
      </c>
      <c r="B5153" s="2">
        <v>44776.40966435185</v>
      </c>
      <c r="C5153" s="2">
        <v>44776.420081018521</v>
      </c>
      <c r="D5153" t="s">
        <v>976</v>
      </c>
      <c r="E5153" t="s">
        <v>6587</v>
      </c>
      <c r="F5153" t="s">
        <v>6588</v>
      </c>
      <c r="G5153" t="s">
        <v>1122</v>
      </c>
      <c r="H5153" t="s">
        <v>1031</v>
      </c>
      <c r="I5153">
        <v>185347001</v>
      </c>
      <c r="J5153" t="s">
        <v>1124</v>
      </c>
      <c r="K5153">
        <v>85.55</v>
      </c>
      <c r="L5153">
        <v>234.71</v>
      </c>
      <c r="M5153">
        <v>187.76</v>
      </c>
      <c r="N5153">
        <v>431857002</v>
      </c>
      <c r="O5153" t="s">
        <v>4125</v>
      </c>
    </row>
    <row r="5154" spans="1:15">
      <c r="A5154" t="s">
        <v>6824</v>
      </c>
      <c r="B5154" s="2">
        <v>34847.826550925929</v>
      </c>
      <c r="C5154" s="2">
        <v>34847.850497685184</v>
      </c>
      <c r="D5154" t="s">
        <v>994</v>
      </c>
      <c r="E5154" t="s">
        <v>6821</v>
      </c>
      <c r="F5154" t="s">
        <v>6822</v>
      </c>
      <c r="G5154" t="s">
        <v>1019</v>
      </c>
      <c r="H5154" t="s">
        <v>1020</v>
      </c>
      <c r="I5154">
        <v>162673000</v>
      </c>
      <c r="J5154" t="s">
        <v>1021</v>
      </c>
      <c r="K5154">
        <v>136.80000000000001</v>
      </c>
      <c r="L5154">
        <v>1503.05</v>
      </c>
      <c r="M5154">
        <v>0</v>
      </c>
      <c r="O5154" t="s">
        <v>34</v>
      </c>
    </row>
    <row r="5155" spans="1:15">
      <c r="A5155" t="s">
        <v>6825</v>
      </c>
      <c r="B5155" s="2">
        <v>35946.826550925929</v>
      </c>
      <c r="C5155" s="2">
        <v>35946.8516087963</v>
      </c>
      <c r="D5155" t="s">
        <v>994</v>
      </c>
      <c r="E5155" t="s">
        <v>6821</v>
      </c>
      <c r="F5155" t="s">
        <v>6822</v>
      </c>
      <c r="G5155" t="s">
        <v>1019</v>
      </c>
      <c r="H5155" t="s">
        <v>1020</v>
      </c>
      <c r="I5155">
        <v>162673000</v>
      </c>
      <c r="J5155" t="s">
        <v>1021</v>
      </c>
      <c r="K5155">
        <v>136.80000000000001</v>
      </c>
      <c r="L5155">
        <v>1368.57</v>
      </c>
      <c r="M5155">
        <v>0</v>
      </c>
      <c r="O5155" t="s">
        <v>34</v>
      </c>
    </row>
    <row r="5156" spans="1:15">
      <c r="A5156" t="s">
        <v>6826</v>
      </c>
      <c r="B5156" s="2">
        <v>37980.784884259258</v>
      </c>
      <c r="C5156" s="2">
        <v>37980.826550925929</v>
      </c>
      <c r="D5156" t="s">
        <v>994</v>
      </c>
      <c r="E5156" t="s">
        <v>6827</v>
      </c>
      <c r="F5156" t="s">
        <v>6828</v>
      </c>
      <c r="G5156" t="s">
        <v>1019</v>
      </c>
      <c r="H5156" t="s">
        <v>1076</v>
      </c>
      <c r="I5156">
        <v>50849002</v>
      </c>
      <c r="J5156" t="s">
        <v>1163</v>
      </c>
      <c r="K5156">
        <v>146.18</v>
      </c>
      <c r="L5156">
        <v>8550.65</v>
      </c>
      <c r="M5156">
        <v>0</v>
      </c>
      <c r="N5156">
        <v>196416002</v>
      </c>
      <c r="O5156" t="s">
        <v>1414</v>
      </c>
    </row>
    <row r="5157" spans="1:15">
      <c r="A5157" t="s">
        <v>6829</v>
      </c>
      <c r="B5157" s="2">
        <v>41364.826550925929</v>
      </c>
      <c r="C5157" s="2">
        <v>41364.861261574071</v>
      </c>
      <c r="D5157" t="s">
        <v>994</v>
      </c>
      <c r="E5157" t="s">
        <v>6821</v>
      </c>
      <c r="F5157" t="s">
        <v>6822</v>
      </c>
      <c r="G5157" t="s">
        <v>1019</v>
      </c>
      <c r="H5157" t="s">
        <v>1020</v>
      </c>
      <c r="I5157">
        <v>162673000</v>
      </c>
      <c r="J5157" t="s">
        <v>1021</v>
      </c>
      <c r="K5157">
        <v>136.80000000000001</v>
      </c>
      <c r="L5157">
        <v>996.16</v>
      </c>
      <c r="M5157">
        <v>0</v>
      </c>
      <c r="O5157" t="s">
        <v>34</v>
      </c>
    </row>
    <row r="5158" spans="1:15">
      <c r="A5158" t="s">
        <v>6830</v>
      </c>
      <c r="B5158" s="2">
        <v>42106.826550925929</v>
      </c>
      <c r="C5158" s="2">
        <v>42106.851863425924</v>
      </c>
      <c r="D5158" t="s">
        <v>994</v>
      </c>
      <c r="E5158" t="s">
        <v>6821</v>
      </c>
      <c r="F5158" t="s">
        <v>6822</v>
      </c>
      <c r="G5158" t="s">
        <v>1019</v>
      </c>
      <c r="H5158" t="s">
        <v>1020</v>
      </c>
      <c r="I5158">
        <v>162673000</v>
      </c>
      <c r="J5158" t="s">
        <v>1021</v>
      </c>
      <c r="K5158">
        <v>136.80000000000001</v>
      </c>
      <c r="L5158">
        <v>785.58</v>
      </c>
      <c r="M5158">
        <v>0</v>
      </c>
      <c r="O5158" t="s">
        <v>34</v>
      </c>
    </row>
    <row r="5159" spans="1:15">
      <c r="A5159" t="s">
        <v>6831</v>
      </c>
      <c r="B5159" s="2">
        <v>44779.40966435185</v>
      </c>
      <c r="C5159" s="2">
        <v>44779.544386574074</v>
      </c>
      <c r="D5159" t="s">
        <v>976</v>
      </c>
      <c r="E5159" t="s">
        <v>6587</v>
      </c>
      <c r="F5159" t="s">
        <v>6588</v>
      </c>
      <c r="G5159" t="s">
        <v>1122</v>
      </c>
      <c r="H5159" t="s">
        <v>1031</v>
      </c>
      <c r="I5159">
        <v>185347001</v>
      </c>
      <c r="J5159" t="s">
        <v>1124</v>
      </c>
      <c r="K5159">
        <v>85.55</v>
      </c>
      <c r="L5159">
        <v>583.54999999999995</v>
      </c>
      <c r="M5159">
        <v>466.84</v>
      </c>
      <c r="N5159">
        <v>431857002</v>
      </c>
      <c r="O5159" t="s">
        <v>4125</v>
      </c>
    </row>
    <row r="5160" spans="1:15">
      <c r="A5160" t="s">
        <v>6832</v>
      </c>
      <c r="B5160" s="2">
        <v>42477.826550925929</v>
      </c>
      <c r="C5160" s="2">
        <v>42477.857037037036</v>
      </c>
      <c r="D5160" t="s">
        <v>994</v>
      </c>
      <c r="E5160" t="s">
        <v>6821</v>
      </c>
      <c r="F5160" t="s">
        <v>6822</v>
      </c>
      <c r="G5160" t="s">
        <v>1019</v>
      </c>
      <c r="H5160" t="s">
        <v>1020</v>
      </c>
      <c r="I5160">
        <v>162673000</v>
      </c>
      <c r="J5160" t="s">
        <v>1021</v>
      </c>
      <c r="K5160">
        <v>136.80000000000001</v>
      </c>
      <c r="L5160">
        <v>778.78</v>
      </c>
      <c r="M5160">
        <v>0</v>
      </c>
      <c r="O5160" t="s">
        <v>34</v>
      </c>
    </row>
    <row r="5161" spans="1:15">
      <c r="A5161" t="s">
        <v>6833</v>
      </c>
      <c r="B5161" s="2">
        <v>42726.368217592593</v>
      </c>
      <c r="C5161" s="2">
        <v>42726.382824074077</v>
      </c>
      <c r="D5161" t="s">
        <v>994</v>
      </c>
      <c r="E5161" t="s">
        <v>2061</v>
      </c>
      <c r="F5161" t="s">
        <v>2062</v>
      </c>
      <c r="G5161" t="s">
        <v>1019</v>
      </c>
      <c r="H5161" t="s">
        <v>1031</v>
      </c>
      <c r="I5161">
        <v>185345009</v>
      </c>
      <c r="J5161" t="s">
        <v>1032</v>
      </c>
      <c r="K5161">
        <v>85.55</v>
      </c>
      <c r="L5161">
        <v>120.06</v>
      </c>
      <c r="M5161">
        <v>0</v>
      </c>
      <c r="N5161">
        <v>10509002</v>
      </c>
      <c r="O5161" t="s">
        <v>1033</v>
      </c>
    </row>
    <row r="5162" spans="1:15">
      <c r="A5162" t="s">
        <v>6834</v>
      </c>
      <c r="B5162" s="2">
        <v>44782.544386574074</v>
      </c>
      <c r="C5162" s="2">
        <v>44782.633275462962</v>
      </c>
      <c r="D5162" t="s">
        <v>976</v>
      </c>
      <c r="E5162" t="s">
        <v>6587</v>
      </c>
      <c r="F5162" t="s">
        <v>6588</v>
      </c>
      <c r="G5162" t="s">
        <v>1122</v>
      </c>
      <c r="H5162" t="s">
        <v>1031</v>
      </c>
      <c r="I5162">
        <v>185347001</v>
      </c>
      <c r="J5162" t="s">
        <v>1124</v>
      </c>
      <c r="K5162">
        <v>85.55</v>
      </c>
      <c r="L5162">
        <v>535.87</v>
      </c>
      <c r="M5162">
        <v>428.7</v>
      </c>
      <c r="N5162">
        <v>431857002</v>
      </c>
      <c r="O5162" t="s">
        <v>4125</v>
      </c>
    </row>
    <row r="5163" spans="1:15">
      <c r="A5163" t="s">
        <v>6835</v>
      </c>
      <c r="B5163" s="2">
        <v>42736.784884259258</v>
      </c>
      <c r="C5163" s="2">
        <v>42736.826550925929</v>
      </c>
      <c r="D5163" t="s">
        <v>994</v>
      </c>
      <c r="E5163" t="s">
        <v>6827</v>
      </c>
      <c r="F5163" t="s">
        <v>6828</v>
      </c>
      <c r="G5163" t="s">
        <v>1019</v>
      </c>
      <c r="H5163" t="s">
        <v>1076</v>
      </c>
      <c r="I5163">
        <v>50849002</v>
      </c>
      <c r="J5163" t="s">
        <v>1163</v>
      </c>
      <c r="K5163">
        <v>146.18</v>
      </c>
      <c r="L5163">
        <v>944.12</v>
      </c>
      <c r="M5163">
        <v>0</v>
      </c>
      <c r="O5163" t="s">
        <v>34</v>
      </c>
    </row>
    <row r="5164" spans="1:15">
      <c r="A5164" t="s">
        <v>6836</v>
      </c>
      <c r="B5164" s="2">
        <v>44790.319386574076</v>
      </c>
      <c r="C5164" s="2">
        <v>44790.352546296293</v>
      </c>
      <c r="D5164" t="s">
        <v>976</v>
      </c>
      <c r="E5164" t="s">
        <v>3753</v>
      </c>
      <c r="F5164" t="s">
        <v>3754</v>
      </c>
      <c r="G5164" t="s">
        <v>1122</v>
      </c>
      <c r="H5164" t="s">
        <v>1159</v>
      </c>
      <c r="I5164">
        <v>702927004</v>
      </c>
      <c r="J5164" t="s">
        <v>1160</v>
      </c>
      <c r="K5164">
        <v>142.58000000000001</v>
      </c>
      <c r="L5164">
        <v>872.3</v>
      </c>
      <c r="M5164">
        <v>697.82</v>
      </c>
      <c r="O5164" t="s">
        <v>34</v>
      </c>
    </row>
    <row r="5165" spans="1:15">
      <c r="A5165" t="s">
        <v>6837</v>
      </c>
      <c r="B5165" s="2">
        <v>42750.784884259258</v>
      </c>
      <c r="C5165" s="2">
        <v>42750.926782407405</v>
      </c>
      <c r="D5165" t="s">
        <v>994</v>
      </c>
      <c r="E5165" t="s">
        <v>2061</v>
      </c>
      <c r="F5165" t="s">
        <v>2062</v>
      </c>
      <c r="G5165" t="s">
        <v>1019</v>
      </c>
      <c r="H5165" t="s">
        <v>1031</v>
      </c>
      <c r="I5165">
        <v>185349003</v>
      </c>
      <c r="J5165" t="s">
        <v>1038</v>
      </c>
      <c r="K5165">
        <v>85.55</v>
      </c>
      <c r="L5165">
        <v>3536.75</v>
      </c>
      <c r="M5165">
        <v>0</v>
      </c>
      <c r="N5165">
        <v>103697008</v>
      </c>
      <c r="O5165" t="s">
        <v>1039</v>
      </c>
    </row>
    <row r="5166" spans="1:15">
      <c r="A5166" t="s">
        <v>6838</v>
      </c>
      <c r="B5166" s="2">
        <v>42848.826550925929</v>
      </c>
      <c r="C5166" s="2">
        <v>42848.860868055555</v>
      </c>
      <c r="D5166" t="s">
        <v>994</v>
      </c>
      <c r="E5166" t="s">
        <v>6821</v>
      </c>
      <c r="F5166" t="s">
        <v>6822</v>
      </c>
      <c r="G5166" t="s">
        <v>1019</v>
      </c>
      <c r="H5166" t="s">
        <v>1020</v>
      </c>
      <c r="I5166">
        <v>162673000</v>
      </c>
      <c r="J5166" t="s">
        <v>1021</v>
      </c>
      <c r="K5166">
        <v>136.80000000000001</v>
      </c>
      <c r="L5166">
        <v>866.52</v>
      </c>
      <c r="M5166">
        <v>0</v>
      </c>
      <c r="O5166" t="s">
        <v>34</v>
      </c>
    </row>
    <row r="5167" spans="1:15">
      <c r="A5167" t="s">
        <v>6839</v>
      </c>
      <c r="B5167" s="2">
        <v>44797.319386574076</v>
      </c>
      <c r="C5167" s="2">
        <v>44797.32980324074</v>
      </c>
      <c r="D5167" t="s">
        <v>976</v>
      </c>
      <c r="E5167" t="s">
        <v>6587</v>
      </c>
      <c r="F5167" t="s">
        <v>6588</v>
      </c>
      <c r="G5167" t="s">
        <v>1122</v>
      </c>
      <c r="H5167" t="s">
        <v>1043</v>
      </c>
      <c r="I5167">
        <v>185349003</v>
      </c>
      <c r="J5167" t="s">
        <v>1038</v>
      </c>
      <c r="K5167">
        <v>85.55</v>
      </c>
      <c r="L5167">
        <v>234.71</v>
      </c>
      <c r="M5167">
        <v>187.76</v>
      </c>
      <c r="O5167" t="s">
        <v>34</v>
      </c>
    </row>
    <row r="5168" spans="1:15">
      <c r="A5168" t="s">
        <v>6840</v>
      </c>
      <c r="B5168" s="2">
        <v>42862.826550925929</v>
      </c>
      <c r="C5168" s="2">
        <v>42862.96670138889</v>
      </c>
      <c r="D5168" t="s">
        <v>994</v>
      </c>
      <c r="E5168" t="s">
        <v>2061</v>
      </c>
      <c r="F5168" t="s">
        <v>2062</v>
      </c>
      <c r="G5168" t="s">
        <v>1019</v>
      </c>
      <c r="H5168" t="s">
        <v>1031</v>
      </c>
      <c r="I5168">
        <v>185349003</v>
      </c>
      <c r="J5168" t="s">
        <v>1038</v>
      </c>
      <c r="K5168">
        <v>85.55</v>
      </c>
      <c r="L5168">
        <v>3105.35</v>
      </c>
      <c r="M5168">
        <v>0</v>
      </c>
      <c r="N5168">
        <v>66383009</v>
      </c>
      <c r="O5168" t="s">
        <v>1209</v>
      </c>
    </row>
    <row r="5169" spans="1:15">
      <c r="A5169" t="s">
        <v>6841</v>
      </c>
      <c r="B5169" s="2">
        <v>44804.319386574076</v>
      </c>
      <c r="C5169" s="2">
        <v>44804.357106481482</v>
      </c>
      <c r="D5169" t="s">
        <v>976</v>
      </c>
      <c r="E5169" t="s">
        <v>3753</v>
      </c>
      <c r="F5169" t="s">
        <v>3754</v>
      </c>
      <c r="G5169" t="s">
        <v>1122</v>
      </c>
      <c r="H5169" t="s">
        <v>1159</v>
      </c>
      <c r="I5169">
        <v>702927004</v>
      </c>
      <c r="J5169" t="s">
        <v>1160</v>
      </c>
      <c r="K5169">
        <v>142.58000000000001</v>
      </c>
      <c r="L5169">
        <v>1088</v>
      </c>
      <c r="M5169">
        <v>870.38</v>
      </c>
      <c r="O5169" t="s">
        <v>34</v>
      </c>
    </row>
    <row r="5170" spans="1:15">
      <c r="A5170" t="s">
        <v>6842</v>
      </c>
      <c r="B5170" s="2">
        <v>42981.826550925929</v>
      </c>
      <c r="C5170" s="2">
        <v>42981.848692129628</v>
      </c>
      <c r="D5170" t="s">
        <v>994</v>
      </c>
      <c r="E5170" t="s">
        <v>2061</v>
      </c>
      <c r="F5170" t="s">
        <v>2062</v>
      </c>
      <c r="G5170" t="s">
        <v>1019</v>
      </c>
      <c r="H5170" t="s">
        <v>1043</v>
      </c>
      <c r="I5170">
        <v>185349003</v>
      </c>
      <c r="J5170" t="s">
        <v>1038</v>
      </c>
      <c r="K5170">
        <v>85.55</v>
      </c>
      <c r="L5170">
        <v>1401.31</v>
      </c>
      <c r="M5170">
        <v>0</v>
      </c>
      <c r="O5170" t="s">
        <v>34</v>
      </c>
    </row>
    <row r="5171" spans="1:15">
      <c r="A5171" t="s">
        <v>6843</v>
      </c>
      <c r="B5171" s="2">
        <v>42995.826550925929</v>
      </c>
      <c r="C5171" s="2">
        <v>42995.967546296299</v>
      </c>
      <c r="D5171" t="s">
        <v>994</v>
      </c>
      <c r="E5171" t="s">
        <v>2061</v>
      </c>
      <c r="F5171" t="s">
        <v>2062</v>
      </c>
      <c r="G5171" t="s">
        <v>1019</v>
      </c>
      <c r="H5171" t="s">
        <v>1031</v>
      </c>
      <c r="I5171">
        <v>185349003</v>
      </c>
      <c r="J5171" t="s">
        <v>1038</v>
      </c>
      <c r="K5171">
        <v>85.55</v>
      </c>
      <c r="L5171">
        <v>3105.35</v>
      </c>
      <c r="M5171">
        <v>0</v>
      </c>
      <c r="N5171">
        <v>66383009</v>
      </c>
      <c r="O5171" t="s">
        <v>1209</v>
      </c>
    </row>
    <row r="5172" spans="1:15">
      <c r="A5172" t="s">
        <v>6844</v>
      </c>
      <c r="B5172" s="2">
        <v>43219.826550925929</v>
      </c>
      <c r="C5172" s="2">
        <v>43219.865439814814</v>
      </c>
      <c r="D5172" t="s">
        <v>994</v>
      </c>
      <c r="E5172" t="s">
        <v>6821</v>
      </c>
      <c r="F5172" t="s">
        <v>6822</v>
      </c>
      <c r="G5172" t="s">
        <v>1019</v>
      </c>
      <c r="H5172" t="s">
        <v>1020</v>
      </c>
      <c r="I5172">
        <v>162673000</v>
      </c>
      <c r="J5172" t="s">
        <v>1021</v>
      </c>
      <c r="K5172">
        <v>136.80000000000001</v>
      </c>
      <c r="L5172">
        <v>1002.52</v>
      </c>
      <c r="M5172">
        <v>0</v>
      </c>
      <c r="O5172" t="s">
        <v>34</v>
      </c>
    </row>
    <row r="5173" spans="1:15">
      <c r="A5173" t="s">
        <v>6845</v>
      </c>
      <c r="B5173" s="2">
        <v>44811.319386574076</v>
      </c>
      <c r="C5173" s="2">
        <v>44811.32980324074</v>
      </c>
      <c r="D5173" t="s">
        <v>976</v>
      </c>
      <c r="E5173" t="s">
        <v>6587</v>
      </c>
      <c r="F5173" t="s">
        <v>6588</v>
      </c>
      <c r="G5173" t="s">
        <v>1122</v>
      </c>
      <c r="H5173" t="s">
        <v>1043</v>
      </c>
      <c r="I5173">
        <v>185349003</v>
      </c>
      <c r="J5173" t="s">
        <v>1038</v>
      </c>
      <c r="K5173">
        <v>85.55</v>
      </c>
      <c r="L5173">
        <v>234.71</v>
      </c>
      <c r="M5173">
        <v>187.76</v>
      </c>
      <c r="O5173" t="s">
        <v>34</v>
      </c>
    </row>
    <row r="5174" spans="1:15">
      <c r="A5174" t="s">
        <v>6846</v>
      </c>
      <c r="B5174" s="2">
        <v>44818.319386574076</v>
      </c>
      <c r="C5174" s="2">
        <v>44818.420659722222</v>
      </c>
      <c r="D5174" t="s">
        <v>976</v>
      </c>
      <c r="E5174" t="s">
        <v>6587</v>
      </c>
      <c r="F5174" t="s">
        <v>6588</v>
      </c>
      <c r="G5174" t="s">
        <v>1122</v>
      </c>
      <c r="H5174" t="s">
        <v>1031</v>
      </c>
      <c r="I5174">
        <v>185349003</v>
      </c>
      <c r="J5174" t="s">
        <v>1038</v>
      </c>
      <c r="K5174">
        <v>85.55</v>
      </c>
      <c r="L5174">
        <v>3105.35</v>
      </c>
      <c r="M5174">
        <v>2484.2800000000002</v>
      </c>
      <c r="N5174">
        <v>103697008</v>
      </c>
      <c r="O5174" t="s">
        <v>1039</v>
      </c>
    </row>
    <row r="5175" spans="1:15">
      <c r="A5175" t="s">
        <v>6847</v>
      </c>
      <c r="B5175" s="2">
        <v>43373.826550925929</v>
      </c>
      <c r="C5175" s="2">
        <v>43373.866481481484</v>
      </c>
      <c r="D5175" t="s">
        <v>994</v>
      </c>
      <c r="E5175" t="s">
        <v>2061</v>
      </c>
      <c r="F5175" t="s">
        <v>2062</v>
      </c>
      <c r="G5175" t="s">
        <v>1019</v>
      </c>
      <c r="H5175" t="s">
        <v>1043</v>
      </c>
      <c r="I5175">
        <v>185349003</v>
      </c>
      <c r="J5175" t="s">
        <v>1038</v>
      </c>
      <c r="K5175">
        <v>85.55</v>
      </c>
      <c r="L5175">
        <v>1739.49</v>
      </c>
      <c r="M5175">
        <v>0</v>
      </c>
      <c r="O5175" t="s">
        <v>34</v>
      </c>
    </row>
    <row r="5176" spans="1:15">
      <c r="A5176" t="s">
        <v>6848</v>
      </c>
      <c r="B5176" s="2">
        <v>44825.319386574076</v>
      </c>
      <c r="C5176" s="2">
        <v>44825.433275462965</v>
      </c>
      <c r="D5176" t="s">
        <v>976</v>
      </c>
      <c r="E5176" t="s">
        <v>6587</v>
      </c>
      <c r="F5176" t="s">
        <v>6588</v>
      </c>
      <c r="G5176" t="s">
        <v>1122</v>
      </c>
      <c r="H5176" t="s">
        <v>1031</v>
      </c>
      <c r="I5176">
        <v>185347001</v>
      </c>
      <c r="J5176" t="s">
        <v>1124</v>
      </c>
      <c r="K5176">
        <v>85.55</v>
      </c>
      <c r="L5176">
        <v>1791.03</v>
      </c>
      <c r="M5176">
        <v>1432.82</v>
      </c>
      <c r="N5176">
        <v>431857002</v>
      </c>
      <c r="O5176" t="s">
        <v>4125</v>
      </c>
    </row>
    <row r="5177" spans="1:15">
      <c r="A5177" t="s">
        <v>6849</v>
      </c>
      <c r="B5177" s="2">
        <v>44825.433275462965</v>
      </c>
      <c r="C5177" s="2">
        <v>44825.443692129629</v>
      </c>
      <c r="D5177" t="s">
        <v>976</v>
      </c>
      <c r="E5177" t="s">
        <v>6587</v>
      </c>
      <c r="F5177" t="s">
        <v>6588</v>
      </c>
      <c r="G5177" t="s">
        <v>1122</v>
      </c>
      <c r="H5177" t="s">
        <v>1031</v>
      </c>
      <c r="I5177">
        <v>185347001</v>
      </c>
      <c r="J5177" t="s">
        <v>1124</v>
      </c>
      <c r="K5177">
        <v>85.55</v>
      </c>
      <c r="L5177">
        <v>234.71</v>
      </c>
      <c r="M5177">
        <v>187.76</v>
      </c>
      <c r="N5177">
        <v>431857002</v>
      </c>
      <c r="O5177" t="s">
        <v>4125</v>
      </c>
    </row>
    <row r="5178" spans="1:15">
      <c r="A5178" t="s">
        <v>6850</v>
      </c>
      <c r="B5178" s="2">
        <v>43436.784884259258</v>
      </c>
      <c r="C5178" s="2">
        <v>43436.82068287037</v>
      </c>
      <c r="D5178" t="s">
        <v>994</v>
      </c>
      <c r="E5178" t="s">
        <v>2061</v>
      </c>
      <c r="F5178" t="s">
        <v>2062</v>
      </c>
      <c r="G5178" t="s">
        <v>1019</v>
      </c>
      <c r="H5178" t="s">
        <v>1043</v>
      </c>
      <c r="I5178">
        <v>185349003</v>
      </c>
      <c r="J5178" t="s">
        <v>1038</v>
      </c>
      <c r="K5178">
        <v>85.55</v>
      </c>
      <c r="L5178">
        <v>1603.49</v>
      </c>
      <c r="M5178">
        <v>0</v>
      </c>
      <c r="O5178" t="s">
        <v>34</v>
      </c>
    </row>
    <row r="5179" spans="1:15">
      <c r="A5179" t="s">
        <v>6851</v>
      </c>
      <c r="B5179" s="2">
        <v>44828.433275462965</v>
      </c>
      <c r="C5179" s="2">
        <v>44828.532581018517</v>
      </c>
      <c r="D5179" t="s">
        <v>976</v>
      </c>
      <c r="E5179" t="s">
        <v>6587</v>
      </c>
      <c r="F5179" t="s">
        <v>6588</v>
      </c>
      <c r="G5179" t="s">
        <v>1122</v>
      </c>
      <c r="H5179" t="s">
        <v>1031</v>
      </c>
      <c r="I5179">
        <v>185347001</v>
      </c>
      <c r="J5179" t="s">
        <v>1124</v>
      </c>
      <c r="K5179">
        <v>85.55</v>
      </c>
      <c r="L5179">
        <v>535.87</v>
      </c>
      <c r="M5179">
        <v>428.7</v>
      </c>
      <c r="N5179">
        <v>431857002</v>
      </c>
      <c r="O5179" t="s">
        <v>4125</v>
      </c>
    </row>
    <row r="5180" spans="1:15">
      <c r="A5180" t="s">
        <v>6852</v>
      </c>
      <c r="B5180" s="2">
        <v>44831.532581018517</v>
      </c>
      <c r="C5180" s="2">
        <v>44831.664525462962</v>
      </c>
      <c r="D5180" t="s">
        <v>976</v>
      </c>
      <c r="E5180" t="s">
        <v>6587</v>
      </c>
      <c r="F5180" t="s">
        <v>6588</v>
      </c>
      <c r="G5180" t="s">
        <v>1122</v>
      </c>
      <c r="H5180" t="s">
        <v>1031</v>
      </c>
      <c r="I5180">
        <v>185347001</v>
      </c>
      <c r="J5180" t="s">
        <v>1124</v>
      </c>
      <c r="K5180">
        <v>85.55</v>
      </c>
      <c r="L5180">
        <v>1463.2</v>
      </c>
      <c r="M5180">
        <v>1170.56</v>
      </c>
      <c r="N5180">
        <v>431857002</v>
      </c>
      <c r="O5180" t="s">
        <v>4125</v>
      </c>
    </row>
    <row r="5181" spans="1:15">
      <c r="A5181" t="s">
        <v>6853</v>
      </c>
      <c r="B5181" s="2">
        <v>43538.826550925929</v>
      </c>
      <c r="C5181" s="2">
        <v>43538.871435185189</v>
      </c>
      <c r="D5181" t="s">
        <v>994</v>
      </c>
      <c r="E5181" t="s">
        <v>2061</v>
      </c>
      <c r="F5181" t="s">
        <v>2062</v>
      </c>
      <c r="G5181" t="s">
        <v>1019</v>
      </c>
      <c r="H5181" t="s">
        <v>1031</v>
      </c>
      <c r="I5181">
        <v>185345009</v>
      </c>
      <c r="J5181" t="s">
        <v>1032</v>
      </c>
      <c r="K5181">
        <v>85.55</v>
      </c>
      <c r="L5181">
        <v>948.35</v>
      </c>
      <c r="M5181">
        <v>0</v>
      </c>
      <c r="N5181">
        <v>39898005</v>
      </c>
      <c r="O5181" t="s">
        <v>2157</v>
      </c>
    </row>
    <row r="5182" spans="1:15">
      <c r="A5182" t="s">
        <v>6854</v>
      </c>
      <c r="B5182" s="2">
        <v>44839.319386574076</v>
      </c>
      <c r="C5182" s="2">
        <v>44839.348043981481</v>
      </c>
      <c r="D5182" t="s">
        <v>976</v>
      </c>
      <c r="E5182" t="s">
        <v>3753</v>
      </c>
      <c r="F5182" t="s">
        <v>3754</v>
      </c>
      <c r="G5182" t="s">
        <v>1122</v>
      </c>
      <c r="H5182" t="s">
        <v>1159</v>
      </c>
      <c r="I5182">
        <v>702927004</v>
      </c>
      <c r="J5182" t="s">
        <v>1160</v>
      </c>
      <c r="K5182">
        <v>142.58000000000001</v>
      </c>
      <c r="L5182">
        <v>1477.44</v>
      </c>
      <c r="M5182">
        <v>1181.93</v>
      </c>
      <c r="O5182" t="s">
        <v>34</v>
      </c>
    </row>
    <row r="5183" spans="1:15">
      <c r="A5183" t="s">
        <v>6855</v>
      </c>
      <c r="B5183" s="2">
        <v>43555.871435185189</v>
      </c>
      <c r="C5183" s="2">
        <v>43555.900752314818</v>
      </c>
      <c r="D5183" t="s">
        <v>994</v>
      </c>
      <c r="E5183" t="s">
        <v>2061</v>
      </c>
      <c r="F5183" t="s">
        <v>2062</v>
      </c>
      <c r="G5183" t="s">
        <v>1122</v>
      </c>
      <c r="H5183" t="s">
        <v>1031</v>
      </c>
      <c r="I5183">
        <v>185345009</v>
      </c>
      <c r="J5183" t="s">
        <v>1032</v>
      </c>
      <c r="K5183">
        <v>85.55</v>
      </c>
      <c r="L5183">
        <v>516.95000000000005</v>
      </c>
      <c r="M5183">
        <v>227.16</v>
      </c>
      <c r="N5183">
        <v>39898005</v>
      </c>
      <c r="O5183" t="s">
        <v>2157</v>
      </c>
    </row>
    <row r="5184" spans="1:15">
      <c r="A5184" t="s">
        <v>6856</v>
      </c>
      <c r="B5184" s="2">
        <v>43567.900752314818</v>
      </c>
      <c r="C5184" s="2">
        <v>43568.900752314818</v>
      </c>
      <c r="D5184" t="s">
        <v>994</v>
      </c>
      <c r="E5184" t="s">
        <v>2061</v>
      </c>
      <c r="F5184" t="s">
        <v>2062</v>
      </c>
      <c r="G5184" t="s">
        <v>1122</v>
      </c>
      <c r="H5184" t="s">
        <v>1431</v>
      </c>
      <c r="I5184">
        <v>185389009</v>
      </c>
      <c r="J5184" t="s">
        <v>5153</v>
      </c>
      <c r="K5184">
        <v>87.71</v>
      </c>
      <c r="L5184">
        <v>1032.3399999999999</v>
      </c>
      <c r="M5184">
        <v>825.87</v>
      </c>
      <c r="N5184">
        <v>39898005</v>
      </c>
      <c r="O5184" t="s">
        <v>2157</v>
      </c>
    </row>
    <row r="5185" spans="1:15">
      <c r="A5185" t="s">
        <v>6857</v>
      </c>
      <c r="B5185" s="2">
        <v>43590.826550925929</v>
      </c>
      <c r="C5185" s="2">
        <v>43590.852870370371</v>
      </c>
      <c r="D5185" t="s">
        <v>994</v>
      </c>
      <c r="E5185" t="s">
        <v>6821</v>
      </c>
      <c r="F5185" t="s">
        <v>6822</v>
      </c>
      <c r="G5185" t="s">
        <v>1122</v>
      </c>
      <c r="H5185" t="s">
        <v>1020</v>
      </c>
      <c r="I5185">
        <v>162673000</v>
      </c>
      <c r="J5185" t="s">
        <v>1021</v>
      </c>
      <c r="K5185">
        <v>136.80000000000001</v>
      </c>
      <c r="L5185">
        <v>1223.3399999999999</v>
      </c>
      <c r="M5185">
        <v>978.66</v>
      </c>
      <c r="O5185" t="s">
        <v>34</v>
      </c>
    </row>
    <row r="5186" spans="1:15">
      <c r="A5186" t="s">
        <v>6858</v>
      </c>
      <c r="B5186" s="2">
        <v>44846.319386574076</v>
      </c>
      <c r="C5186" s="2">
        <v>44846.32980324074</v>
      </c>
      <c r="D5186" t="s">
        <v>976</v>
      </c>
      <c r="E5186" t="s">
        <v>6587</v>
      </c>
      <c r="F5186" t="s">
        <v>6588</v>
      </c>
      <c r="G5186" t="s">
        <v>1122</v>
      </c>
      <c r="H5186" t="s">
        <v>1043</v>
      </c>
      <c r="I5186">
        <v>185349003</v>
      </c>
      <c r="J5186" t="s">
        <v>1038</v>
      </c>
      <c r="K5186">
        <v>85.55</v>
      </c>
      <c r="L5186">
        <v>1097.51</v>
      </c>
      <c r="M5186">
        <v>878</v>
      </c>
      <c r="O5186" t="s">
        <v>34</v>
      </c>
    </row>
    <row r="5187" spans="1:15">
      <c r="A5187" t="s">
        <v>6859</v>
      </c>
      <c r="B5187" s="2">
        <v>43646.826550925929</v>
      </c>
      <c r="C5187" s="2">
        <v>43646.856585648151</v>
      </c>
      <c r="D5187" t="s">
        <v>994</v>
      </c>
      <c r="E5187" t="s">
        <v>2061</v>
      </c>
      <c r="F5187" t="s">
        <v>2062</v>
      </c>
      <c r="G5187" t="s">
        <v>1122</v>
      </c>
      <c r="H5187" t="s">
        <v>1043</v>
      </c>
      <c r="I5187">
        <v>185349003</v>
      </c>
      <c r="J5187" t="s">
        <v>1038</v>
      </c>
      <c r="K5187">
        <v>85.55</v>
      </c>
      <c r="L5187">
        <v>1172.0899999999999</v>
      </c>
      <c r="M5187">
        <v>937.66</v>
      </c>
      <c r="O5187" t="s">
        <v>34</v>
      </c>
    </row>
    <row r="5188" spans="1:15">
      <c r="A5188" t="s">
        <v>6860</v>
      </c>
      <c r="B5188" s="2">
        <v>44853.319386574076</v>
      </c>
      <c r="C5188" s="2">
        <v>44853.541006944448</v>
      </c>
      <c r="D5188" t="s">
        <v>976</v>
      </c>
      <c r="E5188" t="s">
        <v>6587</v>
      </c>
      <c r="F5188" t="s">
        <v>6588</v>
      </c>
      <c r="G5188" t="s">
        <v>1122</v>
      </c>
      <c r="H5188" t="s">
        <v>1031</v>
      </c>
      <c r="I5188">
        <v>185349003</v>
      </c>
      <c r="J5188" t="s">
        <v>1038</v>
      </c>
      <c r="K5188">
        <v>85.55</v>
      </c>
      <c r="L5188">
        <v>5262.35</v>
      </c>
      <c r="M5188">
        <v>4209.88</v>
      </c>
      <c r="N5188">
        <v>103697008</v>
      </c>
      <c r="O5188" t="s">
        <v>1039</v>
      </c>
    </row>
    <row r="5189" spans="1:15">
      <c r="A5189" t="s">
        <v>6861</v>
      </c>
      <c r="B5189" s="2">
        <v>44860.319386574076</v>
      </c>
      <c r="C5189" s="2">
        <v>44860.404108796298</v>
      </c>
      <c r="D5189" t="s">
        <v>976</v>
      </c>
      <c r="E5189" t="s">
        <v>6587</v>
      </c>
      <c r="F5189" t="s">
        <v>6588</v>
      </c>
      <c r="G5189" t="s">
        <v>1122</v>
      </c>
      <c r="H5189" t="s">
        <v>1031</v>
      </c>
      <c r="I5189">
        <v>185347001</v>
      </c>
      <c r="J5189" t="s">
        <v>1124</v>
      </c>
      <c r="K5189">
        <v>85.55</v>
      </c>
      <c r="L5189">
        <v>1755.83</v>
      </c>
      <c r="M5189">
        <v>1404.66</v>
      </c>
      <c r="N5189">
        <v>431857002</v>
      </c>
      <c r="O5189" t="s">
        <v>4125</v>
      </c>
    </row>
    <row r="5190" spans="1:15">
      <c r="A5190" t="s">
        <v>6862</v>
      </c>
      <c r="B5190" s="2">
        <v>44860.404108796298</v>
      </c>
      <c r="C5190" s="2">
        <v>44860.414525462962</v>
      </c>
      <c r="D5190" t="s">
        <v>976</v>
      </c>
      <c r="E5190" t="s">
        <v>6587</v>
      </c>
      <c r="F5190" t="s">
        <v>6588</v>
      </c>
      <c r="G5190" t="s">
        <v>1122</v>
      </c>
      <c r="H5190" t="s">
        <v>1031</v>
      </c>
      <c r="I5190">
        <v>185347001</v>
      </c>
      <c r="J5190" t="s">
        <v>1124</v>
      </c>
      <c r="K5190">
        <v>85.55</v>
      </c>
      <c r="L5190">
        <v>234.71</v>
      </c>
      <c r="M5190">
        <v>187.76</v>
      </c>
      <c r="N5190">
        <v>431857002</v>
      </c>
      <c r="O5190" t="s">
        <v>4125</v>
      </c>
    </row>
    <row r="5191" spans="1:15">
      <c r="A5191" t="s">
        <v>6863</v>
      </c>
      <c r="B5191" s="2">
        <v>44863.404108796298</v>
      </c>
      <c r="C5191" s="2">
        <v>44863.517997685187</v>
      </c>
      <c r="D5191" t="s">
        <v>976</v>
      </c>
      <c r="E5191" t="s">
        <v>6587</v>
      </c>
      <c r="F5191" t="s">
        <v>6588</v>
      </c>
      <c r="G5191" t="s">
        <v>1122</v>
      </c>
      <c r="H5191" t="s">
        <v>1031</v>
      </c>
      <c r="I5191">
        <v>185347001</v>
      </c>
      <c r="J5191" t="s">
        <v>1124</v>
      </c>
      <c r="K5191">
        <v>85.55</v>
      </c>
      <c r="L5191">
        <v>535.87</v>
      </c>
      <c r="M5191">
        <v>428.7</v>
      </c>
      <c r="N5191">
        <v>431857002</v>
      </c>
      <c r="O5191" t="s">
        <v>4125</v>
      </c>
    </row>
    <row r="5192" spans="1:15">
      <c r="A5192" t="s">
        <v>6864</v>
      </c>
      <c r="B5192" s="2">
        <v>44866.517997685187</v>
      </c>
      <c r="C5192" s="2">
        <v>44866.635358796295</v>
      </c>
      <c r="D5192" t="s">
        <v>976</v>
      </c>
      <c r="E5192" t="s">
        <v>6587</v>
      </c>
      <c r="F5192" t="s">
        <v>6588</v>
      </c>
      <c r="G5192" t="s">
        <v>1122</v>
      </c>
      <c r="H5192" t="s">
        <v>1031</v>
      </c>
      <c r="I5192">
        <v>185347001</v>
      </c>
      <c r="J5192" t="s">
        <v>1124</v>
      </c>
      <c r="K5192">
        <v>85.55</v>
      </c>
      <c r="L5192">
        <v>1105.99</v>
      </c>
      <c r="M5192">
        <v>884.79</v>
      </c>
      <c r="N5192">
        <v>431857002</v>
      </c>
      <c r="O5192" t="s">
        <v>4125</v>
      </c>
    </row>
    <row r="5193" spans="1:15">
      <c r="A5193" t="s">
        <v>6865</v>
      </c>
      <c r="B5193" s="2">
        <v>44874.277719907404</v>
      </c>
      <c r="C5193" s="2">
        <v>44874.315949074073</v>
      </c>
      <c r="D5193" t="s">
        <v>976</v>
      </c>
      <c r="E5193" t="s">
        <v>3753</v>
      </c>
      <c r="F5193" t="s">
        <v>3754</v>
      </c>
      <c r="G5193" t="s">
        <v>1122</v>
      </c>
      <c r="H5193" t="s">
        <v>1159</v>
      </c>
      <c r="I5193">
        <v>702927004</v>
      </c>
      <c r="J5193" t="s">
        <v>1160</v>
      </c>
      <c r="K5193">
        <v>142.58000000000001</v>
      </c>
      <c r="L5193">
        <v>872.3</v>
      </c>
      <c r="M5193">
        <v>697.82</v>
      </c>
      <c r="O5193" t="s">
        <v>34</v>
      </c>
    </row>
    <row r="5194" spans="1:15">
      <c r="A5194" t="s">
        <v>6866</v>
      </c>
      <c r="B5194" s="2">
        <v>44881.277719907404</v>
      </c>
      <c r="C5194" s="2">
        <v>44881.288136574076</v>
      </c>
      <c r="D5194" t="s">
        <v>976</v>
      </c>
      <c r="E5194" t="s">
        <v>6587</v>
      </c>
      <c r="F5194" t="s">
        <v>6588</v>
      </c>
      <c r="G5194" t="s">
        <v>1122</v>
      </c>
      <c r="H5194" t="s">
        <v>1043</v>
      </c>
      <c r="I5194">
        <v>185349003</v>
      </c>
      <c r="J5194" t="s">
        <v>1038</v>
      </c>
      <c r="K5194">
        <v>85.55</v>
      </c>
      <c r="L5194">
        <v>234.71</v>
      </c>
      <c r="M5194">
        <v>187.76</v>
      </c>
      <c r="O5194" t="s">
        <v>34</v>
      </c>
    </row>
    <row r="5195" spans="1:15">
      <c r="A5195" t="s">
        <v>6867</v>
      </c>
      <c r="B5195" s="2">
        <v>43745.843541666669</v>
      </c>
      <c r="C5195" s="2">
        <v>43745.885208333333</v>
      </c>
      <c r="D5195" t="s">
        <v>994</v>
      </c>
      <c r="E5195" t="s">
        <v>6827</v>
      </c>
      <c r="F5195" t="s">
        <v>6828</v>
      </c>
      <c r="G5195" t="s">
        <v>1122</v>
      </c>
      <c r="H5195" t="s">
        <v>1076</v>
      </c>
      <c r="I5195">
        <v>50849002</v>
      </c>
      <c r="J5195" t="s">
        <v>1163</v>
      </c>
      <c r="K5195">
        <v>146.18</v>
      </c>
      <c r="L5195">
        <v>1008.98</v>
      </c>
      <c r="M5195">
        <v>807.18</v>
      </c>
      <c r="N5195">
        <v>125605004</v>
      </c>
      <c r="O5195" t="s">
        <v>1644</v>
      </c>
    </row>
    <row r="5196" spans="1:15">
      <c r="A5196" t="s">
        <v>6868</v>
      </c>
      <c r="B5196" s="2">
        <v>44888.277719907404</v>
      </c>
      <c r="C5196" s="2">
        <v>44888.381886574076</v>
      </c>
      <c r="D5196" t="s">
        <v>976</v>
      </c>
      <c r="E5196" t="s">
        <v>6587</v>
      </c>
      <c r="F5196" t="s">
        <v>6588</v>
      </c>
      <c r="G5196" t="s">
        <v>1122</v>
      </c>
      <c r="H5196" t="s">
        <v>1031</v>
      </c>
      <c r="I5196">
        <v>185347001</v>
      </c>
      <c r="J5196" t="s">
        <v>1124</v>
      </c>
      <c r="K5196">
        <v>85.55</v>
      </c>
      <c r="L5196">
        <v>570.39</v>
      </c>
      <c r="M5196">
        <v>456.31</v>
      </c>
      <c r="N5196">
        <v>431857002</v>
      </c>
      <c r="O5196" t="s">
        <v>4125</v>
      </c>
    </row>
    <row r="5197" spans="1:15">
      <c r="A5197" t="s">
        <v>6869</v>
      </c>
      <c r="B5197" s="2">
        <v>43765.826550925929</v>
      </c>
      <c r="C5197" s="2">
        <v>43765.859351851854</v>
      </c>
      <c r="D5197" t="s">
        <v>994</v>
      </c>
      <c r="E5197" t="s">
        <v>2061</v>
      </c>
      <c r="F5197" t="s">
        <v>2062</v>
      </c>
      <c r="G5197" t="s">
        <v>1122</v>
      </c>
      <c r="H5197" t="s">
        <v>1043</v>
      </c>
      <c r="I5197">
        <v>185349003</v>
      </c>
      <c r="J5197" t="s">
        <v>1038</v>
      </c>
      <c r="K5197">
        <v>85.55</v>
      </c>
      <c r="L5197">
        <v>1308.0899999999999</v>
      </c>
      <c r="M5197">
        <v>1046.46</v>
      </c>
      <c r="O5197" t="s">
        <v>34</v>
      </c>
    </row>
    <row r="5198" spans="1:15">
      <c r="A5198" t="s">
        <v>6870</v>
      </c>
      <c r="B5198" s="2">
        <v>44891.381886574076</v>
      </c>
      <c r="C5198" s="2">
        <v>44891.515914351854</v>
      </c>
      <c r="D5198" t="s">
        <v>976</v>
      </c>
      <c r="E5198" t="s">
        <v>6587</v>
      </c>
      <c r="F5198" t="s">
        <v>6588</v>
      </c>
      <c r="G5198" t="s">
        <v>1122</v>
      </c>
      <c r="H5198" t="s">
        <v>1031</v>
      </c>
      <c r="I5198">
        <v>185347001</v>
      </c>
      <c r="J5198" t="s">
        <v>1124</v>
      </c>
      <c r="K5198">
        <v>85.55</v>
      </c>
      <c r="L5198">
        <v>843.7</v>
      </c>
      <c r="M5198">
        <v>674.96</v>
      </c>
      <c r="N5198">
        <v>431857002</v>
      </c>
      <c r="O5198" t="s">
        <v>4125</v>
      </c>
    </row>
    <row r="5199" spans="1:15">
      <c r="A5199" t="s">
        <v>6871</v>
      </c>
      <c r="B5199" s="2">
        <v>44891.515914351854</v>
      </c>
      <c r="C5199" s="2">
        <v>44891.526331018518</v>
      </c>
      <c r="D5199" t="s">
        <v>976</v>
      </c>
      <c r="E5199" t="s">
        <v>6587</v>
      </c>
      <c r="F5199" t="s">
        <v>6588</v>
      </c>
      <c r="G5199" t="s">
        <v>1122</v>
      </c>
      <c r="H5199" t="s">
        <v>1031</v>
      </c>
      <c r="I5199">
        <v>185347001</v>
      </c>
      <c r="J5199" t="s">
        <v>1124</v>
      </c>
      <c r="K5199">
        <v>85.55</v>
      </c>
      <c r="L5199">
        <v>234.71</v>
      </c>
      <c r="M5199">
        <v>187.76</v>
      </c>
      <c r="N5199">
        <v>431857002</v>
      </c>
      <c r="O5199" t="s">
        <v>4125</v>
      </c>
    </row>
    <row r="5200" spans="1:15">
      <c r="A5200" t="s">
        <v>6872</v>
      </c>
      <c r="B5200" s="2">
        <v>44894.515914351854</v>
      </c>
      <c r="C5200" s="2">
        <v>44894.638831018521</v>
      </c>
      <c r="D5200" t="s">
        <v>976</v>
      </c>
      <c r="E5200" t="s">
        <v>6587</v>
      </c>
      <c r="F5200" t="s">
        <v>6588</v>
      </c>
      <c r="G5200" t="s">
        <v>1122</v>
      </c>
      <c r="H5200" t="s">
        <v>1031</v>
      </c>
      <c r="I5200">
        <v>185347001</v>
      </c>
      <c r="J5200" t="s">
        <v>1124</v>
      </c>
      <c r="K5200">
        <v>85.55</v>
      </c>
      <c r="L5200">
        <v>1791.03</v>
      </c>
      <c r="M5200">
        <v>1432.82</v>
      </c>
      <c r="N5200">
        <v>431857002</v>
      </c>
      <c r="O5200" t="s">
        <v>4125</v>
      </c>
    </row>
    <row r="5201" spans="1:15">
      <c r="A5201" t="s">
        <v>6873</v>
      </c>
      <c r="B5201" s="2">
        <v>44902.277719907404</v>
      </c>
      <c r="C5201" s="2">
        <v>44902.312719907408</v>
      </c>
      <c r="D5201" t="s">
        <v>976</v>
      </c>
      <c r="E5201" t="s">
        <v>3753</v>
      </c>
      <c r="F5201" t="s">
        <v>3754</v>
      </c>
      <c r="G5201" t="s">
        <v>1122</v>
      </c>
      <c r="H5201" t="s">
        <v>1159</v>
      </c>
      <c r="I5201">
        <v>702927004</v>
      </c>
      <c r="J5201" t="s">
        <v>1160</v>
      </c>
      <c r="K5201">
        <v>142.58000000000001</v>
      </c>
      <c r="L5201">
        <v>1239.8900000000001</v>
      </c>
      <c r="M5201">
        <v>991.89</v>
      </c>
      <c r="O5201" t="s">
        <v>34</v>
      </c>
    </row>
    <row r="5202" spans="1:15">
      <c r="A5202" t="s">
        <v>6874</v>
      </c>
      <c r="B5202" s="2">
        <v>43821.784884259258</v>
      </c>
      <c r="C5202" s="2">
        <v>43821.80914351852</v>
      </c>
      <c r="D5202" t="s">
        <v>994</v>
      </c>
      <c r="E5202" t="s">
        <v>2061</v>
      </c>
      <c r="F5202" t="s">
        <v>2062</v>
      </c>
      <c r="G5202" t="s">
        <v>1122</v>
      </c>
      <c r="H5202" t="s">
        <v>1043</v>
      </c>
      <c r="I5202">
        <v>185349003</v>
      </c>
      <c r="J5202" t="s">
        <v>1038</v>
      </c>
      <c r="K5202">
        <v>85.55</v>
      </c>
      <c r="L5202">
        <v>1172.0899999999999</v>
      </c>
      <c r="M5202">
        <v>937.66</v>
      </c>
      <c r="O5202" t="s">
        <v>34</v>
      </c>
    </row>
    <row r="5203" spans="1:15">
      <c r="A5203" t="s">
        <v>6875</v>
      </c>
      <c r="B5203" s="2">
        <v>43828.784884259258</v>
      </c>
      <c r="C5203" s="2">
        <v>43828.795300925929</v>
      </c>
      <c r="D5203" t="s">
        <v>994</v>
      </c>
      <c r="E5203" t="s">
        <v>2061</v>
      </c>
      <c r="F5203" t="s">
        <v>2062</v>
      </c>
      <c r="G5203" t="s">
        <v>1122</v>
      </c>
      <c r="H5203" t="s">
        <v>1031</v>
      </c>
      <c r="I5203">
        <v>185349003</v>
      </c>
      <c r="J5203" t="s">
        <v>1038</v>
      </c>
      <c r="K5203">
        <v>85.55</v>
      </c>
      <c r="L5203">
        <v>85.55</v>
      </c>
      <c r="M5203">
        <v>68.44</v>
      </c>
      <c r="N5203">
        <v>263102004</v>
      </c>
      <c r="O5203" t="s">
        <v>2337</v>
      </c>
    </row>
    <row r="5204" spans="1:15">
      <c r="A5204" t="s">
        <v>6876</v>
      </c>
      <c r="B5204" s="2">
        <v>43835.784884259258</v>
      </c>
      <c r="C5204" s="2">
        <v>43836.036273148151</v>
      </c>
      <c r="D5204" t="s">
        <v>994</v>
      </c>
      <c r="E5204" t="s">
        <v>2061</v>
      </c>
      <c r="F5204" t="s">
        <v>2062</v>
      </c>
      <c r="G5204" t="s">
        <v>1122</v>
      </c>
      <c r="H5204" t="s">
        <v>1031</v>
      </c>
      <c r="I5204">
        <v>185349003</v>
      </c>
      <c r="J5204" t="s">
        <v>1038</v>
      </c>
      <c r="K5204">
        <v>85.55</v>
      </c>
      <c r="L5204">
        <v>4830.95</v>
      </c>
      <c r="M5204">
        <v>3864.76</v>
      </c>
      <c r="N5204">
        <v>66383009</v>
      </c>
      <c r="O5204" t="s">
        <v>1209</v>
      </c>
    </row>
    <row r="5205" spans="1:15">
      <c r="A5205" t="s">
        <v>6877</v>
      </c>
      <c r="B5205" s="2">
        <v>44909.277719907404</v>
      </c>
      <c r="C5205" s="2">
        <v>44909.288136574076</v>
      </c>
      <c r="D5205" t="s">
        <v>976</v>
      </c>
      <c r="E5205" t="s">
        <v>3753</v>
      </c>
      <c r="F5205" t="s">
        <v>3754</v>
      </c>
      <c r="G5205" t="s">
        <v>1122</v>
      </c>
      <c r="H5205" t="s">
        <v>1159</v>
      </c>
      <c r="I5205">
        <v>702927004</v>
      </c>
      <c r="J5205" t="s">
        <v>1160</v>
      </c>
      <c r="K5205">
        <v>142.58000000000001</v>
      </c>
      <c r="L5205">
        <v>585.41999999999996</v>
      </c>
      <c r="M5205">
        <v>468.32</v>
      </c>
      <c r="O5205" t="s">
        <v>34</v>
      </c>
    </row>
    <row r="5206" spans="1:15">
      <c r="A5206" t="s">
        <v>6878</v>
      </c>
      <c r="B5206" s="2">
        <v>44916.277719907404</v>
      </c>
      <c r="C5206" s="2">
        <v>44916.424247685187</v>
      </c>
      <c r="D5206" t="s">
        <v>976</v>
      </c>
      <c r="E5206" t="s">
        <v>6587</v>
      </c>
      <c r="F5206" t="s">
        <v>6588</v>
      </c>
      <c r="G5206" t="s">
        <v>1122</v>
      </c>
      <c r="H5206" t="s">
        <v>1031</v>
      </c>
      <c r="I5206">
        <v>185347001</v>
      </c>
      <c r="J5206" t="s">
        <v>1124</v>
      </c>
      <c r="K5206">
        <v>85.55</v>
      </c>
      <c r="L5206">
        <v>959.5</v>
      </c>
      <c r="M5206">
        <v>767.6</v>
      </c>
      <c r="N5206">
        <v>431857002</v>
      </c>
      <c r="O5206" t="s">
        <v>4125</v>
      </c>
    </row>
    <row r="5207" spans="1:15">
      <c r="A5207" t="s">
        <v>6879</v>
      </c>
      <c r="B5207" s="2">
        <v>43961.826550925929</v>
      </c>
      <c r="C5207" s="2">
        <v>43961.848993055559</v>
      </c>
      <c r="D5207" t="s">
        <v>994</v>
      </c>
      <c r="E5207" t="s">
        <v>6821</v>
      </c>
      <c r="F5207" t="s">
        <v>6822</v>
      </c>
      <c r="G5207" t="s">
        <v>1122</v>
      </c>
      <c r="H5207" t="s">
        <v>1020</v>
      </c>
      <c r="I5207">
        <v>162673000</v>
      </c>
      <c r="J5207" t="s">
        <v>1021</v>
      </c>
      <c r="K5207">
        <v>136.80000000000001</v>
      </c>
      <c r="L5207">
        <v>2160.7199999999998</v>
      </c>
      <c r="M5207">
        <v>1650.06</v>
      </c>
      <c r="O5207" t="s">
        <v>34</v>
      </c>
    </row>
    <row r="5208" spans="1:15">
      <c r="A5208" t="s">
        <v>6880</v>
      </c>
      <c r="B5208" s="2">
        <v>44919.424247685187</v>
      </c>
      <c r="C5208" s="2">
        <v>44919.522858796299</v>
      </c>
      <c r="D5208" t="s">
        <v>976</v>
      </c>
      <c r="E5208" t="s">
        <v>6587</v>
      </c>
      <c r="F5208" t="s">
        <v>6588</v>
      </c>
      <c r="G5208" t="s">
        <v>1122</v>
      </c>
      <c r="H5208" t="s">
        <v>1031</v>
      </c>
      <c r="I5208">
        <v>185347001</v>
      </c>
      <c r="J5208" t="s">
        <v>1124</v>
      </c>
      <c r="K5208">
        <v>85.55</v>
      </c>
      <c r="L5208">
        <v>535.87</v>
      </c>
      <c r="M5208">
        <v>428.7</v>
      </c>
      <c r="N5208">
        <v>431857002</v>
      </c>
      <c r="O5208" t="s">
        <v>4125</v>
      </c>
    </row>
    <row r="5209" spans="1:15">
      <c r="A5209" t="s">
        <v>6881</v>
      </c>
      <c r="B5209" s="2">
        <v>44922.522858796299</v>
      </c>
      <c r="C5209" s="2">
        <v>44922.674247685187</v>
      </c>
      <c r="D5209" t="s">
        <v>976</v>
      </c>
      <c r="E5209" t="s">
        <v>6587</v>
      </c>
      <c r="F5209" t="s">
        <v>6588</v>
      </c>
      <c r="G5209" t="s">
        <v>1122</v>
      </c>
      <c r="H5209" t="s">
        <v>1031</v>
      </c>
      <c r="I5209">
        <v>185347001</v>
      </c>
      <c r="J5209" t="s">
        <v>1124</v>
      </c>
      <c r="K5209">
        <v>85.55</v>
      </c>
      <c r="L5209">
        <v>535.87</v>
      </c>
      <c r="M5209">
        <v>428.7</v>
      </c>
      <c r="N5209">
        <v>431857002</v>
      </c>
      <c r="O5209" t="s">
        <v>4125</v>
      </c>
    </row>
    <row r="5210" spans="1:15">
      <c r="A5210" t="s">
        <v>6882</v>
      </c>
      <c r="B5210" s="2">
        <v>44922.674247685187</v>
      </c>
      <c r="C5210" s="2">
        <v>44922.684664351851</v>
      </c>
      <c r="D5210" t="s">
        <v>976</v>
      </c>
      <c r="E5210" t="s">
        <v>6587</v>
      </c>
      <c r="F5210" t="s">
        <v>6588</v>
      </c>
      <c r="G5210" t="s">
        <v>1122</v>
      </c>
      <c r="H5210" t="s">
        <v>1031</v>
      </c>
      <c r="I5210">
        <v>185347001</v>
      </c>
      <c r="J5210" t="s">
        <v>1124</v>
      </c>
      <c r="K5210">
        <v>85.55</v>
      </c>
      <c r="L5210">
        <v>234.71</v>
      </c>
      <c r="M5210">
        <v>187.76</v>
      </c>
      <c r="N5210">
        <v>431857002</v>
      </c>
      <c r="O5210" t="s">
        <v>4125</v>
      </c>
    </row>
    <row r="5211" spans="1:15">
      <c r="A5211" t="s">
        <v>6883</v>
      </c>
      <c r="B5211" s="2">
        <v>44930.277719907404</v>
      </c>
      <c r="C5211" s="2">
        <v>44930.300324074073</v>
      </c>
      <c r="D5211" t="s">
        <v>976</v>
      </c>
      <c r="E5211" t="s">
        <v>3753</v>
      </c>
      <c r="F5211" t="s">
        <v>3754</v>
      </c>
      <c r="G5211" t="s">
        <v>1122</v>
      </c>
      <c r="H5211" t="s">
        <v>1159</v>
      </c>
      <c r="I5211">
        <v>702927004</v>
      </c>
      <c r="J5211" t="s">
        <v>1160</v>
      </c>
      <c r="K5211">
        <v>142.58000000000001</v>
      </c>
      <c r="L5211">
        <v>1735.1</v>
      </c>
      <c r="M5211">
        <v>1388.06</v>
      </c>
      <c r="O5211" t="s">
        <v>34</v>
      </c>
    </row>
    <row r="5212" spans="1:15">
      <c r="A5212" t="s">
        <v>6884</v>
      </c>
      <c r="B5212" s="2">
        <v>44937.277719907404</v>
      </c>
      <c r="C5212" s="2">
        <v>44937.288136574076</v>
      </c>
      <c r="D5212" t="s">
        <v>976</v>
      </c>
      <c r="E5212" t="s">
        <v>3753</v>
      </c>
      <c r="F5212" t="s">
        <v>3754</v>
      </c>
      <c r="G5212" t="s">
        <v>1122</v>
      </c>
      <c r="H5212" t="s">
        <v>1159</v>
      </c>
      <c r="I5212">
        <v>702927004</v>
      </c>
      <c r="J5212" t="s">
        <v>1160</v>
      </c>
      <c r="K5212">
        <v>142.58000000000001</v>
      </c>
      <c r="L5212">
        <v>1154.54</v>
      </c>
      <c r="M5212">
        <v>923.62</v>
      </c>
      <c r="O5212" t="s">
        <v>34</v>
      </c>
    </row>
    <row r="5213" spans="1:15">
      <c r="A5213" t="s">
        <v>6885</v>
      </c>
      <c r="B5213" s="2">
        <v>44944.277719907404</v>
      </c>
      <c r="C5213" s="2">
        <v>44944.372164351851</v>
      </c>
      <c r="D5213" t="s">
        <v>976</v>
      </c>
      <c r="E5213" t="s">
        <v>6587</v>
      </c>
      <c r="F5213" t="s">
        <v>6588</v>
      </c>
      <c r="G5213" t="s">
        <v>1122</v>
      </c>
      <c r="H5213" t="s">
        <v>1031</v>
      </c>
      <c r="I5213">
        <v>185347001</v>
      </c>
      <c r="J5213" t="s">
        <v>1124</v>
      </c>
      <c r="K5213">
        <v>85.55</v>
      </c>
      <c r="L5213">
        <v>1614.49</v>
      </c>
      <c r="M5213">
        <v>1291.5899999999999</v>
      </c>
      <c r="N5213">
        <v>431857002</v>
      </c>
      <c r="O5213" t="s">
        <v>4125</v>
      </c>
    </row>
    <row r="5214" spans="1:15">
      <c r="A5214" t="s">
        <v>6886</v>
      </c>
      <c r="B5214" s="2">
        <v>44947.372164351851</v>
      </c>
      <c r="C5214" s="2">
        <v>44947.533275462964</v>
      </c>
      <c r="D5214" t="s">
        <v>976</v>
      </c>
      <c r="E5214" t="s">
        <v>6587</v>
      </c>
      <c r="F5214" t="s">
        <v>6588</v>
      </c>
      <c r="G5214" t="s">
        <v>1122</v>
      </c>
      <c r="H5214" t="s">
        <v>1031</v>
      </c>
      <c r="I5214">
        <v>185347001</v>
      </c>
      <c r="J5214" t="s">
        <v>1124</v>
      </c>
      <c r="K5214">
        <v>85.55</v>
      </c>
      <c r="L5214">
        <v>1777.43</v>
      </c>
      <c r="M5214">
        <v>1421.94</v>
      </c>
      <c r="N5214">
        <v>431857002</v>
      </c>
      <c r="O5214" t="s">
        <v>4125</v>
      </c>
    </row>
    <row r="5215" spans="1:15">
      <c r="A5215" t="s">
        <v>6887</v>
      </c>
      <c r="B5215" s="2">
        <v>44950.533275462964</v>
      </c>
      <c r="C5215" s="2">
        <v>44950.670081018521</v>
      </c>
      <c r="D5215" t="s">
        <v>976</v>
      </c>
      <c r="E5215" t="s">
        <v>6587</v>
      </c>
      <c r="F5215" t="s">
        <v>6588</v>
      </c>
      <c r="G5215" t="s">
        <v>1122</v>
      </c>
      <c r="H5215" t="s">
        <v>1031</v>
      </c>
      <c r="I5215">
        <v>185347001</v>
      </c>
      <c r="J5215" t="s">
        <v>1124</v>
      </c>
      <c r="K5215">
        <v>85.55</v>
      </c>
      <c r="L5215">
        <v>535.87</v>
      </c>
      <c r="M5215">
        <v>428.7</v>
      </c>
      <c r="N5215">
        <v>431857002</v>
      </c>
      <c r="O5215" t="s">
        <v>4125</v>
      </c>
    </row>
    <row r="5216" spans="1:15">
      <c r="A5216" t="s">
        <v>6888</v>
      </c>
      <c r="B5216" s="2">
        <v>44958.277719907404</v>
      </c>
      <c r="C5216" s="2">
        <v>44958.304826388892</v>
      </c>
      <c r="D5216" t="s">
        <v>976</v>
      </c>
      <c r="E5216" t="s">
        <v>3753</v>
      </c>
      <c r="F5216" t="s">
        <v>3754</v>
      </c>
      <c r="G5216" t="s">
        <v>1122</v>
      </c>
      <c r="H5216" t="s">
        <v>1159</v>
      </c>
      <c r="I5216">
        <v>702927004</v>
      </c>
      <c r="J5216" t="s">
        <v>1160</v>
      </c>
      <c r="K5216">
        <v>142.58000000000001</v>
      </c>
      <c r="L5216">
        <v>872.3</v>
      </c>
      <c r="M5216">
        <v>697.82</v>
      </c>
      <c r="O5216" t="s">
        <v>34</v>
      </c>
    </row>
    <row r="5217" spans="1:15">
      <c r="A5217" t="s">
        <v>6889</v>
      </c>
      <c r="B5217" s="2">
        <v>44003.826550925929</v>
      </c>
      <c r="C5217" s="2">
        <v>44003.852476851855</v>
      </c>
      <c r="D5217" t="s">
        <v>994</v>
      </c>
      <c r="E5217" t="s">
        <v>2061</v>
      </c>
      <c r="F5217" t="s">
        <v>2062</v>
      </c>
      <c r="G5217" t="s">
        <v>1122</v>
      </c>
      <c r="H5217" t="s">
        <v>1043</v>
      </c>
      <c r="I5217">
        <v>185349003</v>
      </c>
      <c r="J5217" t="s">
        <v>1038</v>
      </c>
      <c r="K5217">
        <v>85.55</v>
      </c>
      <c r="L5217">
        <v>1097.55</v>
      </c>
      <c r="M5217">
        <v>878.03</v>
      </c>
      <c r="O5217" t="s">
        <v>34</v>
      </c>
    </row>
    <row r="5218" spans="1:15">
      <c r="A5218" t="s">
        <v>6890</v>
      </c>
      <c r="B5218" s="2">
        <v>44965.277719907404</v>
      </c>
      <c r="C5218" s="2">
        <v>44965.385358796295</v>
      </c>
      <c r="D5218" t="s">
        <v>976</v>
      </c>
      <c r="E5218" t="s">
        <v>6587</v>
      </c>
      <c r="F5218" t="s">
        <v>6588</v>
      </c>
      <c r="G5218" t="s">
        <v>1122</v>
      </c>
      <c r="H5218" t="s">
        <v>1031</v>
      </c>
      <c r="I5218">
        <v>185347001</v>
      </c>
      <c r="J5218" t="s">
        <v>1124</v>
      </c>
      <c r="K5218">
        <v>85.55</v>
      </c>
      <c r="L5218">
        <v>801.95</v>
      </c>
      <c r="M5218">
        <v>641.55999999999995</v>
      </c>
      <c r="N5218">
        <v>431857002</v>
      </c>
      <c r="O5218" t="s">
        <v>4125</v>
      </c>
    </row>
    <row r="5219" spans="1:15">
      <c r="A5219" t="s">
        <v>6891</v>
      </c>
      <c r="B5219" s="2">
        <v>44965.385358796295</v>
      </c>
      <c r="C5219" s="2">
        <v>44965.395775462966</v>
      </c>
      <c r="D5219" t="s">
        <v>976</v>
      </c>
      <c r="E5219" t="s">
        <v>6587</v>
      </c>
      <c r="F5219" t="s">
        <v>6588</v>
      </c>
      <c r="G5219" t="s">
        <v>1122</v>
      </c>
      <c r="H5219" t="s">
        <v>1031</v>
      </c>
      <c r="I5219">
        <v>185347001</v>
      </c>
      <c r="J5219" t="s">
        <v>1124</v>
      </c>
      <c r="K5219">
        <v>85.55</v>
      </c>
      <c r="L5219">
        <v>234.71</v>
      </c>
      <c r="M5219">
        <v>187.76</v>
      </c>
      <c r="N5219">
        <v>431857002</v>
      </c>
      <c r="O5219" t="s">
        <v>4125</v>
      </c>
    </row>
    <row r="5220" spans="1:15">
      <c r="A5220" t="s">
        <v>6892</v>
      </c>
      <c r="B5220" s="2">
        <v>44094.826550925929</v>
      </c>
      <c r="C5220" s="2">
        <v>44094.853368055556</v>
      </c>
      <c r="D5220" t="s">
        <v>994</v>
      </c>
      <c r="E5220" t="s">
        <v>2061</v>
      </c>
      <c r="F5220" t="s">
        <v>2062</v>
      </c>
      <c r="G5220" t="s">
        <v>1122</v>
      </c>
      <c r="H5220" t="s">
        <v>1043</v>
      </c>
      <c r="I5220">
        <v>185349003</v>
      </c>
      <c r="J5220" t="s">
        <v>1038</v>
      </c>
      <c r="K5220">
        <v>85.55</v>
      </c>
      <c r="L5220">
        <v>1690.1</v>
      </c>
      <c r="M5220">
        <v>1352.07</v>
      </c>
      <c r="O5220" t="s">
        <v>34</v>
      </c>
    </row>
    <row r="5221" spans="1:15">
      <c r="A5221" t="s">
        <v>6893</v>
      </c>
      <c r="B5221" s="2">
        <v>44968.385358796295</v>
      </c>
      <c r="C5221" s="2">
        <v>44968.511747685188</v>
      </c>
      <c r="D5221" t="s">
        <v>976</v>
      </c>
      <c r="E5221" t="s">
        <v>6587</v>
      </c>
      <c r="F5221" t="s">
        <v>6588</v>
      </c>
      <c r="G5221" t="s">
        <v>1122</v>
      </c>
      <c r="H5221" t="s">
        <v>1031</v>
      </c>
      <c r="I5221">
        <v>185347001</v>
      </c>
      <c r="J5221" t="s">
        <v>1124</v>
      </c>
      <c r="K5221">
        <v>85.55</v>
      </c>
      <c r="L5221">
        <v>546.1</v>
      </c>
      <c r="M5221">
        <v>436.88</v>
      </c>
      <c r="N5221">
        <v>431857002</v>
      </c>
      <c r="O5221" t="s">
        <v>4125</v>
      </c>
    </row>
    <row r="5222" spans="1:15">
      <c r="A5222" t="s">
        <v>6894</v>
      </c>
      <c r="B5222" s="2">
        <v>44971.511747685188</v>
      </c>
      <c r="C5222" s="2">
        <v>44971.633969907409</v>
      </c>
      <c r="D5222" t="s">
        <v>976</v>
      </c>
      <c r="E5222" t="s">
        <v>6587</v>
      </c>
      <c r="F5222" t="s">
        <v>6588</v>
      </c>
      <c r="G5222" t="s">
        <v>1122</v>
      </c>
      <c r="H5222" t="s">
        <v>1031</v>
      </c>
      <c r="I5222">
        <v>185347001</v>
      </c>
      <c r="J5222" t="s">
        <v>1124</v>
      </c>
      <c r="K5222">
        <v>85.55</v>
      </c>
      <c r="L5222">
        <v>994.53</v>
      </c>
      <c r="M5222">
        <v>795.62</v>
      </c>
      <c r="N5222">
        <v>431857002</v>
      </c>
      <c r="O5222" t="s">
        <v>4125</v>
      </c>
    </row>
    <row r="5223" spans="1:15">
      <c r="A5223" t="s">
        <v>6895</v>
      </c>
      <c r="B5223" s="2">
        <v>44979.277719907404</v>
      </c>
      <c r="C5223" s="2">
        <v>44979.569108796299</v>
      </c>
      <c r="D5223" t="s">
        <v>976</v>
      </c>
      <c r="E5223" t="s">
        <v>6587</v>
      </c>
      <c r="F5223" t="s">
        <v>6588</v>
      </c>
      <c r="G5223" t="s">
        <v>1122</v>
      </c>
      <c r="H5223" t="s">
        <v>1031</v>
      </c>
      <c r="I5223">
        <v>185349003</v>
      </c>
      <c r="J5223" t="s">
        <v>1038</v>
      </c>
      <c r="K5223">
        <v>85.55</v>
      </c>
      <c r="L5223">
        <v>5262.35</v>
      </c>
      <c r="M5223">
        <v>4209.88</v>
      </c>
      <c r="N5223">
        <v>103697008</v>
      </c>
      <c r="O5223" t="s">
        <v>1039</v>
      </c>
    </row>
    <row r="5224" spans="1:15">
      <c r="A5224" t="s">
        <v>6896</v>
      </c>
      <c r="B5224" s="2">
        <v>44220.784884259258</v>
      </c>
      <c r="C5224" s="2">
        <v>44220.795300925929</v>
      </c>
      <c r="D5224" t="s">
        <v>994</v>
      </c>
      <c r="E5224" t="s">
        <v>2061</v>
      </c>
      <c r="F5224" t="s">
        <v>2062</v>
      </c>
      <c r="G5224" t="s">
        <v>1122</v>
      </c>
      <c r="H5224" t="s">
        <v>1043</v>
      </c>
      <c r="I5224">
        <v>33879002</v>
      </c>
      <c r="J5224" t="s">
        <v>1044</v>
      </c>
      <c r="K5224">
        <v>142.58000000000001</v>
      </c>
      <c r="L5224">
        <v>278.58</v>
      </c>
      <c r="M5224">
        <v>222.86</v>
      </c>
      <c r="O5224" t="s">
        <v>34</v>
      </c>
    </row>
    <row r="5225" spans="1:15">
      <c r="A5225" t="s">
        <v>6897</v>
      </c>
      <c r="B5225" s="2">
        <v>44241.784884259258</v>
      </c>
      <c r="C5225" s="2">
        <v>44241.795300925929</v>
      </c>
      <c r="D5225" t="s">
        <v>994</v>
      </c>
      <c r="E5225" t="s">
        <v>2061</v>
      </c>
      <c r="F5225" t="s">
        <v>2062</v>
      </c>
      <c r="G5225" t="s">
        <v>1122</v>
      </c>
      <c r="H5225" t="s">
        <v>1043</v>
      </c>
      <c r="I5225">
        <v>33879002</v>
      </c>
      <c r="J5225" t="s">
        <v>1044</v>
      </c>
      <c r="K5225">
        <v>142.58000000000001</v>
      </c>
      <c r="L5225">
        <v>278.58</v>
      </c>
      <c r="M5225">
        <v>222.86</v>
      </c>
      <c r="O5225" t="s">
        <v>34</v>
      </c>
    </row>
    <row r="5226" spans="1:15">
      <c r="A5226" t="s">
        <v>6898</v>
      </c>
      <c r="B5226" s="2">
        <v>44986.277719907404</v>
      </c>
      <c r="C5226" s="2">
        <v>44986.331608796296</v>
      </c>
      <c r="D5226" t="s">
        <v>976</v>
      </c>
      <c r="E5226" t="s">
        <v>6587</v>
      </c>
      <c r="F5226" t="s">
        <v>6588</v>
      </c>
      <c r="G5226" t="s">
        <v>1122</v>
      </c>
      <c r="H5226" t="s">
        <v>1031</v>
      </c>
      <c r="I5226">
        <v>185347001</v>
      </c>
      <c r="J5226" t="s">
        <v>1124</v>
      </c>
      <c r="K5226">
        <v>85.55</v>
      </c>
      <c r="L5226">
        <v>1379.75</v>
      </c>
      <c r="M5226">
        <v>1103.8</v>
      </c>
      <c r="N5226">
        <v>37320007</v>
      </c>
      <c r="O5226" t="s">
        <v>1125</v>
      </c>
    </row>
    <row r="5227" spans="1:15">
      <c r="A5227" t="s">
        <v>6899</v>
      </c>
      <c r="B5227" s="2">
        <v>44993.277719907404</v>
      </c>
      <c r="C5227" s="2">
        <v>44993.37771990741</v>
      </c>
      <c r="D5227" t="s">
        <v>976</v>
      </c>
      <c r="E5227" t="s">
        <v>6587</v>
      </c>
      <c r="F5227" t="s">
        <v>6588</v>
      </c>
      <c r="G5227" t="s">
        <v>1122</v>
      </c>
      <c r="H5227" t="s">
        <v>1031</v>
      </c>
      <c r="I5227">
        <v>185347001</v>
      </c>
      <c r="J5227" t="s">
        <v>1124</v>
      </c>
      <c r="K5227">
        <v>85.55</v>
      </c>
      <c r="L5227">
        <v>535.87</v>
      </c>
      <c r="M5227">
        <v>428.7</v>
      </c>
      <c r="N5227">
        <v>431857002</v>
      </c>
      <c r="O5227" t="s">
        <v>4125</v>
      </c>
    </row>
    <row r="5228" spans="1:15">
      <c r="A5228" t="s">
        <v>6900</v>
      </c>
      <c r="B5228" s="2">
        <v>44996.37771990741</v>
      </c>
      <c r="C5228" s="2">
        <v>44996.496469907404</v>
      </c>
      <c r="D5228" t="s">
        <v>976</v>
      </c>
      <c r="E5228" t="s">
        <v>6587</v>
      </c>
      <c r="F5228" t="s">
        <v>6588</v>
      </c>
      <c r="G5228" t="s">
        <v>1122</v>
      </c>
      <c r="H5228" t="s">
        <v>1031</v>
      </c>
      <c r="I5228">
        <v>185347001</v>
      </c>
      <c r="J5228" t="s">
        <v>1124</v>
      </c>
      <c r="K5228">
        <v>85.55</v>
      </c>
      <c r="L5228">
        <v>535.87</v>
      </c>
      <c r="M5228">
        <v>428.7</v>
      </c>
      <c r="N5228">
        <v>431857002</v>
      </c>
      <c r="O5228" t="s">
        <v>4125</v>
      </c>
    </row>
    <row r="5229" spans="1:15">
      <c r="A5229" t="s">
        <v>6901</v>
      </c>
      <c r="B5229" s="2">
        <v>44996.496469907404</v>
      </c>
      <c r="C5229" s="2">
        <v>44996.506886574076</v>
      </c>
      <c r="D5229" t="s">
        <v>976</v>
      </c>
      <c r="E5229" t="s">
        <v>6587</v>
      </c>
      <c r="F5229" t="s">
        <v>6588</v>
      </c>
      <c r="G5229" t="s">
        <v>1122</v>
      </c>
      <c r="H5229" t="s">
        <v>1031</v>
      </c>
      <c r="I5229">
        <v>185347001</v>
      </c>
      <c r="J5229" t="s">
        <v>1124</v>
      </c>
      <c r="K5229">
        <v>85.55</v>
      </c>
      <c r="L5229">
        <v>234.71</v>
      </c>
      <c r="M5229">
        <v>187.76</v>
      </c>
      <c r="N5229">
        <v>431857002</v>
      </c>
      <c r="O5229" t="s">
        <v>4125</v>
      </c>
    </row>
    <row r="5230" spans="1:15">
      <c r="A5230" t="s">
        <v>6902</v>
      </c>
      <c r="B5230" s="2">
        <v>44999.538136574076</v>
      </c>
      <c r="C5230" s="2">
        <v>44999.622164351851</v>
      </c>
      <c r="D5230" t="s">
        <v>976</v>
      </c>
      <c r="E5230" t="s">
        <v>6587</v>
      </c>
      <c r="F5230" t="s">
        <v>6588</v>
      </c>
      <c r="G5230" t="s">
        <v>1122</v>
      </c>
      <c r="H5230" t="s">
        <v>1031</v>
      </c>
      <c r="I5230">
        <v>185347001</v>
      </c>
      <c r="J5230" t="s">
        <v>1124</v>
      </c>
      <c r="K5230">
        <v>85.55</v>
      </c>
      <c r="L5230">
        <v>535.87</v>
      </c>
      <c r="M5230">
        <v>428.7</v>
      </c>
      <c r="N5230">
        <v>431857002</v>
      </c>
      <c r="O5230" t="s">
        <v>4125</v>
      </c>
    </row>
    <row r="5231" spans="1:15">
      <c r="A5231" t="s">
        <v>6903</v>
      </c>
      <c r="B5231" s="2">
        <v>45007.319386574076</v>
      </c>
      <c r="C5231" s="2">
        <v>45007.342673611114</v>
      </c>
      <c r="D5231" t="s">
        <v>976</v>
      </c>
      <c r="E5231" t="s">
        <v>3753</v>
      </c>
      <c r="F5231" t="s">
        <v>3754</v>
      </c>
      <c r="G5231" t="s">
        <v>1122</v>
      </c>
      <c r="H5231" t="s">
        <v>1159</v>
      </c>
      <c r="I5231">
        <v>702927004</v>
      </c>
      <c r="J5231" t="s">
        <v>1160</v>
      </c>
      <c r="K5231">
        <v>142.58000000000001</v>
      </c>
      <c r="L5231">
        <v>872.3</v>
      </c>
      <c r="M5231">
        <v>697.82</v>
      </c>
      <c r="O5231" t="s">
        <v>34</v>
      </c>
    </row>
    <row r="5232" spans="1:15">
      <c r="A5232" t="s">
        <v>6904</v>
      </c>
      <c r="B5232" s="2">
        <v>44332.826550925929</v>
      </c>
      <c r="C5232" s="2">
        <v>44332.867303240739</v>
      </c>
      <c r="D5232" t="s">
        <v>994</v>
      </c>
      <c r="E5232" t="s">
        <v>6821</v>
      </c>
      <c r="F5232" t="s">
        <v>6822</v>
      </c>
      <c r="G5232" t="s">
        <v>1122</v>
      </c>
      <c r="H5232" t="s">
        <v>1020</v>
      </c>
      <c r="I5232">
        <v>162673000</v>
      </c>
      <c r="J5232" t="s">
        <v>1021</v>
      </c>
      <c r="K5232">
        <v>136.80000000000001</v>
      </c>
      <c r="L5232">
        <v>1575.04</v>
      </c>
      <c r="M5232">
        <v>1175.52</v>
      </c>
      <c r="O5232" t="s">
        <v>34</v>
      </c>
    </row>
    <row r="5233" spans="1:15">
      <c r="A5233" t="s">
        <v>6905</v>
      </c>
      <c r="B5233" s="2">
        <v>45007.37327546296</v>
      </c>
      <c r="C5233" s="2">
        <v>45007.398449074077</v>
      </c>
      <c r="D5233" t="s">
        <v>976</v>
      </c>
      <c r="E5233" t="s">
        <v>6587</v>
      </c>
      <c r="F5233" t="s">
        <v>6588</v>
      </c>
      <c r="G5233" t="s">
        <v>1122</v>
      </c>
      <c r="H5233" t="s">
        <v>1031</v>
      </c>
      <c r="I5233">
        <v>390906007</v>
      </c>
      <c r="J5233" t="s">
        <v>1255</v>
      </c>
      <c r="K5233">
        <v>85.55</v>
      </c>
      <c r="L5233">
        <v>516.95000000000005</v>
      </c>
      <c r="M5233">
        <v>413.56</v>
      </c>
      <c r="N5233">
        <v>37320007</v>
      </c>
      <c r="O5233" t="s">
        <v>1125</v>
      </c>
    </row>
    <row r="5234" spans="1:15">
      <c r="A5234" t="s">
        <v>6906</v>
      </c>
      <c r="B5234" s="2">
        <v>45014.319386574076</v>
      </c>
      <c r="C5234" s="2">
        <v>45014.453414351854</v>
      </c>
      <c r="D5234" t="s">
        <v>976</v>
      </c>
      <c r="E5234" t="s">
        <v>6587</v>
      </c>
      <c r="F5234" t="s">
        <v>6588</v>
      </c>
      <c r="G5234" t="s">
        <v>1122</v>
      </c>
      <c r="H5234" t="s">
        <v>1031</v>
      </c>
      <c r="I5234">
        <v>185347001</v>
      </c>
      <c r="J5234" t="s">
        <v>1124</v>
      </c>
      <c r="K5234">
        <v>85.55</v>
      </c>
      <c r="L5234">
        <v>535.87</v>
      </c>
      <c r="M5234">
        <v>428.7</v>
      </c>
      <c r="N5234">
        <v>431857002</v>
      </c>
      <c r="O5234" t="s">
        <v>4125</v>
      </c>
    </row>
    <row r="5235" spans="1:15">
      <c r="A5235" t="s">
        <v>6907</v>
      </c>
      <c r="B5235" s="2">
        <v>45017.453414351854</v>
      </c>
      <c r="C5235" s="2">
        <v>45017.598553240743</v>
      </c>
      <c r="D5235" t="s">
        <v>976</v>
      </c>
      <c r="E5235" t="s">
        <v>6587</v>
      </c>
      <c r="F5235" t="s">
        <v>6588</v>
      </c>
      <c r="G5235" t="s">
        <v>1122</v>
      </c>
      <c r="H5235" t="s">
        <v>1031</v>
      </c>
      <c r="I5235">
        <v>185347001</v>
      </c>
      <c r="J5235" t="s">
        <v>1124</v>
      </c>
      <c r="K5235">
        <v>85.55</v>
      </c>
      <c r="L5235">
        <v>1221.1099999999999</v>
      </c>
      <c r="M5235">
        <v>976.89</v>
      </c>
      <c r="N5235">
        <v>431857002</v>
      </c>
      <c r="O5235" t="s">
        <v>4125</v>
      </c>
    </row>
    <row r="5236" spans="1:15">
      <c r="A5236" t="s">
        <v>6908</v>
      </c>
      <c r="B5236" s="2">
        <v>45020.598553240743</v>
      </c>
      <c r="C5236" s="2">
        <v>45020.695775462962</v>
      </c>
      <c r="D5236" t="s">
        <v>976</v>
      </c>
      <c r="E5236" t="s">
        <v>6587</v>
      </c>
      <c r="F5236" t="s">
        <v>6588</v>
      </c>
      <c r="G5236" t="s">
        <v>1122</v>
      </c>
      <c r="H5236" t="s">
        <v>1031</v>
      </c>
      <c r="I5236">
        <v>185347001</v>
      </c>
      <c r="J5236" t="s">
        <v>1124</v>
      </c>
      <c r="K5236">
        <v>85.55</v>
      </c>
      <c r="L5236">
        <v>1624.48</v>
      </c>
      <c r="M5236">
        <v>1299.58</v>
      </c>
      <c r="N5236">
        <v>431857002</v>
      </c>
      <c r="O5236" t="s">
        <v>4125</v>
      </c>
    </row>
    <row r="5237" spans="1:15">
      <c r="A5237" t="s">
        <v>6909</v>
      </c>
      <c r="B5237" s="2">
        <v>45023.695775462962</v>
      </c>
      <c r="C5237" s="2">
        <v>45023.790219907409</v>
      </c>
      <c r="D5237" t="s">
        <v>976</v>
      </c>
      <c r="E5237" t="s">
        <v>6587</v>
      </c>
      <c r="F5237" t="s">
        <v>6588</v>
      </c>
      <c r="G5237" t="s">
        <v>1122</v>
      </c>
      <c r="H5237" t="s">
        <v>1031</v>
      </c>
      <c r="I5237">
        <v>185347001</v>
      </c>
      <c r="J5237" t="s">
        <v>1124</v>
      </c>
      <c r="K5237">
        <v>85.55</v>
      </c>
      <c r="L5237">
        <v>607.62</v>
      </c>
      <c r="M5237">
        <v>486.1</v>
      </c>
      <c r="N5237">
        <v>431857002</v>
      </c>
      <c r="O5237" t="s">
        <v>4125</v>
      </c>
    </row>
    <row r="5238" spans="1:15">
      <c r="A5238" t="s">
        <v>6910</v>
      </c>
      <c r="B5238" s="2">
        <v>44339.826550925929</v>
      </c>
      <c r="C5238" s="2">
        <v>44339.836967592593</v>
      </c>
      <c r="D5238" t="s">
        <v>994</v>
      </c>
      <c r="E5238" t="s">
        <v>1612</v>
      </c>
      <c r="F5238" t="s">
        <v>1613</v>
      </c>
      <c r="G5238" t="s">
        <v>1122</v>
      </c>
      <c r="H5238" t="s">
        <v>1159</v>
      </c>
      <c r="I5238">
        <v>702927004</v>
      </c>
      <c r="J5238" t="s">
        <v>1160</v>
      </c>
      <c r="K5238">
        <v>142.58000000000001</v>
      </c>
      <c r="L5238">
        <v>507.44</v>
      </c>
      <c r="M5238">
        <v>405.94</v>
      </c>
      <c r="O5238" t="s">
        <v>34</v>
      </c>
    </row>
    <row r="5239" spans="1:15">
      <c r="A5239" t="s">
        <v>6911</v>
      </c>
      <c r="B5239" s="2">
        <v>45026.790219907409</v>
      </c>
      <c r="C5239" s="2">
        <v>45026.890219907407</v>
      </c>
      <c r="D5239" t="s">
        <v>976</v>
      </c>
      <c r="E5239" t="s">
        <v>6587</v>
      </c>
      <c r="F5239" t="s">
        <v>6588</v>
      </c>
      <c r="G5239" t="s">
        <v>1122</v>
      </c>
      <c r="H5239" t="s">
        <v>1031</v>
      </c>
      <c r="I5239">
        <v>185347001</v>
      </c>
      <c r="J5239" t="s">
        <v>1124</v>
      </c>
      <c r="K5239">
        <v>85.55</v>
      </c>
      <c r="L5239">
        <v>535.87</v>
      </c>
      <c r="M5239">
        <v>428.7</v>
      </c>
      <c r="N5239">
        <v>431857002</v>
      </c>
      <c r="O5239" t="s">
        <v>4125</v>
      </c>
    </row>
    <row r="5240" spans="1:15">
      <c r="A5240" t="s">
        <v>6912</v>
      </c>
      <c r="B5240" s="2">
        <v>45026.890219907407</v>
      </c>
      <c r="C5240" s="2">
        <v>45026.900636574072</v>
      </c>
      <c r="D5240" t="s">
        <v>976</v>
      </c>
      <c r="E5240" t="s">
        <v>6587</v>
      </c>
      <c r="F5240" t="s">
        <v>6588</v>
      </c>
      <c r="G5240" t="s">
        <v>1122</v>
      </c>
      <c r="H5240" t="s">
        <v>1031</v>
      </c>
      <c r="I5240">
        <v>185347001</v>
      </c>
      <c r="J5240" t="s">
        <v>1124</v>
      </c>
      <c r="K5240">
        <v>85.55</v>
      </c>
      <c r="L5240">
        <v>234.71</v>
      </c>
      <c r="M5240">
        <v>187.76</v>
      </c>
      <c r="N5240">
        <v>431857002</v>
      </c>
      <c r="O5240" t="s">
        <v>4125</v>
      </c>
    </row>
    <row r="5241" spans="1:15">
      <c r="A5241" t="s">
        <v>6913</v>
      </c>
      <c r="B5241" s="2">
        <v>44395.826550925929</v>
      </c>
      <c r="C5241" s="2">
        <v>44395.858935185184</v>
      </c>
      <c r="D5241" t="s">
        <v>994</v>
      </c>
      <c r="E5241" t="s">
        <v>2061</v>
      </c>
      <c r="F5241" t="s">
        <v>2062</v>
      </c>
      <c r="G5241" t="s">
        <v>1122</v>
      </c>
      <c r="H5241" t="s">
        <v>1043</v>
      </c>
      <c r="I5241">
        <v>185349003</v>
      </c>
      <c r="J5241" t="s">
        <v>1038</v>
      </c>
      <c r="K5241">
        <v>85.55</v>
      </c>
      <c r="L5241">
        <v>1172.0899999999999</v>
      </c>
      <c r="M5241">
        <v>937.66</v>
      </c>
      <c r="O5241" t="s">
        <v>34</v>
      </c>
    </row>
    <row r="5242" spans="1:15">
      <c r="A5242" t="s">
        <v>6914</v>
      </c>
      <c r="B5242" s="2">
        <v>45029.890219907407</v>
      </c>
      <c r="C5242" s="2">
        <v>45030.026331018518</v>
      </c>
      <c r="D5242" t="s">
        <v>976</v>
      </c>
      <c r="E5242" t="s">
        <v>6587</v>
      </c>
      <c r="F5242" t="s">
        <v>6588</v>
      </c>
      <c r="G5242" t="s">
        <v>1122</v>
      </c>
      <c r="H5242" t="s">
        <v>1031</v>
      </c>
      <c r="I5242">
        <v>185347001</v>
      </c>
      <c r="J5242" t="s">
        <v>1124</v>
      </c>
      <c r="K5242">
        <v>85.55</v>
      </c>
      <c r="L5242">
        <v>535.87</v>
      </c>
      <c r="M5242">
        <v>428.7</v>
      </c>
      <c r="N5242">
        <v>431857002</v>
      </c>
      <c r="O5242" t="s">
        <v>4125</v>
      </c>
    </row>
    <row r="5243" spans="1:15">
      <c r="A5243" t="s">
        <v>6915</v>
      </c>
      <c r="B5243" s="2">
        <v>45033.026331018518</v>
      </c>
      <c r="C5243" s="2">
        <v>45033.172164351854</v>
      </c>
      <c r="D5243" t="s">
        <v>976</v>
      </c>
      <c r="E5243" t="s">
        <v>6587</v>
      </c>
      <c r="F5243" t="s">
        <v>6588</v>
      </c>
      <c r="G5243" t="s">
        <v>1122</v>
      </c>
      <c r="H5243" t="s">
        <v>1031</v>
      </c>
      <c r="I5243">
        <v>185347001</v>
      </c>
      <c r="J5243" t="s">
        <v>1124</v>
      </c>
      <c r="K5243">
        <v>85.55</v>
      </c>
      <c r="L5243">
        <v>535.87</v>
      </c>
      <c r="M5243">
        <v>428.7</v>
      </c>
      <c r="N5243">
        <v>431857002</v>
      </c>
      <c r="O5243" t="s">
        <v>4125</v>
      </c>
    </row>
    <row r="5244" spans="1:15">
      <c r="A5244" t="s">
        <v>6916</v>
      </c>
      <c r="B5244" s="2">
        <v>45036.172164351854</v>
      </c>
      <c r="C5244" s="2">
        <v>45036.280497685184</v>
      </c>
      <c r="D5244" t="s">
        <v>976</v>
      </c>
      <c r="E5244" t="s">
        <v>6587</v>
      </c>
      <c r="F5244" t="s">
        <v>6588</v>
      </c>
      <c r="G5244" t="s">
        <v>1122</v>
      </c>
      <c r="H5244" t="s">
        <v>1031</v>
      </c>
      <c r="I5244">
        <v>185347001</v>
      </c>
      <c r="J5244" t="s">
        <v>1124</v>
      </c>
      <c r="K5244">
        <v>85.55</v>
      </c>
      <c r="L5244">
        <v>887.32</v>
      </c>
      <c r="M5244">
        <v>709.86</v>
      </c>
      <c r="N5244">
        <v>431857002</v>
      </c>
      <c r="O5244" t="s">
        <v>4125</v>
      </c>
    </row>
    <row r="5245" spans="1:15">
      <c r="A5245" t="s">
        <v>6917</v>
      </c>
      <c r="B5245" s="2">
        <v>45039.280497685184</v>
      </c>
      <c r="C5245" s="2">
        <v>45039.413831018515</v>
      </c>
      <c r="D5245" t="s">
        <v>976</v>
      </c>
      <c r="E5245" t="s">
        <v>6587</v>
      </c>
      <c r="F5245" t="s">
        <v>6588</v>
      </c>
      <c r="G5245" t="s">
        <v>1122</v>
      </c>
      <c r="H5245" t="s">
        <v>1031</v>
      </c>
      <c r="I5245">
        <v>185347001</v>
      </c>
      <c r="J5245" t="s">
        <v>1124</v>
      </c>
      <c r="K5245">
        <v>85.55</v>
      </c>
      <c r="L5245">
        <v>1791.03</v>
      </c>
      <c r="M5245">
        <v>1432.82</v>
      </c>
      <c r="N5245">
        <v>431857002</v>
      </c>
      <c r="O5245" t="s">
        <v>4125</v>
      </c>
    </row>
    <row r="5246" spans="1:15">
      <c r="A5246" t="s">
        <v>6918</v>
      </c>
      <c r="B5246" s="2">
        <v>44409.826550925929</v>
      </c>
      <c r="C5246" s="2">
        <v>44409.965729166666</v>
      </c>
      <c r="D5246" t="s">
        <v>994</v>
      </c>
      <c r="E5246" t="s">
        <v>2061</v>
      </c>
      <c r="F5246" t="s">
        <v>2062</v>
      </c>
      <c r="G5246" t="s">
        <v>1122</v>
      </c>
      <c r="H5246" t="s">
        <v>1031</v>
      </c>
      <c r="I5246">
        <v>185349003</v>
      </c>
      <c r="J5246" t="s">
        <v>1038</v>
      </c>
      <c r="K5246">
        <v>85.55</v>
      </c>
      <c r="L5246">
        <v>3105.35</v>
      </c>
      <c r="M5246">
        <v>2484.2800000000002</v>
      </c>
      <c r="N5246">
        <v>103697008</v>
      </c>
      <c r="O5246" t="s">
        <v>1039</v>
      </c>
    </row>
    <row r="5247" spans="1:15">
      <c r="A5247" t="s">
        <v>6919</v>
      </c>
      <c r="B5247" s="2">
        <v>45049.319386574076</v>
      </c>
      <c r="C5247" s="2">
        <v>45049.355555555558</v>
      </c>
      <c r="D5247" t="s">
        <v>976</v>
      </c>
      <c r="E5247" t="s">
        <v>6590</v>
      </c>
      <c r="F5247" t="s">
        <v>6591</v>
      </c>
      <c r="G5247" t="s">
        <v>1122</v>
      </c>
      <c r="H5247" t="s">
        <v>1020</v>
      </c>
      <c r="I5247">
        <v>162673000</v>
      </c>
      <c r="J5247" t="s">
        <v>1021</v>
      </c>
      <c r="K5247">
        <v>136.80000000000001</v>
      </c>
      <c r="L5247">
        <v>1218.22</v>
      </c>
      <c r="M5247">
        <v>974.56</v>
      </c>
      <c r="O5247" t="s">
        <v>34</v>
      </c>
    </row>
    <row r="5248" spans="1:15">
      <c r="A5248" t="s">
        <v>6920</v>
      </c>
      <c r="B5248" s="2">
        <v>45056.319386574076</v>
      </c>
      <c r="C5248" s="2">
        <v>45056.32980324074</v>
      </c>
      <c r="D5248" t="s">
        <v>976</v>
      </c>
      <c r="E5248" t="s">
        <v>3753</v>
      </c>
      <c r="F5248" t="s">
        <v>3754</v>
      </c>
      <c r="G5248" t="s">
        <v>1122</v>
      </c>
      <c r="H5248" t="s">
        <v>1159</v>
      </c>
      <c r="I5248">
        <v>702927004</v>
      </c>
      <c r="J5248" t="s">
        <v>1160</v>
      </c>
      <c r="K5248">
        <v>142.58000000000001</v>
      </c>
      <c r="L5248">
        <v>291.74</v>
      </c>
      <c r="M5248">
        <v>233.38</v>
      </c>
      <c r="O5248" t="s">
        <v>34</v>
      </c>
    </row>
    <row r="5249" spans="1:15">
      <c r="A5249" t="s">
        <v>6921</v>
      </c>
      <c r="B5249" s="2">
        <v>45063.319386574076</v>
      </c>
      <c r="C5249" s="2">
        <v>45063.349108796298</v>
      </c>
      <c r="D5249" t="s">
        <v>976</v>
      </c>
      <c r="E5249" t="s">
        <v>6587</v>
      </c>
      <c r="F5249" t="s">
        <v>6588</v>
      </c>
      <c r="G5249" t="s">
        <v>1122</v>
      </c>
      <c r="H5249" t="s">
        <v>1043</v>
      </c>
      <c r="I5249">
        <v>185349003</v>
      </c>
      <c r="J5249" t="s">
        <v>1038</v>
      </c>
      <c r="K5249">
        <v>85.55</v>
      </c>
      <c r="L5249">
        <v>1109.6099999999999</v>
      </c>
      <c r="M5249">
        <v>887.67</v>
      </c>
      <c r="O5249" t="s">
        <v>34</v>
      </c>
    </row>
    <row r="5250" spans="1:15">
      <c r="A5250" t="s">
        <v>6922</v>
      </c>
      <c r="B5250" s="2">
        <v>45070.319386574076</v>
      </c>
      <c r="C5250" s="2">
        <v>45070.48060185185</v>
      </c>
      <c r="D5250" t="s">
        <v>976</v>
      </c>
      <c r="E5250" t="s">
        <v>6587</v>
      </c>
      <c r="F5250" t="s">
        <v>6588</v>
      </c>
      <c r="G5250" t="s">
        <v>1122</v>
      </c>
      <c r="H5250" t="s">
        <v>1031</v>
      </c>
      <c r="I5250">
        <v>185349003</v>
      </c>
      <c r="J5250" t="s">
        <v>1038</v>
      </c>
      <c r="K5250">
        <v>85.55</v>
      </c>
      <c r="L5250">
        <v>3105.35</v>
      </c>
      <c r="M5250">
        <v>2484.2800000000002</v>
      </c>
      <c r="N5250">
        <v>66383009</v>
      </c>
      <c r="O5250" t="s">
        <v>1209</v>
      </c>
    </row>
    <row r="5251" spans="1:15">
      <c r="A5251" t="s">
        <v>6923</v>
      </c>
      <c r="B5251" s="2">
        <v>44423.826550925929</v>
      </c>
      <c r="C5251" s="2">
        <v>44423.865694444445</v>
      </c>
      <c r="D5251" t="s">
        <v>994</v>
      </c>
      <c r="E5251" t="s">
        <v>2061</v>
      </c>
      <c r="F5251" t="s">
        <v>2062</v>
      </c>
      <c r="G5251" t="s">
        <v>1122</v>
      </c>
      <c r="H5251" t="s">
        <v>1043</v>
      </c>
      <c r="I5251">
        <v>185349003</v>
      </c>
      <c r="J5251" t="s">
        <v>1038</v>
      </c>
      <c r="K5251">
        <v>85.55</v>
      </c>
      <c r="L5251">
        <v>1172.0899999999999</v>
      </c>
      <c r="M5251">
        <v>937.66</v>
      </c>
      <c r="O5251" t="s">
        <v>34</v>
      </c>
    </row>
    <row r="5252" spans="1:15">
      <c r="A5252" t="s">
        <v>6924</v>
      </c>
      <c r="B5252" s="2">
        <v>45077.319386574076</v>
      </c>
      <c r="C5252" s="2">
        <v>45077.349942129629</v>
      </c>
      <c r="D5252" t="s">
        <v>976</v>
      </c>
      <c r="E5252" t="s">
        <v>6587</v>
      </c>
      <c r="F5252" t="s">
        <v>6588</v>
      </c>
      <c r="G5252" t="s">
        <v>1122</v>
      </c>
      <c r="H5252" t="s">
        <v>1031</v>
      </c>
      <c r="I5252">
        <v>36228007</v>
      </c>
      <c r="J5252" t="s">
        <v>1705</v>
      </c>
      <c r="K5252">
        <v>142.58000000000001</v>
      </c>
      <c r="L5252">
        <v>2730.98</v>
      </c>
      <c r="M5252">
        <v>2184.7800000000002</v>
      </c>
      <c r="O5252" t="s">
        <v>34</v>
      </c>
    </row>
    <row r="5253" spans="1:15">
      <c r="A5253" t="s">
        <v>6925</v>
      </c>
      <c r="B5253" s="2">
        <v>44486.826550925929</v>
      </c>
      <c r="C5253" s="2">
        <v>44486.861319444448</v>
      </c>
      <c r="D5253" t="s">
        <v>994</v>
      </c>
      <c r="E5253" t="s">
        <v>2061</v>
      </c>
      <c r="F5253" t="s">
        <v>2062</v>
      </c>
      <c r="G5253" t="s">
        <v>1122</v>
      </c>
      <c r="H5253" t="s">
        <v>1043</v>
      </c>
      <c r="I5253">
        <v>185349003</v>
      </c>
      <c r="J5253" t="s">
        <v>1038</v>
      </c>
      <c r="K5253">
        <v>85.55</v>
      </c>
      <c r="L5253">
        <v>1308.0899999999999</v>
      </c>
      <c r="M5253">
        <v>1046.46</v>
      </c>
      <c r="O5253" t="s">
        <v>34</v>
      </c>
    </row>
    <row r="5254" spans="1:15">
      <c r="A5254" t="s">
        <v>6926</v>
      </c>
      <c r="B5254" s="2">
        <v>45084.319386574076</v>
      </c>
      <c r="C5254" s="2">
        <v>45084.47146990741</v>
      </c>
      <c r="D5254" t="s">
        <v>976</v>
      </c>
      <c r="E5254" t="s">
        <v>6587</v>
      </c>
      <c r="F5254" t="s">
        <v>6588</v>
      </c>
      <c r="G5254" t="s">
        <v>1122</v>
      </c>
      <c r="H5254" t="s">
        <v>1031</v>
      </c>
      <c r="I5254">
        <v>185347001</v>
      </c>
      <c r="J5254" t="s">
        <v>1124</v>
      </c>
      <c r="K5254">
        <v>85.55</v>
      </c>
      <c r="L5254">
        <v>535.87</v>
      </c>
      <c r="M5254">
        <v>428.7</v>
      </c>
      <c r="N5254">
        <v>431857002</v>
      </c>
      <c r="O5254" t="s">
        <v>4125</v>
      </c>
    </row>
    <row r="5255" spans="1:15">
      <c r="A5255" t="s">
        <v>6927</v>
      </c>
      <c r="B5255" s="2">
        <v>45084.47146990741</v>
      </c>
      <c r="C5255" s="2">
        <v>45084.481886574074</v>
      </c>
      <c r="D5255" t="s">
        <v>976</v>
      </c>
      <c r="E5255" t="s">
        <v>6587</v>
      </c>
      <c r="F5255" t="s">
        <v>6588</v>
      </c>
      <c r="G5255" t="s">
        <v>1122</v>
      </c>
      <c r="H5255" t="s">
        <v>1031</v>
      </c>
      <c r="I5255">
        <v>185347001</v>
      </c>
      <c r="J5255" t="s">
        <v>1124</v>
      </c>
      <c r="K5255">
        <v>85.55</v>
      </c>
      <c r="L5255">
        <v>234.71</v>
      </c>
      <c r="M5255">
        <v>187.76</v>
      </c>
      <c r="N5255">
        <v>431857002</v>
      </c>
      <c r="O5255" t="s">
        <v>4125</v>
      </c>
    </row>
    <row r="5256" spans="1:15">
      <c r="A5256" t="s">
        <v>6928</v>
      </c>
      <c r="B5256" s="2">
        <v>45087.47146990741</v>
      </c>
      <c r="C5256" s="2">
        <v>45087.558275462965</v>
      </c>
      <c r="D5256" t="s">
        <v>976</v>
      </c>
      <c r="E5256" t="s">
        <v>6587</v>
      </c>
      <c r="F5256" t="s">
        <v>6588</v>
      </c>
      <c r="G5256" t="s">
        <v>1122</v>
      </c>
      <c r="H5256" t="s">
        <v>1031</v>
      </c>
      <c r="I5256">
        <v>185347001</v>
      </c>
      <c r="J5256" t="s">
        <v>1124</v>
      </c>
      <c r="K5256">
        <v>85.55</v>
      </c>
      <c r="L5256">
        <v>1130.3399999999999</v>
      </c>
      <c r="M5256">
        <v>904.27</v>
      </c>
      <c r="N5256">
        <v>431857002</v>
      </c>
      <c r="O5256" t="s">
        <v>4125</v>
      </c>
    </row>
    <row r="5257" spans="1:15">
      <c r="A5257" t="s">
        <v>6929</v>
      </c>
      <c r="B5257" s="2">
        <v>45090.558275462965</v>
      </c>
      <c r="C5257" s="2">
        <v>45090.699942129628</v>
      </c>
      <c r="D5257" t="s">
        <v>976</v>
      </c>
      <c r="E5257" t="s">
        <v>6587</v>
      </c>
      <c r="F5257" t="s">
        <v>6588</v>
      </c>
      <c r="G5257" t="s">
        <v>1122</v>
      </c>
      <c r="H5257" t="s">
        <v>1031</v>
      </c>
      <c r="I5257">
        <v>185347001</v>
      </c>
      <c r="J5257" t="s">
        <v>1124</v>
      </c>
      <c r="K5257">
        <v>85.55</v>
      </c>
      <c r="L5257">
        <v>535.87</v>
      </c>
      <c r="M5257">
        <v>428.7</v>
      </c>
      <c r="N5257">
        <v>431857002</v>
      </c>
      <c r="O5257" t="s">
        <v>4125</v>
      </c>
    </row>
    <row r="5258" spans="1:15">
      <c r="A5258" t="s">
        <v>6930</v>
      </c>
      <c r="B5258" s="2">
        <v>45091.319386574076</v>
      </c>
      <c r="C5258" s="2">
        <v>45091.32980324074</v>
      </c>
      <c r="D5258" t="s">
        <v>976</v>
      </c>
      <c r="E5258" t="s">
        <v>6587</v>
      </c>
      <c r="F5258" t="s">
        <v>6588</v>
      </c>
      <c r="G5258" t="s">
        <v>1122</v>
      </c>
      <c r="H5258" t="s">
        <v>1031</v>
      </c>
      <c r="I5258">
        <v>390906007</v>
      </c>
      <c r="J5258" t="s">
        <v>1255</v>
      </c>
      <c r="K5258">
        <v>85.55</v>
      </c>
      <c r="L5258">
        <v>234.71</v>
      </c>
      <c r="M5258">
        <v>187.76</v>
      </c>
      <c r="N5258">
        <v>55822004</v>
      </c>
      <c r="O5258" t="s">
        <v>2010</v>
      </c>
    </row>
    <row r="5259" spans="1:15">
      <c r="A5259" t="s">
        <v>6931</v>
      </c>
      <c r="B5259" s="2">
        <v>45098.319386574076</v>
      </c>
      <c r="C5259" s="2">
        <v>45098.352569444447</v>
      </c>
      <c r="D5259" t="s">
        <v>976</v>
      </c>
      <c r="E5259" t="s">
        <v>3753</v>
      </c>
      <c r="F5259" t="s">
        <v>3754</v>
      </c>
      <c r="G5259" t="s">
        <v>1122</v>
      </c>
      <c r="H5259" t="s">
        <v>1159</v>
      </c>
      <c r="I5259">
        <v>702927004</v>
      </c>
      <c r="J5259" t="s">
        <v>1160</v>
      </c>
      <c r="K5259">
        <v>142.58000000000001</v>
      </c>
      <c r="L5259">
        <v>1088</v>
      </c>
      <c r="M5259">
        <v>870.38</v>
      </c>
      <c r="O5259" t="s">
        <v>34</v>
      </c>
    </row>
    <row r="5260" spans="1:15">
      <c r="A5260" t="s">
        <v>6932</v>
      </c>
      <c r="B5260" s="2">
        <v>45105.319386574076</v>
      </c>
      <c r="C5260" s="2">
        <v>45105.32980324074</v>
      </c>
      <c r="D5260" t="s">
        <v>976</v>
      </c>
      <c r="E5260" t="s">
        <v>3753</v>
      </c>
      <c r="F5260" t="s">
        <v>3754</v>
      </c>
      <c r="G5260" t="s">
        <v>1122</v>
      </c>
      <c r="H5260" t="s">
        <v>1159</v>
      </c>
      <c r="I5260">
        <v>702927004</v>
      </c>
      <c r="J5260" t="s">
        <v>1160</v>
      </c>
      <c r="K5260">
        <v>142.58000000000001</v>
      </c>
      <c r="L5260">
        <v>291.74</v>
      </c>
      <c r="M5260">
        <v>233.38</v>
      </c>
      <c r="O5260" t="s">
        <v>34</v>
      </c>
    </row>
    <row r="5261" spans="1:15">
      <c r="A5261" t="s">
        <v>6933</v>
      </c>
      <c r="B5261" s="2">
        <v>45112.319386574076</v>
      </c>
      <c r="C5261" s="2">
        <v>45112.345138888886</v>
      </c>
      <c r="D5261" t="s">
        <v>976</v>
      </c>
      <c r="E5261" t="s">
        <v>6587</v>
      </c>
      <c r="F5261" t="s">
        <v>6588</v>
      </c>
      <c r="G5261" t="s">
        <v>1122</v>
      </c>
      <c r="H5261" t="s">
        <v>1043</v>
      </c>
      <c r="I5261">
        <v>185349003</v>
      </c>
      <c r="J5261" t="s">
        <v>1038</v>
      </c>
      <c r="K5261">
        <v>85.55</v>
      </c>
      <c r="L5261">
        <v>1030.97</v>
      </c>
      <c r="M5261">
        <v>824.76</v>
      </c>
      <c r="O5261" t="s">
        <v>34</v>
      </c>
    </row>
    <row r="5262" spans="1:15">
      <c r="A5262" t="s">
        <v>6934</v>
      </c>
      <c r="B5262" s="2">
        <v>44500.826550925929</v>
      </c>
      <c r="C5262" s="2">
        <v>44501.026597222219</v>
      </c>
      <c r="D5262" t="s">
        <v>994</v>
      </c>
      <c r="E5262" t="s">
        <v>2061</v>
      </c>
      <c r="F5262" t="s">
        <v>2062</v>
      </c>
      <c r="G5262" t="s">
        <v>1122</v>
      </c>
      <c r="H5262" t="s">
        <v>1031</v>
      </c>
      <c r="I5262">
        <v>185349003</v>
      </c>
      <c r="J5262" t="s">
        <v>1038</v>
      </c>
      <c r="K5262">
        <v>85.55</v>
      </c>
      <c r="L5262">
        <v>3536.75</v>
      </c>
      <c r="M5262">
        <v>2829.4</v>
      </c>
      <c r="N5262">
        <v>66383009</v>
      </c>
      <c r="O5262" t="s">
        <v>1209</v>
      </c>
    </row>
    <row r="5263" spans="1:15">
      <c r="A5263" t="s">
        <v>6935</v>
      </c>
      <c r="B5263" s="2">
        <v>44514.784884259258</v>
      </c>
      <c r="C5263" s="2">
        <v>44514.821932870371</v>
      </c>
      <c r="D5263" t="s">
        <v>994</v>
      </c>
      <c r="E5263" t="s">
        <v>2061</v>
      </c>
      <c r="F5263" t="s">
        <v>2062</v>
      </c>
      <c r="G5263" t="s">
        <v>1122</v>
      </c>
      <c r="H5263" t="s">
        <v>1043</v>
      </c>
      <c r="I5263">
        <v>185349003</v>
      </c>
      <c r="J5263" t="s">
        <v>1038</v>
      </c>
      <c r="K5263">
        <v>85.55</v>
      </c>
      <c r="L5263">
        <v>1172.0899999999999</v>
      </c>
      <c r="M5263">
        <v>937.66</v>
      </c>
      <c r="O5263" t="s">
        <v>34</v>
      </c>
    </row>
    <row r="5264" spans="1:15">
      <c r="A5264" t="s">
        <v>6936</v>
      </c>
      <c r="B5264" s="2">
        <v>45119.319386574076</v>
      </c>
      <c r="C5264" s="2">
        <v>45119.4687037037</v>
      </c>
      <c r="D5264" t="s">
        <v>976</v>
      </c>
      <c r="E5264" t="s">
        <v>6587</v>
      </c>
      <c r="F5264" t="s">
        <v>6588</v>
      </c>
      <c r="G5264" t="s">
        <v>1122</v>
      </c>
      <c r="H5264" t="s">
        <v>1031</v>
      </c>
      <c r="I5264">
        <v>185349003</v>
      </c>
      <c r="J5264" t="s">
        <v>1038</v>
      </c>
      <c r="K5264">
        <v>85.55</v>
      </c>
      <c r="L5264">
        <v>3105.35</v>
      </c>
      <c r="M5264">
        <v>2484.2800000000002</v>
      </c>
      <c r="N5264">
        <v>103697008</v>
      </c>
      <c r="O5264" t="s">
        <v>1039</v>
      </c>
    </row>
    <row r="5265" spans="1:15">
      <c r="A5265" t="s">
        <v>6937</v>
      </c>
      <c r="B5265" s="2">
        <v>45126.319386574076</v>
      </c>
      <c r="C5265" s="2">
        <v>45126.460358796299</v>
      </c>
      <c r="D5265" t="s">
        <v>976</v>
      </c>
      <c r="E5265" t="s">
        <v>6587</v>
      </c>
      <c r="F5265" t="s">
        <v>6588</v>
      </c>
      <c r="G5265" t="s">
        <v>1122</v>
      </c>
      <c r="H5265" t="s">
        <v>1031</v>
      </c>
      <c r="I5265">
        <v>185347001</v>
      </c>
      <c r="J5265" t="s">
        <v>1124</v>
      </c>
      <c r="K5265">
        <v>85.55</v>
      </c>
      <c r="L5265">
        <v>1791.03</v>
      </c>
      <c r="M5265">
        <v>1432.82</v>
      </c>
      <c r="N5265">
        <v>431857002</v>
      </c>
      <c r="O5265" t="s">
        <v>4125</v>
      </c>
    </row>
    <row r="5266" spans="1:15">
      <c r="A5266" t="s">
        <v>6938</v>
      </c>
      <c r="B5266" s="2">
        <v>45126.460358796299</v>
      </c>
      <c r="C5266" s="2">
        <v>45126.470775462964</v>
      </c>
      <c r="D5266" t="s">
        <v>976</v>
      </c>
      <c r="E5266" t="s">
        <v>6587</v>
      </c>
      <c r="F5266" t="s">
        <v>6588</v>
      </c>
      <c r="G5266" t="s">
        <v>1122</v>
      </c>
      <c r="H5266" t="s">
        <v>1031</v>
      </c>
      <c r="I5266">
        <v>185347001</v>
      </c>
      <c r="J5266" t="s">
        <v>1124</v>
      </c>
      <c r="K5266">
        <v>85.55</v>
      </c>
      <c r="L5266">
        <v>234.71</v>
      </c>
      <c r="M5266">
        <v>187.76</v>
      </c>
      <c r="N5266">
        <v>431857002</v>
      </c>
      <c r="O5266" t="s">
        <v>4125</v>
      </c>
    </row>
    <row r="5267" spans="1:15">
      <c r="A5267" t="s">
        <v>6939</v>
      </c>
      <c r="B5267" s="2">
        <v>44703.826550925929</v>
      </c>
      <c r="C5267" s="2">
        <v>44703.850451388891</v>
      </c>
      <c r="D5267" t="s">
        <v>994</v>
      </c>
      <c r="E5267" t="s">
        <v>6821</v>
      </c>
      <c r="F5267" t="s">
        <v>6822</v>
      </c>
      <c r="G5267" t="s">
        <v>1122</v>
      </c>
      <c r="H5267" t="s">
        <v>1020</v>
      </c>
      <c r="I5267">
        <v>162673000</v>
      </c>
      <c r="J5267" t="s">
        <v>1021</v>
      </c>
      <c r="K5267">
        <v>136.80000000000001</v>
      </c>
      <c r="L5267">
        <v>1007.64</v>
      </c>
      <c r="M5267">
        <v>806.1</v>
      </c>
      <c r="O5267" t="s">
        <v>34</v>
      </c>
    </row>
    <row r="5268" spans="1:15">
      <c r="A5268" t="s">
        <v>6940</v>
      </c>
      <c r="B5268" s="2">
        <v>45129.460358796299</v>
      </c>
      <c r="C5268" s="2">
        <v>45129.575636574074</v>
      </c>
      <c r="D5268" t="s">
        <v>976</v>
      </c>
      <c r="E5268" t="s">
        <v>6587</v>
      </c>
      <c r="F5268" t="s">
        <v>6588</v>
      </c>
      <c r="G5268" t="s">
        <v>1122</v>
      </c>
      <c r="H5268" t="s">
        <v>1031</v>
      </c>
      <c r="I5268">
        <v>185347001</v>
      </c>
      <c r="J5268" t="s">
        <v>1124</v>
      </c>
      <c r="K5268">
        <v>85.55</v>
      </c>
      <c r="L5268">
        <v>535.87</v>
      </c>
      <c r="M5268">
        <v>428.7</v>
      </c>
      <c r="N5268">
        <v>431857002</v>
      </c>
      <c r="O5268" t="s">
        <v>4125</v>
      </c>
    </row>
    <row r="5269" spans="1:15">
      <c r="A5269" t="s">
        <v>6941</v>
      </c>
      <c r="B5269" s="2">
        <v>45132.575636574074</v>
      </c>
      <c r="C5269" s="2">
        <v>45132.732581018521</v>
      </c>
      <c r="D5269" t="s">
        <v>976</v>
      </c>
      <c r="E5269" t="s">
        <v>6587</v>
      </c>
      <c r="F5269" t="s">
        <v>6588</v>
      </c>
      <c r="G5269" t="s">
        <v>1122</v>
      </c>
      <c r="H5269" t="s">
        <v>1031</v>
      </c>
      <c r="I5269">
        <v>185347001</v>
      </c>
      <c r="J5269" t="s">
        <v>1124</v>
      </c>
      <c r="K5269">
        <v>85.55</v>
      </c>
      <c r="L5269">
        <v>1019.78</v>
      </c>
      <c r="M5269">
        <v>815.82</v>
      </c>
      <c r="N5269">
        <v>431857002</v>
      </c>
      <c r="O5269" t="s">
        <v>4125</v>
      </c>
    </row>
    <row r="5270" spans="1:15">
      <c r="A5270" t="s">
        <v>6942</v>
      </c>
      <c r="B5270" s="2">
        <v>45140.319386574076</v>
      </c>
      <c r="C5270" s="2">
        <v>45140.354884259257</v>
      </c>
      <c r="D5270" t="s">
        <v>976</v>
      </c>
      <c r="E5270" t="s">
        <v>3753</v>
      </c>
      <c r="F5270" t="s">
        <v>3754</v>
      </c>
      <c r="G5270" t="s">
        <v>1122</v>
      </c>
      <c r="H5270" t="s">
        <v>1159</v>
      </c>
      <c r="I5270">
        <v>702927004</v>
      </c>
      <c r="J5270" t="s">
        <v>1160</v>
      </c>
      <c r="K5270">
        <v>142.58000000000001</v>
      </c>
      <c r="L5270">
        <v>1095.57</v>
      </c>
      <c r="M5270">
        <v>876.44</v>
      </c>
      <c r="O5270" t="s">
        <v>34</v>
      </c>
    </row>
    <row r="5271" spans="1:15">
      <c r="A5271" t="s">
        <v>6943</v>
      </c>
      <c r="B5271" s="2">
        <v>44717.382824074077</v>
      </c>
      <c r="C5271" s="2">
        <v>44717.393240740741</v>
      </c>
      <c r="D5271" t="s">
        <v>994</v>
      </c>
      <c r="E5271" t="s">
        <v>2061</v>
      </c>
      <c r="F5271" t="s">
        <v>2062</v>
      </c>
      <c r="G5271" t="s">
        <v>1122</v>
      </c>
      <c r="H5271" t="s">
        <v>1031</v>
      </c>
      <c r="I5271">
        <v>185345009</v>
      </c>
      <c r="J5271" t="s">
        <v>1032</v>
      </c>
      <c r="K5271">
        <v>85.55</v>
      </c>
      <c r="L5271">
        <v>85.55</v>
      </c>
      <c r="M5271">
        <v>68.44</v>
      </c>
      <c r="N5271">
        <v>10509002</v>
      </c>
      <c r="O5271" t="s">
        <v>1033</v>
      </c>
    </row>
    <row r="5272" spans="1:15">
      <c r="A5272" t="s">
        <v>6944</v>
      </c>
      <c r="B5272" s="2">
        <v>45147.319386574076</v>
      </c>
      <c r="C5272" s="2">
        <v>45147.32980324074</v>
      </c>
      <c r="D5272" t="s">
        <v>976</v>
      </c>
      <c r="E5272" t="s">
        <v>6587</v>
      </c>
      <c r="F5272" t="s">
        <v>6588</v>
      </c>
      <c r="G5272" t="s">
        <v>1122</v>
      </c>
      <c r="H5272" t="s">
        <v>1043</v>
      </c>
      <c r="I5272">
        <v>185349003</v>
      </c>
      <c r="J5272" t="s">
        <v>1038</v>
      </c>
      <c r="K5272">
        <v>85.55</v>
      </c>
      <c r="L5272">
        <v>234.71</v>
      </c>
      <c r="M5272">
        <v>187.76</v>
      </c>
      <c r="O5272" t="s">
        <v>34</v>
      </c>
    </row>
    <row r="5273" spans="1:15">
      <c r="A5273" t="s">
        <v>6945</v>
      </c>
      <c r="B5273" s="2">
        <v>45154.319386574076</v>
      </c>
      <c r="C5273" s="2">
        <v>45154.446388888886</v>
      </c>
      <c r="D5273" t="s">
        <v>976</v>
      </c>
      <c r="E5273" t="s">
        <v>6587</v>
      </c>
      <c r="F5273" t="s">
        <v>6588</v>
      </c>
      <c r="G5273" t="s">
        <v>1122</v>
      </c>
      <c r="H5273" t="s">
        <v>1031</v>
      </c>
      <c r="I5273">
        <v>185349003</v>
      </c>
      <c r="J5273" t="s">
        <v>1038</v>
      </c>
      <c r="K5273">
        <v>85.55</v>
      </c>
      <c r="L5273">
        <v>2673.95</v>
      </c>
      <c r="M5273">
        <v>2139.16</v>
      </c>
      <c r="N5273">
        <v>66383009</v>
      </c>
      <c r="O5273" t="s">
        <v>1209</v>
      </c>
    </row>
    <row r="5274" spans="1:15">
      <c r="A5274" t="s">
        <v>6946</v>
      </c>
      <c r="B5274" s="2">
        <v>45161.319386574076</v>
      </c>
      <c r="C5274" s="2">
        <v>45161.467303240737</v>
      </c>
      <c r="D5274" t="s">
        <v>976</v>
      </c>
      <c r="E5274" t="s">
        <v>6587</v>
      </c>
      <c r="F5274" t="s">
        <v>6588</v>
      </c>
      <c r="G5274" t="s">
        <v>1122</v>
      </c>
      <c r="H5274" t="s">
        <v>1031</v>
      </c>
      <c r="I5274">
        <v>185347001</v>
      </c>
      <c r="J5274" t="s">
        <v>1124</v>
      </c>
      <c r="K5274">
        <v>85.55</v>
      </c>
      <c r="L5274">
        <v>1289.1300000000001</v>
      </c>
      <c r="M5274">
        <v>1031.3</v>
      </c>
      <c r="N5274">
        <v>431857002</v>
      </c>
      <c r="O5274" t="s">
        <v>4125</v>
      </c>
    </row>
    <row r="5275" spans="1:15">
      <c r="A5275" t="s">
        <v>6947</v>
      </c>
      <c r="B5275" s="2">
        <v>45161.467303240737</v>
      </c>
      <c r="C5275" s="2">
        <v>45161.477719907409</v>
      </c>
      <c r="D5275" t="s">
        <v>976</v>
      </c>
      <c r="E5275" t="s">
        <v>6587</v>
      </c>
      <c r="F5275" t="s">
        <v>6588</v>
      </c>
      <c r="G5275" t="s">
        <v>1122</v>
      </c>
      <c r="H5275" t="s">
        <v>1031</v>
      </c>
      <c r="I5275">
        <v>185347001</v>
      </c>
      <c r="J5275" t="s">
        <v>1124</v>
      </c>
      <c r="K5275">
        <v>85.55</v>
      </c>
      <c r="L5275">
        <v>234.71</v>
      </c>
      <c r="M5275">
        <v>187.76</v>
      </c>
      <c r="N5275">
        <v>431857002</v>
      </c>
      <c r="O5275" t="s">
        <v>4125</v>
      </c>
    </row>
    <row r="5276" spans="1:15">
      <c r="A5276" t="s">
        <v>6948</v>
      </c>
      <c r="B5276" s="2">
        <v>45164.467303240737</v>
      </c>
      <c r="C5276" s="2">
        <v>45164.552719907406</v>
      </c>
      <c r="D5276" t="s">
        <v>976</v>
      </c>
      <c r="E5276" t="s">
        <v>6587</v>
      </c>
      <c r="F5276" t="s">
        <v>6588</v>
      </c>
      <c r="G5276" t="s">
        <v>1122</v>
      </c>
      <c r="H5276" t="s">
        <v>1031</v>
      </c>
      <c r="I5276">
        <v>185347001</v>
      </c>
      <c r="J5276" t="s">
        <v>1124</v>
      </c>
      <c r="K5276">
        <v>85.55</v>
      </c>
      <c r="L5276">
        <v>1309.07</v>
      </c>
      <c r="M5276">
        <v>1047.26</v>
      </c>
      <c r="N5276">
        <v>431857002</v>
      </c>
      <c r="O5276" t="s">
        <v>4125</v>
      </c>
    </row>
    <row r="5277" spans="1:15">
      <c r="A5277" t="s">
        <v>6949</v>
      </c>
      <c r="B5277" s="2">
        <v>45167.552719907406</v>
      </c>
      <c r="C5277" s="2">
        <v>45167.647858796299</v>
      </c>
      <c r="D5277" t="s">
        <v>976</v>
      </c>
      <c r="E5277" t="s">
        <v>6587</v>
      </c>
      <c r="F5277" t="s">
        <v>6588</v>
      </c>
      <c r="G5277" t="s">
        <v>1122</v>
      </c>
      <c r="H5277" t="s">
        <v>1031</v>
      </c>
      <c r="I5277">
        <v>185347001</v>
      </c>
      <c r="J5277" t="s">
        <v>1124</v>
      </c>
      <c r="K5277">
        <v>85.55</v>
      </c>
      <c r="L5277">
        <v>535.87</v>
      </c>
      <c r="M5277">
        <v>428.7</v>
      </c>
      <c r="N5277">
        <v>431857002</v>
      </c>
      <c r="O5277" t="s">
        <v>4125</v>
      </c>
    </row>
    <row r="5278" spans="1:15">
      <c r="A5278" t="s">
        <v>6950</v>
      </c>
      <c r="B5278" s="2">
        <v>45175.319386574076</v>
      </c>
      <c r="C5278" s="2">
        <v>45175.348993055559</v>
      </c>
      <c r="D5278" t="s">
        <v>976</v>
      </c>
      <c r="E5278" t="s">
        <v>3753</v>
      </c>
      <c r="F5278" t="s">
        <v>3754</v>
      </c>
      <c r="G5278" t="s">
        <v>1122</v>
      </c>
      <c r="H5278" t="s">
        <v>1159</v>
      </c>
      <c r="I5278">
        <v>702927004</v>
      </c>
      <c r="J5278" t="s">
        <v>1160</v>
      </c>
      <c r="K5278">
        <v>142.58000000000001</v>
      </c>
      <c r="L5278">
        <v>1735.1</v>
      </c>
      <c r="M5278">
        <v>1388.06</v>
      </c>
      <c r="O5278" t="s">
        <v>34</v>
      </c>
    </row>
    <row r="5279" spans="1:15">
      <c r="A5279" t="s">
        <v>6951</v>
      </c>
      <c r="B5279" s="2">
        <v>44724.826550925929</v>
      </c>
      <c r="C5279" s="2">
        <v>44724.868217592593</v>
      </c>
      <c r="D5279" t="s">
        <v>994</v>
      </c>
      <c r="E5279" t="s">
        <v>6827</v>
      </c>
      <c r="F5279" t="s">
        <v>6828</v>
      </c>
      <c r="G5279" t="s">
        <v>1122</v>
      </c>
      <c r="H5279" t="s">
        <v>1076</v>
      </c>
      <c r="I5279">
        <v>50849002</v>
      </c>
      <c r="J5279" t="s">
        <v>1163</v>
      </c>
      <c r="K5279">
        <v>146.18</v>
      </c>
      <c r="L5279">
        <v>1232.72</v>
      </c>
      <c r="M5279">
        <v>986.16</v>
      </c>
      <c r="O5279" t="s">
        <v>34</v>
      </c>
    </row>
    <row r="5280" spans="1:15">
      <c r="A5280" t="s">
        <v>6952</v>
      </c>
      <c r="B5280" s="2">
        <v>45182.319386574076</v>
      </c>
      <c r="C5280" s="2">
        <v>45182.32980324074</v>
      </c>
      <c r="D5280" t="s">
        <v>976</v>
      </c>
      <c r="E5280" t="s">
        <v>6587</v>
      </c>
      <c r="F5280" t="s">
        <v>6588</v>
      </c>
      <c r="G5280" t="s">
        <v>1122</v>
      </c>
      <c r="H5280" t="s">
        <v>1043</v>
      </c>
      <c r="I5280">
        <v>185349003</v>
      </c>
      <c r="J5280" t="s">
        <v>1038</v>
      </c>
      <c r="K5280">
        <v>85.55</v>
      </c>
      <c r="L5280">
        <v>848.99</v>
      </c>
      <c r="M5280">
        <v>679.18</v>
      </c>
      <c r="O5280" t="s">
        <v>34</v>
      </c>
    </row>
    <row r="5281" spans="1:15">
      <c r="A5281" t="s">
        <v>6953</v>
      </c>
      <c r="B5281" s="2">
        <v>44731.826550925929</v>
      </c>
      <c r="C5281" s="2">
        <v>44731.836967592593</v>
      </c>
      <c r="D5281" t="s">
        <v>994</v>
      </c>
      <c r="E5281" t="s">
        <v>1612</v>
      </c>
      <c r="F5281" t="s">
        <v>1613</v>
      </c>
      <c r="G5281" t="s">
        <v>1122</v>
      </c>
      <c r="H5281" t="s">
        <v>1159</v>
      </c>
      <c r="I5281">
        <v>702927004</v>
      </c>
      <c r="J5281" t="s">
        <v>1160</v>
      </c>
      <c r="K5281">
        <v>142.58000000000001</v>
      </c>
      <c r="L5281">
        <v>291.74</v>
      </c>
      <c r="M5281">
        <v>233.38</v>
      </c>
      <c r="O5281" t="s">
        <v>34</v>
      </c>
    </row>
    <row r="5282" spans="1:15">
      <c r="A5282" t="s">
        <v>6954</v>
      </c>
      <c r="B5282" s="2">
        <v>44738.826550925929</v>
      </c>
      <c r="C5282" s="2">
        <v>44738.93341435185</v>
      </c>
      <c r="D5282" t="s">
        <v>994</v>
      </c>
      <c r="E5282" t="s">
        <v>2061</v>
      </c>
      <c r="F5282" t="s">
        <v>2062</v>
      </c>
      <c r="G5282" t="s">
        <v>1122</v>
      </c>
      <c r="H5282" t="s">
        <v>1031</v>
      </c>
      <c r="I5282">
        <v>185349003</v>
      </c>
      <c r="J5282" t="s">
        <v>1038</v>
      </c>
      <c r="K5282">
        <v>85.55</v>
      </c>
      <c r="L5282">
        <v>3105.35</v>
      </c>
      <c r="M5282">
        <v>2484.2800000000002</v>
      </c>
      <c r="N5282">
        <v>66383009</v>
      </c>
      <c r="O5282" t="s">
        <v>1209</v>
      </c>
    </row>
    <row r="5283" spans="1:15">
      <c r="A5283" t="s">
        <v>6955</v>
      </c>
      <c r="B5283" s="2">
        <v>45189.319386574076</v>
      </c>
      <c r="C5283" s="2">
        <v>45189.502939814818</v>
      </c>
      <c r="D5283" t="s">
        <v>976</v>
      </c>
      <c r="E5283" t="s">
        <v>6587</v>
      </c>
      <c r="F5283" t="s">
        <v>6588</v>
      </c>
      <c r="G5283" t="s">
        <v>1122</v>
      </c>
      <c r="H5283" t="s">
        <v>1031</v>
      </c>
      <c r="I5283">
        <v>185349003</v>
      </c>
      <c r="J5283" t="s">
        <v>1038</v>
      </c>
      <c r="K5283">
        <v>85.55</v>
      </c>
      <c r="L5283">
        <v>3536.75</v>
      </c>
      <c r="M5283">
        <v>2829.4</v>
      </c>
      <c r="N5283">
        <v>66383009</v>
      </c>
      <c r="O5283" t="s">
        <v>1209</v>
      </c>
    </row>
    <row r="5284" spans="1:15">
      <c r="A5284" t="s">
        <v>6956</v>
      </c>
      <c r="B5284" s="2">
        <v>44871.784884259258</v>
      </c>
      <c r="C5284" s="2">
        <v>44871.826435185183</v>
      </c>
      <c r="D5284" t="s">
        <v>994</v>
      </c>
      <c r="E5284" t="s">
        <v>2061</v>
      </c>
      <c r="F5284" t="s">
        <v>2062</v>
      </c>
      <c r="G5284" t="s">
        <v>1122</v>
      </c>
      <c r="H5284" t="s">
        <v>1043</v>
      </c>
      <c r="I5284">
        <v>185349003</v>
      </c>
      <c r="J5284" t="s">
        <v>1038</v>
      </c>
      <c r="K5284">
        <v>85.55</v>
      </c>
      <c r="L5284">
        <v>1803.78</v>
      </c>
      <c r="M5284">
        <v>1443.01</v>
      </c>
      <c r="O5284" t="s">
        <v>34</v>
      </c>
    </row>
    <row r="5285" spans="1:15">
      <c r="A5285" t="s">
        <v>6957</v>
      </c>
      <c r="B5285" s="2">
        <v>45196.319386574076</v>
      </c>
      <c r="C5285" s="2">
        <v>45196.406886574077</v>
      </c>
      <c r="D5285" t="s">
        <v>976</v>
      </c>
      <c r="E5285" t="s">
        <v>6587</v>
      </c>
      <c r="F5285" t="s">
        <v>6588</v>
      </c>
      <c r="G5285" t="s">
        <v>1122</v>
      </c>
      <c r="H5285" t="s">
        <v>1031</v>
      </c>
      <c r="I5285">
        <v>185347001</v>
      </c>
      <c r="J5285" t="s">
        <v>1124</v>
      </c>
      <c r="K5285">
        <v>85.55</v>
      </c>
      <c r="L5285">
        <v>906.16</v>
      </c>
      <c r="M5285">
        <v>724.93</v>
      </c>
      <c r="N5285">
        <v>431857002</v>
      </c>
      <c r="O5285" t="s">
        <v>4125</v>
      </c>
    </row>
    <row r="5286" spans="1:15">
      <c r="A5286" t="s">
        <v>6958</v>
      </c>
      <c r="B5286" s="2">
        <v>45196.406886574077</v>
      </c>
      <c r="C5286" s="2">
        <v>45196.417303240742</v>
      </c>
      <c r="D5286" t="s">
        <v>976</v>
      </c>
      <c r="E5286" t="s">
        <v>6587</v>
      </c>
      <c r="F5286" t="s">
        <v>6588</v>
      </c>
      <c r="G5286" t="s">
        <v>1122</v>
      </c>
      <c r="H5286" t="s">
        <v>1031</v>
      </c>
      <c r="I5286">
        <v>185347001</v>
      </c>
      <c r="J5286" t="s">
        <v>1124</v>
      </c>
      <c r="K5286">
        <v>85.55</v>
      </c>
      <c r="L5286">
        <v>234.71</v>
      </c>
      <c r="M5286">
        <v>187.76</v>
      </c>
      <c r="N5286">
        <v>431857002</v>
      </c>
      <c r="O5286" t="s">
        <v>4125</v>
      </c>
    </row>
    <row r="5287" spans="1:15">
      <c r="A5287" t="s">
        <v>6959</v>
      </c>
      <c r="B5287" s="2">
        <v>45074.826550925929</v>
      </c>
      <c r="C5287" s="2">
        <v>45074.857164351852</v>
      </c>
      <c r="D5287" t="s">
        <v>994</v>
      </c>
      <c r="E5287" t="s">
        <v>6821</v>
      </c>
      <c r="F5287" t="s">
        <v>6822</v>
      </c>
      <c r="G5287" t="s">
        <v>1122</v>
      </c>
      <c r="H5287" t="s">
        <v>1020</v>
      </c>
      <c r="I5287">
        <v>162673000</v>
      </c>
      <c r="J5287" t="s">
        <v>1021</v>
      </c>
      <c r="K5287">
        <v>136.80000000000001</v>
      </c>
      <c r="L5287">
        <v>1508.5</v>
      </c>
      <c r="M5287">
        <v>1206.78</v>
      </c>
      <c r="O5287" t="s">
        <v>34</v>
      </c>
    </row>
    <row r="5288" spans="1:15">
      <c r="A5288" t="s">
        <v>6960</v>
      </c>
      <c r="B5288" s="2">
        <v>45199.406886574077</v>
      </c>
      <c r="C5288" s="2">
        <v>45199.553414351853</v>
      </c>
      <c r="D5288" t="s">
        <v>976</v>
      </c>
      <c r="E5288" t="s">
        <v>6587</v>
      </c>
      <c r="F5288" t="s">
        <v>6588</v>
      </c>
      <c r="G5288" t="s">
        <v>1122</v>
      </c>
      <c r="H5288" t="s">
        <v>1031</v>
      </c>
      <c r="I5288">
        <v>185347001</v>
      </c>
      <c r="J5288" t="s">
        <v>1124</v>
      </c>
      <c r="K5288">
        <v>85.55</v>
      </c>
      <c r="L5288">
        <v>535.87</v>
      </c>
      <c r="M5288">
        <v>428.7</v>
      </c>
      <c r="N5288">
        <v>431857002</v>
      </c>
      <c r="O5288" t="s">
        <v>4125</v>
      </c>
    </row>
    <row r="5289" spans="1:15">
      <c r="A5289" t="s">
        <v>6961</v>
      </c>
      <c r="B5289" s="2">
        <v>45202.553414351853</v>
      </c>
      <c r="C5289" s="2">
        <v>45202.706192129626</v>
      </c>
      <c r="D5289" t="s">
        <v>976</v>
      </c>
      <c r="E5289" t="s">
        <v>6587</v>
      </c>
      <c r="F5289" t="s">
        <v>6588</v>
      </c>
      <c r="G5289" t="s">
        <v>1122</v>
      </c>
      <c r="H5289" t="s">
        <v>1031</v>
      </c>
      <c r="I5289">
        <v>185347001</v>
      </c>
      <c r="J5289" t="s">
        <v>1124</v>
      </c>
      <c r="K5289">
        <v>85.55</v>
      </c>
      <c r="L5289">
        <v>535.87</v>
      </c>
      <c r="M5289">
        <v>428.7</v>
      </c>
      <c r="N5289">
        <v>431857002</v>
      </c>
      <c r="O5289" t="s">
        <v>4125</v>
      </c>
    </row>
    <row r="5290" spans="1:15">
      <c r="A5290" t="s">
        <v>6962</v>
      </c>
      <c r="B5290" s="2">
        <v>45210.319386574076</v>
      </c>
      <c r="C5290" s="2">
        <v>45210.351643518516</v>
      </c>
      <c r="D5290" t="s">
        <v>976</v>
      </c>
      <c r="E5290" t="s">
        <v>3753</v>
      </c>
      <c r="F5290" t="s">
        <v>3754</v>
      </c>
      <c r="G5290" t="s">
        <v>1122</v>
      </c>
      <c r="H5290" t="s">
        <v>1159</v>
      </c>
      <c r="I5290">
        <v>702927004</v>
      </c>
      <c r="J5290" t="s">
        <v>1160</v>
      </c>
      <c r="K5290">
        <v>142.58000000000001</v>
      </c>
      <c r="L5290">
        <v>872.3</v>
      </c>
      <c r="M5290">
        <v>697.82</v>
      </c>
      <c r="O5290" t="s">
        <v>34</v>
      </c>
    </row>
    <row r="5291" spans="1:15">
      <c r="A5291" t="s">
        <v>6963</v>
      </c>
      <c r="B5291" s="2">
        <v>45217.319386574076</v>
      </c>
      <c r="C5291" s="2">
        <v>45217.32980324074</v>
      </c>
      <c r="D5291" t="s">
        <v>976</v>
      </c>
      <c r="E5291" t="s">
        <v>6587</v>
      </c>
      <c r="F5291" t="s">
        <v>6588</v>
      </c>
      <c r="G5291" t="s">
        <v>1122</v>
      </c>
      <c r="H5291" t="s">
        <v>1043</v>
      </c>
      <c r="I5291">
        <v>185349003</v>
      </c>
      <c r="J5291" t="s">
        <v>1038</v>
      </c>
      <c r="K5291">
        <v>85.55</v>
      </c>
      <c r="L5291">
        <v>1097.51</v>
      </c>
      <c r="M5291">
        <v>878</v>
      </c>
      <c r="O5291" t="s">
        <v>34</v>
      </c>
    </row>
    <row r="5292" spans="1:15">
      <c r="A5292" t="s">
        <v>6964</v>
      </c>
      <c r="B5292" s="2">
        <v>45224.319386574076</v>
      </c>
      <c r="C5292" s="2">
        <v>45224.353055555555</v>
      </c>
      <c r="D5292" t="s">
        <v>976</v>
      </c>
      <c r="E5292" t="s">
        <v>6587</v>
      </c>
      <c r="F5292" t="s">
        <v>6588</v>
      </c>
      <c r="G5292" t="s">
        <v>1122</v>
      </c>
      <c r="H5292" t="s">
        <v>1043</v>
      </c>
      <c r="I5292">
        <v>185349003</v>
      </c>
      <c r="J5292" t="s">
        <v>1038</v>
      </c>
      <c r="K5292">
        <v>85.55</v>
      </c>
      <c r="L5292">
        <v>1609.79</v>
      </c>
      <c r="M5292">
        <v>1287.82</v>
      </c>
      <c r="O5292" t="s">
        <v>34</v>
      </c>
    </row>
    <row r="5293" spans="1:15">
      <c r="A5293" t="s">
        <v>6965</v>
      </c>
      <c r="B5293" s="2">
        <v>45231.319386574076</v>
      </c>
      <c r="C5293" s="2">
        <v>45231.481886574074</v>
      </c>
      <c r="D5293" t="s">
        <v>976</v>
      </c>
      <c r="E5293" t="s">
        <v>6587</v>
      </c>
      <c r="F5293" t="s">
        <v>6588</v>
      </c>
      <c r="G5293" t="s">
        <v>1122</v>
      </c>
      <c r="H5293" t="s">
        <v>1031</v>
      </c>
      <c r="I5293">
        <v>185347001</v>
      </c>
      <c r="J5293" t="s">
        <v>1124</v>
      </c>
      <c r="K5293">
        <v>85.55</v>
      </c>
      <c r="L5293">
        <v>610.44000000000005</v>
      </c>
      <c r="M5293">
        <v>488.35</v>
      </c>
      <c r="N5293">
        <v>431857002</v>
      </c>
      <c r="O5293" t="s">
        <v>4125</v>
      </c>
    </row>
    <row r="5294" spans="1:15">
      <c r="A5294" t="s">
        <v>6966</v>
      </c>
      <c r="B5294" s="2">
        <v>45231.481886574074</v>
      </c>
      <c r="C5294" s="2">
        <v>45231.492303240739</v>
      </c>
      <c r="D5294" t="s">
        <v>976</v>
      </c>
      <c r="E5294" t="s">
        <v>6587</v>
      </c>
      <c r="F5294" t="s">
        <v>6588</v>
      </c>
      <c r="G5294" t="s">
        <v>1122</v>
      </c>
      <c r="H5294" t="s">
        <v>1031</v>
      </c>
      <c r="I5294">
        <v>185347001</v>
      </c>
      <c r="J5294" t="s">
        <v>1124</v>
      </c>
      <c r="K5294">
        <v>85.55</v>
      </c>
      <c r="L5294">
        <v>234.71</v>
      </c>
      <c r="M5294">
        <v>187.76</v>
      </c>
      <c r="N5294">
        <v>431857002</v>
      </c>
      <c r="O5294" t="s">
        <v>4125</v>
      </c>
    </row>
    <row r="5295" spans="1:15">
      <c r="A5295" t="s">
        <v>6967</v>
      </c>
      <c r="B5295" s="2">
        <v>45172.826550925929</v>
      </c>
      <c r="C5295" s="2">
        <v>45172.848611111112</v>
      </c>
      <c r="D5295" t="s">
        <v>994</v>
      </c>
      <c r="E5295" t="s">
        <v>2061</v>
      </c>
      <c r="F5295" t="s">
        <v>2062</v>
      </c>
      <c r="G5295" t="s">
        <v>1122</v>
      </c>
      <c r="H5295" t="s">
        <v>1043</v>
      </c>
      <c r="I5295">
        <v>185349003</v>
      </c>
      <c r="J5295" t="s">
        <v>1038</v>
      </c>
      <c r="K5295">
        <v>85.55</v>
      </c>
      <c r="L5295">
        <v>1172.0899999999999</v>
      </c>
      <c r="M5295">
        <v>937.66</v>
      </c>
      <c r="O5295" t="s">
        <v>34</v>
      </c>
    </row>
    <row r="5296" spans="1:15">
      <c r="A5296" t="s">
        <v>6968</v>
      </c>
      <c r="B5296" s="2">
        <v>45234.481886574074</v>
      </c>
      <c r="C5296" s="2">
        <v>45234.64508101852</v>
      </c>
      <c r="D5296" t="s">
        <v>976</v>
      </c>
      <c r="E5296" t="s">
        <v>6587</v>
      </c>
      <c r="F5296" t="s">
        <v>6588</v>
      </c>
      <c r="G5296" t="s">
        <v>1122</v>
      </c>
      <c r="H5296" t="s">
        <v>1031</v>
      </c>
      <c r="I5296">
        <v>185347001</v>
      </c>
      <c r="J5296" t="s">
        <v>1124</v>
      </c>
      <c r="K5296">
        <v>85.55</v>
      </c>
      <c r="L5296">
        <v>763.81</v>
      </c>
      <c r="M5296">
        <v>611.04999999999995</v>
      </c>
      <c r="N5296">
        <v>431857002</v>
      </c>
      <c r="O5296" t="s">
        <v>4125</v>
      </c>
    </row>
    <row r="5297" spans="1:15">
      <c r="A5297" t="s">
        <v>6969</v>
      </c>
      <c r="B5297" s="2">
        <v>45237.603414351855</v>
      </c>
      <c r="C5297" s="2">
        <v>45237.757581018515</v>
      </c>
      <c r="D5297" t="s">
        <v>976</v>
      </c>
      <c r="E5297" t="s">
        <v>6587</v>
      </c>
      <c r="F5297" t="s">
        <v>6588</v>
      </c>
      <c r="G5297" t="s">
        <v>1122</v>
      </c>
      <c r="H5297" t="s">
        <v>1031</v>
      </c>
      <c r="I5297">
        <v>185347001</v>
      </c>
      <c r="J5297" t="s">
        <v>1124</v>
      </c>
      <c r="K5297">
        <v>85.55</v>
      </c>
      <c r="L5297">
        <v>1722.95</v>
      </c>
      <c r="M5297">
        <v>1378.36</v>
      </c>
      <c r="N5297">
        <v>431857002</v>
      </c>
      <c r="O5297" t="s">
        <v>4125</v>
      </c>
    </row>
    <row r="5298" spans="1:15">
      <c r="A5298" t="s">
        <v>6970</v>
      </c>
      <c r="B5298" s="2">
        <v>45240.757581018515</v>
      </c>
      <c r="C5298" s="2">
        <v>45240.872164351851</v>
      </c>
      <c r="D5298" t="s">
        <v>976</v>
      </c>
      <c r="E5298" t="s">
        <v>6587</v>
      </c>
      <c r="F5298" t="s">
        <v>6588</v>
      </c>
      <c r="G5298" t="s">
        <v>1122</v>
      </c>
      <c r="H5298" t="s">
        <v>1031</v>
      </c>
      <c r="I5298">
        <v>185347001</v>
      </c>
      <c r="J5298" t="s">
        <v>1124</v>
      </c>
      <c r="K5298">
        <v>85.55</v>
      </c>
      <c r="L5298">
        <v>535.87</v>
      </c>
      <c r="M5298">
        <v>428.7</v>
      </c>
      <c r="N5298">
        <v>431857002</v>
      </c>
      <c r="O5298" t="s">
        <v>4125</v>
      </c>
    </row>
    <row r="5299" spans="1:15">
      <c r="A5299" t="s">
        <v>6971</v>
      </c>
      <c r="B5299" s="2">
        <v>45243.872164351851</v>
      </c>
      <c r="C5299" s="2">
        <v>45243.979803240742</v>
      </c>
      <c r="D5299" t="s">
        <v>976</v>
      </c>
      <c r="E5299" t="s">
        <v>6587</v>
      </c>
      <c r="F5299" t="s">
        <v>6588</v>
      </c>
      <c r="G5299" t="s">
        <v>1122</v>
      </c>
      <c r="H5299" t="s">
        <v>1031</v>
      </c>
      <c r="I5299">
        <v>185347001</v>
      </c>
      <c r="J5299" t="s">
        <v>1124</v>
      </c>
      <c r="K5299">
        <v>85.55</v>
      </c>
      <c r="L5299">
        <v>535.87</v>
      </c>
      <c r="M5299">
        <v>428.7</v>
      </c>
      <c r="N5299">
        <v>431857002</v>
      </c>
      <c r="O5299" t="s">
        <v>4125</v>
      </c>
    </row>
    <row r="5300" spans="1:15">
      <c r="A5300" t="s">
        <v>6972</v>
      </c>
      <c r="B5300" s="2">
        <v>45246.979803240742</v>
      </c>
      <c r="C5300" s="2">
        <v>45247.120775462965</v>
      </c>
      <c r="D5300" t="s">
        <v>976</v>
      </c>
      <c r="E5300" t="s">
        <v>6587</v>
      </c>
      <c r="F5300" t="s">
        <v>6588</v>
      </c>
      <c r="G5300" t="s">
        <v>1122</v>
      </c>
      <c r="H5300" t="s">
        <v>1031</v>
      </c>
      <c r="I5300">
        <v>185347001</v>
      </c>
      <c r="J5300" t="s">
        <v>1124</v>
      </c>
      <c r="K5300">
        <v>85.55</v>
      </c>
      <c r="L5300">
        <v>562.79</v>
      </c>
      <c r="M5300">
        <v>450.23</v>
      </c>
      <c r="N5300">
        <v>431857002</v>
      </c>
      <c r="O5300" t="s">
        <v>4125</v>
      </c>
    </row>
    <row r="5301" spans="1:15">
      <c r="A5301" t="s">
        <v>6973</v>
      </c>
      <c r="B5301" s="2">
        <v>45175.826550925929</v>
      </c>
      <c r="C5301" s="2">
        <v>45175.851481481484</v>
      </c>
      <c r="D5301" t="s">
        <v>994</v>
      </c>
      <c r="E5301" t="s">
        <v>1226</v>
      </c>
      <c r="F5301" t="s">
        <v>1227</v>
      </c>
      <c r="G5301" t="s">
        <v>1122</v>
      </c>
      <c r="H5301" t="s">
        <v>1031</v>
      </c>
      <c r="I5301">
        <v>185347001</v>
      </c>
      <c r="J5301" t="s">
        <v>1124</v>
      </c>
      <c r="K5301">
        <v>85.55</v>
      </c>
      <c r="L5301">
        <v>516.95000000000005</v>
      </c>
      <c r="M5301">
        <v>413.56</v>
      </c>
      <c r="N5301">
        <v>414545008</v>
      </c>
      <c r="O5301" t="s">
        <v>1228</v>
      </c>
    </row>
    <row r="5302" spans="1:15">
      <c r="A5302" t="s">
        <v>6974</v>
      </c>
      <c r="B5302" s="2">
        <v>45250.120775462965</v>
      </c>
      <c r="C5302" s="2">
        <v>45250.240914351853</v>
      </c>
      <c r="D5302" t="s">
        <v>976</v>
      </c>
      <c r="E5302" t="s">
        <v>6587</v>
      </c>
      <c r="F5302" t="s">
        <v>6588</v>
      </c>
      <c r="G5302" t="s">
        <v>1122</v>
      </c>
      <c r="H5302" t="s">
        <v>1031</v>
      </c>
      <c r="I5302">
        <v>185347001</v>
      </c>
      <c r="J5302" t="s">
        <v>1124</v>
      </c>
      <c r="K5302">
        <v>85.55</v>
      </c>
      <c r="L5302">
        <v>805.06</v>
      </c>
      <c r="M5302">
        <v>644.04999999999995</v>
      </c>
      <c r="N5302">
        <v>431857002</v>
      </c>
      <c r="O5302" t="s">
        <v>4125</v>
      </c>
    </row>
    <row r="5303" spans="1:15">
      <c r="A5303" t="s">
        <v>6975</v>
      </c>
      <c r="B5303" s="2">
        <v>45177.059814814813</v>
      </c>
      <c r="C5303" s="2">
        <v>45177.285474537035</v>
      </c>
      <c r="D5303" t="s">
        <v>994</v>
      </c>
      <c r="E5303" t="s">
        <v>1226</v>
      </c>
      <c r="F5303" t="s">
        <v>1227</v>
      </c>
      <c r="G5303" t="s">
        <v>1122</v>
      </c>
      <c r="H5303" t="s">
        <v>1031</v>
      </c>
      <c r="I5303">
        <v>185347001</v>
      </c>
      <c r="J5303" t="s">
        <v>1124</v>
      </c>
      <c r="K5303">
        <v>85.55</v>
      </c>
      <c r="L5303">
        <v>1444.46</v>
      </c>
      <c r="M5303">
        <v>1155.57</v>
      </c>
      <c r="N5303">
        <v>414545008</v>
      </c>
      <c r="O5303" t="s">
        <v>1228</v>
      </c>
    </row>
    <row r="5304" spans="1:15">
      <c r="A5304" t="s">
        <v>6976</v>
      </c>
      <c r="B5304" s="2">
        <v>45259.277719907404</v>
      </c>
      <c r="C5304" s="2">
        <v>45259.299074074072</v>
      </c>
      <c r="D5304" t="s">
        <v>976</v>
      </c>
      <c r="E5304" t="s">
        <v>3753</v>
      </c>
      <c r="F5304" t="s">
        <v>3754</v>
      </c>
      <c r="G5304" t="s">
        <v>1122</v>
      </c>
      <c r="H5304" t="s">
        <v>1159</v>
      </c>
      <c r="I5304">
        <v>702927004</v>
      </c>
      <c r="J5304" t="s">
        <v>1160</v>
      </c>
      <c r="K5304">
        <v>142.58000000000001</v>
      </c>
      <c r="L5304">
        <v>872.3</v>
      </c>
      <c r="M5304">
        <v>697.82</v>
      </c>
      <c r="O5304" t="s">
        <v>34</v>
      </c>
    </row>
    <row r="5305" spans="1:15">
      <c r="A5305" t="s">
        <v>6977</v>
      </c>
      <c r="B5305" s="2">
        <v>45207.077141203707</v>
      </c>
      <c r="C5305" s="2">
        <v>45207.138738425929</v>
      </c>
      <c r="D5305" t="s">
        <v>994</v>
      </c>
      <c r="E5305" t="s">
        <v>1226</v>
      </c>
      <c r="F5305" t="s">
        <v>1227</v>
      </c>
      <c r="G5305" t="s">
        <v>1122</v>
      </c>
      <c r="H5305" t="s">
        <v>1031</v>
      </c>
      <c r="I5305">
        <v>390906007</v>
      </c>
      <c r="J5305" t="s">
        <v>1255</v>
      </c>
      <c r="K5305">
        <v>85.55</v>
      </c>
      <c r="L5305">
        <v>8926.49</v>
      </c>
      <c r="M5305">
        <v>7141.16</v>
      </c>
      <c r="N5305">
        <v>274531002</v>
      </c>
      <c r="O5305" t="s">
        <v>2044</v>
      </c>
    </row>
    <row r="5306" spans="1:15">
      <c r="A5306" t="s">
        <v>6978</v>
      </c>
      <c r="B5306" s="2">
        <v>45266.277719907404</v>
      </c>
      <c r="C5306" s="2">
        <v>45266.288136574076</v>
      </c>
      <c r="D5306" t="s">
        <v>976</v>
      </c>
      <c r="E5306" t="s">
        <v>6587</v>
      </c>
      <c r="F5306" t="s">
        <v>6588</v>
      </c>
      <c r="G5306" t="s">
        <v>1122</v>
      </c>
      <c r="H5306" t="s">
        <v>1043</v>
      </c>
      <c r="I5306">
        <v>185349003</v>
      </c>
      <c r="J5306" t="s">
        <v>1038</v>
      </c>
      <c r="K5306">
        <v>85.55</v>
      </c>
      <c r="L5306">
        <v>630.16</v>
      </c>
      <c r="M5306">
        <v>504.12</v>
      </c>
      <c r="O5306" t="s">
        <v>34</v>
      </c>
    </row>
    <row r="5307" spans="1:15">
      <c r="A5307" t="s">
        <v>6979</v>
      </c>
      <c r="B5307" s="2">
        <v>45273.277719907404</v>
      </c>
      <c r="C5307" s="2">
        <v>45273.440659722219</v>
      </c>
      <c r="D5307" t="s">
        <v>976</v>
      </c>
      <c r="E5307" t="s">
        <v>6587</v>
      </c>
      <c r="F5307" t="s">
        <v>6588</v>
      </c>
      <c r="G5307" t="s">
        <v>1122</v>
      </c>
      <c r="H5307" t="s">
        <v>1031</v>
      </c>
      <c r="I5307">
        <v>185349003</v>
      </c>
      <c r="J5307" t="s">
        <v>1038</v>
      </c>
      <c r="K5307">
        <v>85.55</v>
      </c>
      <c r="L5307">
        <v>3105.35</v>
      </c>
      <c r="M5307">
        <v>2484.2800000000002</v>
      </c>
      <c r="N5307">
        <v>66383009</v>
      </c>
      <c r="O5307" t="s">
        <v>1209</v>
      </c>
    </row>
    <row r="5308" spans="1:15">
      <c r="A5308" t="s">
        <v>6980</v>
      </c>
      <c r="B5308" s="2">
        <v>45280.277719907404</v>
      </c>
      <c r="C5308" s="2">
        <v>45280.417997685188</v>
      </c>
      <c r="D5308" t="s">
        <v>976</v>
      </c>
      <c r="E5308" t="s">
        <v>6587</v>
      </c>
      <c r="F5308" t="s">
        <v>6588</v>
      </c>
      <c r="G5308" t="s">
        <v>1122</v>
      </c>
      <c r="H5308" t="s">
        <v>1031</v>
      </c>
      <c r="I5308">
        <v>185347001</v>
      </c>
      <c r="J5308" t="s">
        <v>1124</v>
      </c>
      <c r="K5308">
        <v>85.55</v>
      </c>
      <c r="L5308">
        <v>1155.06</v>
      </c>
      <c r="M5308">
        <v>924.05</v>
      </c>
      <c r="N5308">
        <v>431857002</v>
      </c>
      <c r="O5308" t="s">
        <v>4125</v>
      </c>
    </row>
    <row r="5309" spans="1:15">
      <c r="A5309" t="s">
        <v>6981</v>
      </c>
      <c r="B5309" s="2">
        <v>45280.417997685188</v>
      </c>
      <c r="C5309" s="2">
        <v>45280.428414351853</v>
      </c>
      <c r="D5309" t="s">
        <v>976</v>
      </c>
      <c r="E5309" t="s">
        <v>6587</v>
      </c>
      <c r="F5309" t="s">
        <v>6588</v>
      </c>
      <c r="G5309" t="s">
        <v>1122</v>
      </c>
      <c r="H5309" t="s">
        <v>1031</v>
      </c>
      <c r="I5309">
        <v>185347001</v>
      </c>
      <c r="J5309" t="s">
        <v>1124</v>
      </c>
      <c r="K5309">
        <v>85.55</v>
      </c>
      <c r="L5309">
        <v>234.71</v>
      </c>
      <c r="M5309">
        <v>187.76</v>
      </c>
      <c r="N5309">
        <v>431857002</v>
      </c>
      <c r="O5309" t="s">
        <v>4125</v>
      </c>
    </row>
    <row r="5310" spans="1:15">
      <c r="A5310" t="s">
        <v>6982</v>
      </c>
      <c r="B5310" s="2">
        <v>45283.417997685188</v>
      </c>
      <c r="C5310" s="2">
        <v>45283.538831018515</v>
      </c>
      <c r="D5310" t="s">
        <v>976</v>
      </c>
      <c r="E5310" t="s">
        <v>6587</v>
      </c>
      <c r="F5310" t="s">
        <v>6588</v>
      </c>
      <c r="G5310" t="s">
        <v>1122</v>
      </c>
      <c r="H5310" t="s">
        <v>1031</v>
      </c>
      <c r="I5310">
        <v>185347001</v>
      </c>
      <c r="J5310" t="s">
        <v>1124</v>
      </c>
      <c r="K5310">
        <v>85.55</v>
      </c>
      <c r="L5310">
        <v>1791.03</v>
      </c>
      <c r="M5310">
        <v>1432.82</v>
      </c>
      <c r="N5310">
        <v>431857002</v>
      </c>
      <c r="O5310" t="s">
        <v>4125</v>
      </c>
    </row>
    <row r="5311" spans="1:15">
      <c r="A5311" t="s">
        <v>6983</v>
      </c>
      <c r="B5311" s="2">
        <v>45286.538831018515</v>
      </c>
      <c r="C5311" s="2">
        <v>45286.629108796296</v>
      </c>
      <c r="D5311" t="s">
        <v>976</v>
      </c>
      <c r="E5311" t="s">
        <v>6587</v>
      </c>
      <c r="F5311" t="s">
        <v>6588</v>
      </c>
      <c r="G5311" t="s">
        <v>1122</v>
      </c>
      <c r="H5311" t="s">
        <v>1031</v>
      </c>
      <c r="I5311">
        <v>185347001</v>
      </c>
      <c r="J5311" t="s">
        <v>1124</v>
      </c>
      <c r="K5311">
        <v>85.55</v>
      </c>
      <c r="L5311">
        <v>790.72</v>
      </c>
      <c r="M5311">
        <v>632.58000000000004</v>
      </c>
      <c r="N5311">
        <v>431857002</v>
      </c>
      <c r="O5311" t="s">
        <v>4125</v>
      </c>
    </row>
    <row r="5312" spans="1:15">
      <c r="A5312" t="s">
        <v>6984</v>
      </c>
      <c r="B5312" s="2">
        <v>45294.277719907404</v>
      </c>
      <c r="C5312" s="2">
        <v>45294.318958333337</v>
      </c>
      <c r="D5312" t="s">
        <v>976</v>
      </c>
      <c r="E5312" t="s">
        <v>3753</v>
      </c>
      <c r="F5312" t="s">
        <v>3754</v>
      </c>
      <c r="G5312" t="s">
        <v>1122</v>
      </c>
      <c r="H5312" t="s">
        <v>1159</v>
      </c>
      <c r="I5312">
        <v>702927004</v>
      </c>
      <c r="J5312" t="s">
        <v>1160</v>
      </c>
      <c r="K5312">
        <v>142.58000000000001</v>
      </c>
      <c r="L5312">
        <v>872.3</v>
      </c>
      <c r="M5312">
        <v>697.82</v>
      </c>
      <c r="O5312" t="s">
        <v>34</v>
      </c>
    </row>
    <row r="5313" spans="1:15">
      <c r="A5313" t="s">
        <v>6985</v>
      </c>
      <c r="B5313" s="2">
        <v>45250.326238425929</v>
      </c>
      <c r="C5313" s="2">
        <v>45250.540659722225</v>
      </c>
      <c r="D5313" t="s">
        <v>994</v>
      </c>
      <c r="E5313" t="s">
        <v>1226</v>
      </c>
      <c r="F5313" t="s">
        <v>1227</v>
      </c>
      <c r="G5313" t="s">
        <v>1122</v>
      </c>
      <c r="H5313" t="s">
        <v>1031</v>
      </c>
      <c r="I5313">
        <v>32485007</v>
      </c>
      <c r="J5313" t="s">
        <v>1837</v>
      </c>
      <c r="K5313">
        <v>142.58000000000001</v>
      </c>
      <c r="L5313">
        <v>78469.7</v>
      </c>
      <c r="M5313">
        <v>62775.74</v>
      </c>
      <c r="N5313">
        <v>274531002</v>
      </c>
      <c r="O5313" t="s">
        <v>2044</v>
      </c>
    </row>
    <row r="5314" spans="1:15">
      <c r="A5314" t="s">
        <v>6986</v>
      </c>
      <c r="B5314" s="2">
        <v>45301.277719907404</v>
      </c>
      <c r="C5314" s="2">
        <v>45301.288136574076</v>
      </c>
      <c r="D5314" t="s">
        <v>976</v>
      </c>
      <c r="E5314" t="s">
        <v>3753</v>
      </c>
      <c r="F5314" t="s">
        <v>3754</v>
      </c>
      <c r="G5314" t="s">
        <v>1122</v>
      </c>
      <c r="H5314" t="s">
        <v>1159</v>
      </c>
      <c r="I5314">
        <v>702927004</v>
      </c>
      <c r="J5314" t="s">
        <v>1160</v>
      </c>
      <c r="K5314">
        <v>142.58000000000001</v>
      </c>
      <c r="L5314">
        <v>291.74</v>
      </c>
      <c r="M5314">
        <v>233.38</v>
      </c>
      <c r="O5314" t="s">
        <v>34</v>
      </c>
    </row>
    <row r="5315" spans="1:15">
      <c r="A5315" t="s">
        <v>6987</v>
      </c>
      <c r="B5315" s="2">
        <v>45308.277719907404</v>
      </c>
      <c r="C5315" s="2">
        <v>45308.318611111114</v>
      </c>
      <c r="D5315" t="s">
        <v>976</v>
      </c>
      <c r="E5315" t="s">
        <v>6587</v>
      </c>
      <c r="F5315" t="s">
        <v>6588</v>
      </c>
      <c r="G5315" t="s">
        <v>1122</v>
      </c>
      <c r="H5315" t="s">
        <v>1043</v>
      </c>
      <c r="I5315">
        <v>185349003</v>
      </c>
      <c r="J5315" t="s">
        <v>1038</v>
      </c>
      <c r="K5315">
        <v>85.55</v>
      </c>
      <c r="L5315">
        <v>1030.97</v>
      </c>
      <c r="M5315">
        <v>824.76</v>
      </c>
      <c r="O5315" t="s">
        <v>34</v>
      </c>
    </row>
    <row r="5316" spans="1:15">
      <c r="A5316" t="s">
        <v>6988</v>
      </c>
      <c r="B5316" s="2">
        <v>45315.277719907404</v>
      </c>
      <c r="C5316" s="2">
        <v>45315.288136574076</v>
      </c>
      <c r="D5316" t="s">
        <v>976</v>
      </c>
      <c r="E5316" t="s">
        <v>3753</v>
      </c>
      <c r="F5316" t="s">
        <v>3754</v>
      </c>
      <c r="G5316" t="s">
        <v>1122</v>
      </c>
      <c r="H5316" t="s">
        <v>1159</v>
      </c>
      <c r="I5316">
        <v>702927004</v>
      </c>
      <c r="J5316" t="s">
        <v>1160</v>
      </c>
      <c r="K5316">
        <v>142.58000000000001</v>
      </c>
      <c r="L5316">
        <v>560.23</v>
      </c>
      <c r="M5316">
        <v>448.17</v>
      </c>
      <c r="O5316" t="s">
        <v>34</v>
      </c>
    </row>
    <row r="5317" spans="1:15">
      <c r="A5317" t="s">
        <v>6989</v>
      </c>
      <c r="B5317" s="2">
        <v>45322.277719907404</v>
      </c>
      <c r="C5317" s="2">
        <v>45322.303530092591</v>
      </c>
      <c r="D5317" t="s">
        <v>976</v>
      </c>
      <c r="E5317" t="s">
        <v>6587</v>
      </c>
      <c r="F5317" t="s">
        <v>6588</v>
      </c>
      <c r="G5317" t="s">
        <v>1122</v>
      </c>
      <c r="H5317" t="s">
        <v>1043</v>
      </c>
      <c r="I5317">
        <v>185349003</v>
      </c>
      <c r="J5317" t="s">
        <v>1038</v>
      </c>
      <c r="K5317">
        <v>85.55</v>
      </c>
      <c r="L5317">
        <v>1046.77</v>
      </c>
      <c r="M5317">
        <v>837.4</v>
      </c>
      <c r="O5317" t="s">
        <v>34</v>
      </c>
    </row>
    <row r="5318" spans="1:15">
      <c r="A5318" t="s">
        <v>6990</v>
      </c>
      <c r="B5318" s="2">
        <v>45250.540659722225</v>
      </c>
      <c r="C5318" s="2">
        <v>45257.790925925925</v>
      </c>
      <c r="D5318" t="s">
        <v>994</v>
      </c>
      <c r="E5318" t="s">
        <v>1226</v>
      </c>
      <c r="F5318" t="s">
        <v>1227</v>
      </c>
      <c r="G5318" t="s">
        <v>1122</v>
      </c>
      <c r="H5318" t="s">
        <v>1431</v>
      </c>
      <c r="I5318">
        <v>397821002</v>
      </c>
      <c r="J5318" t="s">
        <v>2046</v>
      </c>
      <c r="K5318">
        <v>146.18</v>
      </c>
      <c r="L5318">
        <v>49883.19</v>
      </c>
      <c r="M5318">
        <v>39906.28</v>
      </c>
      <c r="N5318">
        <v>399261000</v>
      </c>
      <c r="O5318" t="s">
        <v>2047</v>
      </c>
    </row>
    <row r="5319" spans="1:15">
      <c r="A5319" t="s">
        <v>6991</v>
      </c>
      <c r="B5319" s="2">
        <v>45329.277719907404</v>
      </c>
      <c r="C5319" s="2">
        <v>45329.418749999997</v>
      </c>
      <c r="D5319" t="s">
        <v>976</v>
      </c>
      <c r="E5319" t="s">
        <v>6587</v>
      </c>
      <c r="F5319" t="s">
        <v>6588</v>
      </c>
      <c r="G5319" t="s">
        <v>1122</v>
      </c>
      <c r="H5319" t="s">
        <v>1031</v>
      </c>
      <c r="I5319">
        <v>185349003</v>
      </c>
      <c r="J5319" t="s">
        <v>1038</v>
      </c>
      <c r="K5319">
        <v>85.55</v>
      </c>
      <c r="L5319">
        <v>3105.35</v>
      </c>
      <c r="M5319">
        <v>2484.2800000000002</v>
      </c>
      <c r="N5319">
        <v>66383009</v>
      </c>
      <c r="O5319" t="s">
        <v>1209</v>
      </c>
    </row>
    <row r="5320" spans="1:15">
      <c r="A5320" t="s">
        <v>6992</v>
      </c>
      <c r="B5320" s="2">
        <v>45336.277719907404</v>
      </c>
      <c r="C5320" s="2">
        <v>45336.428414351853</v>
      </c>
      <c r="D5320" t="s">
        <v>976</v>
      </c>
      <c r="E5320" t="s">
        <v>6587</v>
      </c>
      <c r="F5320" t="s">
        <v>6588</v>
      </c>
      <c r="G5320" t="s">
        <v>1122</v>
      </c>
      <c r="H5320" t="s">
        <v>1031</v>
      </c>
      <c r="I5320">
        <v>185347001</v>
      </c>
      <c r="J5320" t="s">
        <v>1124</v>
      </c>
      <c r="K5320">
        <v>85.55</v>
      </c>
      <c r="L5320">
        <v>1791.03</v>
      </c>
      <c r="M5320">
        <v>1432.82</v>
      </c>
      <c r="N5320">
        <v>431857002</v>
      </c>
      <c r="O5320" t="s">
        <v>4125</v>
      </c>
    </row>
    <row r="5321" spans="1:15">
      <c r="A5321" t="s">
        <v>6993</v>
      </c>
      <c r="B5321" s="2">
        <v>45336.428414351853</v>
      </c>
      <c r="C5321" s="2">
        <v>45336.438831018517</v>
      </c>
      <c r="D5321" t="s">
        <v>976</v>
      </c>
      <c r="E5321" t="s">
        <v>6587</v>
      </c>
      <c r="F5321" t="s">
        <v>6588</v>
      </c>
      <c r="G5321" t="s">
        <v>1122</v>
      </c>
      <c r="H5321" t="s">
        <v>1031</v>
      </c>
      <c r="I5321">
        <v>185347001</v>
      </c>
      <c r="J5321" t="s">
        <v>1124</v>
      </c>
      <c r="K5321">
        <v>85.55</v>
      </c>
      <c r="L5321">
        <v>234.71</v>
      </c>
      <c r="M5321">
        <v>187.76</v>
      </c>
      <c r="N5321">
        <v>431857002</v>
      </c>
      <c r="O5321" t="s">
        <v>4125</v>
      </c>
    </row>
    <row r="5322" spans="1:15">
      <c r="A5322" t="s">
        <v>6994</v>
      </c>
      <c r="B5322" s="2">
        <v>45339.428414351853</v>
      </c>
      <c r="C5322" s="2">
        <v>45339.542997685188</v>
      </c>
      <c r="D5322" t="s">
        <v>976</v>
      </c>
      <c r="E5322" t="s">
        <v>6587</v>
      </c>
      <c r="F5322" t="s">
        <v>6588</v>
      </c>
      <c r="G5322" t="s">
        <v>1122</v>
      </c>
      <c r="H5322" t="s">
        <v>1031</v>
      </c>
      <c r="I5322">
        <v>185347001</v>
      </c>
      <c r="J5322" t="s">
        <v>1124</v>
      </c>
      <c r="K5322">
        <v>85.55</v>
      </c>
      <c r="L5322">
        <v>535.87</v>
      </c>
      <c r="M5322">
        <v>428.7</v>
      </c>
      <c r="N5322">
        <v>431857002</v>
      </c>
      <c r="O5322" t="s">
        <v>4125</v>
      </c>
    </row>
    <row r="5323" spans="1:15">
      <c r="A5323" t="s">
        <v>6995</v>
      </c>
      <c r="B5323" s="2">
        <v>45342.542997685188</v>
      </c>
      <c r="C5323" s="2">
        <v>45342.686053240737</v>
      </c>
      <c r="D5323" t="s">
        <v>976</v>
      </c>
      <c r="E5323" t="s">
        <v>6587</v>
      </c>
      <c r="F5323" t="s">
        <v>6588</v>
      </c>
      <c r="G5323" t="s">
        <v>1122</v>
      </c>
      <c r="H5323" t="s">
        <v>1031</v>
      </c>
      <c r="I5323">
        <v>185347001</v>
      </c>
      <c r="J5323" t="s">
        <v>1124</v>
      </c>
      <c r="K5323">
        <v>85.55</v>
      </c>
      <c r="L5323">
        <v>535.87</v>
      </c>
      <c r="M5323">
        <v>428.7</v>
      </c>
      <c r="N5323">
        <v>431857002</v>
      </c>
      <c r="O5323" t="s">
        <v>4125</v>
      </c>
    </row>
    <row r="5324" spans="1:15">
      <c r="A5324" t="s">
        <v>6996</v>
      </c>
      <c r="B5324" s="2">
        <v>45350.277719907404</v>
      </c>
      <c r="C5324" s="2">
        <v>45350.313761574071</v>
      </c>
      <c r="D5324" t="s">
        <v>976</v>
      </c>
      <c r="E5324" t="s">
        <v>3753</v>
      </c>
      <c r="F5324" t="s">
        <v>3754</v>
      </c>
      <c r="G5324" t="s">
        <v>1122</v>
      </c>
      <c r="H5324" t="s">
        <v>1159</v>
      </c>
      <c r="I5324">
        <v>702927004</v>
      </c>
      <c r="J5324" t="s">
        <v>1160</v>
      </c>
      <c r="K5324">
        <v>142.58000000000001</v>
      </c>
      <c r="L5324">
        <v>872.3</v>
      </c>
      <c r="M5324">
        <v>697.82</v>
      </c>
      <c r="O5324" t="s">
        <v>34</v>
      </c>
    </row>
    <row r="5325" spans="1:15">
      <c r="A5325" t="s">
        <v>6997</v>
      </c>
      <c r="B5325" s="2">
        <v>45357.277719907404</v>
      </c>
      <c r="C5325" s="2">
        <v>45357.288136574076</v>
      </c>
      <c r="D5325" t="s">
        <v>976</v>
      </c>
      <c r="E5325" t="s">
        <v>6587</v>
      </c>
      <c r="F5325" t="s">
        <v>6588</v>
      </c>
      <c r="G5325" t="s">
        <v>1122</v>
      </c>
      <c r="H5325" t="s">
        <v>1043</v>
      </c>
      <c r="I5325">
        <v>185349003</v>
      </c>
      <c r="J5325" t="s">
        <v>1038</v>
      </c>
      <c r="K5325">
        <v>85.55</v>
      </c>
      <c r="L5325">
        <v>925.8</v>
      </c>
      <c r="M5325">
        <v>740.63</v>
      </c>
      <c r="O5325" t="s">
        <v>34</v>
      </c>
    </row>
    <row r="5326" spans="1:15">
      <c r="A5326" t="s">
        <v>6998</v>
      </c>
      <c r="B5326" s="2">
        <v>45364.319386574076</v>
      </c>
      <c r="C5326" s="2">
        <v>45364.449942129628</v>
      </c>
      <c r="D5326" t="s">
        <v>976</v>
      </c>
      <c r="E5326" t="s">
        <v>6587</v>
      </c>
      <c r="F5326" t="s">
        <v>6588</v>
      </c>
      <c r="G5326" t="s">
        <v>1122</v>
      </c>
      <c r="H5326" t="s">
        <v>1031</v>
      </c>
      <c r="I5326">
        <v>185349003</v>
      </c>
      <c r="J5326" t="s">
        <v>1038</v>
      </c>
      <c r="K5326">
        <v>85.55</v>
      </c>
      <c r="L5326">
        <v>3536.75</v>
      </c>
      <c r="M5326">
        <v>2829.4</v>
      </c>
      <c r="N5326">
        <v>103697008</v>
      </c>
      <c r="O5326" t="s">
        <v>1039</v>
      </c>
    </row>
    <row r="5327" spans="1:15">
      <c r="A5327" t="s">
        <v>6999</v>
      </c>
      <c r="B5327" s="2">
        <v>45371.319386574076</v>
      </c>
      <c r="C5327" s="2">
        <v>45371.474247685182</v>
      </c>
      <c r="D5327" t="s">
        <v>976</v>
      </c>
      <c r="E5327" t="s">
        <v>6587</v>
      </c>
      <c r="F5327" t="s">
        <v>6588</v>
      </c>
      <c r="G5327" t="s">
        <v>1122</v>
      </c>
      <c r="H5327" t="s">
        <v>1031</v>
      </c>
      <c r="I5327">
        <v>185347001</v>
      </c>
      <c r="J5327" t="s">
        <v>1124</v>
      </c>
      <c r="K5327">
        <v>85.55</v>
      </c>
      <c r="L5327">
        <v>535.87</v>
      </c>
      <c r="M5327">
        <v>428.7</v>
      </c>
      <c r="N5327">
        <v>431857002</v>
      </c>
      <c r="O5327" t="s">
        <v>4125</v>
      </c>
    </row>
    <row r="5328" spans="1:15">
      <c r="A5328" t="s">
        <v>7000</v>
      </c>
      <c r="B5328" s="2">
        <v>45371.474247685182</v>
      </c>
      <c r="C5328" s="2">
        <v>45371.484664351854</v>
      </c>
      <c r="D5328" t="s">
        <v>976</v>
      </c>
      <c r="E5328" t="s">
        <v>6587</v>
      </c>
      <c r="F5328" t="s">
        <v>6588</v>
      </c>
      <c r="G5328" t="s">
        <v>1122</v>
      </c>
      <c r="H5328" t="s">
        <v>1031</v>
      </c>
      <c r="I5328">
        <v>185347001</v>
      </c>
      <c r="J5328" t="s">
        <v>1124</v>
      </c>
      <c r="K5328">
        <v>85.55</v>
      </c>
      <c r="L5328">
        <v>234.71</v>
      </c>
      <c r="M5328">
        <v>187.76</v>
      </c>
      <c r="N5328">
        <v>431857002</v>
      </c>
      <c r="O5328" t="s">
        <v>4125</v>
      </c>
    </row>
    <row r="5329" spans="1:15">
      <c r="A5329" t="s">
        <v>7001</v>
      </c>
      <c r="B5329" s="2">
        <v>45374.474247685182</v>
      </c>
      <c r="C5329" s="2">
        <v>45374.562442129631</v>
      </c>
      <c r="D5329" t="s">
        <v>976</v>
      </c>
      <c r="E5329" t="s">
        <v>6587</v>
      </c>
      <c r="F5329" t="s">
        <v>6588</v>
      </c>
      <c r="G5329" t="s">
        <v>1122</v>
      </c>
      <c r="H5329" t="s">
        <v>1031</v>
      </c>
      <c r="I5329">
        <v>185347001</v>
      </c>
      <c r="J5329" t="s">
        <v>1124</v>
      </c>
      <c r="K5329">
        <v>85.55</v>
      </c>
      <c r="L5329">
        <v>535.87</v>
      </c>
      <c r="M5329">
        <v>428.7</v>
      </c>
      <c r="N5329">
        <v>431857002</v>
      </c>
      <c r="O5329" t="s">
        <v>4125</v>
      </c>
    </row>
    <row r="5330" spans="1:15">
      <c r="A5330" t="s">
        <v>7002</v>
      </c>
      <c r="B5330" s="2">
        <v>45377.562442129631</v>
      </c>
      <c r="C5330" s="2">
        <v>45377.715914351851</v>
      </c>
      <c r="D5330" t="s">
        <v>976</v>
      </c>
      <c r="E5330" t="s">
        <v>6587</v>
      </c>
      <c r="F5330" t="s">
        <v>6588</v>
      </c>
      <c r="G5330" t="s">
        <v>1122</v>
      </c>
      <c r="H5330" t="s">
        <v>1031</v>
      </c>
      <c r="I5330">
        <v>185347001</v>
      </c>
      <c r="J5330" t="s">
        <v>1124</v>
      </c>
      <c r="K5330">
        <v>85.55</v>
      </c>
      <c r="L5330">
        <v>1763.05</v>
      </c>
      <c r="M5330">
        <v>1410.44</v>
      </c>
      <c r="N5330">
        <v>431857002</v>
      </c>
      <c r="O5330" t="s">
        <v>4125</v>
      </c>
    </row>
    <row r="5331" spans="1:15">
      <c r="A5331" t="s">
        <v>7003</v>
      </c>
      <c r="B5331" s="2">
        <v>45385.319386574076</v>
      </c>
      <c r="C5331" s="2">
        <v>45385.3440625</v>
      </c>
      <c r="D5331" t="s">
        <v>976</v>
      </c>
      <c r="E5331" t="s">
        <v>3753</v>
      </c>
      <c r="F5331" t="s">
        <v>3754</v>
      </c>
      <c r="G5331" t="s">
        <v>1122</v>
      </c>
      <c r="H5331" t="s">
        <v>1159</v>
      </c>
      <c r="I5331">
        <v>702927004</v>
      </c>
      <c r="J5331" t="s">
        <v>1160</v>
      </c>
      <c r="K5331">
        <v>142.58000000000001</v>
      </c>
      <c r="L5331">
        <v>872.3</v>
      </c>
      <c r="M5331">
        <v>697.82</v>
      </c>
      <c r="O5331" t="s">
        <v>34</v>
      </c>
    </row>
    <row r="5332" spans="1:15">
      <c r="A5332" t="s">
        <v>7004</v>
      </c>
      <c r="B5332" s="2">
        <v>45392.319386574076</v>
      </c>
      <c r="C5332" s="2">
        <v>45392.32980324074</v>
      </c>
      <c r="D5332" t="s">
        <v>976</v>
      </c>
      <c r="E5332" t="s">
        <v>3753</v>
      </c>
      <c r="F5332" t="s">
        <v>3754</v>
      </c>
      <c r="G5332" t="s">
        <v>1122</v>
      </c>
      <c r="H5332" t="s">
        <v>1159</v>
      </c>
      <c r="I5332">
        <v>702927004</v>
      </c>
      <c r="J5332" t="s">
        <v>1160</v>
      </c>
      <c r="K5332">
        <v>142.58000000000001</v>
      </c>
      <c r="L5332">
        <v>291.74</v>
      </c>
      <c r="M5332">
        <v>233.38</v>
      </c>
      <c r="O5332" t="s">
        <v>34</v>
      </c>
    </row>
    <row r="5333" spans="1:15">
      <c r="A5333" t="s">
        <v>7005</v>
      </c>
      <c r="B5333" s="2">
        <v>45399.319386574076</v>
      </c>
      <c r="C5333" s="2">
        <v>45399.349317129629</v>
      </c>
      <c r="D5333" t="s">
        <v>976</v>
      </c>
      <c r="E5333" t="s">
        <v>6587</v>
      </c>
      <c r="F5333" t="s">
        <v>6588</v>
      </c>
      <c r="G5333" t="s">
        <v>1122</v>
      </c>
      <c r="H5333" t="s">
        <v>1043</v>
      </c>
      <c r="I5333">
        <v>185349003</v>
      </c>
      <c r="J5333" t="s">
        <v>1038</v>
      </c>
      <c r="K5333">
        <v>85.55</v>
      </c>
      <c r="L5333">
        <v>951.27</v>
      </c>
      <c r="M5333">
        <v>761</v>
      </c>
      <c r="O5333" t="s">
        <v>34</v>
      </c>
    </row>
    <row r="5334" spans="1:15">
      <c r="A5334" t="s">
        <v>7006</v>
      </c>
      <c r="B5334" s="2">
        <v>45257.780509259261</v>
      </c>
      <c r="C5334" s="2">
        <v>45258.780509259261</v>
      </c>
      <c r="D5334" t="s">
        <v>994</v>
      </c>
      <c r="E5334" t="s">
        <v>1226</v>
      </c>
      <c r="F5334" t="s">
        <v>1227</v>
      </c>
      <c r="G5334" t="s">
        <v>1122</v>
      </c>
      <c r="H5334" t="s">
        <v>1431</v>
      </c>
      <c r="I5334">
        <v>305342007</v>
      </c>
      <c r="J5334" t="s">
        <v>2049</v>
      </c>
      <c r="K5334">
        <v>146.18</v>
      </c>
      <c r="L5334">
        <v>1871.78</v>
      </c>
      <c r="M5334">
        <v>1497.42</v>
      </c>
      <c r="N5334">
        <v>399261000</v>
      </c>
      <c r="O5334" t="s">
        <v>2047</v>
      </c>
    </row>
    <row r="5335" spans="1:15">
      <c r="A5335" t="s">
        <v>7007</v>
      </c>
      <c r="B5335" s="2">
        <v>45410.826550925929</v>
      </c>
      <c r="C5335" s="2">
        <v>45410.868159722224</v>
      </c>
      <c r="D5335" t="s">
        <v>994</v>
      </c>
      <c r="E5335" t="s">
        <v>2061</v>
      </c>
      <c r="F5335" t="s">
        <v>2062</v>
      </c>
      <c r="G5335" t="s">
        <v>1122</v>
      </c>
      <c r="H5335" t="s">
        <v>1043</v>
      </c>
      <c r="I5335">
        <v>185349003</v>
      </c>
      <c r="J5335" t="s">
        <v>1038</v>
      </c>
      <c r="K5335">
        <v>85.55</v>
      </c>
      <c r="L5335">
        <v>1580.09</v>
      </c>
      <c r="M5335">
        <v>1179.53</v>
      </c>
      <c r="O5335" t="s">
        <v>34</v>
      </c>
    </row>
    <row r="5336" spans="1:15">
      <c r="A5336" t="s">
        <v>7008</v>
      </c>
      <c r="B5336" s="2">
        <v>45406.319386574076</v>
      </c>
      <c r="C5336" s="2">
        <v>45406.32980324074</v>
      </c>
      <c r="D5336" t="s">
        <v>976</v>
      </c>
      <c r="E5336" t="s">
        <v>3753</v>
      </c>
      <c r="F5336" t="s">
        <v>3754</v>
      </c>
      <c r="G5336" t="s">
        <v>1122</v>
      </c>
      <c r="H5336" t="s">
        <v>1159</v>
      </c>
      <c r="I5336">
        <v>702927004</v>
      </c>
      <c r="J5336" t="s">
        <v>1160</v>
      </c>
      <c r="K5336">
        <v>142.58000000000001</v>
      </c>
      <c r="L5336">
        <v>291.74</v>
      </c>
      <c r="M5336">
        <v>233.38</v>
      </c>
      <c r="O5336" t="s">
        <v>34</v>
      </c>
    </row>
    <row r="5337" spans="1:15">
      <c r="A5337" t="s">
        <v>7009</v>
      </c>
      <c r="B5337" s="2">
        <v>45413.319386574076</v>
      </c>
      <c r="C5337" s="2">
        <v>45413.349097222221</v>
      </c>
      <c r="D5337" t="s">
        <v>976</v>
      </c>
      <c r="E5337" t="s">
        <v>6587</v>
      </c>
      <c r="F5337" t="s">
        <v>6588</v>
      </c>
      <c r="G5337" t="s">
        <v>1122</v>
      </c>
      <c r="H5337" t="s">
        <v>1043</v>
      </c>
      <c r="I5337">
        <v>185349003</v>
      </c>
      <c r="J5337" t="s">
        <v>1038</v>
      </c>
      <c r="K5337">
        <v>85.55</v>
      </c>
      <c r="L5337">
        <v>1162.92</v>
      </c>
      <c r="M5337">
        <v>930.32</v>
      </c>
      <c r="O5337" t="s">
        <v>34</v>
      </c>
    </row>
    <row r="5338" spans="1:15">
      <c r="A5338" t="s">
        <v>7010</v>
      </c>
      <c r="B5338" s="2">
        <v>45420.319386574076</v>
      </c>
      <c r="C5338" s="2">
        <v>45420.32980324074</v>
      </c>
      <c r="D5338" t="s">
        <v>976</v>
      </c>
      <c r="E5338" t="s">
        <v>6590</v>
      </c>
      <c r="F5338" t="s">
        <v>6591</v>
      </c>
      <c r="G5338" t="s">
        <v>1122</v>
      </c>
      <c r="H5338" t="s">
        <v>1020</v>
      </c>
      <c r="I5338">
        <v>162673000</v>
      </c>
      <c r="J5338" t="s">
        <v>1021</v>
      </c>
      <c r="K5338">
        <v>136.80000000000001</v>
      </c>
      <c r="L5338">
        <v>526.09</v>
      </c>
      <c r="M5338">
        <v>420.86</v>
      </c>
      <c r="O5338" t="s">
        <v>34</v>
      </c>
    </row>
    <row r="5339" spans="1:15">
      <c r="A5339" t="s">
        <v>7011</v>
      </c>
      <c r="B5339" s="2">
        <v>45427.319386574076</v>
      </c>
      <c r="C5339" s="2">
        <v>45427.594594907408</v>
      </c>
      <c r="D5339" t="s">
        <v>976</v>
      </c>
      <c r="E5339" t="s">
        <v>6587</v>
      </c>
      <c r="F5339" t="s">
        <v>6588</v>
      </c>
      <c r="G5339" t="s">
        <v>1122</v>
      </c>
      <c r="H5339" t="s">
        <v>1031</v>
      </c>
      <c r="I5339">
        <v>185349003</v>
      </c>
      <c r="J5339" t="s">
        <v>1038</v>
      </c>
      <c r="K5339">
        <v>85.55</v>
      </c>
      <c r="L5339">
        <v>4830.95</v>
      </c>
      <c r="M5339">
        <v>3864.76</v>
      </c>
      <c r="N5339">
        <v>66383009</v>
      </c>
      <c r="O5339" t="s">
        <v>1209</v>
      </c>
    </row>
    <row r="5340" spans="1:15">
      <c r="A5340" t="s">
        <v>7012</v>
      </c>
      <c r="B5340" s="2">
        <v>45445.826550925929</v>
      </c>
      <c r="C5340" s="2">
        <v>45445.857939814814</v>
      </c>
      <c r="D5340" t="s">
        <v>994</v>
      </c>
      <c r="E5340" t="s">
        <v>6821</v>
      </c>
      <c r="F5340" t="s">
        <v>6822</v>
      </c>
      <c r="G5340" t="s">
        <v>1122</v>
      </c>
      <c r="H5340" t="s">
        <v>1020</v>
      </c>
      <c r="I5340">
        <v>162673000</v>
      </c>
      <c r="J5340" t="s">
        <v>1021</v>
      </c>
      <c r="K5340">
        <v>136.80000000000001</v>
      </c>
      <c r="L5340">
        <v>1731.01</v>
      </c>
      <c r="M5340">
        <v>1384.8</v>
      </c>
      <c r="O5340" t="s">
        <v>34</v>
      </c>
    </row>
    <row r="5341" spans="1:15">
      <c r="A5341" t="s">
        <v>7013</v>
      </c>
      <c r="B5341" s="2">
        <v>45434.319386574076</v>
      </c>
      <c r="C5341" s="2">
        <v>45434.349942129629</v>
      </c>
      <c r="D5341" t="s">
        <v>976</v>
      </c>
      <c r="E5341" t="s">
        <v>6587</v>
      </c>
      <c r="F5341" t="s">
        <v>6588</v>
      </c>
      <c r="G5341" t="s">
        <v>1122</v>
      </c>
      <c r="H5341" t="s">
        <v>1031</v>
      </c>
      <c r="I5341">
        <v>36228007</v>
      </c>
      <c r="J5341" t="s">
        <v>1705</v>
      </c>
      <c r="K5341">
        <v>142.58000000000001</v>
      </c>
      <c r="L5341">
        <v>2730.98</v>
      </c>
      <c r="M5341">
        <v>2184.7800000000002</v>
      </c>
      <c r="O5341" t="s">
        <v>34</v>
      </c>
    </row>
    <row r="5342" spans="1:15">
      <c r="A5342" t="s">
        <v>7014</v>
      </c>
      <c r="B5342" s="2">
        <v>45441.319386574076</v>
      </c>
      <c r="C5342" s="2">
        <v>45441.404803240737</v>
      </c>
      <c r="D5342" t="s">
        <v>976</v>
      </c>
      <c r="E5342" t="s">
        <v>6587</v>
      </c>
      <c r="F5342" t="s">
        <v>6588</v>
      </c>
      <c r="G5342" t="s">
        <v>1122</v>
      </c>
      <c r="H5342" t="s">
        <v>1031</v>
      </c>
      <c r="I5342">
        <v>185347001</v>
      </c>
      <c r="J5342" t="s">
        <v>1124</v>
      </c>
      <c r="K5342">
        <v>85.55</v>
      </c>
      <c r="L5342">
        <v>535.87</v>
      </c>
      <c r="M5342">
        <v>428.7</v>
      </c>
      <c r="N5342">
        <v>431857002</v>
      </c>
      <c r="O5342" t="s">
        <v>4125</v>
      </c>
    </row>
    <row r="5343" spans="1:15">
      <c r="A5343" t="s">
        <v>7015</v>
      </c>
      <c r="B5343" s="2">
        <v>45441.404803240737</v>
      </c>
      <c r="C5343" s="2">
        <v>45441.415219907409</v>
      </c>
      <c r="D5343" t="s">
        <v>976</v>
      </c>
      <c r="E5343" t="s">
        <v>6587</v>
      </c>
      <c r="F5343" t="s">
        <v>6588</v>
      </c>
      <c r="G5343" t="s">
        <v>1122</v>
      </c>
      <c r="H5343" t="s">
        <v>1031</v>
      </c>
      <c r="I5343">
        <v>185347001</v>
      </c>
      <c r="J5343" t="s">
        <v>1124</v>
      </c>
      <c r="K5343">
        <v>85.55</v>
      </c>
      <c r="L5343">
        <v>234.71</v>
      </c>
      <c r="M5343">
        <v>187.76</v>
      </c>
      <c r="N5343">
        <v>431857002</v>
      </c>
      <c r="O5343" t="s">
        <v>4125</v>
      </c>
    </row>
    <row r="5344" spans="1:15">
      <c r="A5344" t="s">
        <v>7016</v>
      </c>
      <c r="B5344" s="2">
        <v>45459.826550925929</v>
      </c>
      <c r="C5344" s="2">
        <v>45459.943344907406</v>
      </c>
      <c r="D5344" t="s">
        <v>994</v>
      </c>
      <c r="E5344" t="s">
        <v>2061</v>
      </c>
      <c r="F5344" t="s">
        <v>2062</v>
      </c>
      <c r="G5344" t="s">
        <v>1122</v>
      </c>
      <c r="H5344" t="s">
        <v>1031</v>
      </c>
      <c r="I5344">
        <v>185349003</v>
      </c>
      <c r="J5344" t="s">
        <v>1038</v>
      </c>
      <c r="K5344">
        <v>85.55</v>
      </c>
      <c r="L5344">
        <v>2673.95</v>
      </c>
      <c r="M5344">
        <v>2139.16</v>
      </c>
      <c r="N5344">
        <v>103697008</v>
      </c>
      <c r="O5344" t="s">
        <v>1039</v>
      </c>
    </row>
    <row r="5345" spans="1:15">
      <c r="A5345" t="s">
        <v>7017</v>
      </c>
      <c r="B5345" s="2">
        <v>45444.404803240737</v>
      </c>
      <c r="C5345" s="2">
        <v>45444.562442129631</v>
      </c>
      <c r="D5345" t="s">
        <v>976</v>
      </c>
      <c r="E5345" t="s">
        <v>6587</v>
      </c>
      <c r="F5345" t="s">
        <v>6588</v>
      </c>
      <c r="G5345" t="s">
        <v>1122</v>
      </c>
      <c r="H5345" t="s">
        <v>1031</v>
      </c>
      <c r="I5345">
        <v>185347001</v>
      </c>
      <c r="J5345" t="s">
        <v>1124</v>
      </c>
      <c r="K5345">
        <v>85.55</v>
      </c>
      <c r="L5345">
        <v>1791.03</v>
      </c>
      <c r="M5345">
        <v>1432.82</v>
      </c>
      <c r="N5345">
        <v>431857002</v>
      </c>
      <c r="O5345" t="s">
        <v>4125</v>
      </c>
    </row>
    <row r="5346" spans="1:15">
      <c r="A5346" t="s">
        <v>7018</v>
      </c>
      <c r="B5346" s="2">
        <v>45447.562442129631</v>
      </c>
      <c r="C5346" s="2">
        <v>45447.723553240743</v>
      </c>
      <c r="D5346" t="s">
        <v>976</v>
      </c>
      <c r="E5346" t="s">
        <v>6587</v>
      </c>
      <c r="F5346" t="s">
        <v>6588</v>
      </c>
      <c r="G5346" t="s">
        <v>1122</v>
      </c>
      <c r="H5346" t="s">
        <v>1031</v>
      </c>
      <c r="I5346">
        <v>185347001</v>
      </c>
      <c r="J5346" t="s">
        <v>1124</v>
      </c>
      <c r="K5346">
        <v>85.55</v>
      </c>
      <c r="L5346">
        <v>535.87</v>
      </c>
      <c r="M5346">
        <v>428.7</v>
      </c>
      <c r="N5346">
        <v>431857002</v>
      </c>
      <c r="O5346" t="s">
        <v>4125</v>
      </c>
    </row>
    <row r="5347" spans="1:15">
      <c r="A5347" t="s">
        <v>7019</v>
      </c>
      <c r="B5347" s="2">
        <v>45501.826550925929</v>
      </c>
      <c r="C5347" s="2">
        <v>45501.864687499998</v>
      </c>
      <c r="D5347" t="s">
        <v>994</v>
      </c>
      <c r="E5347" t="s">
        <v>2061</v>
      </c>
      <c r="F5347" t="s">
        <v>2062</v>
      </c>
      <c r="G5347" t="s">
        <v>1122</v>
      </c>
      <c r="H5347" t="s">
        <v>1043</v>
      </c>
      <c r="I5347">
        <v>185349003</v>
      </c>
      <c r="J5347" t="s">
        <v>1038</v>
      </c>
      <c r="K5347">
        <v>85.55</v>
      </c>
      <c r="L5347">
        <v>992.27</v>
      </c>
      <c r="M5347">
        <v>793.8</v>
      </c>
      <c r="O5347" t="s">
        <v>34</v>
      </c>
    </row>
    <row r="5348" spans="1:15">
      <c r="A5348" t="s">
        <v>7020</v>
      </c>
      <c r="B5348" s="2">
        <v>45455.319386574076</v>
      </c>
      <c r="C5348" s="2">
        <v>45455.353819444441</v>
      </c>
      <c r="D5348" t="s">
        <v>976</v>
      </c>
      <c r="E5348" t="s">
        <v>3753</v>
      </c>
      <c r="F5348" t="s">
        <v>3754</v>
      </c>
      <c r="G5348" t="s">
        <v>1122</v>
      </c>
      <c r="H5348" t="s">
        <v>1159</v>
      </c>
      <c r="I5348">
        <v>702927004</v>
      </c>
      <c r="J5348" t="s">
        <v>1160</v>
      </c>
      <c r="K5348">
        <v>142.58000000000001</v>
      </c>
      <c r="L5348">
        <v>872.3</v>
      </c>
      <c r="M5348">
        <v>697.82</v>
      </c>
      <c r="O5348" t="s">
        <v>34</v>
      </c>
    </row>
    <row r="5349" spans="1:15">
      <c r="A5349" t="s">
        <v>7021</v>
      </c>
      <c r="B5349" s="2">
        <v>45462.319386574076</v>
      </c>
      <c r="C5349" s="2">
        <v>45462.32980324074</v>
      </c>
      <c r="D5349" t="s">
        <v>976</v>
      </c>
      <c r="E5349" t="s">
        <v>3753</v>
      </c>
      <c r="F5349" t="s">
        <v>3754</v>
      </c>
      <c r="G5349" t="s">
        <v>1122</v>
      </c>
      <c r="H5349" t="s">
        <v>1159</v>
      </c>
      <c r="I5349">
        <v>702927004</v>
      </c>
      <c r="J5349" t="s">
        <v>1160</v>
      </c>
      <c r="K5349">
        <v>142.58000000000001</v>
      </c>
      <c r="L5349">
        <v>291.74</v>
      </c>
      <c r="M5349">
        <v>233.38</v>
      </c>
      <c r="O5349" t="s">
        <v>34</v>
      </c>
    </row>
    <row r="5350" spans="1:15">
      <c r="A5350" t="s">
        <v>7022</v>
      </c>
      <c r="B5350" s="2">
        <v>45469.319386574076</v>
      </c>
      <c r="C5350" s="2">
        <v>45469.34337962963</v>
      </c>
      <c r="D5350" t="s">
        <v>976</v>
      </c>
      <c r="E5350" t="s">
        <v>3753</v>
      </c>
      <c r="F5350" t="s">
        <v>3754</v>
      </c>
      <c r="G5350" t="s">
        <v>1122</v>
      </c>
      <c r="H5350" t="s">
        <v>1159</v>
      </c>
      <c r="I5350">
        <v>702927004</v>
      </c>
      <c r="J5350" t="s">
        <v>1160</v>
      </c>
      <c r="K5350">
        <v>142.58000000000001</v>
      </c>
      <c r="L5350">
        <v>872.3</v>
      </c>
      <c r="M5350">
        <v>697.82</v>
      </c>
      <c r="O5350" t="s">
        <v>34</v>
      </c>
    </row>
    <row r="5351" spans="1:15">
      <c r="A5351" t="s">
        <v>7023</v>
      </c>
      <c r="B5351" s="2">
        <v>45476.319386574076</v>
      </c>
      <c r="C5351" s="2">
        <v>45476.32980324074</v>
      </c>
      <c r="D5351" t="s">
        <v>976</v>
      </c>
      <c r="E5351" t="s">
        <v>6587</v>
      </c>
      <c r="F5351" t="s">
        <v>6588</v>
      </c>
      <c r="G5351" t="s">
        <v>1122</v>
      </c>
      <c r="H5351" t="s">
        <v>1043</v>
      </c>
      <c r="I5351">
        <v>185349003</v>
      </c>
      <c r="J5351" t="s">
        <v>1038</v>
      </c>
      <c r="K5351">
        <v>85.55</v>
      </c>
      <c r="L5351">
        <v>234.71</v>
      </c>
      <c r="M5351">
        <v>187.76</v>
      </c>
      <c r="O5351" t="s">
        <v>34</v>
      </c>
    </row>
    <row r="5352" spans="1:15">
      <c r="A5352" t="s">
        <v>7024</v>
      </c>
      <c r="B5352" s="2">
        <v>45760.826550925929</v>
      </c>
      <c r="C5352" s="2">
        <v>45760.868217592593</v>
      </c>
      <c r="D5352" t="s">
        <v>994</v>
      </c>
      <c r="E5352" t="s">
        <v>6827</v>
      </c>
      <c r="F5352" t="s">
        <v>6828</v>
      </c>
      <c r="G5352" t="s">
        <v>1019</v>
      </c>
      <c r="H5352" t="s">
        <v>1076</v>
      </c>
      <c r="I5352">
        <v>50849002</v>
      </c>
      <c r="J5352" t="s">
        <v>1163</v>
      </c>
      <c r="K5352">
        <v>146.18</v>
      </c>
      <c r="L5352">
        <v>1368.72</v>
      </c>
      <c r="M5352">
        <v>0</v>
      </c>
      <c r="O5352" t="s">
        <v>34</v>
      </c>
    </row>
    <row r="5353" spans="1:15">
      <c r="A5353" t="s">
        <v>7025</v>
      </c>
      <c r="B5353" s="2">
        <v>45483.319386574076</v>
      </c>
      <c r="C5353" s="2">
        <v>45483.40896990741</v>
      </c>
      <c r="D5353" t="s">
        <v>976</v>
      </c>
      <c r="E5353" t="s">
        <v>6587</v>
      </c>
      <c r="F5353" t="s">
        <v>6588</v>
      </c>
      <c r="G5353" t="s">
        <v>1122</v>
      </c>
      <c r="H5353" t="s">
        <v>1031</v>
      </c>
      <c r="I5353">
        <v>185347001</v>
      </c>
      <c r="J5353" t="s">
        <v>1124</v>
      </c>
      <c r="K5353">
        <v>85.55</v>
      </c>
      <c r="L5353">
        <v>535.87</v>
      </c>
      <c r="M5353">
        <v>428.7</v>
      </c>
      <c r="N5353">
        <v>431857002</v>
      </c>
      <c r="O5353" t="s">
        <v>4125</v>
      </c>
    </row>
    <row r="5354" spans="1:15">
      <c r="A5354" t="s">
        <v>7026</v>
      </c>
      <c r="B5354" s="2">
        <v>45483.40896990741</v>
      </c>
      <c r="C5354" s="2">
        <v>45483.419386574074</v>
      </c>
      <c r="D5354" t="s">
        <v>976</v>
      </c>
      <c r="E5354" t="s">
        <v>6587</v>
      </c>
      <c r="F5354" t="s">
        <v>6588</v>
      </c>
      <c r="G5354" t="s">
        <v>1122</v>
      </c>
      <c r="H5354" t="s">
        <v>1031</v>
      </c>
      <c r="I5354">
        <v>185347001</v>
      </c>
      <c r="J5354" t="s">
        <v>1124</v>
      </c>
      <c r="K5354">
        <v>85.55</v>
      </c>
      <c r="L5354">
        <v>234.71</v>
      </c>
      <c r="M5354">
        <v>187.76</v>
      </c>
      <c r="N5354">
        <v>431857002</v>
      </c>
      <c r="O5354" t="s">
        <v>4125</v>
      </c>
    </row>
    <row r="5355" spans="1:15">
      <c r="A5355" t="s">
        <v>7027</v>
      </c>
      <c r="B5355" s="2">
        <v>45767.826550925929</v>
      </c>
      <c r="C5355" s="2">
        <v>45767.836967592593</v>
      </c>
      <c r="D5355" t="s">
        <v>994</v>
      </c>
      <c r="E5355" t="s">
        <v>1612</v>
      </c>
      <c r="F5355" t="s">
        <v>1613</v>
      </c>
      <c r="G5355" t="s">
        <v>1019</v>
      </c>
      <c r="H5355" t="s">
        <v>1159</v>
      </c>
      <c r="I5355">
        <v>702927004</v>
      </c>
      <c r="J5355" t="s">
        <v>1160</v>
      </c>
      <c r="K5355">
        <v>142.58000000000001</v>
      </c>
      <c r="L5355">
        <v>291.74</v>
      </c>
      <c r="M5355">
        <v>0</v>
      </c>
      <c r="O5355" t="s">
        <v>34</v>
      </c>
    </row>
    <row r="5356" spans="1:15">
      <c r="A5356" t="s">
        <v>7028</v>
      </c>
      <c r="B5356" s="2">
        <v>45486.40896990741</v>
      </c>
      <c r="C5356" s="2">
        <v>45486.545775462961</v>
      </c>
      <c r="D5356" t="s">
        <v>976</v>
      </c>
      <c r="E5356" t="s">
        <v>6587</v>
      </c>
      <c r="F5356" t="s">
        <v>6588</v>
      </c>
      <c r="G5356" t="s">
        <v>1122</v>
      </c>
      <c r="H5356" t="s">
        <v>1031</v>
      </c>
      <c r="I5356">
        <v>185347001</v>
      </c>
      <c r="J5356" t="s">
        <v>1124</v>
      </c>
      <c r="K5356">
        <v>85.55</v>
      </c>
      <c r="L5356">
        <v>535.87</v>
      </c>
      <c r="M5356">
        <v>428.7</v>
      </c>
      <c r="N5356">
        <v>431857002</v>
      </c>
      <c r="O5356" t="s">
        <v>4125</v>
      </c>
    </row>
    <row r="5357" spans="1:15">
      <c r="A5357" t="s">
        <v>7029</v>
      </c>
      <c r="B5357" s="2">
        <v>45489.545775462961</v>
      </c>
      <c r="C5357" s="2">
        <v>45489.648553240739</v>
      </c>
      <c r="D5357" t="s">
        <v>976</v>
      </c>
      <c r="E5357" t="s">
        <v>6587</v>
      </c>
      <c r="F5357" t="s">
        <v>6588</v>
      </c>
      <c r="G5357" t="s">
        <v>1122</v>
      </c>
      <c r="H5357" t="s">
        <v>1031</v>
      </c>
      <c r="I5357">
        <v>185347001</v>
      </c>
      <c r="J5357" t="s">
        <v>1124</v>
      </c>
      <c r="K5357">
        <v>85.55</v>
      </c>
      <c r="L5357">
        <v>1791.03</v>
      </c>
      <c r="M5357">
        <v>1432.82</v>
      </c>
      <c r="N5357">
        <v>431857002</v>
      </c>
      <c r="O5357" t="s">
        <v>4125</v>
      </c>
    </row>
    <row r="5358" spans="1:15">
      <c r="A5358" t="s">
        <v>7030</v>
      </c>
      <c r="B5358" s="2">
        <v>45490.319386574076</v>
      </c>
      <c r="C5358" s="2">
        <v>45490.32980324074</v>
      </c>
      <c r="D5358" t="s">
        <v>976</v>
      </c>
      <c r="E5358" t="s">
        <v>6587</v>
      </c>
      <c r="F5358" t="s">
        <v>6588</v>
      </c>
      <c r="G5358" t="s">
        <v>1122</v>
      </c>
      <c r="H5358" t="s">
        <v>1031</v>
      </c>
      <c r="I5358">
        <v>390906007</v>
      </c>
      <c r="J5358" t="s">
        <v>1255</v>
      </c>
      <c r="K5358">
        <v>85.55</v>
      </c>
      <c r="L5358">
        <v>234.71</v>
      </c>
      <c r="M5358">
        <v>187.76</v>
      </c>
      <c r="N5358">
        <v>55822004</v>
      </c>
      <c r="O5358" t="s">
        <v>2010</v>
      </c>
    </row>
    <row r="5359" spans="1:15">
      <c r="A5359" t="s">
        <v>7031</v>
      </c>
      <c r="B5359" s="2">
        <v>45497.319386574076</v>
      </c>
      <c r="C5359" s="2">
        <v>45497.352870370371</v>
      </c>
      <c r="D5359" t="s">
        <v>976</v>
      </c>
      <c r="E5359" t="s">
        <v>3753</v>
      </c>
      <c r="F5359" t="s">
        <v>3754</v>
      </c>
      <c r="G5359" t="s">
        <v>1122</v>
      </c>
      <c r="H5359" t="s">
        <v>1159</v>
      </c>
      <c r="I5359">
        <v>702927004</v>
      </c>
      <c r="J5359" t="s">
        <v>1160</v>
      </c>
      <c r="K5359">
        <v>142.58000000000001</v>
      </c>
      <c r="L5359">
        <v>872.3</v>
      </c>
      <c r="M5359">
        <v>697.82</v>
      </c>
      <c r="O5359" t="s">
        <v>34</v>
      </c>
    </row>
    <row r="5360" spans="1:15">
      <c r="A5360" t="s">
        <v>7032</v>
      </c>
      <c r="B5360" s="2">
        <v>45504.319386574076</v>
      </c>
      <c r="C5360" s="2">
        <v>45504.32980324074</v>
      </c>
      <c r="D5360" t="s">
        <v>976</v>
      </c>
      <c r="E5360" t="s">
        <v>3753</v>
      </c>
      <c r="F5360" t="s">
        <v>3754</v>
      </c>
      <c r="G5360" t="s">
        <v>1122</v>
      </c>
      <c r="H5360" t="s">
        <v>1159</v>
      </c>
      <c r="I5360">
        <v>702927004</v>
      </c>
      <c r="J5360" t="s">
        <v>1160</v>
      </c>
      <c r="K5360">
        <v>142.58000000000001</v>
      </c>
      <c r="L5360">
        <v>291.74</v>
      </c>
      <c r="M5360">
        <v>233.38</v>
      </c>
      <c r="O5360" t="s">
        <v>34</v>
      </c>
    </row>
    <row r="5361" spans="1:15">
      <c r="A5361" t="s">
        <v>7033</v>
      </c>
      <c r="B5361" s="2">
        <v>45511.319386574076</v>
      </c>
      <c r="C5361" s="2">
        <v>45511.346678240741</v>
      </c>
      <c r="D5361" t="s">
        <v>976</v>
      </c>
      <c r="E5361" t="s">
        <v>6587</v>
      </c>
      <c r="F5361" t="s">
        <v>6588</v>
      </c>
      <c r="G5361" t="s">
        <v>1122</v>
      </c>
      <c r="H5361" t="s">
        <v>1043</v>
      </c>
      <c r="I5361">
        <v>185349003</v>
      </c>
      <c r="J5361" t="s">
        <v>1038</v>
      </c>
      <c r="K5361">
        <v>85.55</v>
      </c>
      <c r="L5361">
        <v>815.27</v>
      </c>
      <c r="M5361">
        <v>652.20000000000005</v>
      </c>
      <c r="O5361" t="s">
        <v>34</v>
      </c>
    </row>
    <row r="5362" spans="1:15">
      <c r="A5362" t="s">
        <v>7034</v>
      </c>
      <c r="B5362" s="2">
        <v>45774.826550925929</v>
      </c>
      <c r="C5362" s="2">
        <v>45774.868217592593</v>
      </c>
      <c r="D5362" t="s">
        <v>994</v>
      </c>
      <c r="E5362" t="s">
        <v>6827</v>
      </c>
      <c r="F5362" t="s">
        <v>6828</v>
      </c>
      <c r="G5362" t="s">
        <v>1019</v>
      </c>
      <c r="H5362" t="s">
        <v>1076</v>
      </c>
      <c r="I5362">
        <v>50849002</v>
      </c>
      <c r="J5362" t="s">
        <v>1163</v>
      </c>
      <c r="K5362">
        <v>146.18</v>
      </c>
      <c r="L5362">
        <v>2095.52</v>
      </c>
      <c r="M5362">
        <v>0</v>
      </c>
      <c r="O5362" t="s">
        <v>34</v>
      </c>
    </row>
    <row r="5363" spans="1:15">
      <c r="A5363" t="s">
        <v>7035</v>
      </c>
      <c r="B5363" s="2">
        <v>45781.826550925929</v>
      </c>
      <c r="C5363" s="2">
        <v>45781.868217592593</v>
      </c>
      <c r="D5363" t="s">
        <v>994</v>
      </c>
      <c r="E5363" t="s">
        <v>6827</v>
      </c>
      <c r="F5363" t="s">
        <v>6828</v>
      </c>
      <c r="G5363" t="s">
        <v>1019</v>
      </c>
      <c r="H5363" t="s">
        <v>1076</v>
      </c>
      <c r="I5363">
        <v>50849002</v>
      </c>
      <c r="J5363" t="s">
        <v>1163</v>
      </c>
      <c r="K5363">
        <v>146.18</v>
      </c>
      <c r="L5363">
        <v>295.33999999999997</v>
      </c>
      <c r="M5363">
        <v>0</v>
      </c>
      <c r="O5363" t="s">
        <v>34</v>
      </c>
    </row>
    <row r="5364" spans="1:15">
      <c r="A5364" t="s">
        <v>7036</v>
      </c>
      <c r="B5364" s="2">
        <v>45518.319386574076</v>
      </c>
      <c r="C5364" s="2">
        <v>45518.465219907404</v>
      </c>
      <c r="D5364" t="s">
        <v>976</v>
      </c>
      <c r="E5364" t="s">
        <v>6587</v>
      </c>
      <c r="F5364" t="s">
        <v>6588</v>
      </c>
      <c r="G5364" t="s">
        <v>1122</v>
      </c>
      <c r="H5364" t="s">
        <v>1031</v>
      </c>
      <c r="I5364">
        <v>185347001</v>
      </c>
      <c r="J5364" t="s">
        <v>1124</v>
      </c>
      <c r="K5364">
        <v>85.55</v>
      </c>
      <c r="L5364">
        <v>548.36</v>
      </c>
      <c r="M5364">
        <v>438.69</v>
      </c>
      <c r="N5364">
        <v>431857002</v>
      </c>
      <c r="O5364" t="s">
        <v>4125</v>
      </c>
    </row>
    <row r="5365" spans="1:15">
      <c r="A5365" t="s">
        <v>7037</v>
      </c>
      <c r="B5365" s="2">
        <v>45518.465219907404</v>
      </c>
      <c r="C5365" s="2">
        <v>45518.475636574076</v>
      </c>
      <c r="D5365" t="s">
        <v>976</v>
      </c>
      <c r="E5365" t="s">
        <v>6587</v>
      </c>
      <c r="F5365" t="s">
        <v>6588</v>
      </c>
      <c r="G5365" t="s">
        <v>1122</v>
      </c>
      <c r="H5365" t="s">
        <v>1031</v>
      </c>
      <c r="I5365">
        <v>185347001</v>
      </c>
      <c r="J5365" t="s">
        <v>1124</v>
      </c>
      <c r="K5365">
        <v>85.55</v>
      </c>
      <c r="L5365">
        <v>234.71</v>
      </c>
      <c r="M5365">
        <v>187.76</v>
      </c>
      <c r="N5365">
        <v>431857002</v>
      </c>
      <c r="O5365" t="s">
        <v>4125</v>
      </c>
    </row>
    <row r="5366" spans="1:15">
      <c r="A5366" t="s">
        <v>7038</v>
      </c>
      <c r="B5366" s="2">
        <v>45788.826550925929</v>
      </c>
      <c r="C5366" s="2">
        <v>45788.868217592593</v>
      </c>
      <c r="D5366" t="s">
        <v>994</v>
      </c>
      <c r="E5366" t="s">
        <v>6827</v>
      </c>
      <c r="F5366" t="s">
        <v>6828</v>
      </c>
      <c r="G5366" t="s">
        <v>1019</v>
      </c>
      <c r="H5366" t="s">
        <v>1076</v>
      </c>
      <c r="I5366">
        <v>50849002</v>
      </c>
      <c r="J5366" t="s">
        <v>1163</v>
      </c>
      <c r="K5366">
        <v>146.18</v>
      </c>
      <c r="L5366">
        <v>1232.72</v>
      </c>
      <c r="M5366">
        <v>0</v>
      </c>
      <c r="O5366" t="s">
        <v>34</v>
      </c>
    </row>
    <row r="5367" spans="1:15">
      <c r="A5367" t="s">
        <v>7039</v>
      </c>
      <c r="B5367" s="2">
        <v>45521.465219907404</v>
      </c>
      <c r="C5367" s="2">
        <v>45521.576331018521</v>
      </c>
      <c r="D5367" t="s">
        <v>976</v>
      </c>
      <c r="E5367" t="s">
        <v>6587</v>
      </c>
      <c r="F5367" t="s">
        <v>6588</v>
      </c>
      <c r="G5367" t="s">
        <v>1122</v>
      </c>
      <c r="H5367" t="s">
        <v>1031</v>
      </c>
      <c r="I5367">
        <v>185347001</v>
      </c>
      <c r="J5367" t="s">
        <v>1124</v>
      </c>
      <c r="K5367">
        <v>85.55</v>
      </c>
      <c r="L5367">
        <v>535.87</v>
      </c>
      <c r="M5367">
        <v>428.7</v>
      </c>
      <c r="N5367">
        <v>431857002</v>
      </c>
      <c r="O5367" t="s">
        <v>4125</v>
      </c>
    </row>
    <row r="5368" spans="1:15">
      <c r="A5368" t="s">
        <v>7040</v>
      </c>
      <c r="B5368" s="2">
        <v>45524.576331018521</v>
      </c>
      <c r="C5368" s="2">
        <v>45524.694386574076</v>
      </c>
      <c r="D5368" t="s">
        <v>976</v>
      </c>
      <c r="E5368" t="s">
        <v>6587</v>
      </c>
      <c r="F5368" t="s">
        <v>6588</v>
      </c>
      <c r="G5368" t="s">
        <v>1122</v>
      </c>
      <c r="H5368" t="s">
        <v>1031</v>
      </c>
      <c r="I5368">
        <v>185347001</v>
      </c>
      <c r="J5368" t="s">
        <v>1124</v>
      </c>
      <c r="K5368">
        <v>85.55</v>
      </c>
      <c r="L5368">
        <v>535.87</v>
      </c>
      <c r="M5368">
        <v>428.7</v>
      </c>
      <c r="N5368">
        <v>431857002</v>
      </c>
      <c r="O5368" t="s">
        <v>4125</v>
      </c>
    </row>
    <row r="5369" spans="1:15">
      <c r="A5369" t="s">
        <v>7041</v>
      </c>
      <c r="B5369" s="2">
        <v>45795.826550925929</v>
      </c>
      <c r="C5369" s="2">
        <v>45795.836967592593</v>
      </c>
      <c r="D5369" t="s">
        <v>994</v>
      </c>
      <c r="E5369" t="s">
        <v>1612</v>
      </c>
      <c r="F5369" t="s">
        <v>1613</v>
      </c>
      <c r="G5369" t="s">
        <v>1019</v>
      </c>
      <c r="H5369" t="s">
        <v>1159</v>
      </c>
      <c r="I5369">
        <v>702927004</v>
      </c>
      <c r="J5369" t="s">
        <v>1160</v>
      </c>
      <c r="K5369">
        <v>142.58000000000001</v>
      </c>
      <c r="L5369">
        <v>291.74</v>
      </c>
      <c r="M5369">
        <v>0</v>
      </c>
      <c r="O5369" t="s">
        <v>34</v>
      </c>
    </row>
    <row r="5370" spans="1:15">
      <c r="A5370" t="s">
        <v>7042</v>
      </c>
      <c r="B5370" s="2">
        <v>45532.319386574076</v>
      </c>
      <c r="C5370" s="2">
        <v>45532.340567129628</v>
      </c>
      <c r="D5370" t="s">
        <v>976</v>
      </c>
      <c r="E5370" t="s">
        <v>3753</v>
      </c>
      <c r="F5370" t="s">
        <v>3754</v>
      </c>
      <c r="G5370" t="s">
        <v>1122</v>
      </c>
      <c r="H5370" t="s">
        <v>1159</v>
      </c>
      <c r="I5370">
        <v>702927004</v>
      </c>
      <c r="J5370" t="s">
        <v>1160</v>
      </c>
      <c r="K5370">
        <v>142.58000000000001</v>
      </c>
      <c r="L5370">
        <v>872.3</v>
      </c>
      <c r="M5370">
        <v>697.82</v>
      </c>
      <c r="O5370" t="s">
        <v>34</v>
      </c>
    </row>
    <row r="5371" spans="1:15">
      <c r="A5371" t="s">
        <v>7043</v>
      </c>
      <c r="B5371" s="2">
        <v>45802.826550925929</v>
      </c>
      <c r="C5371" s="2">
        <v>45802.868217592593</v>
      </c>
      <c r="D5371" t="s">
        <v>994</v>
      </c>
      <c r="E5371" t="s">
        <v>6827</v>
      </c>
      <c r="F5371" t="s">
        <v>6828</v>
      </c>
      <c r="G5371" t="s">
        <v>1019</v>
      </c>
      <c r="H5371" t="s">
        <v>1076</v>
      </c>
      <c r="I5371">
        <v>50849002</v>
      </c>
      <c r="J5371" t="s">
        <v>1163</v>
      </c>
      <c r="K5371">
        <v>146.18</v>
      </c>
      <c r="L5371">
        <v>2095.52</v>
      </c>
      <c r="M5371">
        <v>0</v>
      </c>
      <c r="O5371" t="s">
        <v>34</v>
      </c>
    </row>
    <row r="5372" spans="1:15">
      <c r="A5372" t="s">
        <v>7044</v>
      </c>
      <c r="B5372" s="2">
        <v>45539.319386574076</v>
      </c>
      <c r="C5372" s="2">
        <v>45539.32980324074</v>
      </c>
      <c r="D5372" t="s">
        <v>976</v>
      </c>
      <c r="E5372" t="s">
        <v>6587</v>
      </c>
      <c r="F5372" t="s">
        <v>6588</v>
      </c>
      <c r="G5372" t="s">
        <v>1122</v>
      </c>
      <c r="H5372" t="s">
        <v>1043</v>
      </c>
      <c r="I5372">
        <v>185349003</v>
      </c>
      <c r="J5372" t="s">
        <v>1038</v>
      </c>
      <c r="K5372">
        <v>85.55</v>
      </c>
      <c r="L5372">
        <v>234.71</v>
      </c>
      <c r="M5372">
        <v>187.76</v>
      </c>
      <c r="O5372" t="s">
        <v>34</v>
      </c>
    </row>
    <row r="5373" spans="1:15">
      <c r="A5373" t="s">
        <v>7045</v>
      </c>
      <c r="B5373" s="2">
        <v>45546.319386574076</v>
      </c>
      <c r="C5373" s="2">
        <v>45546.43608796296</v>
      </c>
      <c r="D5373" t="s">
        <v>976</v>
      </c>
      <c r="E5373" t="s">
        <v>6587</v>
      </c>
      <c r="F5373" t="s">
        <v>6588</v>
      </c>
      <c r="G5373" t="s">
        <v>1122</v>
      </c>
      <c r="H5373" t="s">
        <v>1031</v>
      </c>
      <c r="I5373">
        <v>185349003</v>
      </c>
      <c r="J5373" t="s">
        <v>1038</v>
      </c>
      <c r="K5373">
        <v>85.55</v>
      </c>
      <c r="L5373">
        <v>3105.35</v>
      </c>
      <c r="M5373">
        <v>2484.2800000000002</v>
      </c>
      <c r="N5373">
        <v>66383009</v>
      </c>
      <c r="O5373" t="s">
        <v>1209</v>
      </c>
    </row>
    <row r="5374" spans="1:15">
      <c r="A5374" t="s">
        <v>7046</v>
      </c>
      <c r="B5374" s="2">
        <v>45553.319386574076</v>
      </c>
      <c r="C5374" s="2">
        <v>45553.412442129629</v>
      </c>
      <c r="D5374" t="s">
        <v>976</v>
      </c>
      <c r="E5374" t="s">
        <v>6587</v>
      </c>
      <c r="F5374" t="s">
        <v>6588</v>
      </c>
      <c r="G5374" t="s">
        <v>1122</v>
      </c>
      <c r="H5374" t="s">
        <v>1031</v>
      </c>
      <c r="I5374">
        <v>185347001</v>
      </c>
      <c r="J5374" t="s">
        <v>1124</v>
      </c>
      <c r="K5374">
        <v>85.55</v>
      </c>
      <c r="L5374">
        <v>699.91</v>
      </c>
      <c r="M5374">
        <v>559.92999999999995</v>
      </c>
      <c r="N5374">
        <v>431857002</v>
      </c>
      <c r="O5374" t="s">
        <v>4125</v>
      </c>
    </row>
    <row r="5375" spans="1:15">
      <c r="A5375" t="s">
        <v>7047</v>
      </c>
      <c r="B5375" s="2">
        <v>45553.412442129629</v>
      </c>
      <c r="C5375" s="2">
        <v>45553.422858796293</v>
      </c>
      <c r="D5375" t="s">
        <v>976</v>
      </c>
      <c r="E5375" t="s">
        <v>6587</v>
      </c>
      <c r="F5375" t="s">
        <v>6588</v>
      </c>
      <c r="G5375" t="s">
        <v>1122</v>
      </c>
      <c r="H5375" t="s">
        <v>1031</v>
      </c>
      <c r="I5375">
        <v>185347001</v>
      </c>
      <c r="J5375" t="s">
        <v>1124</v>
      </c>
      <c r="K5375">
        <v>85.55</v>
      </c>
      <c r="L5375">
        <v>234.71</v>
      </c>
      <c r="M5375">
        <v>187.76</v>
      </c>
      <c r="N5375">
        <v>431857002</v>
      </c>
      <c r="O5375" t="s">
        <v>4125</v>
      </c>
    </row>
    <row r="5376" spans="1:15">
      <c r="A5376" t="s">
        <v>7048</v>
      </c>
      <c r="B5376" s="2">
        <v>45556.412442129629</v>
      </c>
      <c r="C5376" s="2">
        <v>45556.56591435185</v>
      </c>
      <c r="D5376" t="s">
        <v>976</v>
      </c>
      <c r="E5376" t="s">
        <v>6587</v>
      </c>
      <c r="F5376" t="s">
        <v>6588</v>
      </c>
      <c r="G5376" t="s">
        <v>1122</v>
      </c>
      <c r="H5376" t="s">
        <v>1031</v>
      </c>
      <c r="I5376">
        <v>185347001</v>
      </c>
      <c r="J5376" t="s">
        <v>1124</v>
      </c>
      <c r="K5376">
        <v>85.55</v>
      </c>
      <c r="L5376">
        <v>535.87</v>
      </c>
      <c r="M5376">
        <v>428.7</v>
      </c>
      <c r="N5376">
        <v>431857002</v>
      </c>
      <c r="O5376" t="s">
        <v>4125</v>
      </c>
    </row>
    <row r="5377" spans="1:15">
      <c r="A5377" t="s">
        <v>7049</v>
      </c>
      <c r="B5377" s="2">
        <v>45559.56591435185</v>
      </c>
      <c r="C5377" s="2">
        <v>45559.685358796298</v>
      </c>
      <c r="D5377" t="s">
        <v>976</v>
      </c>
      <c r="E5377" t="s">
        <v>6587</v>
      </c>
      <c r="F5377" t="s">
        <v>6588</v>
      </c>
      <c r="G5377" t="s">
        <v>1122</v>
      </c>
      <c r="H5377" t="s">
        <v>1031</v>
      </c>
      <c r="I5377">
        <v>185347001</v>
      </c>
      <c r="J5377" t="s">
        <v>1124</v>
      </c>
      <c r="K5377">
        <v>85.55</v>
      </c>
      <c r="L5377">
        <v>535.87</v>
      </c>
      <c r="M5377">
        <v>428.7</v>
      </c>
      <c r="N5377">
        <v>431857002</v>
      </c>
      <c r="O5377" t="s">
        <v>4125</v>
      </c>
    </row>
    <row r="5378" spans="1:15">
      <c r="A5378" t="s">
        <v>7050</v>
      </c>
      <c r="B5378" s="2">
        <v>45809.826550925929</v>
      </c>
      <c r="C5378" s="2">
        <v>45809.868217592593</v>
      </c>
      <c r="D5378" t="s">
        <v>994</v>
      </c>
      <c r="E5378" t="s">
        <v>6827</v>
      </c>
      <c r="F5378" t="s">
        <v>6828</v>
      </c>
      <c r="G5378" t="s">
        <v>1019</v>
      </c>
      <c r="H5378" t="s">
        <v>1076</v>
      </c>
      <c r="I5378">
        <v>50849002</v>
      </c>
      <c r="J5378" t="s">
        <v>1163</v>
      </c>
      <c r="K5378">
        <v>146.18</v>
      </c>
      <c r="L5378">
        <v>745.64</v>
      </c>
      <c r="M5378">
        <v>0</v>
      </c>
      <c r="O5378" t="s">
        <v>34</v>
      </c>
    </row>
    <row r="5379" spans="1:15">
      <c r="A5379" t="s">
        <v>7051</v>
      </c>
      <c r="B5379" s="2">
        <v>45567.319386574076</v>
      </c>
      <c r="C5379" s="2">
        <v>45567.345821759256</v>
      </c>
      <c r="D5379" t="s">
        <v>976</v>
      </c>
      <c r="E5379" t="s">
        <v>3753</v>
      </c>
      <c r="F5379" t="s">
        <v>3754</v>
      </c>
      <c r="G5379" t="s">
        <v>1122</v>
      </c>
      <c r="H5379" t="s">
        <v>1159</v>
      </c>
      <c r="I5379">
        <v>702927004</v>
      </c>
      <c r="J5379" t="s">
        <v>1160</v>
      </c>
      <c r="K5379">
        <v>142.58000000000001</v>
      </c>
      <c r="L5379">
        <v>872.3</v>
      </c>
      <c r="M5379">
        <v>697.82</v>
      </c>
      <c r="O5379" t="s">
        <v>34</v>
      </c>
    </row>
    <row r="5380" spans="1:15">
      <c r="A5380" t="s">
        <v>7052</v>
      </c>
      <c r="B5380" s="2">
        <v>45816.826550925929</v>
      </c>
      <c r="C5380" s="2">
        <v>45816.863310185188</v>
      </c>
      <c r="D5380" t="s">
        <v>994</v>
      </c>
      <c r="E5380" t="s">
        <v>6821</v>
      </c>
      <c r="F5380" t="s">
        <v>6822</v>
      </c>
      <c r="G5380" t="s">
        <v>1019</v>
      </c>
      <c r="H5380" t="s">
        <v>1020</v>
      </c>
      <c r="I5380">
        <v>162673000</v>
      </c>
      <c r="J5380" t="s">
        <v>1021</v>
      </c>
      <c r="K5380">
        <v>136.80000000000001</v>
      </c>
      <c r="L5380">
        <v>1439.04</v>
      </c>
      <c r="M5380">
        <v>0</v>
      </c>
      <c r="O5380" t="s">
        <v>34</v>
      </c>
    </row>
    <row r="5381" spans="1:15">
      <c r="A5381" t="s">
        <v>7053</v>
      </c>
      <c r="B5381" s="2">
        <v>45574.319386574076</v>
      </c>
      <c r="C5381" s="2">
        <v>45574.32980324074</v>
      </c>
      <c r="D5381" t="s">
        <v>976</v>
      </c>
      <c r="E5381" t="s">
        <v>6587</v>
      </c>
      <c r="F5381" t="s">
        <v>6588</v>
      </c>
      <c r="G5381" t="s">
        <v>1122</v>
      </c>
      <c r="H5381" t="s">
        <v>1043</v>
      </c>
      <c r="I5381">
        <v>185349003</v>
      </c>
      <c r="J5381" t="s">
        <v>1038</v>
      </c>
      <c r="K5381">
        <v>85.55</v>
      </c>
      <c r="L5381">
        <v>234.71</v>
      </c>
      <c r="M5381">
        <v>187.76</v>
      </c>
      <c r="O5381" t="s">
        <v>34</v>
      </c>
    </row>
    <row r="5382" spans="1:15">
      <c r="A5382" t="s">
        <v>7054</v>
      </c>
      <c r="B5382" s="2">
        <v>45823.826550925929</v>
      </c>
      <c r="C5382" s="2">
        <v>45823.868217592593</v>
      </c>
      <c r="D5382" t="s">
        <v>994</v>
      </c>
      <c r="E5382" t="s">
        <v>6827</v>
      </c>
      <c r="F5382" t="s">
        <v>6828</v>
      </c>
      <c r="G5382" t="s">
        <v>1019</v>
      </c>
      <c r="H5382" t="s">
        <v>1076</v>
      </c>
      <c r="I5382">
        <v>50849002</v>
      </c>
      <c r="J5382" t="s">
        <v>1163</v>
      </c>
      <c r="K5382">
        <v>146.18</v>
      </c>
      <c r="L5382">
        <v>295.33999999999997</v>
      </c>
      <c r="M5382">
        <v>0</v>
      </c>
      <c r="O5382" t="s">
        <v>34</v>
      </c>
    </row>
    <row r="5383" spans="1:15">
      <c r="A5383" t="s">
        <v>7055</v>
      </c>
      <c r="B5383" s="2">
        <v>45830.826550925929</v>
      </c>
      <c r="C5383" s="2">
        <v>45830.868217592593</v>
      </c>
      <c r="D5383" t="s">
        <v>994</v>
      </c>
      <c r="E5383" t="s">
        <v>6827</v>
      </c>
      <c r="F5383" t="s">
        <v>6828</v>
      </c>
      <c r="G5383" t="s">
        <v>1019</v>
      </c>
      <c r="H5383" t="s">
        <v>1076</v>
      </c>
      <c r="I5383">
        <v>50849002</v>
      </c>
      <c r="J5383" t="s">
        <v>1163</v>
      </c>
      <c r="K5383">
        <v>146.18</v>
      </c>
      <c r="L5383">
        <v>801.32</v>
      </c>
      <c r="M5383">
        <v>0</v>
      </c>
      <c r="O5383" t="s">
        <v>34</v>
      </c>
    </row>
    <row r="5384" spans="1:15">
      <c r="A5384" t="s">
        <v>7056</v>
      </c>
      <c r="B5384" s="2">
        <v>45581.319386574076</v>
      </c>
      <c r="C5384" s="2">
        <v>45581.437592592592</v>
      </c>
      <c r="D5384" t="s">
        <v>976</v>
      </c>
      <c r="E5384" t="s">
        <v>6587</v>
      </c>
      <c r="F5384" t="s">
        <v>6588</v>
      </c>
      <c r="G5384" t="s">
        <v>1122</v>
      </c>
      <c r="H5384" t="s">
        <v>1031</v>
      </c>
      <c r="I5384">
        <v>185349003</v>
      </c>
      <c r="J5384" t="s">
        <v>1038</v>
      </c>
      <c r="K5384">
        <v>85.55</v>
      </c>
      <c r="L5384">
        <v>3105.35</v>
      </c>
      <c r="M5384">
        <v>2297.88</v>
      </c>
      <c r="N5384">
        <v>66383009</v>
      </c>
      <c r="O5384" t="s">
        <v>1209</v>
      </c>
    </row>
    <row r="5385" spans="1:15">
      <c r="A5385" t="s">
        <v>7057</v>
      </c>
      <c r="B5385" s="2">
        <v>45588.319386574076</v>
      </c>
      <c r="C5385" s="2">
        <v>45588.484664351854</v>
      </c>
      <c r="D5385" t="s">
        <v>976</v>
      </c>
      <c r="E5385" t="s">
        <v>6587</v>
      </c>
      <c r="F5385" t="s">
        <v>6588</v>
      </c>
      <c r="G5385" t="s">
        <v>1122</v>
      </c>
      <c r="H5385" t="s">
        <v>1031</v>
      </c>
      <c r="I5385">
        <v>185347001</v>
      </c>
      <c r="J5385" t="s">
        <v>1124</v>
      </c>
      <c r="K5385">
        <v>85.55</v>
      </c>
      <c r="L5385">
        <v>1305.8399999999999</v>
      </c>
      <c r="M5385">
        <v>1044.67</v>
      </c>
      <c r="N5385">
        <v>431857002</v>
      </c>
      <c r="O5385" t="s">
        <v>4125</v>
      </c>
    </row>
    <row r="5386" spans="1:15">
      <c r="A5386" t="s">
        <v>7058</v>
      </c>
      <c r="B5386" s="2">
        <v>45588.484664351854</v>
      </c>
      <c r="C5386" s="2">
        <v>45588.495081018518</v>
      </c>
      <c r="D5386" t="s">
        <v>976</v>
      </c>
      <c r="E5386" t="s">
        <v>6587</v>
      </c>
      <c r="F5386" t="s">
        <v>6588</v>
      </c>
      <c r="G5386" t="s">
        <v>1122</v>
      </c>
      <c r="H5386" t="s">
        <v>1031</v>
      </c>
      <c r="I5386">
        <v>185347001</v>
      </c>
      <c r="J5386" t="s">
        <v>1124</v>
      </c>
      <c r="K5386">
        <v>85.55</v>
      </c>
      <c r="L5386">
        <v>234.71</v>
      </c>
      <c r="M5386">
        <v>187.76</v>
      </c>
      <c r="N5386">
        <v>431857002</v>
      </c>
      <c r="O5386" t="s">
        <v>4125</v>
      </c>
    </row>
    <row r="5387" spans="1:15">
      <c r="A5387" t="s">
        <v>7059</v>
      </c>
      <c r="B5387" s="2">
        <v>45591.484664351854</v>
      </c>
      <c r="C5387" s="2">
        <v>45591.580497685187</v>
      </c>
      <c r="D5387" t="s">
        <v>976</v>
      </c>
      <c r="E5387" t="s">
        <v>6587</v>
      </c>
      <c r="F5387" t="s">
        <v>6588</v>
      </c>
      <c r="G5387" t="s">
        <v>1122</v>
      </c>
      <c r="H5387" t="s">
        <v>1031</v>
      </c>
      <c r="I5387">
        <v>185347001</v>
      </c>
      <c r="J5387" t="s">
        <v>1124</v>
      </c>
      <c r="K5387">
        <v>85.55</v>
      </c>
      <c r="L5387">
        <v>535.87</v>
      </c>
      <c r="M5387">
        <v>428.7</v>
      </c>
      <c r="N5387">
        <v>431857002</v>
      </c>
      <c r="O5387" t="s">
        <v>4125</v>
      </c>
    </row>
    <row r="5388" spans="1:15">
      <c r="A5388" t="s">
        <v>7060</v>
      </c>
      <c r="B5388" s="2">
        <v>45837.826550925929</v>
      </c>
      <c r="C5388" s="2">
        <v>45837.868217592593</v>
      </c>
      <c r="D5388" t="s">
        <v>994</v>
      </c>
      <c r="E5388" t="s">
        <v>6827</v>
      </c>
      <c r="F5388" t="s">
        <v>6828</v>
      </c>
      <c r="G5388" t="s">
        <v>1019</v>
      </c>
      <c r="H5388" t="s">
        <v>1076</v>
      </c>
      <c r="I5388">
        <v>50849002</v>
      </c>
      <c r="J5388" t="s">
        <v>1163</v>
      </c>
      <c r="K5388">
        <v>146.18</v>
      </c>
      <c r="L5388">
        <v>511.04</v>
      </c>
      <c r="M5388">
        <v>0</v>
      </c>
      <c r="O5388" t="s">
        <v>34</v>
      </c>
    </row>
    <row r="5389" spans="1:15">
      <c r="A5389" t="s">
        <v>7061</v>
      </c>
      <c r="B5389" s="2">
        <v>45594.580497685187</v>
      </c>
      <c r="C5389" s="2">
        <v>45594.740914351853</v>
      </c>
      <c r="D5389" t="s">
        <v>976</v>
      </c>
      <c r="E5389" t="s">
        <v>6587</v>
      </c>
      <c r="F5389" t="s">
        <v>6588</v>
      </c>
      <c r="G5389" t="s">
        <v>1122</v>
      </c>
      <c r="H5389" t="s">
        <v>1031</v>
      </c>
      <c r="I5389">
        <v>185347001</v>
      </c>
      <c r="J5389" t="s">
        <v>1124</v>
      </c>
      <c r="K5389">
        <v>85.55</v>
      </c>
      <c r="L5389">
        <v>535.87</v>
      </c>
      <c r="M5389">
        <v>428.7</v>
      </c>
      <c r="N5389">
        <v>431857002</v>
      </c>
      <c r="O5389" t="s">
        <v>4125</v>
      </c>
    </row>
    <row r="5390" spans="1:15">
      <c r="A5390" t="s">
        <v>7062</v>
      </c>
      <c r="B5390" s="2">
        <v>45602.277719907404</v>
      </c>
      <c r="C5390" s="2">
        <v>45602.311608796299</v>
      </c>
      <c r="D5390" t="s">
        <v>976</v>
      </c>
      <c r="E5390" t="s">
        <v>3753</v>
      </c>
      <c r="F5390" t="s">
        <v>3754</v>
      </c>
      <c r="G5390" t="s">
        <v>1122</v>
      </c>
      <c r="H5390" t="s">
        <v>1159</v>
      </c>
      <c r="I5390">
        <v>702927004</v>
      </c>
      <c r="J5390" t="s">
        <v>1160</v>
      </c>
      <c r="K5390">
        <v>142.58000000000001</v>
      </c>
      <c r="L5390">
        <v>872.3</v>
      </c>
      <c r="M5390">
        <v>697.82</v>
      </c>
      <c r="O5390" t="s">
        <v>34</v>
      </c>
    </row>
    <row r="5391" spans="1:15">
      <c r="A5391" t="s">
        <v>7063</v>
      </c>
      <c r="B5391" s="2">
        <v>45844.826550925929</v>
      </c>
      <c r="C5391" s="2">
        <v>45844.868217592593</v>
      </c>
      <c r="D5391" t="s">
        <v>994</v>
      </c>
      <c r="E5391" t="s">
        <v>6827</v>
      </c>
      <c r="F5391" t="s">
        <v>6828</v>
      </c>
      <c r="G5391" t="s">
        <v>1019</v>
      </c>
      <c r="H5391" t="s">
        <v>1076</v>
      </c>
      <c r="I5391">
        <v>50849002</v>
      </c>
      <c r="J5391" t="s">
        <v>1163</v>
      </c>
      <c r="K5391">
        <v>146.18</v>
      </c>
      <c r="L5391">
        <v>801.32</v>
      </c>
      <c r="M5391">
        <v>0</v>
      </c>
      <c r="O5391" t="s">
        <v>34</v>
      </c>
    </row>
    <row r="5392" spans="1:15">
      <c r="A5392" t="s">
        <v>7064</v>
      </c>
      <c r="B5392" s="2">
        <v>45851.826550925929</v>
      </c>
      <c r="C5392" s="2">
        <v>45851.836967592593</v>
      </c>
      <c r="D5392" t="s">
        <v>994</v>
      </c>
      <c r="E5392" t="s">
        <v>1612</v>
      </c>
      <c r="F5392" t="s">
        <v>1613</v>
      </c>
      <c r="G5392" t="s">
        <v>1019</v>
      </c>
      <c r="H5392" t="s">
        <v>1159</v>
      </c>
      <c r="I5392">
        <v>702927004</v>
      </c>
      <c r="J5392" t="s">
        <v>1160</v>
      </c>
      <c r="K5392">
        <v>142.58000000000001</v>
      </c>
      <c r="L5392">
        <v>723.14</v>
      </c>
      <c r="M5392">
        <v>0</v>
      </c>
      <c r="O5392" t="s">
        <v>34</v>
      </c>
    </row>
    <row r="5393" spans="1:15">
      <c r="A5393" t="s">
        <v>7065</v>
      </c>
      <c r="B5393" s="2">
        <v>45858.826550925929</v>
      </c>
      <c r="C5393" s="2">
        <v>45858.850289351853</v>
      </c>
      <c r="D5393" t="s">
        <v>994</v>
      </c>
      <c r="E5393" t="s">
        <v>1612</v>
      </c>
      <c r="F5393" t="s">
        <v>1613</v>
      </c>
      <c r="G5393" t="s">
        <v>1019</v>
      </c>
      <c r="H5393" t="s">
        <v>1159</v>
      </c>
      <c r="I5393">
        <v>702927004</v>
      </c>
      <c r="J5393" t="s">
        <v>1160</v>
      </c>
      <c r="K5393">
        <v>142.58000000000001</v>
      </c>
      <c r="L5393">
        <v>1660.52</v>
      </c>
      <c r="M5393">
        <v>0</v>
      </c>
      <c r="O5393" t="s">
        <v>34</v>
      </c>
    </row>
    <row r="5394" spans="1:15">
      <c r="A5394" t="s">
        <v>7066</v>
      </c>
      <c r="B5394" s="2">
        <v>45865.826550925929</v>
      </c>
      <c r="C5394" s="2">
        <v>45865.868217592593</v>
      </c>
      <c r="D5394" t="s">
        <v>994</v>
      </c>
      <c r="E5394" t="s">
        <v>6827</v>
      </c>
      <c r="F5394" t="s">
        <v>6828</v>
      </c>
      <c r="G5394" t="s">
        <v>1019</v>
      </c>
      <c r="H5394" t="s">
        <v>1076</v>
      </c>
      <c r="I5394">
        <v>50849002</v>
      </c>
      <c r="J5394" t="s">
        <v>1163</v>
      </c>
      <c r="K5394">
        <v>146.18</v>
      </c>
      <c r="L5394">
        <v>1457.65</v>
      </c>
      <c r="M5394">
        <v>0</v>
      </c>
      <c r="O5394" t="s">
        <v>34</v>
      </c>
    </row>
    <row r="5395" spans="1:15">
      <c r="A5395" t="s">
        <v>7067</v>
      </c>
      <c r="B5395" s="2">
        <v>45872.826550925929</v>
      </c>
      <c r="C5395" s="2">
        <v>45872.868217592593</v>
      </c>
      <c r="D5395" t="s">
        <v>994</v>
      </c>
      <c r="E5395" t="s">
        <v>6827</v>
      </c>
      <c r="F5395" t="s">
        <v>6828</v>
      </c>
      <c r="G5395" t="s">
        <v>1019</v>
      </c>
      <c r="H5395" t="s">
        <v>1076</v>
      </c>
      <c r="I5395">
        <v>50849002</v>
      </c>
      <c r="J5395" t="s">
        <v>1163</v>
      </c>
      <c r="K5395">
        <v>146.18</v>
      </c>
      <c r="L5395">
        <v>1590.92</v>
      </c>
      <c r="M5395">
        <v>0</v>
      </c>
      <c r="O5395" t="s">
        <v>34</v>
      </c>
    </row>
    <row r="5396" spans="1:15">
      <c r="A5396" t="s">
        <v>7068</v>
      </c>
      <c r="B5396" s="2">
        <v>45879.826550925929</v>
      </c>
      <c r="C5396" s="2">
        <v>45879.868217592593</v>
      </c>
      <c r="D5396" t="s">
        <v>994</v>
      </c>
      <c r="E5396" t="s">
        <v>6827</v>
      </c>
      <c r="F5396" t="s">
        <v>6828</v>
      </c>
      <c r="G5396" t="s">
        <v>1019</v>
      </c>
      <c r="H5396" t="s">
        <v>1076</v>
      </c>
      <c r="I5396">
        <v>50849002</v>
      </c>
      <c r="J5396" t="s">
        <v>1163</v>
      </c>
      <c r="K5396">
        <v>146.18</v>
      </c>
      <c r="L5396">
        <v>1235.07</v>
      </c>
      <c r="M5396">
        <v>0</v>
      </c>
      <c r="O5396" t="s">
        <v>34</v>
      </c>
    </row>
    <row r="5397" spans="1:15">
      <c r="A5397" t="s">
        <v>7069</v>
      </c>
      <c r="B5397" s="2">
        <v>45886.826550925929</v>
      </c>
      <c r="C5397" s="2">
        <v>45886.868217592593</v>
      </c>
      <c r="D5397" t="s">
        <v>994</v>
      </c>
      <c r="E5397" t="s">
        <v>6827</v>
      </c>
      <c r="F5397" t="s">
        <v>6828</v>
      </c>
      <c r="G5397" t="s">
        <v>1019</v>
      </c>
      <c r="H5397" t="s">
        <v>1076</v>
      </c>
      <c r="I5397">
        <v>50849002</v>
      </c>
      <c r="J5397" t="s">
        <v>1163</v>
      </c>
      <c r="K5397">
        <v>146.18</v>
      </c>
      <c r="L5397">
        <v>1017.02</v>
      </c>
      <c r="M5397">
        <v>0</v>
      </c>
      <c r="O5397" t="s">
        <v>34</v>
      </c>
    </row>
    <row r="5398" spans="1:15">
      <c r="A5398" t="s">
        <v>7070</v>
      </c>
      <c r="B5398" s="2">
        <v>45609.277719907404</v>
      </c>
      <c r="C5398" s="2">
        <v>45609.288136574076</v>
      </c>
      <c r="D5398" t="s">
        <v>976</v>
      </c>
      <c r="E5398" t="s">
        <v>3753</v>
      </c>
      <c r="F5398" t="s">
        <v>3754</v>
      </c>
      <c r="G5398" t="s">
        <v>1122</v>
      </c>
      <c r="H5398" t="s">
        <v>1159</v>
      </c>
      <c r="I5398">
        <v>702927004</v>
      </c>
      <c r="J5398" t="s">
        <v>1160</v>
      </c>
      <c r="K5398">
        <v>142.58000000000001</v>
      </c>
      <c r="L5398">
        <v>291.74</v>
      </c>
      <c r="M5398">
        <v>233.38</v>
      </c>
      <c r="O5398" t="s">
        <v>34</v>
      </c>
    </row>
    <row r="5399" spans="1:15">
      <c r="A5399" t="s">
        <v>7071</v>
      </c>
      <c r="B5399" s="2">
        <v>45616.277719907404</v>
      </c>
      <c r="C5399" s="2">
        <v>45616.316342592596</v>
      </c>
      <c r="D5399" t="s">
        <v>976</v>
      </c>
      <c r="E5399" t="s">
        <v>3753</v>
      </c>
      <c r="F5399" t="s">
        <v>3754</v>
      </c>
      <c r="G5399" t="s">
        <v>1122</v>
      </c>
      <c r="H5399" t="s">
        <v>1159</v>
      </c>
      <c r="I5399">
        <v>702927004</v>
      </c>
      <c r="J5399" t="s">
        <v>1160</v>
      </c>
      <c r="K5399">
        <v>142.58000000000001</v>
      </c>
      <c r="L5399">
        <v>872.3</v>
      </c>
      <c r="M5399">
        <v>697.82</v>
      </c>
      <c r="O5399" t="s">
        <v>34</v>
      </c>
    </row>
    <row r="5400" spans="1:15">
      <c r="A5400" t="s">
        <v>7072</v>
      </c>
      <c r="B5400" s="2">
        <v>45893.826550925929</v>
      </c>
      <c r="C5400" s="2">
        <v>45893.868217592593</v>
      </c>
      <c r="D5400" t="s">
        <v>994</v>
      </c>
      <c r="E5400" t="s">
        <v>6827</v>
      </c>
      <c r="F5400" t="s">
        <v>6828</v>
      </c>
      <c r="G5400" t="s">
        <v>1019</v>
      </c>
      <c r="H5400" t="s">
        <v>1076</v>
      </c>
      <c r="I5400">
        <v>50849002</v>
      </c>
      <c r="J5400" t="s">
        <v>1163</v>
      </c>
      <c r="K5400">
        <v>146.18</v>
      </c>
      <c r="L5400">
        <v>942.44</v>
      </c>
      <c r="M5400">
        <v>0</v>
      </c>
      <c r="O5400" t="s">
        <v>34</v>
      </c>
    </row>
    <row r="5401" spans="1:15">
      <c r="A5401" t="s">
        <v>7073</v>
      </c>
      <c r="B5401" s="2">
        <v>45900.826550925929</v>
      </c>
      <c r="C5401" s="2">
        <v>45900.868217592593</v>
      </c>
      <c r="D5401" t="s">
        <v>994</v>
      </c>
      <c r="E5401" t="s">
        <v>6827</v>
      </c>
      <c r="F5401" t="s">
        <v>6828</v>
      </c>
      <c r="G5401" t="s">
        <v>1019</v>
      </c>
      <c r="H5401" t="s">
        <v>1076</v>
      </c>
      <c r="I5401">
        <v>50849002</v>
      </c>
      <c r="J5401" t="s">
        <v>1163</v>
      </c>
      <c r="K5401">
        <v>146.18</v>
      </c>
      <c r="L5401">
        <v>801.32</v>
      </c>
      <c r="M5401">
        <v>0</v>
      </c>
      <c r="O5401" t="s">
        <v>34</v>
      </c>
    </row>
    <row r="5402" spans="1:15">
      <c r="A5402" t="s">
        <v>7074</v>
      </c>
      <c r="B5402" s="2">
        <v>45623.277719907404</v>
      </c>
      <c r="C5402" s="2">
        <v>45623.288136574076</v>
      </c>
      <c r="D5402" t="s">
        <v>976</v>
      </c>
      <c r="E5402" t="s">
        <v>6587</v>
      </c>
      <c r="F5402" t="s">
        <v>6588</v>
      </c>
      <c r="G5402" t="s">
        <v>1122</v>
      </c>
      <c r="H5402" t="s">
        <v>1043</v>
      </c>
      <c r="I5402">
        <v>185349003</v>
      </c>
      <c r="J5402" t="s">
        <v>1038</v>
      </c>
      <c r="K5402">
        <v>85.55</v>
      </c>
      <c r="L5402">
        <v>450.41</v>
      </c>
      <c r="M5402">
        <v>360.32</v>
      </c>
      <c r="O5402" t="s">
        <v>34</v>
      </c>
    </row>
    <row r="5403" spans="1:15">
      <c r="A5403" t="s">
        <v>7075</v>
      </c>
      <c r="B5403" s="2">
        <v>45907.826550925929</v>
      </c>
      <c r="C5403" s="2">
        <v>45907.868217592593</v>
      </c>
      <c r="D5403" t="s">
        <v>994</v>
      </c>
      <c r="E5403" t="s">
        <v>6827</v>
      </c>
      <c r="F5403" t="s">
        <v>6828</v>
      </c>
      <c r="G5403" t="s">
        <v>1019</v>
      </c>
      <c r="H5403" t="s">
        <v>1076</v>
      </c>
      <c r="I5403">
        <v>50849002</v>
      </c>
      <c r="J5403" t="s">
        <v>1163</v>
      </c>
      <c r="K5403">
        <v>146.18</v>
      </c>
      <c r="L5403">
        <v>726.74</v>
      </c>
      <c r="M5403">
        <v>0</v>
      </c>
      <c r="O5403" t="s">
        <v>34</v>
      </c>
    </row>
    <row r="5404" spans="1:15">
      <c r="A5404" t="s">
        <v>7076</v>
      </c>
      <c r="B5404" s="2">
        <v>45914.826550925929</v>
      </c>
      <c r="C5404" s="2">
        <v>45914.868217592593</v>
      </c>
      <c r="D5404" t="s">
        <v>994</v>
      </c>
      <c r="E5404" t="s">
        <v>6827</v>
      </c>
      <c r="F5404" t="s">
        <v>6828</v>
      </c>
      <c r="G5404" t="s">
        <v>1019</v>
      </c>
      <c r="H5404" t="s">
        <v>1076</v>
      </c>
      <c r="I5404">
        <v>50849002</v>
      </c>
      <c r="J5404" t="s">
        <v>1163</v>
      </c>
      <c r="K5404">
        <v>146.18</v>
      </c>
      <c r="L5404">
        <v>1053.58</v>
      </c>
      <c r="M5404">
        <v>0</v>
      </c>
      <c r="O5404" t="s">
        <v>34</v>
      </c>
    </row>
    <row r="5405" spans="1:15">
      <c r="A5405" t="s">
        <v>7077</v>
      </c>
      <c r="B5405" s="2">
        <v>45630.277719907404</v>
      </c>
      <c r="C5405" s="2">
        <v>45630.408275462964</v>
      </c>
      <c r="D5405" t="s">
        <v>976</v>
      </c>
      <c r="E5405" t="s">
        <v>6587</v>
      </c>
      <c r="F5405" t="s">
        <v>6588</v>
      </c>
      <c r="G5405" t="s">
        <v>1122</v>
      </c>
      <c r="H5405" t="s">
        <v>1031</v>
      </c>
      <c r="I5405">
        <v>185347001</v>
      </c>
      <c r="J5405" t="s">
        <v>1124</v>
      </c>
      <c r="K5405">
        <v>85.55</v>
      </c>
      <c r="L5405">
        <v>1612.98</v>
      </c>
      <c r="M5405">
        <v>1290.3800000000001</v>
      </c>
      <c r="N5405">
        <v>431857002</v>
      </c>
      <c r="O5405" t="s">
        <v>4125</v>
      </c>
    </row>
    <row r="5406" spans="1:15">
      <c r="A5406" t="s">
        <v>7078</v>
      </c>
      <c r="B5406" s="2">
        <v>45630.408275462964</v>
      </c>
      <c r="C5406" s="2">
        <v>45630.418692129628</v>
      </c>
      <c r="D5406" t="s">
        <v>976</v>
      </c>
      <c r="E5406" t="s">
        <v>6587</v>
      </c>
      <c r="F5406" t="s">
        <v>6588</v>
      </c>
      <c r="G5406" t="s">
        <v>1122</v>
      </c>
      <c r="H5406" t="s">
        <v>1031</v>
      </c>
      <c r="I5406">
        <v>185347001</v>
      </c>
      <c r="J5406" t="s">
        <v>1124</v>
      </c>
      <c r="K5406">
        <v>85.55</v>
      </c>
      <c r="L5406">
        <v>234.71</v>
      </c>
      <c r="M5406">
        <v>187.76</v>
      </c>
      <c r="N5406">
        <v>431857002</v>
      </c>
      <c r="O5406" t="s">
        <v>4125</v>
      </c>
    </row>
    <row r="5407" spans="1:15">
      <c r="A5407" t="s">
        <v>7079</v>
      </c>
      <c r="B5407" s="2">
        <v>45921.826550925929</v>
      </c>
      <c r="C5407" s="2">
        <v>45921.868217592593</v>
      </c>
      <c r="D5407" t="s">
        <v>994</v>
      </c>
      <c r="E5407" t="s">
        <v>6827</v>
      </c>
      <c r="F5407" t="s">
        <v>6828</v>
      </c>
      <c r="G5407" t="s">
        <v>1019</v>
      </c>
      <c r="H5407" t="s">
        <v>1076</v>
      </c>
      <c r="I5407">
        <v>50849002</v>
      </c>
      <c r="J5407" t="s">
        <v>1163</v>
      </c>
      <c r="K5407">
        <v>146.18</v>
      </c>
      <c r="L5407">
        <v>726.74</v>
      </c>
      <c r="M5407">
        <v>0</v>
      </c>
      <c r="O5407" t="s">
        <v>34</v>
      </c>
    </row>
    <row r="5408" spans="1:15">
      <c r="A5408" t="s">
        <v>7080</v>
      </c>
      <c r="B5408" s="2">
        <v>45633.408275462964</v>
      </c>
      <c r="C5408" s="2">
        <v>45633.529803240737</v>
      </c>
      <c r="D5408" t="s">
        <v>976</v>
      </c>
      <c r="E5408" t="s">
        <v>6587</v>
      </c>
      <c r="F5408" t="s">
        <v>6588</v>
      </c>
      <c r="G5408" t="s">
        <v>1122</v>
      </c>
      <c r="H5408" t="s">
        <v>1031</v>
      </c>
      <c r="I5408">
        <v>185347001</v>
      </c>
      <c r="J5408" t="s">
        <v>1124</v>
      </c>
      <c r="K5408">
        <v>85.55</v>
      </c>
      <c r="L5408">
        <v>936.74</v>
      </c>
      <c r="M5408">
        <v>749.39</v>
      </c>
      <c r="N5408">
        <v>431857002</v>
      </c>
      <c r="O5408" t="s">
        <v>4125</v>
      </c>
    </row>
    <row r="5409" spans="1:15">
      <c r="A5409" t="s">
        <v>7081</v>
      </c>
      <c r="B5409" s="2">
        <v>45928.826550925929</v>
      </c>
      <c r="C5409" s="2">
        <v>45928.868217592593</v>
      </c>
      <c r="D5409" t="s">
        <v>994</v>
      </c>
      <c r="E5409" t="s">
        <v>6827</v>
      </c>
      <c r="F5409" t="s">
        <v>6828</v>
      </c>
      <c r="G5409" t="s">
        <v>1019</v>
      </c>
      <c r="H5409" t="s">
        <v>1076</v>
      </c>
      <c r="I5409">
        <v>50849002</v>
      </c>
      <c r="J5409" t="s">
        <v>1163</v>
      </c>
      <c r="K5409">
        <v>146.18</v>
      </c>
      <c r="L5409">
        <v>937.32</v>
      </c>
      <c r="M5409">
        <v>0</v>
      </c>
      <c r="O5409" t="s">
        <v>34</v>
      </c>
    </row>
    <row r="5410" spans="1:15">
      <c r="A5410" t="s">
        <v>7082</v>
      </c>
      <c r="B5410" s="2">
        <v>45636.529803240737</v>
      </c>
      <c r="C5410" s="2">
        <v>45636.632581018515</v>
      </c>
      <c r="D5410" t="s">
        <v>976</v>
      </c>
      <c r="E5410" t="s">
        <v>6587</v>
      </c>
      <c r="F5410" t="s">
        <v>6588</v>
      </c>
      <c r="G5410" t="s">
        <v>1122</v>
      </c>
      <c r="H5410" t="s">
        <v>1031</v>
      </c>
      <c r="I5410">
        <v>185347001</v>
      </c>
      <c r="J5410" t="s">
        <v>1124</v>
      </c>
      <c r="K5410">
        <v>85.55</v>
      </c>
      <c r="L5410">
        <v>535.87</v>
      </c>
      <c r="M5410">
        <v>428.7</v>
      </c>
      <c r="N5410">
        <v>431857002</v>
      </c>
      <c r="O5410" t="s">
        <v>4125</v>
      </c>
    </row>
    <row r="5411" spans="1:15">
      <c r="A5411" t="s">
        <v>7083</v>
      </c>
      <c r="B5411" s="2">
        <v>45644.277719907404</v>
      </c>
      <c r="C5411" s="2">
        <v>45644.319374999999</v>
      </c>
      <c r="D5411" t="s">
        <v>976</v>
      </c>
      <c r="E5411" t="s">
        <v>3753</v>
      </c>
      <c r="F5411" t="s">
        <v>3754</v>
      </c>
      <c r="G5411" t="s">
        <v>1122</v>
      </c>
      <c r="H5411" t="s">
        <v>1159</v>
      </c>
      <c r="I5411">
        <v>702927004</v>
      </c>
      <c r="J5411" t="s">
        <v>1160</v>
      </c>
      <c r="K5411">
        <v>142.58000000000001</v>
      </c>
      <c r="L5411">
        <v>872.3</v>
      </c>
      <c r="M5411">
        <v>697.82</v>
      </c>
      <c r="O5411" t="s">
        <v>34</v>
      </c>
    </row>
    <row r="5412" spans="1:15">
      <c r="A5412" t="s">
        <v>7084</v>
      </c>
      <c r="B5412" s="2">
        <v>45935.826550925929</v>
      </c>
      <c r="C5412" s="2">
        <v>45935.868217592593</v>
      </c>
      <c r="D5412" t="s">
        <v>994</v>
      </c>
      <c r="E5412" t="s">
        <v>6827</v>
      </c>
      <c r="F5412" t="s">
        <v>6828</v>
      </c>
      <c r="G5412" t="s">
        <v>1019</v>
      </c>
      <c r="H5412" t="s">
        <v>1076</v>
      </c>
      <c r="I5412">
        <v>50849002</v>
      </c>
      <c r="J5412" t="s">
        <v>1163</v>
      </c>
      <c r="K5412">
        <v>146.18</v>
      </c>
      <c r="L5412">
        <v>726.74</v>
      </c>
      <c r="M5412">
        <v>0</v>
      </c>
      <c r="O5412" t="s">
        <v>34</v>
      </c>
    </row>
    <row r="5413" spans="1:15">
      <c r="A5413" t="s">
        <v>7085</v>
      </c>
      <c r="B5413" s="2">
        <v>45942.826550925929</v>
      </c>
      <c r="C5413" s="2">
        <v>45942.868217592593</v>
      </c>
      <c r="D5413" t="s">
        <v>994</v>
      </c>
      <c r="E5413" t="s">
        <v>6827</v>
      </c>
      <c r="F5413" t="s">
        <v>6828</v>
      </c>
      <c r="G5413" t="s">
        <v>1019</v>
      </c>
      <c r="H5413" t="s">
        <v>1076</v>
      </c>
      <c r="I5413">
        <v>50849002</v>
      </c>
      <c r="J5413" t="s">
        <v>1163</v>
      </c>
      <c r="K5413">
        <v>146.18</v>
      </c>
      <c r="L5413">
        <v>801.32</v>
      </c>
      <c r="M5413">
        <v>0</v>
      </c>
      <c r="O5413" t="s">
        <v>34</v>
      </c>
    </row>
    <row r="5414" spans="1:15">
      <c r="A5414" t="s">
        <v>7086</v>
      </c>
      <c r="B5414" s="2">
        <v>45651.277719907404</v>
      </c>
      <c r="C5414" s="2">
        <v>45651.288136574076</v>
      </c>
      <c r="D5414" t="s">
        <v>976</v>
      </c>
      <c r="E5414" t="s">
        <v>3753</v>
      </c>
      <c r="F5414" t="s">
        <v>3754</v>
      </c>
      <c r="G5414" t="s">
        <v>1122</v>
      </c>
      <c r="H5414" t="s">
        <v>1159</v>
      </c>
      <c r="I5414">
        <v>702927004</v>
      </c>
      <c r="J5414" t="s">
        <v>1160</v>
      </c>
      <c r="K5414">
        <v>142.58000000000001</v>
      </c>
      <c r="L5414">
        <v>291.74</v>
      </c>
      <c r="M5414">
        <v>233.38</v>
      </c>
      <c r="O5414" t="s">
        <v>34</v>
      </c>
    </row>
    <row r="5415" spans="1:15">
      <c r="A5415" t="s">
        <v>7087</v>
      </c>
      <c r="B5415" s="2">
        <v>45949.826550925929</v>
      </c>
      <c r="C5415" s="2">
        <v>45949.868217592593</v>
      </c>
      <c r="D5415" t="s">
        <v>994</v>
      </c>
      <c r="E5415" t="s">
        <v>6827</v>
      </c>
      <c r="F5415" t="s">
        <v>6828</v>
      </c>
      <c r="G5415" t="s">
        <v>1019</v>
      </c>
      <c r="H5415" t="s">
        <v>1076</v>
      </c>
      <c r="I5415">
        <v>50849002</v>
      </c>
      <c r="J5415" t="s">
        <v>1163</v>
      </c>
      <c r="K5415">
        <v>146.18</v>
      </c>
      <c r="L5415">
        <v>511.04</v>
      </c>
      <c r="M5415">
        <v>0</v>
      </c>
      <c r="O5415" t="s">
        <v>34</v>
      </c>
    </row>
    <row r="5416" spans="1:15">
      <c r="A5416" t="s">
        <v>7088</v>
      </c>
      <c r="B5416" s="2">
        <v>45956.826550925929</v>
      </c>
      <c r="C5416" s="2">
        <v>45956.868217592593</v>
      </c>
      <c r="D5416" t="s">
        <v>994</v>
      </c>
      <c r="E5416" t="s">
        <v>6827</v>
      </c>
      <c r="F5416" t="s">
        <v>6828</v>
      </c>
      <c r="G5416" t="s">
        <v>1019</v>
      </c>
      <c r="H5416" t="s">
        <v>1076</v>
      </c>
      <c r="I5416">
        <v>50849002</v>
      </c>
      <c r="J5416" t="s">
        <v>1163</v>
      </c>
      <c r="K5416">
        <v>146.18</v>
      </c>
      <c r="L5416">
        <v>2095.52</v>
      </c>
      <c r="M5416">
        <v>0</v>
      </c>
      <c r="O5416" t="s">
        <v>34</v>
      </c>
    </row>
    <row r="5417" spans="1:15">
      <c r="A5417" t="s">
        <v>7089</v>
      </c>
      <c r="B5417" s="2">
        <v>45658.277719907404</v>
      </c>
      <c r="C5417" s="2">
        <v>45658.376331018517</v>
      </c>
      <c r="D5417" t="s">
        <v>976</v>
      </c>
      <c r="E5417" t="s">
        <v>6587</v>
      </c>
      <c r="F5417" t="s">
        <v>6588</v>
      </c>
      <c r="G5417" t="s">
        <v>1122</v>
      </c>
      <c r="H5417" t="s">
        <v>1031</v>
      </c>
      <c r="I5417">
        <v>185347001</v>
      </c>
      <c r="J5417" t="s">
        <v>1124</v>
      </c>
      <c r="K5417">
        <v>85.55</v>
      </c>
      <c r="L5417">
        <v>827.2</v>
      </c>
      <c r="M5417">
        <v>661.76</v>
      </c>
      <c r="N5417">
        <v>431857002</v>
      </c>
      <c r="O5417" t="s">
        <v>4125</v>
      </c>
    </row>
    <row r="5418" spans="1:15">
      <c r="A5418" t="s">
        <v>7090</v>
      </c>
      <c r="B5418" s="2">
        <v>45661.376331018517</v>
      </c>
      <c r="C5418" s="2">
        <v>45661.52008101852</v>
      </c>
      <c r="D5418" t="s">
        <v>976</v>
      </c>
      <c r="E5418" t="s">
        <v>6587</v>
      </c>
      <c r="F5418" t="s">
        <v>6588</v>
      </c>
      <c r="G5418" t="s">
        <v>1122</v>
      </c>
      <c r="H5418" t="s">
        <v>1031</v>
      </c>
      <c r="I5418">
        <v>185347001</v>
      </c>
      <c r="J5418" t="s">
        <v>1124</v>
      </c>
      <c r="K5418">
        <v>85.55</v>
      </c>
      <c r="L5418">
        <v>1791.03</v>
      </c>
      <c r="M5418">
        <v>1432.82</v>
      </c>
      <c r="N5418">
        <v>431857002</v>
      </c>
      <c r="O5418" t="s">
        <v>4125</v>
      </c>
    </row>
    <row r="5419" spans="1:15">
      <c r="A5419" t="s">
        <v>7091</v>
      </c>
      <c r="B5419" s="2">
        <v>45661.52008101852</v>
      </c>
      <c r="C5419" s="2">
        <v>45661.530497685184</v>
      </c>
      <c r="D5419" t="s">
        <v>976</v>
      </c>
      <c r="E5419" t="s">
        <v>6587</v>
      </c>
      <c r="F5419" t="s">
        <v>6588</v>
      </c>
      <c r="G5419" t="s">
        <v>1122</v>
      </c>
      <c r="H5419" t="s">
        <v>1031</v>
      </c>
      <c r="I5419">
        <v>185347001</v>
      </c>
      <c r="J5419" t="s">
        <v>1124</v>
      </c>
      <c r="K5419">
        <v>85.55</v>
      </c>
      <c r="L5419">
        <v>234.71</v>
      </c>
      <c r="M5419">
        <v>187.76</v>
      </c>
      <c r="N5419">
        <v>431857002</v>
      </c>
      <c r="O5419" t="s">
        <v>4125</v>
      </c>
    </row>
    <row r="5420" spans="1:15">
      <c r="A5420" t="s">
        <v>7092</v>
      </c>
      <c r="B5420" s="2">
        <v>45963.784884259258</v>
      </c>
      <c r="C5420" s="2">
        <v>45963.826550925929</v>
      </c>
      <c r="D5420" t="s">
        <v>994</v>
      </c>
      <c r="E5420" t="s">
        <v>6827</v>
      </c>
      <c r="F5420" t="s">
        <v>6828</v>
      </c>
      <c r="G5420" t="s">
        <v>1019</v>
      </c>
      <c r="H5420" t="s">
        <v>1076</v>
      </c>
      <c r="I5420">
        <v>50849002</v>
      </c>
      <c r="J5420" t="s">
        <v>1163</v>
      </c>
      <c r="K5420">
        <v>146.18</v>
      </c>
      <c r="L5420">
        <v>511.04</v>
      </c>
      <c r="M5420">
        <v>0</v>
      </c>
      <c r="O5420" t="s">
        <v>34</v>
      </c>
    </row>
    <row r="5421" spans="1:15">
      <c r="A5421" t="s">
        <v>7093</v>
      </c>
      <c r="B5421" s="2">
        <v>45664.52008101852</v>
      </c>
      <c r="C5421" s="2">
        <v>45664.617303240739</v>
      </c>
      <c r="D5421" t="s">
        <v>976</v>
      </c>
      <c r="E5421" t="s">
        <v>6587</v>
      </c>
      <c r="F5421" t="s">
        <v>6588</v>
      </c>
      <c r="G5421" t="s">
        <v>1122</v>
      </c>
      <c r="H5421" t="s">
        <v>1031</v>
      </c>
      <c r="I5421">
        <v>185347001</v>
      </c>
      <c r="J5421" t="s">
        <v>1124</v>
      </c>
      <c r="K5421">
        <v>85.55</v>
      </c>
      <c r="L5421">
        <v>995.28</v>
      </c>
      <c r="M5421">
        <v>796.22</v>
      </c>
      <c r="N5421">
        <v>431857002</v>
      </c>
      <c r="O5421" t="s">
        <v>4125</v>
      </c>
    </row>
    <row r="5422" spans="1:15">
      <c r="A5422" t="s">
        <v>7094</v>
      </c>
      <c r="B5422" s="2">
        <v>45667.617303240739</v>
      </c>
      <c r="C5422" s="2">
        <v>45667.716608796298</v>
      </c>
      <c r="D5422" t="s">
        <v>976</v>
      </c>
      <c r="E5422" t="s">
        <v>6587</v>
      </c>
      <c r="F5422" t="s">
        <v>6588</v>
      </c>
      <c r="G5422" t="s">
        <v>1122</v>
      </c>
      <c r="H5422" t="s">
        <v>1031</v>
      </c>
      <c r="I5422">
        <v>185347001</v>
      </c>
      <c r="J5422" t="s">
        <v>1124</v>
      </c>
      <c r="K5422">
        <v>85.55</v>
      </c>
      <c r="L5422">
        <v>535.87</v>
      </c>
      <c r="M5422">
        <v>428.7</v>
      </c>
      <c r="N5422">
        <v>431857002</v>
      </c>
      <c r="O5422" t="s">
        <v>4125</v>
      </c>
    </row>
    <row r="5423" spans="1:15">
      <c r="A5423" t="s">
        <v>7095</v>
      </c>
      <c r="B5423" s="2">
        <v>45970.784884259258</v>
      </c>
      <c r="C5423" s="2">
        <v>45970.826550925929</v>
      </c>
      <c r="D5423" t="s">
        <v>994</v>
      </c>
      <c r="E5423" t="s">
        <v>6827</v>
      </c>
      <c r="F5423" t="s">
        <v>6828</v>
      </c>
      <c r="G5423" t="s">
        <v>1019</v>
      </c>
      <c r="H5423" t="s">
        <v>1076</v>
      </c>
      <c r="I5423">
        <v>50849002</v>
      </c>
      <c r="J5423" t="s">
        <v>1163</v>
      </c>
      <c r="K5423">
        <v>146.18</v>
      </c>
      <c r="L5423">
        <v>1232.72</v>
      </c>
      <c r="M5423">
        <v>0</v>
      </c>
      <c r="O5423" t="s">
        <v>34</v>
      </c>
    </row>
    <row r="5424" spans="1:15">
      <c r="A5424" t="s">
        <v>7096</v>
      </c>
      <c r="B5424" s="2">
        <v>45670.716608796298</v>
      </c>
      <c r="C5424" s="2">
        <v>45670.822164351855</v>
      </c>
      <c r="D5424" t="s">
        <v>976</v>
      </c>
      <c r="E5424" t="s">
        <v>6587</v>
      </c>
      <c r="F5424" t="s">
        <v>6588</v>
      </c>
      <c r="G5424" t="s">
        <v>1122</v>
      </c>
      <c r="H5424" t="s">
        <v>1031</v>
      </c>
      <c r="I5424">
        <v>185347001</v>
      </c>
      <c r="J5424" t="s">
        <v>1124</v>
      </c>
      <c r="K5424">
        <v>85.55</v>
      </c>
      <c r="L5424">
        <v>535.87</v>
      </c>
      <c r="M5424">
        <v>428.7</v>
      </c>
      <c r="N5424">
        <v>431857002</v>
      </c>
      <c r="O5424" t="s">
        <v>4125</v>
      </c>
    </row>
    <row r="5425" spans="1:15">
      <c r="A5425" t="s">
        <v>7097</v>
      </c>
      <c r="B5425" s="2">
        <v>45679.277719907404</v>
      </c>
      <c r="C5425" s="2">
        <v>45679.306712962964</v>
      </c>
      <c r="D5425" t="s">
        <v>976</v>
      </c>
      <c r="E5425" t="s">
        <v>3753</v>
      </c>
      <c r="F5425" t="s">
        <v>3754</v>
      </c>
      <c r="G5425" t="s">
        <v>1122</v>
      </c>
      <c r="H5425" t="s">
        <v>1159</v>
      </c>
      <c r="I5425">
        <v>702927004</v>
      </c>
      <c r="J5425" t="s">
        <v>1160</v>
      </c>
      <c r="K5425">
        <v>142.58000000000001</v>
      </c>
      <c r="L5425">
        <v>872.3</v>
      </c>
      <c r="M5425">
        <v>697.82</v>
      </c>
      <c r="O5425" t="s">
        <v>34</v>
      </c>
    </row>
    <row r="5426" spans="1:15">
      <c r="A5426" t="s">
        <v>7098</v>
      </c>
      <c r="B5426" s="2">
        <v>45977.784884259258</v>
      </c>
      <c r="C5426" s="2">
        <v>45977.826550925929</v>
      </c>
      <c r="D5426" t="s">
        <v>994</v>
      </c>
      <c r="E5426" t="s">
        <v>6827</v>
      </c>
      <c r="F5426" t="s">
        <v>6828</v>
      </c>
      <c r="G5426" t="s">
        <v>1019</v>
      </c>
      <c r="H5426" t="s">
        <v>1076</v>
      </c>
      <c r="I5426">
        <v>50849002</v>
      </c>
      <c r="J5426" t="s">
        <v>1163</v>
      </c>
      <c r="K5426">
        <v>146.18</v>
      </c>
      <c r="L5426">
        <v>295.33999999999997</v>
      </c>
      <c r="M5426">
        <v>0</v>
      </c>
      <c r="O5426" t="s">
        <v>34</v>
      </c>
    </row>
    <row r="5427" spans="1:15">
      <c r="A5427" t="s">
        <v>7099</v>
      </c>
      <c r="B5427" s="2">
        <v>45984.784884259258</v>
      </c>
      <c r="C5427" s="2">
        <v>45984.826550925929</v>
      </c>
      <c r="D5427" t="s">
        <v>994</v>
      </c>
      <c r="E5427" t="s">
        <v>6827</v>
      </c>
      <c r="F5427" t="s">
        <v>6828</v>
      </c>
      <c r="G5427" t="s">
        <v>1019</v>
      </c>
      <c r="H5427" t="s">
        <v>1076</v>
      </c>
      <c r="I5427">
        <v>50849002</v>
      </c>
      <c r="J5427" t="s">
        <v>1163</v>
      </c>
      <c r="K5427">
        <v>146.18</v>
      </c>
      <c r="L5427">
        <v>1232.72</v>
      </c>
      <c r="M5427">
        <v>0</v>
      </c>
      <c r="O5427" t="s">
        <v>34</v>
      </c>
    </row>
    <row r="5428" spans="1:15">
      <c r="A5428" t="s">
        <v>7100</v>
      </c>
      <c r="B5428" s="2">
        <v>45686.277719907404</v>
      </c>
      <c r="C5428" s="2">
        <v>45686.288136574076</v>
      </c>
      <c r="D5428" t="s">
        <v>976</v>
      </c>
      <c r="E5428" t="s">
        <v>3753</v>
      </c>
      <c r="F5428" t="s">
        <v>3754</v>
      </c>
      <c r="G5428" t="s">
        <v>1122</v>
      </c>
      <c r="H5428" t="s">
        <v>1159</v>
      </c>
      <c r="I5428">
        <v>702927004</v>
      </c>
      <c r="J5428" t="s">
        <v>1160</v>
      </c>
      <c r="K5428">
        <v>142.58000000000001</v>
      </c>
      <c r="L5428">
        <v>291.74</v>
      </c>
      <c r="M5428">
        <v>233.38</v>
      </c>
      <c r="O5428" t="s">
        <v>34</v>
      </c>
    </row>
    <row r="5429" spans="1:15">
      <c r="A5429" t="s">
        <v>7101</v>
      </c>
      <c r="B5429" s="2">
        <v>45991.784884259258</v>
      </c>
      <c r="C5429" s="2">
        <v>45991.826550925929</v>
      </c>
      <c r="D5429" t="s">
        <v>994</v>
      </c>
      <c r="E5429" t="s">
        <v>6827</v>
      </c>
      <c r="F5429" t="s">
        <v>6828</v>
      </c>
      <c r="G5429" t="s">
        <v>1019</v>
      </c>
      <c r="H5429" t="s">
        <v>1076</v>
      </c>
      <c r="I5429">
        <v>50849002</v>
      </c>
      <c r="J5429" t="s">
        <v>1163</v>
      </c>
      <c r="K5429">
        <v>146.18</v>
      </c>
      <c r="L5429">
        <v>511.04</v>
      </c>
      <c r="M5429">
        <v>0</v>
      </c>
      <c r="O5429" t="s">
        <v>34</v>
      </c>
    </row>
    <row r="5430" spans="1:15">
      <c r="A5430" t="s">
        <v>7102</v>
      </c>
      <c r="B5430" s="2">
        <v>45998.784884259258</v>
      </c>
      <c r="C5430" s="2">
        <v>45998.826550925929</v>
      </c>
      <c r="D5430" t="s">
        <v>994</v>
      </c>
      <c r="E5430" t="s">
        <v>6827</v>
      </c>
      <c r="F5430" t="s">
        <v>6828</v>
      </c>
      <c r="G5430" t="s">
        <v>1019</v>
      </c>
      <c r="H5430" t="s">
        <v>1076</v>
      </c>
      <c r="I5430">
        <v>50849002</v>
      </c>
      <c r="J5430" t="s">
        <v>1163</v>
      </c>
      <c r="K5430">
        <v>146.18</v>
      </c>
      <c r="L5430">
        <v>1448.42</v>
      </c>
      <c r="M5430">
        <v>0</v>
      </c>
      <c r="O5430" t="s">
        <v>34</v>
      </c>
    </row>
    <row r="5431" spans="1:15">
      <c r="A5431" t="s">
        <v>7103</v>
      </c>
      <c r="B5431" s="2">
        <v>45693.277719907404</v>
      </c>
      <c r="C5431" s="2">
        <v>45693.308125000003</v>
      </c>
      <c r="D5431" t="s">
        <v>976</v>
      </c>
      <c r="E5431" t="s">
        <v>6587</v>
      </c>
      <c r="F5431" t="s">
        <v>6588</v>
      </c>
      <c r="G5431" t="s">
        <v>1122</v>
      </c>
      <c r="H5431" t="s">
        <v>1043</v>
      </c>
      <c r="I5431">
        <v>185349003</v>
      </c>
      <c r="J5431" t="s">
        <v>1038</v>
      </c>
      <c r="K5431">
        <v>85.55</v>
      </c>
      <c r="L5431">
        <v>815.27</v>
      </c>
      <c r="M5431">
        <v>652.20000000000005</v>
      </c>
      <c r="O5431" t="s">
        <v>34</v>
      </c>
    </row>
    <row r="5432" spans="1:15">
      <c r="A5432" t="s">
        <v>7104</v>
      </c>
      <c r="B5432" s="2">
        <v>46005.784884259258</v>
      </c>
      <c r="C5432" s="2">
        <v>46005.826550925929</v>
      </c>
      <c r="D5432" t="s">
        <v>994</v>
      </c>
      <c r="E5432" t="s">
        <v>6827</v>
      </c>
      <c r="F5432" t="s">
        <v>6828</v>
      </c>
      <c r="G5432" t="s">
        <v>1019</v>
      </c>
      <c r="H5432" t="s">
        <v>1076</v>
      </c>
      <c r="I5432">
        <v>50849002</v>
      </c>
      <c r="J5432" t="s">
        <v>1163</v>
      </c>
      <c r="K5432">
        <v>146.18</v>
      </c>
      <c r="L5432">
        <v>295.33999999999997</v>
      </c>
      <c r="M5432">
        <v>0</v>
      </c>
      <c r="O5432" t="s">
        <v>34</v>
      </c>
    </row>
    <row r="5433" spans="1:15">
      <c r="A5433" t="s">
        <v>7105</v>
      </c>
      <c r="B5433" s="2">
        <v>46012.784884259258</v>
      </c>
      <c r="C5433" s="2">
        <v>46012.826550925929</v>
      </c>
      <c r="D5433" t="s">
        <v>994</v>
      </c>
      <c r="E5433" t="s">
        <v>6827</v>
      </c>
      <c r="F5433" t="s">
        <v>6828</v>
      </c>
      <c r="G5433" t="s">
        <v>1019</v>
      </c>
      <c r="H5433" t="s">
        <v>1076</v>
      </c>
      <c r="I5433">
        <v>50849002</v>
      </c>
      <c r="J5433" t="s">
        <v>1163</v>
      </c>
      <c r="K5433">
        <v>146.18</v>
      </c>
      <c r="L5433">
        <v>1232.72</v>
      </c>
      <c r="M5433">
        <v>0</v>
      </c>
      <c r="O5433" t="s">
        <v>34</v>
      </c>
    </row>
    <row r="5434" spans="1:15">
      <c r="A5434" t="s">
        <v>7106</v>
      </c>
      <c r="B5434" s="2">
        <v>45700.277719907404</v>
      </c>
      <c r="C5434" s="2">
        <v>45700.460046296299</v>
      </c>
      <c r="D5434" t="s">
        <v>976</v>
      </c>
      <c r="E5434" t="s">
        <v>6587</v>
      </c>
      <c r="F5434" t="s">
        <v>6588</v>
      </c>
      <c r="G5434" t="s">
        <v>1122</v>
      </c>
      <c r="H5434" t="s">
        <v>1031</v>
      </c>
      <c r="I5434">
        <v>185349003</v>
      </c>
      <c r="J5434" t="s">
        <v>1038</v>
      </c>
      <c r="K5434">
        <v>85.55</v>
      </c>
      <c r="L5434">
        <v>3105.35</v>
      </c>
      <c r="M5434">
        <v>2484.2800000000002</v>
      </c>
      <c r="N5434">
        <v>103697008</v>
      </c>
      <c r="O5434" t="s">
        <v>1039</v>
      </c>
    </row>
    <row r="5435" spans="1:15">
      <c r="A5435" t="s">
        <v>7107</v>
      </c>
      <c r="B5435" s="2">
        <v>46019.784884259258</v>
      </c>
      <c r="C5435" s="2">
        <v>46019.826550925929</v>
      </c>
      <c r="D5435" t="s">
        <v>994</v>
      </c>
      <c r="E5435" t="s">
        <v>6827</v>
      </c>
      <c r="F5435" t="s">
        <v>6828</v>
      </c>
      <c r="G5435" t="s">
        <v>1019</v>
      </c>
      <c r="H5435" t="s">
        <v>1076</v>
      </c>
      <c r="I5435">
        <v>50849002</v>
      </c>
      <c r="J5435" t="s">
        <v>1163</v>
      </c>
      <c r="K5435">
        <v>146.18</v>
      </c>
      <c r="L5435">
        <v>1052.3399999999999</v>
      </c>
      <c r="M5435">
        <v>0</v>
      </c>
      <c r="O5435" t="s">
        <v>34</v>
      </c>
    </row>
    <row r="5436" spans="1:15">
      <c r="A5436" t="s">
        <v>7108</v>
      </c>
      <c r="B5436" s="2">
        <v>45707.277719907404</v>
      </c>
      <c r="C5436" s="2">
        <v>45707.363136574073</v>
      </c>
      <c r="D5436" t="s">
        <v>976</v>
      </c>
      <c r="E5436" t="s">
        <v>6587</v>
      </c>
      <c r="F5436" t="s">
        <v>6588</v>
      </c>
      <c r="G5436" t="s">
        <v>1122</v>
      </c>
      <c r="H5436" t="s">
        <v>1031</v>
      </c>
      <c r="I5436">
        <v>185347001</v>
      </c>
      <c r="J5436" t="s">
        <v>1124</v>
      </c>
      <c r="K5436">
        <v>85.55</v>
      </c>
      <c r="L5436">
        <v>535.87</v>
      </c>
      <c r="M5436">
        <v>428.7</v>
      </c>
      <c r="N5436">
        <v>431857002</v>
      </c>
      <c r="O5436" t="s">
        <v>4125</v>
      </c>
    </row>
    <row r="5437" spans="1:15">
      <c r="A5437" t="s">
        <v>7109</v>
      </c>
      <c r="B5437" s="2">
        <v>46026.784884259258</v>
      </c>
      <c r="C5437" s="2">
        <v>46026.826550925929</v>
      </c>
      <c r="D5437" t="s">
        <v>994</v>
      </c>
      <c r="E5437" t="s">
        <v>6827</v>
      </c>
      <c r="F5437" t="s">
        <v>6828</v>
      </c>
      <c r="G5437" t="s">
        <v>1019</v>
      </c>
      <c r="H5437" t="s">
        <v>1076</v>
      </c>
      <c r="I5437">
        <v>50849002</v>
      </c>
      <c r="J5437" t="s">
        <v>1163</v>
      </c>
      <c r="K5437">
        <v>146.18</v>
      </c>
      <c r="L5437">
        <v>1232.72</v>
      </c>
      <c r="M5437">
        <v>0</v>
      </c>
      <c r="O5437" t="s">
        <v>34</v>
      </c>
    </row>
    <row r="5438" spans="1:15">
      <c r="A5438" t="s">
        <v>7110</v>
      </c>
      <c r="B5438" s="2">
        <v>45707.363136574073</v>
      </c>
      <c r="C5438" s="2">
        <v>45707.373553240737</v>
      </c>
      <c r="D5438" t="s">
        <v>976</v>
      </c>
      <c r="E5438" t="s">
        <v>6587</v>
      </c>
      <c r="F5438" t="s">
        <v>6588</v>
      </c>
      <c r="G5438" t="s">
        <v>1122</v>
      </c>
      <c r="H5438" t="s">
        <v>1031</v>
      </c>
      <c r="I5438">
        <v>185347001</v>
      </c>
      <c r="J5438" t="s">
        <v>1124</v>
      </c>
      <c r="K5438">
        <v>85.55</v>
      </c>
      <c r="L5438">
        <v>234.71</v>
      </c>
      <c r="M5438">
        <v>187.76</v>
      </c>
      <c r="N5438">
        <v>431857002</v>
      </c>
      <c r="O5438" t="s">
        <v>4125</v>
      </c>
    </row>
    <row r="5439" spans="1:15">
      <c r="A5439" t="s">
        <v>7111</v>
      </c>
      <c r="B5439" s="2">
        <v>45710.363136574073</v>
      </c>
      <c r="C5439" s="2">
        <v>45710.510358796295</v>
      </c>
      <c r="D5439" t="s">
        <v>976</v>
      </c>
      <c r="E5439" t="s">
        <v>6587</v>
      </c>
      <c r="F5439" t="s">
        <v>6588</v>
      </c>
      <c r="G5439" t="s">
        <v>1122</v>
      </c>
      <c r="H5439" t="s">
        <v>1031</v>
      </c>
      <c r="I5439">
        <v>185347001</v>
      </c>
      <c r="J5439" t="s">
        <v>1124</v>
      </c>
      <c r="K5439">
        <v>85.55</v>
      </c>
      <c r="L5439">
        <v>535.87</v>
      </c>
      <c r="M5439">
        <v>428.7</v>
      </c>
      <c r="N5439">
        <v>431857002</v>
      </c>
      <c r="O5439" t="s">
        <v>4125</v>
      </c>
    </row>
    <row r="5440" spans="1:15">
      <c r="A5440" t="s">
        <v>7112</v>
      </c>
      <c r="B5440" s="2">
        <v>45713.510358796295</v>
      </c>
      <c r="C5440" s="2">
        <v>45713.624942129631</v>
      </c>
      <c r="D5440" t="s">
        <v>976</v>
      </c>
      <c r="E5440" t="s">
        <v>6587</v>
      </c>
      <c r="F5440" t="s">
        <v>6588</v>
      </c>
      <c r="G5440" t="s">
        <v>1122</v>
      </c>
      <c r="H5440" t="s">
        <v>1031</v>
      </c>
      <c r="I5440">
        <v>185347001</v>
      </c>
      <c r="J5440" t="s">
        <v>1124</v>
      </c>
      <c r="K5440">
        <v>85.55</v>
      </c>
      <c r="L5440">
        <v>1222.22</v>
      </c>
      <c r="M5440">
        <v>977.78</v>
      </c>
      <c r="N5440">
        <v>431857002</v>
      </c>
      <c r="O5440" t="s">
        <v>4125</v>
      </c>
    </row>
    <row r="5441" spans="1:15">
      <c r="A5441" t="s">
        <v>7113</v>
      </c>
      <c r="B5441" s="2">
        <v>46033.784884259258</v>
      </c>
      <c r="C5441" s="2">
        <v>46033.826550925929</v>
      </c>
      <c r="D5441" t="s">
        <v>994</v>
      </c>
      <c r="E5441" t="s">
        <v>6827</v>
      </c>
      <c r="F5441" t="s">
        <v>6828</v>
      </c>
      <c r="G5441" t="s">
        <v>1019</v>
      </c>
      <c r="H5441" t="s">
        <v>1076</v>
      </c>
      <c r="I5441">
        <v>50849002</v>
      </c>
      <c r="J5441" t="s">
        <v>1163</v>
      </c>
      <c r="K5441">
        <v>146.18</v>
      </c>
      <c r="L5441">
        <v>659.45</v>
      </c>
      <c r="M5441">
        <v>0</v>
      </c>
      <c r="O5441" t="s">
        <v>34</v>
      </c>
    </row>
    <row r="5442" spans="1:15">
      <c r="A5442" t="s">
        <v>7114</v>
      </c>
      <c r="B5442" s="2">
        <v>45721.277719907404</v>
      </c>
      <c r="C5442" s="2">
        <v>45721.30605324074</v>
      </c>
      <c r="D5442" t="s">
        <v>976</v>
      </c>
      <c r="E5442" t="s">
        <v>3753</v>
      </c>
      <c r="F5442" t="s">
        <v>3754</v>
      </c>
      <c r="G5442" t="s">
        <v>1122</v>
      </c>
      <c r="H5442" t="s">
        <v>1159</v>
      </c>
      <c r="I5442">
        <v>702927004</v>
      </c>
      <c r="J5442" t="s">
        <v>1160</v>
      </c>
      <c r="K5442">
        <v>142.58000000000001</v>
      </c>
      <c r="L5442">
        <v>872.3</v>
      </c>
      <c r="M5442">
        <v>697.82</v>
      </c>
      <c r="O5442" t="s">
        <v>34</v>
      </c>
    </row>
    <row r="5443" spans="1:15">
      <c r="A5443" t="s">
        <v>7115</v>
      </c>
      <c r="B5443" s="2">
        <v>46040.784884259258</v>
      </c>
      <c r="C5443" s="2">
        <v>46040.826550925929</v>
      </c>
      <c r="D5443" t="s">
        <v>994</v>
      </c>
      <c r="E5443" t="s">
        <v>6827</v>
      </c>
      <c r="F5443" t="s">
        <v>6828</v>
      </c>
      <c r="G5443" t="s">
        <v>1019</v>
      </c>
      <c r="H5443" t="s">
        <v>1076</v>
      </c>
      <c r="I5443">
        <v>50849002</v>
      </c>
      <c r="J5443" t="s">
        <v>1163</v>
      </c>
      <c r="K5443">
        <v>146.18</v>
      </c>
      <c r="L5443">
        <v>1232.72</v>
      </c>
      <c r="M5443">
        <v>0</v>
      </c>
      <c r="O5443" t="s">
        <v>34</v>
      </c>
    </row>
    <row r="5444" spans="1:15">
      <c r="A5444" t="s">
        <v>7116</v>
      </c>
      <c r="B5444" s="2">
        <v>46047.784884259258</v>
      </c>
      <c r="C5444" s="2">
        <v>46047.826550925929</v>
      </c>
      <c r="D5444" t="s">
        <v>994</v>
      </c>
      <c r="E5444" t="s">
        <v>6827</v>
      </c>
      <c r="F5444" t="s">
        <v>6828</v>
      </c>
      <c r="G5444" t="s">
        <v>1019</v>
      </c>
      <c r="H5444" t="s">
        <v>1076</v>
      </c>
      <c r="I5444">
        <v>50849002</v>
      </c>
      <c r="J5444" t="s">
        <v>1163</v>
      </c>
      <c r="K5444">
        <v>146.18</v>
      </c>
      <c r="L5444">
        <v>511.04</v>
      </c>
      <c r="M5444">
        <v>0</v>
      </c>
      <c r="O5444" t="s">
        <v>34</v>
      </c>
    </row>
    <row r="5445" spans="1:15">
      <c r="A5445" t="s">
        <v>7117</v>
      </c>
      <c r="B5445" s="2">
        <v>45728.319386574076</v>
      </c>
      <c r="C5445" s="2">
        <v>45728.32980324074</v>
      </c>
      <c r="D5445" t="s">
        <v>976</v>
      </c>
      <c r="E5445" t="s">
        <v>3753</v>
      </c>
      <c r="F5445" t="s">
        <v>3754</v>
      </c>
      <c r="G5445" t="s">
        <v>1122</v>
      </c>
      <c r="H5445" t="s">
        <v>1159</v>
      </c>
      <c r="I5445">
        <v>702927004</v>
      </c>
      <c r="J5445" t="s">
        <v>1160</v>
      </c>
      <c r="K5445">
        <v>142.58000000000001</v>
      </c>
      <c r="L5445">
        <v>291.74</v>
      </c>
      <c r="M5445">
        <v>233.38</v>
      </c>
      <c r="O5445" t="s">
        <v>34</v>
      </c>
    </row>
    <row r="5446" spans="1:15">
      <c r="A5446" t="s">
        <v>7118</v>
      </c>
      <c r="B5446" s="2">
        <v>46054.784884259258</v>
      </c>
      <c r="C5446" s="2">
        <v>46054.826550925929</v>
      </c>
      <c r="D5446" t="s">
        <v>994</v>
      </c>
      <c r="E5446" t="s">
        <v>6827</v>
      </c>
      <c r="F5446" t="s">
        <v>6828</v>
      </c>
      <c r="G5446" t="s">
        <v>1019</v>
      </c>
      <c r="H5446" t="s">
        <v>1076</v>
      </c>
      <c r="I5446">
        <v>50849002</v>
      </c>
      <c r="J5446" t="s">
        <v>1163</v>
      </c>
      <c r="K5446">
        <v>146.18</v>
      </c>
      <c r="L5446">
        <v>1232.72</v>
      </c>
      <c r="M5446">
        <v>0</v>
      </c>
      <c r="O5446" t="s">
        <v>34</v>
      </c>
    </row>
    <row r="5447" spans="1:15">
      <c r="A5447" t="s">
        <v>7119</v>
      </c>
      <c r="B5447" s="2">
        <v>45735.319386574076</v>
      </c>
      <c r="C5447" s="2">
        <v>45735.359097222223</v>
      </c>
      <c r="D5447" t="s">
        <v>976</v>
      </c>
      <c r="E5447" t="s">
        <v>3753</v>
      </c>
      <c r="F5447" t="s">
        <v>3754</v>
      </c>
      <c r="G5447" t="s">
        <v>1122</v>
      </c>
      <c r="H5447" t="s">
        <v>1159</v>
      </c>
      <c r="I5447">
        <v>702927004</v>
      </c>
      <c r="J5447" t="s">
        <v>1160</v>
      </c>
      <c r="K5447">
        <v>142.58000000000001</v>
      </c>
      <c r="L5447">
        <v>872.3</v>
      </c>
      <c r="M5447">
        <v>697.82</v>
      </c>
      <c r="O5447" t="s">
        <v>34</v>
      </c>
    </row>
    <row r="5448" spans="1:15">
      <c r="A5448" t="s">
        <v>7120</v>
      </c>
      <c r="B5448" s="2">
        <v>46061.784884259258</v>
      </c>
      <c r="C5448" s="2">
        <v>46061.826550925929</v>
      </c>
      <c r="D5448" t="s">
        <v>994</v>
      </c>
      <c r="E5448" t="s">
        <v>6827</v>
      </c>
      <c r="F5448" t="s">
        <v>6828</v>
      </c>
      <c r="G5448" t="s">
        <v>1019</v>
      </c>
      <c r="H5448" t="s">
        <v>1076</v>
      </c>
      <c r="I5448">
        <v>50849002</v>
      </c>
      <c r="J5448" t="s">
        <v>1163</v>
      </c>
      <c r="K5448">
        <v>146.18</v>
      </c>
      <c r="L5448">
        <v>295.33999999999997</v>
      </c>
      <c r="M5448">
        <v>0</v>
      </c>
      <c r="O5448" t="s">
        <v>34</v>
      </c>
    </row>
    <row r="5449" spans="1:15">
      <c r="A5449" t="s">
        <v>7121</v>
      </c>
      <c r="B5449" s="2">
        <v>46068.784884259258</v>
      </c>
      <c r="C5449" s="2">
        <v>46068.826550925929</v>
      </c>
      <c r="D5449" t="s">
        <v>994</v>
      </c>
      <c r="E5449" t="s">
        <v>6827</v>
      </c>
      <c r="F5449" t="s">
        <v>6828</v>
      </c>
      <c r="G5449" t="s">
        <v>1019</v>
      </c>
      <c r="H5449" t="s">
        <v>1076</v>
      </c>
      <c r="I5449">
        <v>50849002</v>
      </c>
      <c r="J5449" t="s">
        <v>1163</v>
      </c>
      <c r="K5449">
        <v>146.18</v>
      </c>
      <c r="L5449">
        <v>1907.75</v>
      </c>
      <c r="M5449">
        <v>0</v>
      </c>
      <c r="O5449" t="s">
        <v>34</v>
      </c>
    </row>
    <row r="5450" spans="1:15">
      <c r="A5450" t="s">
        <v>7122</v>
      </c>
      <c r="B5450" s="2">
        <v>45742.319386574076</v>
      </c>
      <c r="C5450" s="2">
        <v>45742.32980324074</v>
      </c>
      <c r="D5450" t="s">
        <v>976</v>
      </c>
      <c r="E5450" t="s">
        <v>6587</v>
      </c>
      <c r="F5450" t="s">
        <v>6588</v>
      </c>
      <c r="G5450" t="s">
        <v>1122</v>
      </c>
      <c r="H5450" t="s">
        <v>1043</v>
      </c>
      <c r="I5450">
        <v>185349003</v>
      </c>
      <c r="J5450" t="s">
        <v>1038</v>
      </c>
      <c r="K5450">
        <v>85.55</v>
      </c>
      <c r="L5450">
        <v>1097.51</v>
      </c>
      <c r="M5450">
        <v>878</v>
      </c>
      <c r="O5450" t="s">
        <v>34</v>
      </c>
    </row>
    <row r="5451" spans="1:15">
      <c r="A5451" t="s">
        <v>7123</v>
      </c>
      <c r="B5451" s="2">
        <v>46075.784884259258</v>
      </c>
      <c r="C5451" s="2">
        <v>46075.826550925929</v>
      </c>
      <c r="D5451" t="s">
        <v>994</v>
      </c>
      <c r="E5451" t="s">
        <v>6827</v>
      </c>
      <c r="F5451" t="s">
        <v>6828</v>
      </c>
      <c r="G5451" t="s">
        <v>1019</v>
      </c>
      <c r="H5451" t="s">
        <v>1076</v>
      </c>
      <c r="I5451">
        <v>50849002</v>
      </c>
      <c r="J5451" t="s">
        <v>1163</v>
      </c>
      <c r="K5451">
        <v>146.18</v>
      </c>
      <c r="L5451">
        <v>295.33999999999997</v>
      </c>
      <c r="M5451">
        <v>0</v>
      </c>
      <c r="O5451" t="s">
        <v>34</v>
      </c>
    </row>
    <row r="5452" spans="1:15">
      <c r="A5452" t="s">
        <v>7124</v>
      </c>
      <c r="B5452" s="2">
        <v>46082.784884259258</v>
      </c>
      <c r="C5452" s="2">
        <v>46082.826550925929</v>
      </c>
      <c r="D5452" t="s">
        <v>994</v>
      </c>
      <c r="E5452" t="s">
        <v>6827</v>
      </c>
      <c r="F5452" t="s">
        <v>6828</v>
      </c>
      <c r="G5452" t="s">
        <v>1019</v>
      </c>
      <c r="H5452" t="s">
        <v>1076</v>
      </c>
      <c r="I5452">
        <v>50849002</v>
      </c>
      <c r="J5452" t="s">
        <v>1163</v>
      </c>
      <c r="K5452">
        <v>146.18</v>
      </c>
      <c r="L5452">
        <v>1448.42</v>
      </c>
      <c r="M5452">
        <v>0</v>
      </c>
      <c r="O5452" t="s">
        <v>34</v>
      </c>
    </row>
    <row r="5453" spans="1:15">
      <c r="A5453" t="s">
        <v>7125</v>
      </c>
      <c r="B5453" s="2">
        <v>45749.319386574076</v>
      </c>
      <c r="C5453" s="2">
        <v>45749.457592592589</v>
      </c>
      <c r="D5453" t="s">
        <v>976</v>
      </c>
      <c r="E5453" t="s">
        <v>6587</v>
      </c>
      <c r="F5453" t="s">
        <v>6588</v>
      </c>
      <c r="G5453" t="s">
        <v>1122</v>
      </c>
      <c r="H5453" t="s">
        <v>1031</v>
      </c>
      <c r="I5453">
        <v>185349003</v>
      </c>
      <c r="J5453" t="s">
        <v>1038</v>
      </c>
      <c r="K5453">
        <v>85.55</v>
      </c>
      <c r="L5453">
        <v>2673.95</v>
      </c>
      <c r="M5453">
        <v>2139.16</v>
      </c>
      <c r="N5453">
        <v>66383009</v>
      </c>
      <c r="O5453" t="s">
        <v>1209</v>
      </c>
    </row>
    <row r="5454" spans="1:15">
      <c r="A5454" t="s">
        <v>7126</v>
      </c>
      <c r="B5454" s="2">
        <v>46089.826550925929</v>
      </c>
      <c r="C5454" s="2">
        <v>46089.868217592593</v>
      </c>
      <c r="D5454" t="s">
        <v>994</v>
      </c>
      <c r="E5454" t="s">
        <v>6827</v>
      </c>
      <c r="F5454" t="s">
        <v>6828</v>
      </c>
      <c r="G5454" t="s">
        <v>1019</v>
      </c>
      <c r="H5454" t="s">
        <v>1076</v>
      </c>
      <c r="I5454">
        <v>50849002</v>
      </c>
      <c r="J5454" t="s">
        <v>1163</v>
      </c>
      <c r="K5454">
        <v>146.18</v>
      </c>
      <c r="L5454">
        <v>295.33999999999997</v>
      </c>
      <c r="M5454">
        <v>0</v>
      </c>
      <c r="O5454" t="s">
        <v>34</v>
      </c>
    </row>
    <row r="5455" spans="1:15">
      <c r="A5455" t="s">
        <v>7127</v>
      </c>
      <c r="B5455" s="2">
        <v>45756.319386574076</v>
      </c>
      <c r="C5455" s="2">
        <v>45756.422164351854</v>
      </c>
      <c r="D5455" t="s">
        <v>976</v>
      </c>
      <c r="E5455" t="s">
        <v>6587</v>
      </c>
      <c r="F5455" t="s">
        <v>6588</v>
      </c>
      <c r="G5455" t="s">
        <v>1122</v>
      </c>
      <c r="H5455" t="s">
        <v>1031</v>
      </c>
      <c r="I5455">
        <v>185347001</v>
      </c>
      <c r="J5455" t="s">
        <v>1124</v>
      </c>
      <c r="K5455">
        <v>85.55</v>
      </c>
      <c r="L5455">
        <v>535.87</v>
      </c>
      <c r="M5455">
        <v>428.7</v>
      </c>
      <c r="N5455">
        <v>431857002</v>
      </c>
      <c r="O5455" t="s">
        <v>4125</v>
      </c>
    </row>
    <row r="5456" spans="1:15">
      <c r="A5456" t="s">
        <v>7128</v>
      </c>
      <c r="B5456" s="2">
        <v>46096.826550925929</v>
      </c>
      <c r="C5456" s="2">
        <v>46096.868217592593</v>
      </c>
      <c r="D5456" t="s">
        <v>994</v>
      </c>
      <c r="E5456" t="s">
        <v>6827</v>
      </c>
      <c r="F5456" t="s">
        <v>6828</v>
      </c>
      <c r="G5456" t="s">
        <v>1019</v>
      </c>
      <c r="H5456" t="s">
        <v>1076</v>
      </c>
      <c r="I5456">
        <v>50849002</v>
      </c>
      <c r="J5456" t="s">
        <v>1163</v>
      </c>
      <c r="K5456">
        <v>146.18</v>
      </c>
      <c r="L5456">
        <v>1448.42</v>
      </c>
      <c r="M5456">
        <v>0</v>
      </c>
      <c r="O5456" t="s">
        <v>34</v>
      </c>
    </row>
    <row r="5457" spans="1:15">
      <c r="A5457" t="s">
        <v>7129</v>
      </c>
      <c r="B5457" s="2">
        <v>45756.422164351854</v>
      </c>
      <c r="C5457" s="2">
        <v>45756.432581018518</v>
      </c>
      <c r="D5457" t="s">
        <v>976</v>
      </c>
      <c r="E5457" t="s">
        <v>6587</v>
      </c>
      <c r="F5457" t="s">
        <v>6588</v>
      </c>
      <c r="G5457" t="s">
        <v>1122</v>
      </c>
      <c r="H5457" t="s">
        <v>1031</v>
      </c>
      <c r="I5457">
        <v>185347001</v>
      </c>
      <c r="J5457" t="s">
        <v>1124</v>
      </c>
      <c r="K5457">
        <v>85.55</v>
      </c>
      <c r="L5457">
        <v>234.71</v>
      </c>
      <c r="M5457">
        <v>187.76</v>
      </c>
      <c r="N5457">
        <v>431857002</v>
      </c>
      <c r="O5457" t="s">
        <v>4125</v>
      </c>
    </row>
    <row r="5458" spans="1:15">
      <c r="A5458" t="s">
        <v>7130</v>
      </c>
      <c r="B5458" s="2">
        <v>45759.422164351854</v>
      </c>
      <c r="C5458" s="2">
        <v>45759.56521990741</v>
      </c>
      <c r="D5458" t="s">
        <v>976</v>
      </c>
      <c r="E5458" t="s">
        <v>6587</v>
      </c>
      <c r="F5458" t="s">
        <v>6588</v>
      </c>
      <c r="G5458" t="s">
        <v>1122</v>
      </c>
      <c r="H5458" t="s">
        <v>1031</v>
      </c>
      <c r="I5458">
        <v>185347001</v>
      </c>
      <c r="J5458" t="s">
        <v>1124</v>
      </c>
      <c r="K5458">
        <v>85.55</v>
      </c>
      <c r="L5458">
        <v>535.87</v>
      </c>
      <c r="M5458">
        <v>428.7</v>
      </c>
      <c r="N5458">
        <v>431857002</v>
      </c>
      <c r="O5458" t="s">
        <v>4125</v>
      </c>
    </row>
    <row r="5459" spans="1:15">
      <c r="A5459" t="s">
        <v>7131</v>
      </c>
      <c r="B5459" s="2">
        <v>45762.56521990741</v>
      </c>
      <c r="C5459" s="2">
        <v>45762.682581018518</v>
      </c>
      <c r="D5459" t="s">
        <v>976</v>
      </c>
      <c r="E5459" t="s">
        <v>6587</v>
      </c>
      <c r="F5459" t="s">
        <v>6588</v>
      </c>
      <c r="G5459" t="s">
        <v>1122</v>
      </c>
      <c r="H5459" t="s">
        <v>1031</v>
      </c>
      <c r="I5459">
        <v>185347001</v>
      </c>
      <c r="J5459" t="s">
        <v>1124</v>
      </c>
      <c r="K5459">
        <v>85.55</v>
      </c>
      <c r="L5459">
        <v>535.87</v>
      </c>
      <c r="M5459">
        <v>428.7</v>
      </c>
      <c r="N5459">
        <v>431857002</v>
      </c>
      <c r="O5459" t="s">
        <v>4125</v>
      </c>
    </row>
    <row r="5460" spans="1:15">
      <c r="A5460" t="s">
        <v>7132</v>
      </c>
      <c r="B5460" s="2">
        <v>46103.826550925929</v>
      </c>
      <c r="C5460" s="2">
        <v>46103.868217592593</v>
      </c>
      <c r="D5460" t="s">
        <v>994</v>
      </c>
      <c r="E5460" t="s">
        <v>6827</v>
      </c>
      <c r="F5460" t="s">
        <v>6828</v>
      </c>
      <c r="G5460" t="s">
        <v>1019</v>
      </c>
      <c r="H5460" t="s">
        <v>1076</v>
      </c>
      <c r="I5460">
        <v>50849002</v>
      </c>
      <c r="J5460" t="s">
        <v>1163</v>
      </c>
      <c r="K5460">
        <v>146.18</v>
      </c>
      <c r="L5460">
        <v>511.04</v>
      </c>
      <c r="M5460">
        <v>0</v>
      </c>
      <c r="O5460" t="s">
        <v>34</v>
      </c>
    </row>
    <row r="5461" spans="1:15">
      <c r="A5461" t="s">
        <v>7133</v>
      </c>
      <c r="B5461" s="2">
        <v>45770.319386574076</v>
      </c>
      <c r="C5461" s="2">
        <v>45770.355914351851</v>
      </c>
      <c r="D5461" t="s">
        <v>976</v>
      </c>
      <c r="E5461" t="s">
        <v>3753</v>
      </c>
      <c r="F5461" t="s">
        <v>3754</v>
      </c>
      <c r="G5461" t="s">
        <v>1122</v>
      </c>
      <c r="H5461" t="s">
        <v>1159</v>
      </c>
      <c r="I5461">
        <v>702927004</v>
      </c>
      <c r="J5461" t="s">
        <v>1160</v>
      </c>
      <c r="K5461">
        <v>142.58000000000001</v>
      </c>
      <c r="L5461">
        <v>1008.3</v>
      </c>
      <c r="M5461">
        <v>806.62</v>
      </c>
      <c r="O5461" t="s">
        <v>34</v>
      </c>
    </row>
    <row r="5462" spans="1:15">
      <c r="A5462" t="s">
        <v>7134</v>
      </c>
      <c r="B5462" s="2">
        <v>46110.826550925929</v>
      </c>
      <c r="C5462" s="2">
        <v>46110.868217592593</v>
      </c>
      <c r="D5462" t="s">
        <v>994</v>
      </c>
      <c r="E5462" t="s">
        <v>6827</v>
      </c>
      <c r="F5462" t="s">
        <v>6828</v>
      </c>
      <c r="G5462" t="s">
        <v>1122</v>
      </c>
      <c r="H5462" t="s">
        <v>1076</v>
      </c>
      <c r="I5462">
        <v>50849002</v>
      </c>
      <c r="J5462" t="s">
        <v>1163</v>
      </c>
      <c r="K5462">
        <v>146.18</v>
      </c>
      <c r="L5462">
        <v>1838.72</v>
      </c>
      <c r="M5462">
        <v>1386.8</v>
      </c>
      <c r="O5462" t="s">
        <v>34</v>
      </c>
    </row>
    <row r="5463" spans="1:15">
      <c r="A5463" t="s">
        <v>7135</v>
      </c>
      <c r="B5463" s="2">
        <v>46117.826550925929</v>
      </c>
      <c r="C5463" s="2">
        <v>46117.868217592593</v>
      </c>
      <c r="D5463" t="s">
        <v>994</v>
      </c>
      <c r="E5463" t="s">
        <v>6827</v>
      </c>
      <c r="F5463" t="s">
        <v>6828</v>
      </c>
      <c r="G5463" t="s">
        <v>1122</v>
      </c>
      <c r="H5463" t="s">
        <v>1076</v>
      </c>
      <c r="I5463">
        <v>50849002</v>
      </c>
      <c r="J5463" t="s">
        <v>1163</v>
      </c>
      <c r="K5463">
        <v>146.18</v>
      </c>
      <c r="L5463">
        <v>295.33999999999997</v>
      </c>
      <c r="M5463">
        <v>236.26</v>
      </c>
      <c r="O5463" t="s">
        <v>34</v>
      </c>
    </row>
    <row r="5464" spans="1:15">
      <c r="A5464" t="s">
        <v>7136</v>
      </c>
      <c r="B5464" s="2">
        <v>45777.319386574076</v>
      </c>
      <c r="C5464" s="2">
        <v>45777.32980324074</v>
      </c>
      <c r="D5464" t="s">
        <v>976</v>
      </c>
      <c r="E5464" t="s">
        <v>6587</v>
      </c>
      <c r="F5464" t="s">
        <v>6588</v>
      </c>
      <c r="G5464" t="s">
        <v>1122</v>
      </c>
      <c r="H5464" t="s">
        <v>1043</v>
      </c>
      <c r="I5464">
        <v>185349003</v>
      </c>
      <c r="J5464" t="s">
        <v>1038</v>
      </c>
      <c r="K5464">
        <v>85.55</v>
      </c>
      <c r="L5464">
        <v>1097.51</v>
      </c>
      <c r="M5464">
        <v>878</v>
      </c>
      <c r="O5464" t="s">
        <v>34</v>
      </c>
    </row>
    <row r="5465" spans="1:15">
      <c r="A5465" t="s">
        <v>7137</v>
      </c>
      <c r="B5465" s="2">
        <v>46124.826550925929</v>
      </c>
      <c r="C5465" s="2">
        <v>46124.853518518517</v>
      </c>
      <c r="D5465" t="s">
        <v>994</v>
      </c>
      <c r="E5465" t="s">
        <v>1612</v>
      </c>
      <c r="F5465" t="s">
        <v>1613</v>
      </c>
      <c r="G5465" t="s">
        <v>1122</v>
      </c>
      <c r="H5465" t="s">
        <v>1159</v>
      </c>
      <c r="I5465">
        <v>702927004</v>
      </c>
      <c r="J5465" t="s">
        <v>1160</v>
      </c>
      <c r="K5465">
        <v>142.58000000000001</v>
      </c>
      <c r="L5465">
        <v>1013.42</v>
      </c>
      <c r="M5465">
        <v>810.72</v>
      </c>
      <c r="O5465" t="s">
        <v>34</v>
      </c>
    </row>
    <row r="5466" spans="1:15">
      <c r="A5466" t="s">
        <v>7138</v>
      </c>
      <c r="B5466" s="2">
        <v>45784.319386574076</v>
      </c>
      <c r="C5466" s="2">
        <v>45784.472986111112</v>
      </c>
      <c r="D5466" t="s">
        <v>976</v>
      </c>
      <c r="E5466" t="s">
        <v>6587</v>
      </c>
      <c r="F5466" t="s">
        <v>6588</v>
      </c>
      <c r="G5466" t="s">
        <v>1122</v>
      </c>
      <c r="H5466" t="s">
        <v>1031</v>
      </c>
      <c r="I5466">
        <v>185349003</v>
      </c>
      <c r="J5466" t="s">
        <v>1038</v>
      </c>
      <c r="K5466">
        <v>85.55</v>
      </c>
      <c r="L5466">
        <v>3536.75</v>
      </c>
      <c r="M5466">
        <v>2829.4</v>
      </c>
      <c r="N5466">
        <v>66383009</v>
      </c>
      <c r="O5466" t="s">
        <v>1209</v>
      </c>
    </row>
    <row r="5467" spans="1:15">
      <c r="A5467" t="s">
        <v>7139</v>
      </c>
      <c r="B5467" s="2">
        <v>46131.826550925929</v>
      </c>
      <c r="C5467" s="2">
        <v>46131.868217592593</v>
      </c>
      <c r="D5467" t="s">
        <v>994</v>
      </c>
      <c r="E5467" t="s">
        <v>6827</v>
      </c>
      <c r="F5467" t="s">
        <v>6828</v>
      </c>
      <c r="G5467" t="s">
        <v>1122</v>
      </c>
      <c r="H5467" t="s">
        <v>1076</v>
      </c>
      <c r="I5467">
        <v>50849002</v>
      </c>
      <c r="J5467" t="s">
        <v>1163</v>
      </c>
      <c r="K5467">
        <v>146.18</v>
      </c>
      <c r="L5467">
        <v>316.32</v>
      </c>
      <c r="M5467">
        <v>253.04</v>
      </c>
      <c r="O5467" t="s">
        <v>34</v>
      </c>
    </row>
    <row r="5468" spans="1:15">
      <c r="A5468" t="s">
        <v>7140</v>
      </c>
      <c r="B5468" s="2">
        <v>45791.319386574076</v>
      </c>
      <c r="C5468" s="2">
        <v>45791.483969907407</v>
      </c>
      <c r="D5468" t="s">
        <v>976</v>
      </c>
      <c r="E5468" t="s">
        <v>6587</v>
      </c>
      <c r="F5468" t="s">
        <v>6588</v>
      </c>
      <c r="G5468" t="s">
        <v>1122</v>
      </c>
      <c r="H5468" t="s">
        <v>1031</v>
      </c>
      <c r="I5468">
        <v>185347001</v>
      </c>
      <c r="J5468" t="s">
        <v>1124</v>
      </c>
      <c r="K5468">
        <v>85.55</v>
      </c>
      <c r="L5468">
        <v>535.87</v>
      </c>
      <c r="M5468">
        <v>428.7</v>
      </c>
      <c r="N5468">
        <v>431857002</v>
      </c>
      <c r="O5468" t="s">
        <v>4125</v>
      </c>
    </row>
    <row r="5469" spans="1:15">
      <c r="A5469" t="s">
        <v>7141</v>
      </c>
      <c r="B5469" s="2">
        <v>45791.483969907407</v>
      </c>
      <c r="C5469" s="2">
        <v>45791.494386574072</v>
      </c>
      <c r="D5469" t="s">
        <v>976</v>
      </c>
      <c r="E5469" t="s">
        <v>6587</v>
      </c>
      <c r="F5469" t="s">
        <v>6588</v>
      </c>
      <c r="G5469" t="s">
        <v>1122</v>
      </c>
      <c r="H5469" t="s">
        <v>1031</v>
      </c>
      <c r="I5469">
        <v>185347001</v>
      </c>
      <c r="J5469" t="s">
        <v>1124</v>
      </c>
      <c r="K5469">
        <v>85.55</v>
      </c>
      <c r="L5469">
        <v>234.71</v>
      </c>
      <c r="M5469">
        <v>187.76</v>
      </c>
      <c r="N5469">
        <v>431857002</v>
      </c>
      <c r="O5469" t="s">
        <v>4125</v>
      </c>
    </row>
    <row r="5470" spans="1:15">
      <c r="A5470" t="s">
        <v>7142</v>
      </c>
      <c r="B5470" s="2">
        <v>46138.826550925929</v>
      </c>
      <c r="C5470" s="2">
        <v>46138.868217592593</v>
      </c>
      <c r="D5470" t="s">
        <v>994</v>
      </c>
      <c r="E5470" t="s">
        <v>6827</v>
      </c>
      <c r="F5470" t="s">
        <v>6828</v>
      </c>
      <c r="G5470" t="s">
        <v>1122</v>
      </c>
      <c r="H5470" t="s">
        <v>1076</v>
      </c>
      <c r="I5470">
        <v>50849002</v>
      </c>
      <c r="J5470" t="s">
        <v>1163</v>
      </c>
      <c r="K5470">
        <v>146.18</v>
      </c>
      <c r="L5470">
        <v>801.32</v>
      </c>
      <c r="M5470">
        <v>641.04</v>
      </c>
      <c r="O5470" t="s">
        <v>34</v>
      </c>
    </row>
    <row r="5471" spans="1:15">
      <c r="A5471" t="s">
        <v>7143</v>
      </c>
      <c r="B5471" s="2">
        <v>45794.483969907407</v>
      </c>
      <c r="C5471" s="2">
        <v>45794.57980324074</v>
      </c>
      <c r="D5471" t="s">
        <v>976</v>
      </c>
      <c r="E5471" t="s">
        <v>6587</v>
      </c>
      <c r="F5471" t="s">
        <v>6588</v>
      </c>
      <c r="G5471" t="s">
        <v>1122</v>
      </c>
      <c r="H5471" t="s">
        <v>1031</v>
      </c>
      <c r="I5471">
        <v>185347001</v>
      </c>
      <c r="J5471" t="s">
        <v>1124</v>
      </c>
      <c r="K5471">
        <v>85.55</v>
      </c>
      <c r="L5471">
        <v>1486.27</v>
      </c>
      <c r="M5471">
        <v>1189.02</v>
      </c>
      <c r="N5471">
        <v>431857002</v>
      </c>
      <c r="O5471" t="s">
        <v>4125</v>
      </c>
    </row>
    <row r="5472" spans="1:15">
      <c r="A5472" t="s">
        <v>7144</v>
      </c>
      <c r="B5472" s="2">
        <v>45797.57980324074</v>
      </c>
      <c r="C5472" s="2">
        <v>45797.684664351851</v>
      </c>
      <c r="D5472" t="s">
        <v>976</v>
      </c>
      <c r="E5472" t="s">
        <v>6587</v>
      </c>
      <c r="F5472" t="s">
        <v>6588</v>
      </c>
      <c r="G5472" t="s">
        <v>1122</v>
      </c>
      <c r="H5472" t="s">
        <v>1031</v>
      </c>
      <c r="I5472">
        <v>185347001</v>
      </c>
      <c r="J5472" t="s">
        <v>1124</v>
      </c>
      <c r="K5472">
        <v>85.55</v>
      </c>
      <c r="L5472">
        <v>1791.03</v>
      </c>
      <c r="M5472">
        <v>1432.82</v>
      </c>
      <c r="N5472">
        <v>431857002</v>
      </c>
      <c r="O5472" t="s">
        <v>4125</v>
      </c>
    </row>
    <row r="5473" spans="1:15">
      <c r="A5473" t="s">
        <v>7145</v>
      </c>
      <c r="B5473" s="2">
        <v>45805.319386574076</v>
      </c>
      <c r="C5473" s="2">
        <v>45805.36074074074</v>
      </c>
      <c r="D5473" t="s">
        <v>976</v>
      </c>
      <c r="E5473" t="s">
        <v>6590</v>
      </c>
      <c r="F5473" t="s">
        <v>6591</v>
      </c>
      <c r="G5473" t="s">
        <v>1122</v>
      </c>
      <c r="H5473" t="s">
        <v>1020</v>
      </c>
      <c r="I5473">
        <v>162673000</v>
      </c>
      <c r="J5473" t="s">
        <v>1021</v>
      </c>
      <c r="K5473">
        <v>136.80000000000001</v>
      </c>
      <c r="L5473">
        <v>866.52</v>
      </c>
      <c r="M5473">
        <v>693.2</v>
      </c>
      <c r="O5473" t="s">
        <v>34</v>
      </c>
    </row>
    <row r="5474" spans="1:15">
      <c r="A5474" t="s">
        <v>7146</v>
      </c>
      <c r="B5474" s="2">
        <v>46145.826550925929</v>
      </c>
      <c r="C5474" s="2">
        <v>46145.868217592593</v>
      </c>
      <c r="D5474" t="s">
        <v>994</v>
      </c>
      <c r="E5474" t="s">
        <v>6827</v>
      </c>
      <c r="F5474" t="s">
        <v>6828</v>
      </c>
      <c r="G5474" t="s">
        <v>1122</v>
      </c>
      <c r="H5474" t="s">
        <v>1076</v>
      </c>
      <c r="I5474">
        <v>50849002</v>
      </c>
      <c r="J5474" t="s">
        <v>1163</v>
      </c>
      <c r="K5474">
        <v>146.18</v>
      </c>
      <c r="L5474">
        <v>942.44</v>
      </c>
      <c r="M5474">
        <v>753.94</v>
      </c>
      <c r="O5474" t="s">
        <v>34</v>
      </c>
    </row>
    <row r="5475" spans="1:15">
      <c r="A5475" t="s">
        <v>7147</v>
      </c>
      <c r="B5475" s="2">
        <v>46152.826550925929</v>
      </c>
      <c r="C5475" s="2">
        <v>46152.868217592593</v>
      </c>
      <c r="D5475" t="s">
        <v>994</v>
      </c>
      <c r="E5475" t="s">
        <v>6827</v>
      </c>
      <c r="F5475" t="s">
        <v>6828</v>
      </c>
      <c r="G5475" t="s">
        <v>1122</v>
      </c>
      <c r="H5475" t="s">
        <v>1076</v>
      </c>
      <c r="I5475">
        <v>50849002</v>
      </c>
      <c r="J5475" t="s">
        <v>1163</v>
      </c>
      <c r="K5475">
        <v>146.18</v>
      </c>
      <c r="L5475">
        <v>801.32</v>
      </c>
      <c r="M5475">
        <v>641.04</v>
      </c>
      <c r="O5475" t="s">
        <v>34</v>
      </c>
    </row>
    <row r="5476" spans="1:15">
      <c r="A5476" t="s">
        <v>7148</v>
      </c>
      <c r="B5476" s="2">
        <v>45812.319386574076</v>
      </c>
      <c r="C5476" s="2">
        <v>45812.32980324074</v>
      </c>
      <c r="D5476" t="s">
        <v>976</v>
      </c>
      <c r="E5476" t="s">
        <v>3753</v>
      </c>
      <c r="F5476" t="s">
        <v>3754</v>
      </c>
      <c r="G5476" t="s">
        <v>1122</v>
      </c>
      <c r="H5476" t="s">
        <v>1159</v>
      </c>
      <c r="I5476">
        <v>702927004</v>
      </c>
      <c r="J5476" t="s">
        <v>1160</v>
      </c>
      <c r="K5476">
        <v>142.58000000000001</v>
      </c>
      <c r="L5476">
        <v>291.74</v>
      </c>
      <c r="M5476">
        <v>233.38</v>
      </c>
      <c r="O5476" t="s">
        <v>34</v>
      </c>
    </row>
    <row r="5477" spans="1:15">
      <c r="A5477" t="s">
        <v>7149</v>
      </c>
      <c r="B5477" s="2">
        <v>46159.826550925929</v>
      </c>
      <c r="C5477" s="2">
        <v>46159.846643518518</v>
      </c>
      <c r="D5477" t="s">
        <v>994</v>
      </c>
      <c r="E5477" t="s">
        <v>1612</v>
      </c>
      <c r="F5477" t="s">
        <v>1613</v>
      </c>
      <c r="G5477" t="s">
        <v>1122</v>
      </c>
      <c r="H5477" t="s">
        <v>1159</v>
      </c>
      <c r="I5477">
        <v>702927004</v>
      </c>
      <c r="J5477" t="s">
        <v>1160</v>
      </c>
      <c r="K5477">
        <v>142.58000000000001</v>
      </c>
      <c r="L5477">
        <v>723.14</v>
      </c>
      <c r="M5477">
        <v>578.5</v>
      </c>
      <c r="O5477" t="s">
        <v>34</v>
      </c>
    </row>
    <row r="5478" spans="1:15">
      <c r="A5478" t="s">
        <v>7150</v>
      </c>
      <c r="B5478" s="2">
        <v>45819.319386574076</v>
      </c>
      <c r="C5478" s="2">
        <v>45819.349942129629</v>
      </c>
      <c r="D5478" t="s">
        <v>976</v>
      </c>
      <c r="E5478" t="s">
        <v>6587</v>
      </c>
      <c r="F5478" t="s">
        <v>6588</v>
      </c>
      <c r="G5478" t="s">
        <v>1122</v>
      </c>
      <c r="H5478" t="s">
        <v>1031</v>
      </c>
      <c r="I5478">
        <v>36228007</v>
      </c>
      <c r="J5478" t="s">
        <v>1705</v>
      </c>
      <c r="K5478">
        <v>142.58000000000001</v>
      </c>
      <c r="L5478">
        <v>2730.98</v>
      </c>
      <c r="M5478">
        <v>2184.7800000000002</v>
      </c>
      <c r="O5478" t="s">
        <v>34</v>
      </c>
    </row>
    <row r="5479" spans="1:15">
      <c r="A5479" t="s">
        <v>7151</v>
      </c>
      <c r="B5479" s="2">
        <v>46166.826550925929</v>
      </c>
      <c r="C5479" s="2">
        <v>46166.868217592593</v>
      </c>
      <c r="D5479" t="s">
        <v>994</v>
      </c>
      <c r="E5479" t="s">
        <v>6827</v>
      </c>
      <c r="F5479" t="s">
        <v>6828</v>
      </c>
      <c r="G5479" t="s">
        <v>1122</v>
      </c>
      <c r="H5479" t="s">
        <v>1076</v>
      </c>
      <c r="I5479">
        <v>50849002</v>
      </c>
      <c r="J5479" t="s">
        <v>1163</v>
      </c>
      <c r="K5479">
        <v>146.18</v>
      </c>
      <c r="L5479">
        <v>1017.02</v>
      </c>
      <c r="M5479">
        <v>813.6</v>
      </c>
      <c r="O5479" t="s">
        <v>34</v>
      </c>
    </row>
    <row r="5480" spans="1:15">
      <c r="A5480" t="s">
        <v>7152</v>
      </c>
      <c r="B5480" s="2">
        <v>45826.319386574076</v>
      </c>
      <c r="C5480" s="2">
        <v>45826.452719907407</v>
      </c>
      <c r="D5480" t="s">
        <v>976</v>
      </c>
      <c r="E5480" t="s">
        <v>6587</v>
      </c>
      <c r="F5480" t="s">
        <v>6588</v>
      </c>
      <c r="G5480" t="s">
        <v>1122</v>
      </c>
      <c r="H5480" t="s">
        <v>1031</v>
      </c>
      <c r="I5480">
        <v>185347001</v>
      </c>
      <c r="J5480" t="s">
        <v>1124</v>
      </c>
      <c r="K5480">
        <v>85.55</v>
      </c>
      <c r="L5480">
        <v>1296</v>
      </c>
      <c r="M5480">
        <v>1036.8</v>
      </c>
      <c r="N5480">
        <v>431857002</v>
      </c>
      <c r="O5480" t="s">
        <v>4125</v>
      </c>
    </row>
    <row r="5481" spans="1:15">
      <c r="A5481" t="s">
        <v>7153</v>
      </c>
      <c r="B5481" s="2">
        <v>45826.452719907407</v>
      </c>
      <c r="C5481" s="2">
        <v>45826.463136574072</v>
      </c>
      <c r="D5481" t="s">
        <v>976</v>
      </c>
      <c r="E5481" t="s">
        <v>6587</v>
      </c>
      <c r="F5481" t="s">
        <v>6588</v>
      </c>
      <c r="G5481" t="s">
        <v>1122</v>
      </c>
      <c r="H5481" t="s">
        <v>1031</v>
      </c>
      <c r="I5481">
        <v>185347001</v>
      </c>
      <c r="J5481" t="s">
        <v>1124</v>
      </c>
      <c r="K5481">
        <v>85.55</v>
      </c>
      <c r="L5481">
        <v>234.71</v>
      </c>
      <c r="M5481">
        <v>187.76</v>
      </c>
      <c r="N5481">
        <v>431857002</v>
      </c>
      <c r="O5481" t="s">
        <v>4125</v>
      </c>
    </row>
    <row r="5482" spans="1:15">
      <c r="A5482" t="s">
        <v>7154</v>
      </c>
      <c r="B5482" s="2">
        <v>46173.826550925929</v>
      </c>
      <c r="C5482" s="2">
        <v>46173.868217592593</v>
      </c>
      <c r="D5482" t="s">
        <v>994</v>
      </c>
      <c r="E5482" t="s">
        <v>6827</v>
      </c>
      <c r="F5482" t="s">
        <v>6828</v>
      </c>
      <c r="G5482" t="s">
        <v>1122</v>
      </c>
      <c r="H5482" t="s">
        <v>1076</v>
      </c>
      <c r="I5482">
        <v>50849002</v>
      </c>
      <c r="J5482" t="s">
        <v>1163</v>
      </c>
      <c r="K5482">
        <v>146.18</v>
      </c>
      <c r="L5482">
        <v>726.74</v>
      </c>
      <c r="M5482">
        <v>581.38</v>
      </c>
      <c r="O5482" t="s">
        <v>34</v>
      </c>
    </row>
    <row r="5483" spans="1:15">
      <c r="A5483" t="s">
        <v>7155</v>
      </c>
      <c r="B5483" s="2">
        <v>45829.452719907407</v>
      </c>
      <c r="C5483" s="2">
        <v>45829.577719907407</v>
      </c>
      <c r="D5483" t="s">
        <v>976</v>
      </c>
      <c r="E5483" t="s">
        <v>6587</v>
      </c>
      <c r="F5483" t="s">
        <v>6588</v>
      </c>
      <c r="G5483" t="s">
        <v>1122</v>
      </c>
      <c r="H5483" t="s">
        <v>1031</v>
      </c>
      <c r="I5483">
        <v>185347001</v>
      </c>
      <c r="J5483" t="s">
        <v>1124</v>
      </c>
      <c r="K5483">
        <v>85.55</v>
      </c>
      <c r="L5483">
        <v>535.87</v>
      </c>
      <c r="M5483">
        <v>428.7</v>
      </c>
      <c r="N5483">
        <v>431857002</v>
      </c>
      <c r="O5483" t="s">
        <v>4125</v>
      </c>
    </row>
    <row r="5484" spans="1:15">
      <c r="A5484" t="s">
        <v>7156</v>
      </c>
      <c r="B5484" s="2">
        <v>45832.577719907407</v>
      </c>
      <c r="C5484" s="2">
        <v>45832.734664351854</v>
      </c>
      <c r="D5484" t="s">
        <v>976</v>
      </c>
      <c r="E5484" t="s">
        <v>6587</v>
      </c>
      <c r="F5484" t="s">
        <v>6588</v>
      </c>
      <c r="G5484" t="s">
        <v>1122</v>
      </c>
      <c r="H5484" t="s">
        <v>1031</v>
      </c>
      <c r="I5484">
        <v>185347001</v>
      </c>
      <c r="J5484" t="s">
        <v>1124</v>
      </c>
      <c r="K5484">
        <v>85.55</v>
      </c>
      <c r="L5484">
        <v>1060.98</v>
      </c>
      <c r="M5484">
        <v>848.78</v>
      </c>
      <c r="N5484">
        <v>431857002</v>
      </c>
      <c r="O5484" t="s">
        <v>4125</v>
      </c>
    </row>
    <row r="5485" spans="1:15">
      <c r="A5485" t="s">
        <v>7157</v>
      </c>
      <c r="B5485" s="2">
        <v>45840.319386574076</v>
      </c>
      <c r="C5485" s="2">
        <v>45840.356504629628</v>
      </c>
      <c r="D5485" t="s">
        <v>976</v>
      </c>
      <c r="E5485" t="s">
        <v>3753</v>
      </c>
      <c r="F5485" t="s">
        <v>3754</v>
      </c>
      <c r="G5485" t="s">
        <v>1122</v>
      </c>
      <c r="H5485" t="s">
        <v>1159</v>
      </c>
      <c r="I5485">
        <v>702927004</v>
      </c>
      <c r="J5485" t="s">
        <v>1160</v>
      </c>
      <c r="K5485">
        <v>142.58000000000001</v>
      </c>
      <c r="L5485">
        <v>872.3</v>
      </c>
      <c r="M5485">
        <v>697.82</v>
      </c>
      <c r="O5485" t="s">
        <v>34</v>
      </c>
    </row>
    <row r="5486" spans="1:15">
      <c r="A5486" t="s">
        <v>7158</v>
      </c>
      <c r="B5486" s="2">
        <v>46180.826550925929</v>
      </c>
      <c r="C5486" s="2">
        <v>46180.868217592593</v>
      </c>
      <c r="D5486" t="s">
        <v>994</v>
      </c>
      <c r="E5486" t="s">
        <v>6827</v>
      </c>
      <c r="F5486" t="s">
        <v>6828</v>
      </c>
      <c r="G5486" t="s">
        <v>1122</v>
      </c>
      <c r="H5486" t="s">
        <v>1076</v>
      </c>
      <c r="I5486">
        <v>50849002</v>
      </c>
      <c r="J5486" t="s">
        <v>1163</v>
      </c>
      <c r="K5486">
        <v>146.18</v>
      </c>
      <c r="L5486">
        <v>875.9</v>
      </c>
      <c r="M5486">
        <v>700.7</v>
      </c>
      <c r="O5486" t="s">
        <v>34</v>
      </c>
    </row>
    <row r="5487" spans="1:15">
      <c r="A5487" t="s">
        <v>7159</v>
      </c>
      <c r="B5487" s="2">
        <v>46187.826550925929</v>
      </c>
      <c r="C5487" s="2">
        <v>46187.836967592593</v>
      </c>
      <c r="D5487" t="s">
        <v>994</v>
      </c>
      <c r="E5487" t="s">
        <v>6821</v>
      </c>
      <c r="F5487" t="s">
        <v>6822</v>
      </c>
      <c r="G5487" t="s">
        <v>1122</v>
      </c>
      <c r="H5487" t="s">
        <v>1020</v>
      </c>
      <c r="I5487">
        <v>162673000</v>
      </c>
      <c r="J5487" t="s">
        <v>1021</v>
      </c>
      <c r="K5487">
        <v>136.80000000000001</v>
      </c>
      <c r="L5487">
        <v>717.36</v>
      </c>
      <c r="M5487">
        <v>573.88</v>
      </c>
      <c r="O5487" t="s">
        <v>34</v>
      </c>
    </row>
    <row r="5488" spans="1:15">
      <c r="A5488" t="s">
        <v>7160</v>
      </c>
      <c r="B5488" s="2">
        <v>45847.319386574076</v>
      </c>
      <c r="C5488" s="2">
        <v>45847.32980324074</v>
      </c>
      <c r="D5488" t="s">
        <v>976</v>
      </c>
      <c r="E5488" t="s">
        <v>3753</v>
      </c>
      <c r="F5488" t="s">
        <v>3754</v>
      </c>
      <c r="G5488" t="s">
        <v>1122</v>
      </c>
      <c r="H5488" t="s">
        <v>1159</v>
      </c>
      <c r="I5488">
        <v>702927004</v>
      </c>
      <c r="J5488" t="s">
        <v>1160</v>
      </c>
      <c r="K5488">
        <v>142.58000000000001</v>
      </c>
      <c r="L5488">
        <v>291.74</v>
      </c>
      <c r="M5488">
        <v>233.38</v>
      </c>
      <c r="O5488" t="s">
        <v>34</v>
      </c>
    </row>
    <row r="5489" spans="1:15">
      <c r="A5489" t="s">
        <v>7161</v>
      </c>
      <c r="B5489" s="2">
        <v>46194.826550925929</v>
      </c>
      <c r="C5489" s="2">
        <v>46194.868217592593</v>
      </c>
      <c r="D5489" t="s">
        <v>994</v>
      </c>
      <c r="E5489" t="s">
        <v>6827</v>
      </c>
      <c r="F5489" t="s">
        <v>6828</v>
      </c>
      <c r="G5489" t="s">
        <v>1122</v>
      </c>
      <c r="H5489" t="s">
        <v>1076</v>
      </c>
      <c r="I5489">
        <v>50849002</v>
      </c>
      <c r="J5489" t="s">
        <v>1163</v>
      </c>
      <c r="K5489">
        <v>146.18</v>
      </c>
      <c r="L5489">
        <v>801.32</v>
      </c>
      <c r="M5489">
        <v>641.04</v>
      </c>
      <c r="O5489" t="s">
        <v>34</v>
      </c>
    </row>
    <row r="5490" spans="1:15">
      <c r="A5490" t="s">
        <v>7162</v>
      </c>
      <c r="B5490" s="2">
        <v>45854.319386574076</v>
      </c>
      <c r="C5490" s="2">
        <v>45854.36078703704</v>
      </c>
      <c r="D5490" t="s">
        <v>976</v>
      </c>
      <c r="E5490" t="s">
        <v>6587</v>
      </c>
      <c r="F5490" t="s">
        <v>6588</v>
      </c>
      <c r="G5490" t="s">
        <v>1122</v>
      </c>
      <c r="H5490" t="s">
        <v>1043</v>
      </c>
      <c r="I5490">
        <v>185349003</v>
      </c>
      <c r="J5490" t="s">
        <v>1038</v>
      </c>
      <c r="K5490">
        <v>85.55</v>
      </c>
      <c r="L5490">
        <v>1541.81</v>
      </c>
      <c r="M5490">
        <v>1233.43</v>
      </c>
      <c r="O5490" t="s">
        <v>34</v>
      </c>
    </row>
    <row r="5491" spans="1:15">
      <c r="A5491" t="s">
        <v>7163</v>
      </c>
      <c r="B5491" s="2">
        <v>46201.826550925929</v>
      </c>
      <c r="C5491" s="2">
        <v>46201.868217592593</v>
      </c>
      <c r="D5491" t="s">
        <v>994</v>
      </c>
      <c r="E5491" t="s">
        <v>6827</v>
      </c>
      <c r="F5491" t="s">
        <v>6828</v>
      </c>
      <c r="G5491" t="s">
        <v>1122</v>
      </c>
      <c r="H5491" t="s">
        <v>1076</v>
      </c>
      <c r="I5491">
        <v>50849002</v>
      </c>
      <c r="J5491" t="s">
        <v>1163</v>
      </c>
      <c r="K5491">
        <v>146.18</v>
      </c>
      <c r="L5491">
        <v>1589.54</v>
      </c>
      <c r="M5491">
        <v>1271.6199999999999</v>
      </c>
      <c r="O5491" t="s">
        <v>34</v>
      </c>
    </row>
    <row r="5492" spans="1:15">
      <c r="A5492" t="s">
        <v>7164</v>
      </c>
      <c r="B5492" s="2">
        <v>46208.826550925929</v>
      </c>
      <c r="C5492" s="2">
        <v>46208.868217592593</v>
      </c>
      <c r="D5492" t="s">
        <v>994</v>
      </c>
      <c r="E5492" t="s">
        <v>6827</v>
      </c>
      <c r="F5492" t="s">
        <v>6828</v>
      </c>
      <c r="G5492" t="s">
        <v>1122</v>
      </c>
      <c r="H5492" t="s">
        <v>1076</v>
      </c>
      <c r="I5492">
        <v>50849002</v>
      </c>
      <c r="J5492" t="s">
        <v>1163</v>
      </c>
      <c r="K5492">
        <v>146.18</v>
      </c>
      <c r="L5492">
        <v>801.32</v>
      </c>
      <c r="M5492">
        <v>641.04</v>
      </c>
      <c r="O5492" t="s">
        <v>34</v>
      </c>
    </row>
    <row r="5493" spans="1:15">
      <c r="A5493" t="s">
        <v>7165</v>
      </c>
      <c r="B5493" s="2">
        <v>45861.319386574076</v>
      </c>
      <c r="C5493" s="2">
        <v>45861.480497685188</v>
      </c>
      <c r="D5493" t="s">
        <v>976</v>
      </c>
      <c r="E5493" t="s">
        <v>6587</v>
      </c>
      <c r="F5493" t="s">
        <v>6588</v>
      </c>
      <c r="G5493" t="s">
        <v>1122</v>
      </c>
      <c r="H5493" t="s">
        <v>1031</v>
      </c>
      <c r="I5493">
        <v>185347001</v>
      </c>
      <c r="J5493" t="s">
        <v>1124</v>
      </c>
      <c r="K5493">
        <v>85.55</v>
      </c>
      <c r="L5493">
        <v>1036.8499999999999</v>
      </c>
      <c r="M5493">
        <v>829.48</v>
      </c>
      <c r="N5493">
        <v>431857002</v>
      </c>
      <c r="O5493" t="s">
        <v>4125</v>
      </c>
    </row>
    <row r="5494" spans="1:15">
      <c r="A5494" t="s">
        <v>7166</v>
      </c>
      <c r="B5494" s="2">
        <v>45861.480497685188</v>
      </c>
      <c r="C5494" s="2">
        <v>45861.490914351853</v>
      </c>
      <c r="D5494" t="s">
        <v>976</v>
      </c>
      <c r="E5494" t="s">
        <v>6587</v>
      </c>
      <c r="F5494" t="s">
        <v>6588</v>
      </c>
      <c r="G5494" t="s">
        <v>1122</v>
      </c>
      <c r="H5494" t="s">
        <v>1031</v>
      </c>
      <c r="I5494">
        <v>185347001</v>
      </c>
      <c r="J5494" t="s">
        <v>1124</v>
      </c>
      <c r="K5494">
        <v>85.55</v>
      </c>
      <c r="L5494">
        <v>234.71</v>
      </c>
      <c r="M5494">
        <v>187.76</v>
      </c>
      <c r="N5494">
        <v>431857002</v>
      </c>
      <c r="O5494" t="s">
        <v>4125</v>
      </c>
    </row>
    <row r="5495" spans="1:15">
      <c r="A5495" t="s">
        <v>7167</v>
      </c>
      <c r="B5495" s="2">
        <v>45864.480497685188</v>
      </c>
      <c r="C5495" s="2">
        <v>45864.621469907404</v>
      </c>
      <c r="D5495" t="s">
        <v>976</v>
      </c>
      <c r="E5495" t="s">
        <v>6587</v>
      </c>
      <c r="F5495" t="s">
        <v>6588</v>
      </c>
      <c r="G5495" t="s">
        <v>1122</v>
      </c>
      <c r="H5495" t="s">
        <v>1031</v>
      </c>
      <c r="I5495">
        <v>185347001</v>
      </c>
      <c r="J5495" t="s">
        <v>1124</v>
      </c>
      <c r="K5495">
        <v>85.55</v>
      </c>
      <c r="L5495">
        <v>535.87</v>
      </c>
      <c r="M5495">
        <v>428.7</v>
      </c>
      <c r="N5495">
        <v>431857002</v>
      </c>
      <c r="O5495" t="s">
        <v>4125</v>
      </c>
    </row>
    <row r="5496" spans="1:15">
      <c r="A5496" t="s">
        <v>7168</v>
      </c>
      <c r="B5496" s="2">
        <v>46215.826550925929</v>
      </c>
      <c r="C5496" s="2">
        <v>46215.845613425925</v>
      </c>
      <c r="D5496" t="s">
        <v>994</v>
      </c>
      <c r="E5496" t="s">
        <v>1612</v>
      </c>
      <c r="F5496" t="s">
        <v>1613</v>
      </c>
      <c r="G5496" t="s">
        <v>1122</v>
      </c>
      <c r="H5496" t="s">
        <v>1159</v>
      </c>
      <c r="I5496">
        <v>702927004</v>
      </c>
      <c r="J5496" t="s">
        <v>1160</v>
      </c>
      <c r="K5496">
        <v>142.58000000000001</v>
      </c>
      <c r="L5496">
        <v>1226.42</v>
      </c>
      <c r="M5496">
        <v>981.12</v>
      </c>
      <c r="O5496" t="s">
        <v>34</v>
      </c>
    </row>
    <row r="5497" spans="1:15">
      <c r="A5497" t="s">
        <v>7169</v>
      </c>
      <c r="B5497" s="2">
        <v>45867.621469907404</v>
      </c>
      <c r="C5497" s="2">
        <v>45867.738136574073</v>
      </c>
      <c r="D5497" t="s">
        <v>976</v>
      </c>
      <c r="E5497" t="s">
        <v>6587</v>
      </c>
      <c r="F5497" t="s">
        <v>6588</v>
      </c>
      <c r="G5497" t="s">
        <v>1122</v>
      </c>
      <c r="H5497" t="s">
        <v>1031</v>
      </c>
      <c r="I5497">
        <v>185347001</v>
      </c>
      <c r="J5497" t="s">
        <v>1124</v>
      </c>
      <c r="K5497">
        <v>85.55</v>
      </c>
      <c r="L5497">
        <v>1616.83</v>
      </c>
      <c r="M5497">
        <v>1293.46</v>
      </c>
      <c r="N5497">
        <v>431857002</v>
      </c>
      <c r="O5497" t="s">
        <v>4125</v>
      </c>
    </row>
    <row r="5498" spans="1:15">
      <c r="A5498" t="s">
        <v>7170</v>
      </c>
      <c r="B5498" s="2">
        <v>45868.319386574076</v>
      </c>
      <c r="C5498" s="2">
        <v>45868.32980324074</v>
      </c>
      <c r="D5498" t="s">
        <v>976</v>
      </c>
      <c r="E5498" t="s">
        <v>6587</v>
      </c>
      <c r="F5498" t="s">
        <v>6588</v>
      </c>
      <c r="G5498" t="s">
        <v>1122</v>
      </c>
      <c r="H5498" t="s">
        <v>1031</v>
      </c>
      <c r="I5498">
        <v>390906007</v>
      </c>
      <c r="J5498" t="s">
        <v>1255</v>
      </c>
      <c r="K5498">
        <v>85.55</v>
      </c>
      <c r="L5498">
        <v>234.71</v>
      </c>
      <c r="M5498">
        <v>187.76</v>
      </c>
      <c r="N5498">
        <v>55822004</v>
      </c>
      <c r="O5498" t="s">
        <v>2010</v>
      </c>
    </row>
    <row r="5499" spans="1:15">
      <c r="A5499" t="s">
        <v>7171</v>
      </c>
      <c r="B5499" s="2">
        <v>46222.826550925929</v>
      </c>
      <c r="C5499" s="2">
        <v>46222.868217592593</v>
      </c>
      <c r="D5499" t="s">
        <v>994</v>
      </c>
      <c r="E5499" t="s">
        <v>6827</v>
      </c>
      <c r="F5499" t="s">
        <v>6828</v>
      </c>
      <c r="G5499" t="s">
        <v>1122</v>
      </c>
      <c r="H5499" t="s">
        <v>1076</v>
      </c>
      <c r="I5499">
        <v>50849002</v>
      </c>
      <c r="J5499" t="s">
        <v>1163</v>
      </c>
      <c r="K5499">
        <v>146.18</v>
      </c>
      <c r="L5499">
        <v>1664.12</v>
      </c>
      <c r="M5499">
        <v>1331.28</v>
      </c>
      <c r="O5499" t="s">
        <v>34</v>
      </c>
    </row>
    <row r="5500" spans="1:15">
      <c r="A5500" t="s">
        <v>7172</v>
      </c>
      <c r="B5500" s="2">
        <v>45875.319386574076</v>
      </c>
      <c r="C5500" s="2">
        <v>45875.356226851851</v>
      </c>
      <c r="D5500" t="s">
        <v>976</v>
      </c>
      <c r="E5500" t="s">
        <v>6587</v>
      </c>
      <c r="F5500" t="s">
        <v>6588</v>
      </c>
      <c r="G5500" t="s">
        <v>1122</v>
      </c>
      <c r="H5500" t="s">
        <v>1043</v>
      </c>
      <c r="I5500">
        <v>185349003</v>
      </c>
      <c r="J5500" t="s">
        <v>1038</v>
      </c>
      <c r="K5500">
        <v>85.55</v>
      </c>
      <c r="L5500">
        <v>1048.44</v>
      </c>
      <c r="M5500">
        <v>838.74</v>
      </c>
      <c r="O5500" t="s">
        <v>34</v>
      </c>
    </row>
    <row r="5501" spans="1:15">
      <c r="A5501" t="s">
        <v>7173</v>
      </c>
      <c r="B5501" s="2">
        <v>46229.826550925929</v>
      </c>
      <c r="C5501" s="2">
        <v>46229.868217592593</v>
      </c>
      <c r="D5501" t="s">
        <v>994</v>
      </c>
      <c r="E5501" t="s">
        <v>6827</v>
      </c>
      <c r="F5501" t="s">
        <v>6828</v>
      </c>
      <c r="G5501" t="s">
        <v>1122</v>
      </c>
      <c r="H5501" t="s">
        <v>1076</v>
      </c>
      <c r="I5501">
        <v>50849002</v>
      </c>
      <c r="J5501" t="s">
        <v>1163</v>
      </c>
      <c r="K5501">
        <v>146.18</v>
      </c>
      <c r="L5501">
        <v>942.44</v>
      </c>
      <c r="M5501">
        <v>753.94</v>
      </c>
      <c r="O5501" t="s">
        <v>34</v>
      </c>
    </row>
    <row r="5502" spans="1:15">
      <c r="A5502" t="s">
        <v>7174</v>
      </c>
      <c r="B5502" s="2">
        <v>45882.319386574076</v>
      </c>
      <c r="C5502" s="2">
        <v>45882.436666666668</v>
      </c>
      <c r="D5502" t="s">
        <v>976</v>
      </c>
      <c r="E5502" t="s">
        <v>6587</v>
      </c>
      <c r="F5502" t="s">
        <v>6588</v>
      </c>
      <c r="G5502" t="s">
        <v>1122</v>
      </c>
      <c r="H5502" t="s">
        <v>1031</v>
      </c>
      <c r="I5502">
        <v>185349003</v>
      </c>
      <c r="J5502" t="s">
        <v>1038</v>
      </c>
      <c r="K5502">
        <v>85.55</v>
      </c>
      <c r="L5502">
        <v>3105.35</v>
      </c>
      <c r="M5502">
        <v>2484.2800000000002</v>
      </c>
      <c r="N5502">
        <v>103697008</v>
      </c>
      <c r="O5502" t="s">
        <v>1039</v>
      </c>
    </row>
    <row r="5503" spans="1:15">
      <c r="A5503" t="s">
        <v>7175</v>
      </c>
      <c r="B5503" s="2">
        <v>46236.826550925929</v>
      </c>
      <c r="C5503" s="2">
        <v>46236.868217592593</v>
      </c>
      <c r="D5503" t="s">
        <v>994</v>
      </c>
      <c r="E5503" t="s">
        <v>6827</v>
      </c>
      <c r="F5503" t="s">
        <v>6828</v>
      </c>
      <c r="G5503" t="s">
        <v>1122</v>
      </c>
      <c r="H5503" t="s">
        <v>1076</v>
      </c>
      <c r="I5503">
        <v>50849002</v>
      </c>
      <c r="J5503" t="s">
        <v>1163</v>
      </c>
      <c r="K5503">
        <v>146.18</v>
      </c>
      <c r="L5503">
        <v>1017.02</v>
      </c>
      <c r="M5503">
        <v>813.6</v>
      </c>
      <c r="O5503" t="s">
        <v>34</v>
      </c>
    </row>
    <row r="5504" spans="1:15">
      <c r="A5504" t="s">
        <v>7176</v>
      </c>
      <c r="B5504" s="2">
        <v>45889.319386574076</v>
      </c>
      <c r="C5504" s="2">
        <v>45889.447858796295</v>
      </c>
      <c r="D5504" t="s">
        <v>976</v>
      </c>
      <c r="E5504" t="s">
        <v>6587</v>
      </c>
      <c r="F5504" t="s">
        <v>6588</v>
      </c>
      <c r="G5504" t="s">
        <v>1122</v>
      </c>
      <c r="H5504" t="s">
        <v>1031</v>
      </c>
      <c r="I5504">
        <v>185347001</v>
      </c>
      <c r="J5504" t="s">
        <v>1124</v>
      </c>
      <c r="K5504">
        <v>85.55</v>
      </c>
      <c r="L5504">
        <v>535.87</v>
      </c>
      <c r="M5504">
        <v>428.7</v>
      </c>
      <c r="N5504">
        <v>431857002</v>
      </c>
      <c r="O5504" t="s">
        <v>4125</v>
      </c>
    </row>
    <row r="5505" spans="1:15">
      <c r="A5505" t="s">
        <v>7177</v>
      </c>
      <c r="B5505" s="2">
        <v>45892.447858796295</v>
      </c>
      <c r="C5505" s="2">
        <v>45892.613136574073</v>
      </c>
      <c r="D5505" t="s">
        <v>976</v>
      </c>
      <c r="E5505" t="s">
        <v>6587</v>
      </c>
      <c r="F5505" t="s">
        <v>6588</v>
      </c>
      <c r="G5505" t="s">
        <v>1122</v>
      </c>
      <c r="H5505" t="s">
        <v>1031</v>
      </c>
      <c r="I5505">
        <v>185347001</v>
      </c>
      <c r="J5505" t="s">
        <v>1124</v>
      </c>
      <c r="K5505">
        <v>85.55</v>
      </c>
      <c r="L5505">
        <v>756.11</v>
      </c>
      <c r="M5505">
        <v>604.89</v>
      </c>
      <c r="N5505">
        <v>431857002</v>
      </c>
      <c r="O5505" t="s">
        <v>4125</v>
      </c>
    </row>
    <row r="5506" spans="1:15">
      <c r="A5506" t="s">
        <v>7178</v>
      </c>
      <c r="B5506" s="2">
        <v>46243.826550925929</v>
      </c>
      <c r="C5506" s="2">
        <v>46243.840740740743</v>
      </c>
      <c r="D5506" t="s">
        <v>994</v>
      </c>
      <c r="E5506" t="s">
        <v>1612</v>
      </c>
      <c r="F5506" t="s">
        <v>1613</v>
      </c>
      <c r="G5506" t="s">
        <v>1122</v>
      </c>
      <c r="H5506" t="s">
        <v>1159</v>
      </c>
      <c r="I5506">
        <v>702927004</v>
      </c>
      <c r="J5506" t="s">
        <v>1160</v>
      </c>
      <c r="K5506">
        <v>142.58000000000001</v>
      </c>
      <c r="L5506">
        <v>723.14</v>
      </c>
      <c r="M5506">
        <v>578.5</v>
      </c>
      <c r="O5506" t="s">
        <v>34</v>
      </c>
    </row>
    <row r="5507" spans="1:15">
      <c r="A5507" t="s">
        <v>7179</v>
      </c>
      <c r="B5507" s="2">
        <v>45892.613136574073</v>
      </c>
      <c r="C5507" s="2">
        <v>45892.623553240737</v>
      </c>
      <c r="D5507" t="s">
        <v>976</v>
      </c>
      <c r="E5507" t="s">
        <v>6587</v>
      </c>
      <c r="F5507" t="s">
        <v>6588</v>
      </c>
      <c r="G5507" t="s">
        <v>1122</v>
      </c>
      <c r="H5507" t="s">
        <v>1031</v>
      </c>
      <c r="I5507">
        <v>185347001</v>
      </c>
      <c r="J5507" t="s">
        <v>1124</v>
      </c>
      <c r="K5507">
        <v>85.55</v>
      </c>
      <c r="L5507">
        <v>234.71</v>
      </c>
      <c r="M5507">
        <v>187.76</v>
      </c>
      <c r="N5507">
        <v>431857002</v>
      </c>
      <c r="O5507" t="s">
        <v>4125</v>
      </c>
    </row>
    <row r="5508" spans="1:15">
      <c r="A5508" t="s">
        <v>7180</v>
      </c>
      <c r="B5508" s="2">
        <v>45895.613136574073</v>
      </c>
      <c r="C5508" s="2">
        <v>45895.762442129628</v>
      </c>
      <c r="D5508" t="s">
        <v>976</v>
      </c>
      <c r="E5508" t="s">
        <v>6587</v>
      </c>
      <c r="F5508" t="s">
        <v>6588</v>
      </c>
      <c r="G5508" t="s">
        <v>1122</v>
      </c>
      <c r="H5508" t="s">
        <v>1031</v>
      </c>
      <c r="I5508">
        <v>185347001</v>
      </c>
      <c r="J5508" t="s">
        <v>1124</v>
      </c>
      <c r="K5508">
        <v>85.55</v>
      </c>
      <c r="L5508">
        <v>1377.67</v>
      </c>
      <c r="M5508">
        <v>1102.1400000000001</v>
      </c>
      <c r="N5508">
        <v>431857002</v>
      </c>
      <c r="O5508" t="s">
        <v>4125</v>
      </c>
    </row>
    <row r="5509" spans="1:15">
      <c r="A5509" t="s">
        <v>7181</v>
      </c>
      <c r="B5509" s="2">
        <v>46250.826550925929</v>
      </c>
      <c r="C5509" s="2">
        <v>46250.868217592593</v>
      </c>
      <c r="D5509" t="s">
        <v>994</v>
      </c>
      <c r="E5509" t="s">
        <v>6827</v>
      </c>
      <c r="F5509" t="s">
        <v>6828</v>
      </c>
      <c r="G5509" t="s">
        <v>1122</v>
      </c>
      <c r="H5509" t="s">
        <v>1076</v>
      </c>
      <c r="I5509">
        <v>50849002</v>
      </c>
      <c r="J5509" t="s">
        <v>1163</v>
      </c>
      <c r="K5509">
        <v>146.18</v>
      </c>
      <c r="L5509">
        <v>1094.6400000000001</v>
      </c>
      <c r="M5509">
        <v>875.7</v>
      </c>
      <c r="O5509" t="s">
        <v>34</v>
      </c>
    </row>
    <row r="5510" spans="1:15">
      <c r="A5510" t="s">
        <v>7182</v>
      </c>
      <c r="B5510" s="2">
        <v>45903.319386574076</v>
      </c>
      <c r="C5510" s="2">
        <v>45903.343055555553</v>
      </c>
      <c r="D5510" t="s">
        <v>976</v>
      </c>
      <c r="E5510" t="s">
        <v>3753</v>
      </c>
      <c r="F5510" t="s">
        <v>3754</v>
      </c>
      <c r="G5510" t="s">
        <v>1122</v>
      </c>
      <c r="H5510" t="s">
        <v>1159</v>
      </c>
      <c r="I5510">
        <v>702927004</v>
      </c>
      <c r="J5510" t="s">
        <v>1160</v>
      </c>
      <c r="K5510">
        <v>142.58000000000001</v>
      </c>
      <c r="L5510">
        <v>1553.95</v>
      </c>
      <c r="M5510">
        <v>1243.1400000000001</v>
      </c>
      <c r="O5510" t="s">
        <v>34</v>
      </c>
    </row>
    <row r="5511" spans="1:15">
      <c r="A5511" t="s">
        <v>7183</v>
      </c>
      <c r="B5511" s="2">
        <v>45910.319386574076</v>
      </c>
      <c r="C5511" s="2">
        <v>45910.32980324074</v>
      </c>
      <c r="D5511" t="s">
        <v>976</v>
      </c>
      <c r="E5511" t="s">
        <v>6587</v>
      </c>
      <c r="F5511" t="s">
        <v>6588</v>
      </c>
      <c r="G5511" t="s">
        <v>1122</v>
      </c>
      <c r="H5511" t="s">
        <v>1043</v>
      </c>
      <c r="I5511">
        <v>185349003</v>
      </c>
      <c r="J5511" t="s">
        <v>1038</v>
      </c>
      <c r="K5511">
        <v>85.55</v>
      </c>
      <c r="L5511">
        <v>1097.51</v>
      </c>
      <c r="M5511">
        <v>878</v>
      </c>
      <c r="O5511" t="s">
        <v>34</v>
      </c>
    </row>
    <row r="5512" spans="1:15">
      <c r="A5512" t="s">
        <v>7184</v>
      </c>
      <c r="B5512" s="2">
        <v>45917.319386574076</v>
      </c>
      <c r="C5512" s="2">
        <v>45917.350231481483</v>
      </c>
      <c r="D5512" t="s">
        <v>976</v>
      </c>
      <c r="E5512" t="s">
        <v>3753</v>
      </c>
      <c r="F5512" t="s">
        <v>3754</v>
      </c>
      <c r="G5512" t="s">
        <v>1122</v>
      </c>
      <c r="H5512" t="s">
        <v>1159</v>
      </c>
      <c r="I5512">
        <v>702927004</v>
      </c>
      <c r="J5512" t="s">
        <v>1160</v>
      </c>
      <c r="K5512">
        <v>142.58000000000001</v>
      </c>
      <c r="L5512">
        <v>872.3</v>
      </c>
      <c r="M5512">
        <v>697.82</v>
      </c>
      <c r="O5512" t="s">
        <v>34</v>
      </c>
    </row>
    <row r="5513" spans="1:15">
      <c r="A5513" t="s">
        <v>7185</v>
      </c>
      <c r="B5513" s="2">
        <v>45924.319386574076</v>
      </c>
      <c r="C5513" s="2">
        <v>45924.415914351855</v>
      </c>
      <c r="D5513" t="s">
        <v>976</v>
      </c>
      <c r="E5513" t="s">
        <v>6587</v>
      </c>
      <c r="F5513" t="s">
        <v>6588</v>
      </c>
      <c r="G5513" t="s">
        <v>1122</v>
      </c>
      <c r="H5513" t="s">
        <v>1031</v>
      </c>
      <c r="I5513">
        <v>185347001</v>
      </c>
      <c r="J5513" t="s">
        <v>1124</v>
      </c>
      <c r="K5513">
        <v>85.55</v>
      </c>
      <c r="L5513">
        <v>1230.6500000000001</v>
      </c>
      <c r="M5513">
        <v>984.52</v>
      </c>
      <c r="N5513">
        <v>431857002</v>
      </c>
      <c r="O5513" t="s">
        <v>4125</v>
      </c>
    </row>
    <row r="5514" spans="1:15">
      <c r="A5514" t="s">
        <v>7186</v>
      </c>
      <c r="B5514" s="2">
        <v>45924.415914351855</v>
      </c>
      <c r="C5514" s="2">
        <v>45924.42633101852</v>
      </c>
      <c r="D5514" t="s">
        <v>976</v>
      </c>
      <c r="E5514" t="s">
        <v>6587</v>
      </c>
      <c r="F5514" t="s">
        <v>6588</v>
      </c>
      <c r="G5514" t="s">
        <v>1122</v>
      </c>
      <c r="H5514" t="s">
        <v>1031</v>
      </c>
      <c r="I5514">
        <v>185347001</v>
      </c>
      <c r="J5514" t="s">
        <v>1124</v>
      </c>
      <c r="K5514">
        <v>85.55</v>
      </c>
      <c r="L5514">
        <v>234.71</v>
      </c>
      <c r="M5514">
        <v>187.76</v>
      </c>
      <c r="N5514">
        <v>431857002</v>
      </c>
      <c r="O5514" t="s">
        <v>4125</v>
      </c>
    </row>
    <row r="5515" spans="1:15">
      <c r="A5515" t="s">
        <v>7187</v>
      </c>
      <c r="B5515" s="2">
        <v>45927.415914351855</v>
      </c>
      <c r="C5515" s="2">
        <v>45927.563831018517</v>
      </c>
      <c r="D5515" t="s">
        <v>976</v>
      </c>
      <c r="E5515" t="s">
        <v>6587</v>
      </c>
      <c r="F5515" t="s">
        <v>6588</v>
      </c>
      <c r="G5515" t="s">
        <v>1122</v>
      </c>
      <c r="H5515" t="s">
        <v>1031</v>
      </c>
      <c r="I5515">
        <v>185347001</v>
      </c>
      <c r="J5515" t="s">
        <v>1124</v>
      </c>
      <c r="K5515">
        <v>85.55</v>
      </c>
      <c r="L5515">
        <v>795.41</v>
      </c>
      <c r="M5515">
        <v>636.33000000000004</v>
      </c>
      <c r="N5515">
        <v>431857002</v>
      </c>
      <c r="O5515" t="s">
        <v>4125</v>
      </c>
    </row>
    <row r="5516" spans="1:15">
      <c r="A5516" t="s">
        <v>7188</v>
      </c>
      <c r="B5516" s="2">
        <v>45930.563831018517</v>
      </c>
      <c r="C5516" s="2">
        <v>45930.709664351853</v>
      </c>
      <c r="D5516" t="s">
        <v>976</v>
      </c>
      <c r="E5516" t="s">
        <v>6587</v>
      </c>
      <c r="F5516" t="s">
        <v>6588</v>
      </c>
      <c r="G5516" t="s">
        <v>1122</v>
      </c>
      <c r="H5516" t="s">
        <v>1031</v>
      </c>
      <c r="I5516">
        <v>185347001</v>
      </c>
      <c r="J5516" t="s">
        <v>1124</v>
      </c>
      <c r="K5516">
        <v>85.55</v>
      </c>
      <c r="L5516">
        <v>765.83</v>
      </c>
      <c r="M5516">
        <v>612.66</v>
      </c>
      <c r="N5516">
        <v>431857002</v>
      </c>
      <c r="O5516" t="s">
        <v>4125</v>
      </c>
    </row>
    <row r="5517" spans="1:15">
      <c r="A5517" t="s">
        <v>7189</v>
      </c>
      <c r="B5517" s="2">
        <v>45938.319386574076</v>
      </c>
      <c r="C5517" s="2">
        <v>45938.447199074071</v>
      </c>
      <c r="D5517" t="s">
        <v>976</v>
      </c>
      <c r="E5517" t="s">
        <v>6587</v>
      </c>
      <c r="F5517" t="s">
        <v>6588</v>
      </c>
      <c r="G5517" t="s">
        <v>1122</v>
      </c>
      <c r="H5517" t="s">
        <v>1031</v>
      </c>
      <c r="I5517">
        <v>185349003</v>
      </c>
      <c r="J5517" t="s">
        <v>1038</v>
      </c>
      <c r="K5517">
        <v>85.55</v>
      </c>
      <c r="L5517">
        <v>2673.95</v>
      </c>
      <c r="M5517">
        <v>2139.16</v>
      </c>
      <c r="N5517">
        <v>103697008</v>
      </c>
      <c r="O5517" t="s">
        <v>1039</v>
      </c>
    </row>
    <row r="5518" spans="1:15">
      <c r="A5518" t="s">
        <v>7190</v>
      </c>
      <c r="B5518" s="2">
        <v>45945.319386574076</v>
      </c>
      <c r="C5518" s="2">
        <v>45945.481192129628</v>
      </c>
      <c r="D5518" t="s">
        <v>976</v>
      </c>
      <c r="E5518" t="s">
        <v>6587</v>
      </c>
      <c r="F5518" t="s">
        <v>6588</v>
      </c>
      <c r="G5518" t="s">
        <v>1122</v>
      </c>
      <c r="H5518" t="s">
        <v>1031</v>
      </c>
      <c r="I5518">
        <v>185347001</v>
      </c>
      <c r="J5518" t="s">
        <v>1124</v>
      </c>
      <c r="K5518">
        <v>85.55</v>
      </c>
      <c r="L5518">
        <v>1312.18</v>
      </c>
      <c r="M5518">
        <v>887.88</v>
      </c>
      <c r="N5518">
        <v>431857002</v>
      </c>
      <c r="O5518" t="s">
        <v>4125</v>
      </c>
    </row>
    <row r="5519" spans="1:15">
      <c r="A5519" t="s">
        <v>7191</v>
      </c>
      <c r="B5519" s="2">
        <v>45948.481192129628</v>
      </c>
      <c r="C5519" s="2">
        <v>45948.647164351853</v>
      </c>
      <c r="D5519" t="s">
        <v>976</v>
      </c>
      <c r="E5519" t="s">
        <v>6587</v>
      </c>
      <c r="F5519" t="s">
        <v>6588</v>
      </c>
      <c r="G5519" t="s">
        <v>1122</v>
      </c>
      <c r="H5519" t="s">
        <v>1031</v>
      </c>
      <c r="I5519">
        <v>185347001</v>
      </c>
      <c r="J5519" t="s">
        <v>1124</v>
      </c>
      <c r="K5519">
        <v>85.55</v>
      </c>
      <c r="L5519">
        <v>1791.03</v>
      </c>
      <c r="M5519">
        <v>1432.82</v>
      </c>
      <c r="N5519">
        <v>431857002</v>
      </c>
      <c r="O5519" t="s">
        <v>4125</v>
      </c>
    </row>
    <row r="5520" spans="1:15">
      <c r="A5520" t="s">
        <v>7192</v>
      </c>
      <c r="B5520" s="2">
        <v>45951.647164351853</v>
      </c>
      <c r="C5520" s="2">
        <v>45951.757581018515</v>
      </c>
      <c r="D5520" t="s">
        <v>976</v>
      </c>
      <c r="E5520" t="s">
        <v>6587</v>
      </c>
      <c r="F5520" t="s">
        <v>6588</v>
      </c>
      <c r="G5520" t="s">
        <v>1122</v>
      </c>
      <c r="H5520" t="s">
        <v>1031</v>
      </c>
      <c r="I5520">
        <v>185347001</v>
      </c>
      <c r="J5520" t="s">
        <v>1124</v>
      </c>
      <c r="K5520">
        <v>85.55</v>
      </c>
      <c r="L5520">
        <v>1052.57</v>
      </c>
      <c r="M5520">
        <v>842.06</v>
      </c>
      <c r="N5520">
        <v>431857002</v>
      </c>
      <c r="O5520" t="s">
        <v>4125</v>
      </c>
    </row>
    <row r="5521" spans="1:15">
      <c r="A5521" t="s">
        <v>7193</v>
      </c>
      <c r="B5521" s="2">
        <v>45959.319386574076</v>
      </c>
      <c r="C5521" s="2">
        <v>45959.340613425928</v>
      </c>
      <c r="D5521" t="s">
        <v>976</v>
      </c>
      <c r="E5521" t="s">
        <v>3753</v>
      </c>
      <c r="F5521" t="s">
        <v>3754</v>
      </c>
      <c r="G5521" t="s">
        <v>1122</v>
      </c>
      <c r="H5521" t="s">
        <v>1159</v>
      </c>
      <c r="I5521">
        <v>702927004</v>
      </c>
      <c r="J5521" t="s">
        <v>1160</v>
      </c>
      <c r="K5521">
        <v>142.58000000000001</v>
      </c>
      <c r="L5521">
        <v>1008.3</v>
      </c>
      <c r="M5521">
        <v>806.62</v>
      </c>
      <c r="O5521" t="s">
        <v>34</v>
      </c>
    </row>
    <row r="5522" spans="1:15">
      <c r="A5522" t="s">
        <v>7194</v>
      </c>
      <c r="B5522" s="2">
        <v>45966.277719907404</v>
      </c>
      <c r="C5522" s="2">
        <v>45966.401331018518</v>
      </c>
      <c r="D5522" t="s">
        <v>976</v>
      </c>
      <c r="E5522" t="s">
        <v>6587</v>
      </c>
      <c r="F5522" t="s">
        <v>6588</v>
      </c>
      <c r="G5522" t="s">
        <v>1122</v>
      </c>
      <c r="H5522" t="s">
        <v>1031</v>
      </c>
      <c r="I5522">
        <v>185347001</v>
      </c>
      <c r="J5522" t="s">
        <v>1124</v>
      </c>
      <c r="K5522">
        <v>85.55</v>
      </c>
      <c r="L5522">
        <v>1197.5</v>
      </c>
      <c r="M5522">
        <v>958</v>
      </c>
      <c r="N5522">
        <v>431857002</v>
      </c>
      <c r="O5522" t="s">
        <v>4125</v>
      </c>
    </row>
    <row r="5523" spans="1:15">
      <c r="A5523" t="s">
        <v>7195</v>
      </c>
      <c r="B5523" s="2">
        <v>45966.401331018518</v>
      </c>
      <c r="C5523" s="2">
        <v>45966.411747685182</v>
      </c>
      <c r="D5523" t="s">
        <v>976</v>
      </c>
      <c r="E5523" t="s">
        <v>6587</v>
      </c>
      <c r="F5523" t="s">
        <v>6588</v>
      </c>
      <c r="G5523" t="s">
        <v>1122</v>
      </c>
      <c r="H5523" t="s">
        <v>1031</v>
      </c>
      <c r="I5523">
        <v>185347001</v>
      </c>
      <c r="J5523" t="s">
        <v>1124</v>
      </c>
      <c r="K5523">
        <v>85.55</v>
      </c>
      <c r="L5523">
        <v>234.71</v>
      </c>
      <c r="M5523">
        <v>187.76</v>
      </c>
      <c r="N5523">
        <v>431857002</v>
      </c>
      <c r="O5523" t="s">
        <v>4125</v>
      </c>
    </row>
    <row r="5524" spans="1:15">
      <c r="A5524" t="s">
        <v>7196</v>
      </c>
      <c r="B5524" s="2">
        <v>45969.401331018518</v>
      </c>
      <c r="C5524" s="2">
        <v>45969.560358796298</v>
      </c>
      <c r="D5524" t="s">
        <v>976</v>
      </c>
      <c r="E5524" t="s">
        <v>6587</v>
      </c>
      <c r="F5524" t="s">
        <v>6588</v>
      </c>
      <c r="G5524" t="s">
        <v>1122</v>
      </c>
      <c r="H5524" t="s">
        <v>1031</v>
      </c>
      <c r="I5524">
        <v>185347001</v>
      </c>
      <c r="J5524" t="s">
        <v>1124</v>
      </c>
      <c r="K5524">
        <v>85.55</v>
      </c>
      <c r="L5524">
        <v>1791.03</v>
      </c>
      <c r="M5524">
        <v>1432.82</v>
      </c>
      <c r="N5524">
        <v>431857002</v>
      </c>
      <c r="O5524" t="s">
        <v>4125</v>
      </c>
    </row>
    <row r="5525" spans="1:15">
      <c r="A5525" t="s">
        <v>7197</v>
      </c>
      <c r="B5525" s="2">
        <v>45972.560358796298</v>
      </c>
      <c r="C5525" s="2">
        <v>45972.685358796298</v>
      </c>
      <c r="D5525" t="s">
        <v>976</v>
      </c>
      <c r="E5525" t="s">
        <v>6587</v>
      </c>
      <c r="F5525" t="s">
        <v>6588</v>
      </c>
      <c r="G5525" t="s">
        <v>1122</v>
      </c>
      <c r="H5525" t="s">
        <v>1031</v>
      </c>
      <c r="I5525">
        <v>185347001</v>
      </c>
      <c r="J5525" t="s">
        <v>1124</v>
      </c>
      <c r="K5525">
        <v>85.55</v>
      </c>
      <c r="L5525">
        <v>535.87</v>
      </c>
      <c r="M5525">
        <v>428.7</v>
      </c>
      <c r="N5525">
        <v>431857002</v>
      </c>
      <c r="O5525" t="s">
        <v>4125</v>
      </c>
    </row>
    <row r="5526" spans="1:15">
      <c r="A5526" t="s">
        <v>7198</v>
      </c>
      <c r="B5526" s="2">
        <v>45980.277719907404</v>
      </c>
      <c r="C5526" s="2">
        <v>45980.299502314818</v>
      </c>
      <c r="D5526" t="s">
        <v>976</v>
      </c>
      <c r="E5526" t="s">
        <v>3753</v>
      </c>
      <c r="F5526" t="s">
        <v>3754</v>
      </c>
      <c r="G5526" t="s">
        <v>1122</v>
      </c>
      <c r="H5526" t="s">
        <v>1159</v>
      </c>
      <c r="I5526">
        <v>702927004</v>
      </c>
      <c r="J5526" t="s">
        <v>1160</v>
      </c>
      <c r="K5526">
        <v>142.58000000000001</v>
      </c>
      <c r="L5526">
        <v>872.3</v>
      </c>
      <c r="M5526">
        <v>697.82</v>
      </c>
      <c r="O5526" t="s">
        <v>34</v>
      </c>
    </row>
    <row r="5527" spans="1:15">
      <c r="A5527" t="s">
        <v>7199</v>
      </c>
      <c r="B5527" s="2">
        <v>45987.277719907404</v>
      </c>
      <c r="C5527" s="2">
        <v>45987.288136574076</v>
      </c>
      <c r="D5527" t="s">
        <v>976</v>
      </c>
      <c r="E5527" t="s">
        <v>3753</v>
      </c>
      <c r="F5527" t="s">
        <v>3754</v>
      </c>
      <c r="G5527" t="s">
        <v>1122</v>
      </c>
      <c r="H5527" t="s">
        <v>1159</v>
      </c>
      <c r="I5527">
        <v>702927004</v>
      </c>
      <c r="J5527" t="s">
        <v>1160</v>
      </c>
      <c r="K5527">
        <v>142.58000000000001</v>
      </c>
      <c r="L5527">
        <v>1154.54</v>
      </c>
      <c r="M5527">
        <v>923.62</v>
      </c>
      <c r="O5527" t="s">
        <v>34</v>
      </c>
    </row>
    <row r="5528" spans="1:15">
      <c r="A5528" t="s">
        <v>7200</v>
      </c>
      <c r="B5528" s="2">
        <v>45994.277719907404</v>
      </c>
      <c r="C5528" s="2">
        <v>45994.440405092595</v>
      </c>
      <c r="D5528" t="s">
        <v>976</v>
      </c>
      <c r="E5528" t="s">
        <v>6587</v>
      </c>
      <c r="F5528" t="s">
        <v>6588</v>
      </c>
      <c r="G5528" t="s">
        <v>1122</v>
      </c>
      <c r="H5528" t="s">
        <v>1031</v>
      </c>
      <c r="I5528">
        <v>185349003</v>
      </c>
      <c r="J5528" t="s">
        <v>1038</v>
      </c>
      <c r="K5528">
        <v>85.55</v>
      </c>
      <c r="L5528">
        <v>3536.75</v>
      </c>
      <c r="M5528">
        <v>2829.4</v>
      </c>
      <c r="N5528">
        <v>103697008</v>
      </c>
      <c r="O5528" t="s">
        <v>1039</v>
      </c>
    </row>
    <row r="5529" spans="1:15">
      <c r="A5529" t="s">
        <v>7201</v>
      </c>
      <c r="B5529" s="2">
        <v>46001.277719907404</v>
      </c>
      <c r="C5529" s="2">
        <v>46001.425636574073</v>
      </c>
      <c r="D5529" t="s">
        <v>976</v>
      </c>
      <c r="E5529" t="s">
        <v>6587</v>
      </c>
      <c r="F5529" t="s">
        <v>6588</v>
      </c>
      <c r="G5529" t="s">
        <v>1122</v>
      </c>
      <c r="H5529" t="s">
        <v>1031</v>
      </c>
      <c r="I5529">
        <v>185347001</v>
      </c>
      <c r="J5529" t="s">
        <v>1124</v>
      </c>
      <c r="K5529">
        <v>85.55</v>
      </c>
      <c r="L5529">
        <v>1183.69</v>
      </c>
      <c r="M5529">
        <v>946.95</v>
      </c>
      <c r="N5529">
        <v>431857002</v>
      </c>
      <c r="O5529" t="s">
        <v>4125</v>
      </c>
    </row>
    <row r="5530" spans="1:15">
      <c r="A5530" t="s">
        <v>7202</v>
      </c>
      <c r="B5530" s="2">
        <v>46001.425636574073</v>
      </c>
      <c r="C5530" s="2">
        <v>46001.436053240737</v>
      </c>
      <c r="D5530" t="s">
        <v>976</v>
      </c>
      <c r="E5530" t="s">
        <v>6587</v>
      </c>
      <c r="F5530" t="s">
        <v>6588</v>
      </c>
      <c r="G5530" t="s">
        <v>1122</v>
      </c>
      <c r="H5530" t="s">
        <v>1031</v>
      </c>
      <c r="I5530">
        <v>185347001</v>
      </c>
      <c r="J5530" t="s">
        <v>1124</v>
      </c>
      <c r="K5530">
        <v>85.55</v>
      </c>
      <c r="L5530">
        <v>234.71</v>
      </c>
      <c r="M5530">
        <v>187.76</v>
      </c>
      <c r="N5530">
        <v>431857002</v>
      </c>
      <c r="O5530" t="s">
        <v>4125</v>
      </c>
    </row>
    <row r="5531" spans="1:15">
      <c r="A5531" t="s">
        <v>7203</v>
      </c>
      <c r="B5531" s="2">
        <v>46004.425636574073</v>
      </c>
      <c r="C5531" s="2">
        <v>46004.53396990741</v>
      </c>
      <c r="D5531" t="s">
        <v>976</v>
      </c>
      <c r="E5531" t="s">
        <v>6587</v>
      </c>
      <c r="F5531" t="s">
        <v>6588</v>
      </c>
      <c r="G5531" t="s">
        <v>1122</v>
      </c>
      <c r="H5531" t="s">
        <v>1031</v>
      </c>
      <c r="I5531">
        <v>185347001</v>
      </c>
      <c r="J5531" t="s">
        <v>1124</v>
      </c>
      <c r="K5531">
        <v>85.55</v>
      </c>
      <c r="L5531">
        <v>1791.03</v>
      </c>
      <c r="M5531">
        <v>1432.82</v>
      </c>
      <c r="N5531">
        <v>431857002</v>
      </c>
      <c r="O5531" t="s">
        <v>4125</v>
      </c>
    </row>
    <row r="5532" spans="1:15">
      <c r="A5532" t="s">
        <v>7204</v>
      </c>
      <c r="B5532" s="2">
        <v>46007.53396990741</v>
      </c>
      <c r="C5532" s="2">
        <v>46007.67633101852</v>
      </c>
      <c r="D5532" t="s">
        <v>976</v>
      </c>
      <c r="E5532" t="s">
        <v>6587</v>
      </c>
      <c r="F5532" t="s">
        <v>6588</v>
      </c>
      <c r="G5532" t="s">
        <v>1122</v>
      </c>
      <c r="H5532" t="s">
        <v>1031</v>
      </c>
      <c r="I5532">
        <v>185347001</v>
      </c>
      <c r="J5532" t="s">
        <v>1124</v>
      </c>
      <c r="K5532">
        <v>85.55</v>
      </c>
      <c r="L5532">
        <v>535.87</v>
      </c>
      <c r="M5532">
        <v>428.7</v>
      </c>
      <c r="N5532">
        <v>431857002</v>
      </c>
      <c r="O5532" t="s">
        <v>4125</v>
      </c>
    </row>
    <row r="5533" spans="1:15">
      <c r="A5533" t="s">
        <v>7205</v>
      </c>
      <c r="B5533" s="2">
        <v>46015.277719907404</v>
      </c>
      <c r="C5533" s="2">
        <v>46015.314756944441</v>
      </c>
      <c r="D5533" t="s">
        <v>976</v>
      </c>
      <c r="E5533" t="s">
        <v>3753</v>
      </c>
      <c r="F5533" t="s">
        <v>3754</v>
      </c>
      <c r="G5533" t="s">
        <v>1122</v>
      </c>
      <c r="H5533" t="s">
        <v>1159</v>
      </c>
      <c r="I5533">
        <v>702927004</v>
      </c>
      <c r="J5533" t="s">
        <v>1160</v>
      </c>
      <c r="K5533">
        <v>142.58000000000001</v>
      </c>
      <c r="L5533">
        <v>1168.31</v>
      </c>
      <c r="M5533">
        <v>934.63</v>
      </c>
      <c r="O5533" t="s">
        <v>34</v>
      </c>
    </row>
    <row r="5534" spans="1:15">
      <c r="A5534" t="s">
        <v>7206</v>
      </c>
      <c r="B5534" s="2">
        <v>46022.277719907404</v>
      </c>
      <c r="C5534" s="2">
        <v>46022.438831018517</v>
      </c>
      <c r="D5534" t="s">
        <v>976</v>
      </c>
      <c r="E5534" t="s">
        <v>6587</v>
      </c>
      <c r="F5534" t="s">
        <v>6588</v>
      </c>
      <c r="G5534" t="s">
        <v>1122</v>
      </c>
      <c r="H5534" t="s">
        <v>1031</v>
      </c>
      <c r="I5534">
        <v>185347001</v>
      </c>
      <c r="J5534" t="s">
        <v>1124</v>
      </c>
      <c r="K5534">
        <v>85.55</v>
      </c>
      <c r="L5534">
        <v>535.87</v>
      </c>
      <c r="M5534">
        <v>428.7</v>
      </c>
      <c r="N5534">
        <v>431857002</v>
      </c>
      <c r="O5534" t="s">
        <v>4125</v>
      </c>
    </row>
    <row r="5535" spans="1:15">
      <c r="A5535" t="s">
        <v>7207</v>
      </c>
      <c r="B5535" s="2">
        <v>46025.438831018517</v>
      </c>
      <c r="C5535" s="2">
        <v>46025.562442129631</v>
      </c>
      <c r="D5535" t="s">
        <v>976</v>
      </c>
      <c r="E5535" t="s">
        <v>6587</v>
      </c>
      <c r="F5535" t="s">
        <v>6588</v>
      </c>
      <c r="G5535" t="s">
        <v>1122</v>
      </c>
      <c r="H5535" t="s">
        <v>1031</v>
      </c>
      <c r="I5535">
        <v>185347001</v>
      </c>
      <c r="J5535" t="s">
        <v>1124</v>
      </c>
      <c r="K5535">
        <v>85.55</v>
      </c>
      <c r="L5535">
        <v>937.36</v>
      </c>
      <c r="M5535">
        <v>749.89</v>
      </c>
      <c r="N5535">
        <v>431857002</v>
      </c>
      <c r="O5535" t="s">
        <v>4125</v>
      </c>
    </row>
    <row r="5536" spans="1:15">
      <c r="A5536" t="s">
        <v>7208</v>
      </c>
      <c r="B5536" s="2">
        <v>46028.562442129631</v>
      </c>
      <c r="C5536" s="2">
        <v>46028.717997685184</v>
      </c>
      <c r="D5536" t="s">
        <v>976</v>
      </c>
      <c r="E5536" t="s">
        <v>6587</v>
      </c>
      <c r="F5536" t="s">
        <v>6588</v>
      </c>
      <c r="G5536" t="s">
        <v>1122</v>
      </c>
      <c r="H5536" t="s">
        <v>1031</v>
      </c>
      <c r="I5536">
        <v>185347001</v>
      </c>
      <c r="J5536" t="s">
        <v>1124</v>
      </c>
      <c r="K5536">
        <v>85.55</v>
      </c>
      <c r="L5536">
        <v>1428.85</v>
      </c>
      <c r="M5536">
        <v>1143.08</v>
      </c>
      <c r="N5536">
        <v>431857002</v>
      </c>
      <c r="O5536" t="s">
        <v>4125</v>
      </c>
    </row>
    <row r="5537" spans="1:15">
      <c r="A5537" t="s">
        <v>7209</v>
      </c>
      <c r="B5537" s="2">
        <v>46036.277719907404</v>
      </c>
      <c r="C5537" s="2">
        <v>46036.307685185187</v>
      </c>
      <c r="D5537" t="s">
        <v>976</v>
      </c>
      <c r="E5537" t="s">
        <v>3753</v>
      </c>
      <c r="F5537" t="s">
        <v>3754</v>
      </c>
      <c r="G5537" t="s">
        <v>1122</v>
      </c>
      <c r="H5537" t="s">
        <v>1159</v>
      </c>
      <c r="I5537">
        <v>702927004</v>
      </c>
      <c r="J5537" t="s">
        <v>1160</v>
      </c>
      <c r="K5537">
        <v>142.58000000000001</v>
      </c>
      <c r="L5537">
        <v>872.3</v>
      </c>
      <c r="M5537">
        <v>697.82</v>
      </c>
      <c r="O5537" t="s">
        <v>34</v>
      </c>
    </row>
    <row r="5538" spans="1:15">
      <c r="A5538" t="s">
        <v>7210</v>
      </c>
      <c r="B5538" s="2">
        <v>46043.277719907404</v>
      </c>
      <c r="C5538" s="2">
        <v>46043.288136574076</v>
      </c>
      <c r="D5538" t="s">
        <v>976</v>
      </c>
      <c r="E5538" t="s">
        <v>3753</v>
      </c>
      <c r="F5538" t="s">
        <v>3754</v>
      </c>
      <c r="G5538" t="s">
        <v>1122</v>
      </c>
      <c r="H5538" t="s">
        <v>1159</v>
      </c>
      <c r="I5538">
        <v>702927004</v>
      </c>
      <c r="J5538" t="s">
        <v>1160</v>
      </c>
      <c r="K5538">
        <v>142.58000000000001</v>
      </c>
      <c r="L5538">
        <v>291.74</v>
      </c>
      <c r="M5538">
        <v>233.38</v>
      </c>
      <c r="O5538" t="s">
        <v>34</v>
      </c>
    </row>
    <row r="5539" spans="1:15">
      <c r="A5539" t="s">
        <v>7211</v>
      </c>
      <c r="B5539" s="2">
        <v>46050.277719907404</v>
      </c>
      <c r="C5539" s="2">
        <v>46050.422199074077</v>
      </c>
      <c r="D5539" t="s">
        <v>976</v>
      </c>
      <c r="E5539" t="s">
        <v>6587</v>
      </c>
      <c r="F5539" t="s">
        <v>6588</v>
      </c>
      <c r="G5539" t="s">
        <v>1122</v>
      </c>
      <c r="H5539" t="s">
        <v>1031</v>
      </c>
      <c r="I5539">
        <v>185349003</v>
      </c>
      <c r="J5539" t="s">
        <v>1038</v>
      </c>
      <c r="K5539">
        <v>85.55</v>
      </c>
      <c r="L5539">
        <v>3536.75</v>
      </c>
      <c r="M5539">
        <v>2829.4</v>
      </c>
      <c r="N5539">
        <v>103697008</v>
      </c>
      <c r="O5539" t="s">
        <v>1039</v>
      </c>
    </row>
    <row r="5540" spans="1:15">
      <c r="A5540" t="s">
        <v>7212</v>
      </c>
      <c r="B5540" s="2">
        <v>46057.277719907404</v>
      </c>
      <c r="C5540" s="2">
        <v>46057.393692129626</v>
      </c>
      <c r="D5540" t="s">
        <v>976</v>
      </c>
      <c r="E5540" t="s">
        <v>6587</v>
      </c>
      <c r="F5540" t="s">
        <v>6588</v>
      </c>
      <c r="G5540" t="s">
        <v>1122</v>
      </c>
      <c r="H5540" t="s">
        <v>1031</v>
      </c>
      <c r="I5540">
        <v>185347001</v>
      </c>
      <c r="J5540" t="s">
        <v>1124</v>
      </c>
      <c r="K5540">
        <v>85.55</v>
      </c>
      <c r="L5540">
        <v>1026.6600000000001</v>
      </c>
      <c r="M5540">
        <v>821.33</v>
      </c>
      <c r="N5540">
        <v>431857002</v>
      </c>
      <c r="O5540" t="s">
        <v>4125</v>
      </c>
    </row>
    <row r="5541" spans="1:15">
      <c r="A5541" t="s">
        <v>7213</v>
      </c>
      <c r="B5541" s="2">
        <v>46057.393692129626</v>
      </c>
      <c r="C5541" s="2">
        <v>46057.404108796298</v>
      </c>
      <c r="D5541" t="s">
        <v>976</v>
      </c>
      <c r="E5541" t="s">
        <v>6587</v>
      </c>
      <c r="F5541" t="s">
        <v>6588</v>
      </c>
      <c r="G5541" t="s">
        <v>1122</v>
      </c>
      <c r="H5541" t="s">
        <v>1031</v>
      </c>
      <c r="I5541">
        <v>185347001</v>
      </c>
      <c r="J5541" t="s">
        <v>1124</v>
      </c>
      <c r="K5541">
        <v>85.55</v>
      </c>
      <c r="L5541">
        <v>234.71</v>
      </c>
      <c r="M5541">
        <v>187.76</v>
      </c>
      <c r="N5541">
        <v>431857002</v>
      </c>
      <c r="O5541" t="s">
        <v>4125</v>
      </c>
    </row>
    <row r="5542" spans="1:15">
      <c r="A5542" t="s">
        <v>7214</v>
      </c>
      <c r="B5542" s="2">
        <v>46060.393692129626</v>
      </c>
      <c r="C5542" s="2">
        <v>46060.542303240742</v>
      </c>
      <c r="D5542" t="s">
        <v>976</v>
      </c>
      <c r="E5542" t="s">
        <v>6587</v>
      </c>
      <c r="F5542" t="s">
        <v>6588</v>
      </c>
      <c r="G5542" t="s">
        <v>1122</v>
      </c>
      <c r="H5542" t="s">
        <v>1031</v>
      </c>
      <c r="I5542">
        <v>185347001</v>
      </c>
      <c r="J5542" t="s">
        <v>1124</v>
      </c>
      <c r="K5542">
        <v>85.55</v>
      </c>
      <c r="L5542">
        <v>902.33</v>
      </c>
      <c r="M5542">
        <v>721.86</v>
      </c>
      <c r="N5542">
        <v>431857002</v>
      </c>
      <c r="O5542" t="s">
        <v>4125</v>
      </c>
    </row>
    <row r="5543" spans="1:15">
      <c r="A5543" t="s">
        <v>7215</v>
      </c>
      <c r="B5543" s="2">
        <v>46063.542303240742</v>
      </c>
      <c r="C5543" s="2">
        <v>46063.694386574076</v>
      </c>
      <c r="D5543" t="s">
        <v>976</v>
      </c>
      <c r="E5543" t="s">
        <v>6587</v>
      </c>
      <c r="F5543" t="s">
        <v>6588</v>
      </c>
      <c r="G5543" t="s">
        <v>1122</v>
      </c>
      <c r="H5543" t="s">
        <v>1031</v>
      </c>
      <c r="I5543">
        <v>185347001</v>
      </c>
      <c r="J5543" t="s">
        <v>1124</v>
      </c>
      <c r="K5543">
        <v>85.55</v>
      </c>
      <c r="L5543">
        <v>535.87</v>
      </c>
      <c r="M5543">
        <v>428.7</v>
      </c>
      <c r="N5543">
        <v>431857002</v>
      </c>
      <c r="O5543" t="s">
        <v>4125</v>
      </c>
    </row>
    <row r="5544" spans="1:15">
      <c r="A5544" t="s">
        <v>7216</v>
      </c>
      <c r="B5544" s="2">
        <v>46071.277719907404</v>
      </c>
      <c r="C5544" s="2">
        <v>46071.301608796297</v>
      </c>
      <c r="D5544" t="s">
        <v>976</v>
      </c>
      <c r="E5544" t="s">
        <v>6587</v>
      </c>
      <c r="F5544" t="s">
        <v>6588</v>
      </c>
      <c r="G5544" t="s">
        <v>1122</v>
      </c>
      <c r="H5544" t="s">
        <v>1043</v>
      </c>
      <c r="I5544">
        <v>185349003</v>
      </c>
      <c r="J5544" t="s">
        <v>1038</v>
      </c>
      <c r="K5544">
        <v>85.55</v>
      </c>
      <c r="L5544">
        <v>1154.98</v>
      </c>
      <c r="M5544">
        <v>923.96</v>
      </c>
      <c r="O5544" t="s">
        <v>34</v>
      </c>
    </row>
    <row r="5545" spans="1:15">
      <c r="A5545" t="s">
        <v>7217</v>
      </c>
      <c r="B5545" s="2">
        <v>46078.277719907404</v>
      </c>
      <c r="C5545" s="2">
        <v>46078.419386574074</v>
      </c>
      <c r="D5545" t="s">
        <v>976</v>
      </c>
      <c r="E5545" t="s">
        <v>6587</v>
      </c>
      <c r="F5545" t="s">
        <v>6588</v>
      </c>
      <c r="G5545" t="s">
        <v>1122</v>
      </c>
      <c r="H5545" t="s">
        <v>1031</v>
      </c>
      <c r="I5545">
        <v>185347001</v>
      </c>
      <c r="J5545" t="s">
        <v>1124</v>
      </c>
      <c r="K5545">
        <v>85.55</v>
      </c>
      <c r="L5545">
        <v>535.87</v>
      </c>
      <c r="M5545">
        <v>428.7</v>
      </c>
      <c r="N5545">
        <v>431857002</v>
      </c>
      <c r="O5545" t="s">
        <v>4125</v>
      </c>
    </row>
    <row r="5546" spans="1:15">
      <c r="A5546" t="s">
        <v>7218</v>
      </c>
      <c r="B5546" s="2">
        <v>46081.419386574074</v>
      </c>
      <c r="C5546" s="2">
        <v>46081.550636574073</v>
      </c>
      <c r="D5546" t="s">
        <v>976</v>
      </c>
      <c r="E5546" t="s">
        <v>6587</v>
      </c>
      <c r="F5546" t="s">
        <v>6588</v>
      </c>
      <c r="G5546" t="s">
        <v>1122</v>
      </c>
      <c r="H5546" t="s">
        <v>1031</v>
      </c>
      <c r="I5546">
        <v>185347001</v>
      </c>
      <c r="J5546" t="s">
        <v>1124</v>
      </c>
      <c r="K5546">
        <v>85.55</v>
      </c>
      <c r="L5546">
        <v>535.87</v>
      </c>
      <c r="M5546">
        <v>428.7</v>
      </c>
      <c r="N5546">
        <v>431857002</v>
      </c>
      <c r="O5546" t="s">
        <v>4125</v>
      </c>
    </row>
    <row r="5547" spans="1:15">
      <c r="A5547" t="s">
        <v>7219</v>
      </c>
      <c r="B5547" s="2">
        <v>46084.550636574073</v>
      </c>
      <c r="C5547" s="2">
        <v>46084.647164351853</v>
      </c>
      <c r="D5547" t="s">
        <v>976</v>
      </c>
      <c r="E5547" t="s">
        <v>6587</v>
      </c>
      <c r="F5547" t="s">
        <v>6588</v>
      </c>
      <c r="G5547" t="s">
        <v>1122</v>
      </c>
      <c r="H5547" t="s">
        <v>1031</v>
      </c>
      <c r="I5547">
        <v>185347001</v>
      </c>
      <c r="J5547" t="s">
        <v>1124</v>
      </c>
      <c r="K5547">
        <v>85.55</v>
      </c>
      <c r="L5547">
        <v>535.87</v>
      </c>
      <c r="M5547">
        <v>428.7</v>
      </c>
      <c r="N5547">
        <v>431857002</v>
      </c>
      <c r="O5547" t="s">
        <v>4125</v>
      </c>
    </row>
    <row r="5548" spans="1:15">
      <c r="A5548" t="s">
        <v>7220</v>
      </c>
      <c r="B5548" s="2">
        <v>46092.319386574076</v>
      </c>
      <c r="C5548" s="2">
        <v>46092.583194444444</v>
      </c>
      <c r="D5548" t="s">
        <v>976</v>
      </c>
      <c r="E5548" t="s">
        <v>6587</v>
      </c>
      <c r="F5548" t="s">
        <v>6588</v>
      </c>
      <c r="G5548" t="s">
        <v>1122</v>
      </c>
      <c r="H5548" t="s">
        <v>1031</v>
      </c>
      <c r="I5548">
        <v>185349003</v>
      </c>
      <c r="J5548" t="s">
        <v>1038</v>
      </c>
      <c r="K5548">
        <v>85.55</v>
      </c>
      <c r="L5548">
        <v>4399.55</v>
      </c>
      <c r="M5548">
        <v>3519.64</v>
      </c>
      <c r="N5548">
        <v>66383009</v>
      </c>
      <c r="O5548" t="s">
        <v>1209</v>
      </c>
    </row>
    <row r="5549" spans="1:15">
      <c r="A5549" t="s">
        <v>7221</v>
      </c>
      <c r="B5549" s="2">
        <v>46099.319386574076</v>
      </c>
      <c r="C5549" s="2">
        <v>46099.456886574073</v>
      </c>
      <c r="D5549" t="s">
        <v>976</v>
      </c>
      <c r="E5549" t="s">
        <v>6587</v>
      </c>
      <c r="F5549" t="s">
        <v>6588</v>
      </c>
      <c r="G5549" t="s">
        <v>1122</v>
      </c>
      <c r="H5549" t="s">
        <v>1031</v>
      </c>
      <c r="I5549">
        <v>185347001</v>
      </c>
      <c r="J5549" t="s">
        <v>1124</v>
      </c>
      <c r="K5549">
        <v>85.55</v>
      </c>
      <c r="L5549">
        <v>829.61</v>
      </c>
      <c r="M5549">
        <v>663.69</v>
      </c>
      <c r="N5549">
        <v>431857002</v>
      </c>
      <c r="O5549" t="s">
        <v>4125</v>
      </c>
    </row>
    <row r="5550" spans="1:15">
      <c r="A5550" t="s">
        <v>7222</v>
      </c>
      <c r="B5550" s="2">
        <v>46099.456886574073</v>
      </c>
      <c r="C5550" s="2">
        <v>46099.467303240737</v>
      </c>
      <c r="D5550" t="s">
        <v>976</v>
      </c>
      <c r="E5550" t="s">
        <v>6587</v>
      </c>
      <c r="F5550" t="s">
        <v>6588</v>
      </c>
      <c r="G5550" t="s">
        <v>1122</v>
      </c>
      <c r="H5550" t="s">
        <v>1031</v>
      </c>
      <c r="I5550">
        <v>185347001</v>
      </c>
      <c r="J5550" t="s">
        <v>1124</v>
      </c>
      <c r="K5550">
        <v>85.55</v>
      </c>
      <c r="L5550">
        <v>234.71</v>
      </c>
      <c r="M5550">
        <v>187.76</v>
      </c>
      <c r="N5550">
        <v>431857002</v>
      </c>
      <c r="O5550" t="s">
        <v>4125</v>
      </c>
    </row>
    <row r="5551" spans="1:15">
      <c r="A5551" t="s">
        <v>7223</v>
      </c>
      <c r="B5551" s="2">
        <v>46102.456886574073</v>
      </c>
      <c r="C5551" s="2">
        <v>46102.541608796295</v>
      </c>
      <c r="D5551" t="s">
        <v>976</v>
      </c>
      <c r="E5551" t="s">
        <v>6587</v>
      </c>
      <c r="F5551" t="s">
        <v>6588</v>
      </c>
      <c r="G5551" t="s">
        <v>1122</v>
      </c>
      <c r="H5551" t="s">
        <v>1031</v>
      </c>
      <c r="I5551">
        <v>185347001</v>
      </c>
      <c r="J5551" t="s">
        <v>1124</v>
      </c>
      <c r="K5551">
        <v>85.55</v>
      </c>
      <c r="L5551">
        <v>535.87</v>
      </c>
      <c r="M5551">
        <v>428.7</v>
      </c>
      <c r="N5551">
        <v>431857002</v>
      </c>
      <c r="O5551" t="s">
        <v>4125</v>
      </c>
    </row>
    <row r="5552" spans="1:15">
      <c r="A5552" t="s">
        <v>7224</v>
      </c>
      <c r="B5552" s="2">
        <v>46105.541608796295</v>
      </c>
      <c r="C5552" s="2">
        <v>46105.670775462961</v>
      </c>
      <c r="D5552" t="s">
        <v>976</v>
      </c>
      <c r="E5552" t="s">
        <v>6587</v>
      </c>
      <c r="F5552" t="s">
        <v>6588</v>
      </c>
      <c r="G5552" t="s">
        <v>1122</v>
      </c>
      <c r="H5552" t="s">
        <v>1031</v>
      </c>
      <c r="I5552">
        <v>185347001</v>
      </c>
      <c r="J5552" t="s">
        <v>1124</v>
      </c>
      <c r="K5552">
        <v>85.55</v>
      </c>
      <c r="L5552">
        <v>535.87</v>
      </c>
      <c r="M5552">
        <v>428.7</v>
      </c>
      <c r="N5552">
        <v>431857002</v>
      </c>
      <c r="O5552" t="s">
        <v>4125</v>
      </c>
    </row>
    <row r="5553" spans="1:15">
      <c r="A5553" t="s">
        <v>7225</v>
      </c>
      <c r="B5553" s="2">
        <v>46113.319386574076</v>
      </c>
      <c r="C5553" s="2">
        <v>46113.354444444441</v>
      </c>
      <c r="D5553" t="s">
        <v>976</v>
      </c>
      <c r="E5553" t="s">
        <v>3753</v>
      </c>
      <c r="F5553" t="s">
        <v>3754</v>
      </c>
      <c r="G5553" t="s">
        <v>1122</v>
      </c>
      <c r="H5553" t="s">
        <v>1159</v>
      </c>
      <c r="I5553">
        <v>702927004</v>
      </c>
      <c r="J5553" t="s">
        <v>1160</v>
      </c>
      <c r="K5553">
        <v>142.58000000000001</v>
      </c>
      <c r="L5553">
        <v>872.3</v>
      </c>
      <c r="M5553">
        <v>697.82</v>
      </c>
      <c r="O5553" t="s">
        <v>34</v>
      </c>
    </row>
    <row r="5554" spans="1:15">
      <c r="A5554" t="s">
        <v>7226</v>
      </c>
      <c r="B5554" s="2">
        <v>46120.319386574076</v>
      </c>
      <c r="C5554" s="2">
        <v>46120.32980324074</v>
      </c>
      <c r="D5554" t="s">
        <v>976</v>
      </c>
      <c r="E5554" t="s">
        <v>6587</v>
      </c>
      <c r="F5554" t="s">
        <v>6588</v>
      </c>
      <c r="G5554" t="s">
        <v>1122</v>
      </c>
      <c r="H5554" t="s">
        <v>1043</v>
      </c>
      <c r="I5554">
        <v>185349003</v>
      </c>
      <c r="J5554" t="s">
        <v>1038</v>
      </c>
      <c r="K5554">
        <v>85.55</v>
      </c>
      <c r="L5554">
        <v>234.71</v>
      </c>
      <c r="M5554">
        <v>187.76</v>
      </c>
      <c r="O5554" t="s">
        <v>34</v>
      </c>
    </row>
    <row r="5555" spans="1:15">
      <c r="A5555" t="s">
        <v>7227</v>
      </c>
      <c r="B5555" s="2">
        <v>46127.319386574076</v>
      </c>
      <c r="C5555" s="2">
        <v>46127.36105324074</v>
      </c>
      <c r="D5555" t="s">
        <v>976</v>
      </c>
      <c r="E5555" t="s">
        <v>6621</v>
      </c>
      <c r="F5555" t="s">
        <v>6622</v>
      </c>
      <c r="G5555" t="s">
        <v>1122</v>
      </c>
      <c r="H5555" t="s">
        <v>1076</v>
      </c>
      <c r="I5555">
        <v>50849002</v>
      </c>
      <c r="J5555" t="s">
        <v>1163</v>
      </c>
      <c r="K5555">
        <v>146.18</v>
      </c>
      <c r="L5555">
        <v>1011.9</v>
      </c>
      <c r="M5555">
        <v>809.5</v>
      </c>
      <c r="O5555" t="s">
        <v>34</v>
      </c>
    </row>
    <row r="5556" spans="1:15">
      <c r="A5556" t="s">
        <v>7228</v>
      </c>
      <c r="B5556" s="2">
        <v>46134.319386574076</v>
      </c>
      <c r="C5556" s="2">
        <v>46134.36105324074</v>
      </c>
      <c r="D5556" t="s">
        <v>976</v>
      </c>
      <c r="E5556" t="s">
        <v>6621</v>
      </c>
      <c r="F5556" t="s">
        <v>6622</v>
      </c>
      <c r="G5556" t="s">
        <v>1122</v>
      </c>
      <c r="H5556" t="s">
        <v>1076</v>
      </c>
      <c r="I5556">
        <v>50849002</v>
      </c>
      <c r="J5556" t="s">
        <v>1163</v>
      </c>
      <c r="K5556">
        <v>146.18</v>
      </c>
      <c r="L5556">
        <v>295.33999999999997</v>
      </c>
      <c r="M5556">
        <v>236.26</v>
      </c>
      <c r="O5556" t="s">
        <v>34</v>
      </c>
    </row>
    <row r="5557" spans="1:15">
      <c r="A5557" t="s">
        <v>7229</v>
      </c>
      <c r="B5557" s="2">
        <v>46141.319386574076</v>
      </c>
      <c r="C5557" s="2">
        <v>46141.36105324074</v>
      </c>
      <c r="D5557" t="s">
        <v>976</v>
      </c>
      <c r="E5557" t="s">
        <v>6621</v>
      </c>
      <c r="F5557" t="s">
        <v>6622</v>
      </c>
      <c r="G5557" t="s">
        <v>1122</v>
      </c>
      <c r="H5557" t="s">
        <v>1076</v>
      </c>
      <c r="I5557">
        <v>50849002</v>
      </c>
      <c r="J5557" t="s">
        <v>1163</v>
      </c>
      <c r="K5557">
        <v>146.18</v>
      </c>
      <c r="L5557">
        <v>875.9</v>
      </c>
      <c r="M5557">
        <v>700.7</v>
      </c>
      <c r="O5557" t="s">
        <v>34</v>
      </c>
    </row>
    <row r="5558" spans="1:15">
      <c r="A5558" t="s">
        <v>7230</v>
      </c>
      <c r="B5558" s="2">
        <v>46148.319386574076</v>
      </c>
      <c r="C5558" s="2">
        <v>46148.36105324074</v>
      </c>
      <c r="D5558" t="s">
        <v>976</v>
      </c>
      <c r="E5558" t="s">
        <v>6621</v>
      </c>
      <c r="F5558" t="s">
        <v>6622</v>
      </c>
      <c r="G5558" t="s">
        <v>1122</v>
      </c>
      <c r="H5558" t="s">
        <v>1076</v>
      </c>
      <c r="I5558">
        <v>50849002</v>
      </c>
      <c r="J5558" t="s">
        <v>1163</v>
      </c>
      <c r="K5558">
        <v>146.18</v>
      </c>
      <c r="L5558">
        <v>295.33999999999997</v>
      </c>
      <c r="M5558">
        <v>236.26</v>
      </c>
      <c r="O5558" t="s">
        <v>34</v>
      </c>
    </row>
    <row r="5559" spans="1:15">
      <c r="A5559" t="s">
        <v>7231</v>
      </c>
      <c r="B5559" s="2">
        <v>46155.319386574076</v>
      </c>
      <c r="C5559" s="2">
        <v>46155.36105324074</v>
      </c>
      <c r="D5559" t="s">
        <v>976</v>
      </c>
      <c r="E5559" t="s">
        <v>6621</v>
      </c>
      <c r="F5559" t="s">
        <v>6622</v>
      </c>
      <c r="G5559" t="s">
        <v>1122</v>
      </c>
      <c r="H5559" t="s">
        <v>1076</v>
      </c>
      <c r="I5559">
        <v>50849002</v>
      </c>
      <c r="J5559" t="s">
        <v>1163</v>
      </c>
      <c r="K5559">
        <v>146.18</v>
      </c>
      <c r="L5559">
        <v>875.9</v>
      </c>
      <c r="M5559">
        <v>700.7</v>
      </c>
      <c r="O5559" t="s">
        <v>34</v>
      </c>
    </row>
    <row r="5560" spans="1:15">
      <c r="A5560" t="s">
        <v>7232</v>
      </c>
      <c r="B5560" s="2">
        <v>46162.319386574076</v>
      </c>
      <c r="C5560" s="2">
        <v>46162.32980324074</v>
      </c>
      <c r="D5560" t="s">
        <v>976</v>
      </c>
      <c r="E5560" t="s">
        <v>3753</v>
      </c>
      <c r="F5560" t="s">
        <v>3754</v>
      </c>
      <c r="G5560" t="s">
        <v>1122</v>
      </c>
      <c r="H5560" t="s">
        <v>1159</v>
      </c>
      <c r="I5560">
        <v>702927004</v>
      </c>
      <c r="J5560" t="s">
        <v>1160</v>
      </c>
      <c r="K5560">
        <v>142.58000000000001</v>
      </c>
      <c r="L5560">
        <v>664.82</v>
      </c>
      <c r="M5560">
        <v>531.84</v>
      </c>
      <c r="O5560" t="s">
        <v>34</v>
      </c>
    </row>
    <row r="5561" spans="1:15">
      <c r="A5561" t="s">
        <v>7233</v>
      </c>
      <c r="B5561" s="2">
        <v>46169.319386574076</v>
      </c>
      <c r="C5561" s="2">
        <v>46169.352372685185</v>
      </c>
      <c r="D5561" t="s">
        <v>976</v>
      </c>
      <c r="E5561" t="s">
        <v>3753</v>
      </c>
      <c r="F5561" t="s">
        <v>3754</v>
      </c>
      <c r="G5561" t="s">
        <v>1122</v>
      </c>
      <c r="H5561" t="s">
        <v>1159</v>
      </c>
      <c r="I5561">
        <v>702927004</v>
      </c>
      <c r="J5561" t="s">
        <v>1160</v>
      </c>
      <c r="K5561">
        <v>142.58000000000001</v>
      </c>
      <c r="L5561">
        <v>1301.5</v>
      </c>
      <c r="M5561">
        <v>1041.18</v>
      </c>
      <c r="O5561" t="s">
        <v>34</v>
      </c>
    </row>
    <row r="5562" spans="1:15">
      <c r="A5562" t="s">
        <v>7234</v>
      </c>
      <c r="B5562" s="2">
        <v>46176.319386574076</v>
      </c>
      <c r="C5562" s="2">
        <v>46176.32980324074</v>
      </c>
      <c r="D5562" t="s">
        <v>976</v>
      </c>
      <c r="E5562" t="s">
        <v>6590</v>
      </c>
      <c r="F5562" t="s">
        <v>6591</v>
      </c>
      <c r="G5562" t="s">
        <v>1122</v>
      </c>
      <c r="H5562" t="s">
        <v>1020</v>
      </c>
      <c r="I5562">
        <v>162673000</v>
      </c>
      <c r="J5562" t="s">
        <v>1021</v>
      </c>
      <c r="K5562">
        <v>136.80000000000001</v>
      </c>
      <c r="L5562">
        <v>285.95999999999998</v>
      </c>
      <c r="M5562">
        <v>228.76</v>
      </c>
      <c r="O5562" t="s">
        <v>34</v>
      </c>
    </row>
    <row r="5563" spans="1:15">
      <c r="A5563" t="s">
        <v>7235</v>
      </c>
      <c r="B5563" s="2">
        <v>46183.319386574076</v>
      </c>
      <c r="C5563" s="2">
        <v>46183.36105324074</v>
      </c>
      <c r="D5563" t="s">
        <v>976</v>
      </c>
      <c r="E5563" t="s">
        <v>6621</v>
      </c>
      <c r="F5563" t="s">
        <v>6622</v>
      </c>
      <c r="G5563" t="s">
        <v>1122</v>
      </c>
      <c r="H5563" t="s">
        <v>1076</v>
      </c>
      <c r="I5563">
        <v>50849002</v>
      </c>
      <c r="J5563" t="s">
        <v>1163</v>
      </c>
      <c r="K5563">
        <v>146.18</v>
      </c>
      <c r="L5563">
        <v>875.9</v>
      </c>
      <c r="M5563">
        <v>700.7</v>
      </c>
      <c r="O5563" t="s">
        <v>34</v>
      </c>
    </row>
    <row r="5564" spans="1:15">
      <c r="A5564" t="s">
        <v>7236</v>
      </c>
      <c r="B5564" s="2">
        <v>46190.319386574076</v>
      </c>
      <c r="C5564" s="2">
        <v>46190.36105324074</v>
      </c>
      <c r="D5564" t="s">
        <v>976</v>
      </c>
      <c r="E5564" t="s">
        <v>6621</v>
      </c>
      <c r="F5564" t="s">
        <v>6622</v>
      </c>
      <c r="G5564" t="s">
        <v>1122</v>
      </c>
      <c r="H5564" t="s">
        <v>1076</v>
      </c>
      <c r="I5564">
        <v>50849002</v>
      </c>
      <c r="J5564" t="s">
        <v>1163</v>
      </c>
      <c r="K5564">
        <v>146.18</v>
      </c>
      <c r="L5564">
        <v>295.33999999999997</v>
      </c>
      <c r="M5564">
        <v>236.26</v>
      </c>
      <c r="O5564" t="s">
        <v>34</v>
      </c>
    </row>
    <row r="5565" spans="1:15">
      <c r="A5565" t="s">
        <v>7237</v>
      </c>
      <c r="B5565" s="2">
        <v>46197.319386574076</v>
      </c>
      <c r="C5565" s="2">
        <v>46197.355636574073</v>
      </c>
      <c r="D5565" t="s">
        <v>976</v>
      </c>
      <c r="E5565" t="s">
        <v>3753</v>
      </c>
      <c r="F5565" t="s">
        <v>3754</v>
      </c>
      <c r="G5565" t="s">
        <v>1122</v>
      </c>
      <c r="H5565" t="s">
        <v>1159</v>
      </c>
      <c r="I5565">
        <v>702927004</v>
      </c>
      <c r="J5565" t="s">
        <v>1160</v>
      </c>
      <c r="K5565">
        <v>142.58000000000001</v>
      </c>
      <c r="L5565">
        <v>1088</v>
      </c>
      <c r="M5565">
        <v>870.38</v>
      </c>
      <c r="O5565" t="s">
        <v>34</v>
      </c>
    </row>
    <row r="5566" spans="1:15">
      <c r="A5566" t="s">
        <v>7238</v>
      </c>
      <c r="B5566" s="2">
        <v>46204.319386574076</v>
      </c>
      <c r="C5566" s="2">
        <v>46204.32980324074</v>
      </c>
      <c r="D5566" t="s">
        <v>976</v>
      </c>
      <c r="E5566" t="s">
        <v>3753</v>
      </c>
      <c r="F5566" t="s">
        <v>3754</v>
      </c>
      <c r="G5566" t="s">
        <v>1122</v>
      </c>
      <c r="H5566" t="s">
        <v>1159</v>
      </c>
      <c r="I5566">
        <v>702927004</v>
      </c>
      <c r="J5566" t="s">
        <v>1160</v>
      </c>
      <c r="K5566">
        <v>142.58000000000001</v>
      </c>
      <c r="L5566">
        <v>291.74</v>
      </c>
      <c r="M5566">
        <v>233.38</v>
      </c>
      <c r="O5566" t="s">
        <v>34</v>
      </c>
    </row>
    <row r="5567" spans="1:15">
      <c r="A5567" t="s">
        <v>7239</v>
      </c>
      <c r="B5567" s="2">
        <v>46211.319386574076</v>
      </c>
      <c r="C5567" s="2">
        <v>46211.360162037039</v>
      </c>
      <c r="D5567" t="s">
        <v>976</v>
      </c>
      <c r="E5567" t="s">
        <v>3753</v>
      </c>
      <c r="F5567" t="s">
        <v>3754</v>
      </c>
      <c r="G5567" t="s">
        <v>1122</v>
      </c>
      <c r="H5567" t="s">
        <v>1159</v>
      </c>
      <c r="I5567">
        <v>702927004</v>
      </c>
      <c r="J5567" t="s">
        <v>1160</v>
      </c>
      <c r="K5567">
        <v>142.58000000000001</v>
      </c>
      <c r="L5567">
        <v>872.3</v>
      </c>
      <c r="M5567">
        <v>697.82</v>
      </c>
      <c r="O5567" t="s">
        <v>34</v>
      </c>
    </row>
    <row r="5568" spans="1:15">
      <c r="A5568" t="s">
        <v>7240</v>
      </c>
      <c r="B5568" s="2">
        <v>46218.319386574076</v>
      </c>
      <c r="C5568" s="2">
        <v>46218.36105324074</v>
      </c>
      <c r="D5568" t="s">
        <v>976</v>
      </c>
      <c r="E5568" t="s">
        <v>6621</v>
      </c>
      <c r="F5568" t="s">
        <v>6622</v>
      </c>
      <c r="G5568" t="s">
        <v>1122</v>
      </c>
      <c r="H5568" t="s">
        <v>1076</v>
      </c>
      <c r="I5568">
        <v>50849002</v>
      </c>
      <c r="J5568" t="s">
        <v>1163</v>
      </c>
      <c r="K5568">
        <v>146.18</v>
      </c>
      <c r="L5568">
        <v>295.33999999999997</v>
      </c>
      <c r="M5568">
        <v>236.26</v>
      </c>
      <c r="O5568" t="s">
        <v>34</v>
      </c>
    </row>
    <row r="5569" spans="1:15">
      <c r="A5569" t="s">
        <v>7241</v>
      </c>
      <c r="B5569" s="2">
        <v>46225.319386574076</v>
      </c>
      <c r="C5569" s="2">
        <v>46225.36105324074</v>
      </c>
      <c r="D5569" t="s">
        <v>976</v>
      </c>
      <c r="E5569" t="s">
        <v>6621</v>
      </c>
      <c r="F5569" t="s">
        <v>6622</v>
      </c>
      <c r="G5569" t="s">
        <v>1122</v>
      </c>
      <c r="H5569" t="s">
        <v>1076</v>
      </c>
      <c r="I5569">
        <v>50849002</v>
      </c>
      <c r="J5569" t="s">
        <v>1163</v>
      </c>
      <c r="K5569">
        <v>146.18</v>
      </c>
      <c r="L5569">
        <v>875.9</v>
      </c>
      <c r="M5569">
        <v>700.7</v>
      </c>
      <c r="O5569" t="s">
        <v>34</v>
      </c>
    </row>
    <row r="5570" spans="1:15">
      <c r="A5570" t="s">
        <v>7242</v>
      </c>
      <c r="B5570" s="2">
        <v>46232.319386574076</v>
      </c>
      <c r="C5570" s="2">
        <v>46232.32980324074</v>
      </c>
      <c r="D5570" t="s">
        <v>976</v>
      </c>
      <c r="E5570" t="s">
        <v>3753</v>
      </c>
      <c r="F5570" t="s">
        <v>3754</v>
      </c>
      <c r="G5570" t="s">
        <v>1122</v>
      </c>
      <c r="H5570" t="s">
        <v>1159</v>
      </c>
      <c r="I5570">
        <v>702927004</v>
      </c>
      <c r="J5570" t="s">
        <v>1160</v>
      </c>
      <c r="K5570">
        <v>142.58000000000001</v>
      </c>
      <c r="L5570">
        <v>661.89</v>
      </c>
      <c r="M5570">
        <v>529.5</v>
      </c>
      <c r="O5570" t="s">
        <v>34</v>
      </c>
    </row>
    <row r="5571" spans="1:15">
      <c r="A5571" t="s">
        <v>7243</v>
      </c>
      <c r="B5571" s="2">
        <v>46239.319386574076</v>
      </c>
      <c r="C5571" s="2">
        <v>46239.355439814812</v>
      </c>
      <c r="D5571" t="s">
        <v>976</v>
      </c>
      <c r="E5571" t="s">
        <v>3753</v>
      </c>
      <c r="F5571" t="s">
        <v>3754</v>
      </c>
      <c r="G5571" t="s">
        <v>1122</v>
      </c>
      <c r="H5571" t="s">
        <v>1159</v>
      </c>
      <c r="I5571">
        <v>702927004</v>
      </c>
      <c r="J5571" t="s">
        <v>1160</v>
      </c>
      <c r="K5571">
        <v>142.58000000000001</v>
      </c>
      <c r="L5571">
        <v>1310.1300000000001</v>
      </c>
      <c r="M5571">
        <v>1048.08</v>
      </c>
      <c r="O5571" t="s">
        <v>34</v>
      </c>
    </row>
    <row r="5572" spans="1:15">
      <c r="A5572" t="s">
        <v>7244</v>
      </c>
      <c r="B5572" s="2">
        <v>46246.319386574076</v>
      </c>
      <c r="C5572" s="2">
        <v>46246.36105324074</v>
      </c>
      <c r="D5572" t="s">
        <v>976</v>
      </c>
      <c r="E5572" t="s">
        <v>6621</v>
      </c>
      <c r="F5572" t="s">
        <v>6622</v>
      </c>
      <c r="G5572" t="s">
        <v>1122</v>
      </c>
      <c r="H5572" t="s">
        <v>1076</v>
      </c>
      <c r="I5572">
        <v>50849002</v>
      </c>
      <c r="J5572" t="s">
        <v>1163</v>
      </c>
      <c r="K5572">
        <v>146.18</v>
      </c>
      <c r="L5572">
        <v>511.04</v>
      </c>
      <c r="M5572">
        <v>408.82</v>
      </c>
      <c r="O5572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C318-949C-42E0-BF7F-9D120600B16A}">
  <dimension ref="A1:H33"/>
  <sheetViews>
    <sheetView zoomScale="67" workbookViewId="0">
      <selection activeCell="E12" sqref="E12"/>
    </sheetView>
  </sheetViews>
  <sheetFormatPr defaultRowHeight="14.5"/>
  <cols>
    <col min="1" max="1" width="34.90625" bestFit="1" customWidth="1"/>
    <col min="2" max="2" width="70.26953125" customWidth="1"/>
  </cols>
  <sheetData>
    <row r="1" spans="1:8" ht="21">
      <c r="A1" s="6" t="s">
        <v>7251</v>
      </c>
    </row>
    <row r="2" spans="1:8">
      <c r="B2" s="4"/>
    </row>
    <row r="3" spans="1:8">
      <c r="A3" s="5" t="s">
        <v>7245</v>
      </c>
      <c r="B3" s="7" t="s">
        <v>7247</v>
      </c>
    </row>
    <row r="4" spans="1:8">
      <c r="A4" t="s">
        <v>7246</v>
      </c>
      <c r="B4">
        <f>ROWS(Patient_data[Id])</f>
        <v>108</v>
      </c>
    </row>
    <row r="5" spans="1:8">
      <c r="A5" t="s">
        <v>7248</v>
      </c>
      <c r="B5" s="11">
        <f>ROWS(Encounters_data[Id])</f>
        <v>5571</v>
      </c>
    </row>
    <row r="6" spans="1:8">
      <c r="A6" t="s">
        <v>7249</v>
      </c>
      <c r="B6">
        <f>ROWS(Patient_data[Id])-ROWS(_xlfn.UNIQUE(Patient_data[Id]))</f>
        <v>0</v>
      </c>
    </row>
    <row r="7" spans="1:8">
      <c r="A7" t="s">
        <v>7250</v>
      </c>
      <c r="B7">
        <f>ROWS(Encounters_data[Id])-ROWS(_xlfn.UNIQUE(Encounters_data[Id]))</f>
        <v>0</v>
      </c>
      <c r="C7" s="3"/>
      <c r="D7" s="3"/>
      <c r="E7" s="3"/>
      <c r="G7" s="3"/>
      <c r="H7" s="3"/>
    </row>
    <row r="9" spans="1:8">
      <c r="A9" t="s">
        <v>7252</v>
      </c>
      <c r="B9" s="8">
        <f>COUNTBLANK(Patient_data[Id])</f>
        <v>0</v>
      </c>
    </row>
    <row r="10" spans="1:8">
      <c r="A10" t="s">
        <v>7253</v>
      </c>
      <c r="B10">
        <f>COUNTBLANK(Encounters_data[Id])</f>
        <v>0</v>
      </c>
    </row>
    <row r="11" spans="1:8">
      <c r="A11" t="s">
        <v>7254</v>
      </c>
      <c r="B11">
        <f>COUNTBLANK(Encounters_data[PATIENT])</f>
        <v>0</v>
      </c>
    </row>
    <row r="12" spans="1:8">
      <c r="A12" t="s">
        <v>7255</v>
      </c>
      <c r="B12" s="11">
        <f>COUNTBLANK(Encounters_data[REASONDESCRIPTION])</f>
        <v>2044</v>
      </c>
    </row>
    <row r="14" spans="1:8">
      <c r="A14" t="s">
        <v>7256</v>
      </c>
      <c r="B14" cm="1">
        <f t="array" ref="B14">SUMPRODUCT(--(COUNTIF(Patient_data[Id],Encounters_data[PATIENT])=0))</f>
        <v>0</v>
      </c>
    </row>
    <row r="16" spans="1:8">
      <c r="A16" t="s">
        <v>7261</v>
      </c>
      <c r="B16" cm="1">
        <f t="array" ref="B16">SUMPRODUCT(--(Encounters_data[STOP]&lt;Encounters_data[START]))</f>
        <v>0</v>
      </c>
    </row>
    <row r="18" spans="1:2">
      <c r="A18" t="s">
        <v>7262</v>
      </c>
      <c r="B18">
        <f>COUNTIF(Encounters_data[TOTAL_CLAIM_COST],"&lt;0")</f>
        <v>0</v>
      </c>
    </row>
    <row r="20" spans="1:2">
      <c r="A20" t="s">
        <v>7263</v>
      </c>
      <c r="B20">
        <f>COUNTBLANK(Encounters_data[TOTAL_CLAIM_COST])</f>
        <v>0</v>
      </c>
    </row>
    <row r="22" spans="1:2">
      <c r="A22" t="s">
        <v>7264</v>
      </c>
      <c r="B22">
        <f>COUNTIF(Encounters_data[TOTAL_CLAIM_COST],0)</f>
        <v>0</v>
      </c>
    </row>
    <row r="24" spans="1:2">
      <c r="A24" t="s">
        <v>7265</v>
      </c>
      <c r="B24">
        <f>COUNTBLANK(Encounters_data[START])</f>
        <v>0</v>
      </c>
    </row>
    <row r="25" spans="1:2">
      <c r="A25" t="s">
        <v>7266</v>
      </c>
      <c r="B25">
        <f>COUNTBLANK(Encounters_data[STOP])</f>
        <v>0</v>
      </c>
    </row>
    <row r="28" spans="1:2" ht="21">
      <c r="A28" s="6" t="s">
        <v>7267</v>
      </c>
    </row>
    <row r="29" spans="1:2">
      <c r="A29" t="s">
        <v>7268</v>
      </c>
      <c r="B29" t="s">
        <v>7269</v>
      </c>
    </row>
    <row r="30" spans="1:2">
      <c r="A30" t="s">
        <v>7270</v>
      </c>
      <c r="B30" t="s">
        <v>7271</v>
      </c>
    </row>
    <row r="31" spans="1:2">
      <c r="A31" t="s">
        <v>7272</v>
      </c>
      <c r="B31" t="s">
        <v>7273</v>
      </c>
    </row>
    <row r="32" spans="1:2" ht="29">
      <c r="A32" t="s">
        <v>7274</v>
      </c>
      <c r="B32" s="10" t="s">
        <v>7275</v>
      </c>
    </row>
    <row r="33" spans="1:2" ht="29">
      <c r="A33" t="s">
        <v>7276</v>
      </c>
      <c r="B33" s="10" t="s">
        <v>7277</v>
      </c>
    </row>
  </sheetData>
  <pageMargins left="0.7" right="0.7" top="0.75" bottom="0.75" header="0.3" footer="0.3"/>
  <pageSetup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73C5A-8490-4EA0-B3FE-85CF7DF6BE17}">
  <dimension ref="A3:B12"/>
  <sheetViews>
    <sheetView zoomScale="109" workbookViewId="0">
      <selection activeCell="A4" sqref="A4"/>
    </sheetView>
  </sheetViews>
  <sheetFormatPr defaultRowHeight="14.5"/>
  <cols>
    <col min="1" max="1" width="19.453125" bestFit="1" customWidth="1"/>
    <col min="2" max="2" width="16.453125" bestFit="1" customWidth="1"/>
    <col min="3" max="3" width="14.7265625" bestFit="1" customWidth="1"/>
    <col min="4" max="4" width="42.81640625" bestFit="1" customWidth="1"/>
    <col min="5" max="5" width="28.36328125" bestFit="1" customWidth="1"/>
    <col min="6" max="6" width="30" bestFit="1" customWidth="1"/>
    <col min="7" max="7" width="23.36328125" bestFit="1" customWidth="1"/>
    <col min="8" max="8" width="28.7265625" bestFit="1" customWidth="1"/>
    <col min="9" max="9" width="55.26953125" bestFit="1" customWidth="1"/>
    <col min="10" max="10" width="29.81640625" bestFit="1" customWidth="1"/>
    <col min="11" max="11" width="51.36328125" bestFit="1" customWidth="1"/>
    <col min="12" max="12" width="28.26953125" bestFit="1" customWidth="1"/>
    <col min="13" max="13" width="35.90625" bestFit="1" customWidth="1"/>
    <col min="14" max="14" width="24.6328125" bestFit="1" customWidth="1"/>
    <col min="15" max="15" width="22.6328125" bestFit="1" customWidth="1"/>
    <col min="16" max="16" width="26.26953125" bestFit="1" customWidth="1"/>
    <col min="17" max="17" width="15.81640625" bestFit="1" customWidth="1"/>
    <col min="18" max="18" width="26.7265625" bestFit="1" customWidth="1"/>
    <col min="19" max="19" width="20.1796875" bestFit="1" customWidth="1"/>
    <col min="20" max="20" width="15.81640625" bestFit="1" customWidth="1"/>
    <col min="21" max="21" width="24" bestFit="1" customWidth="1"/>
    <col min="22" max="22" width="21.54296875" bestFit="1" customWidth="1"/>
    <col min="23" max="23" width="20.453125" bestFit="1" customWidth="1"/>
    <col min="24" max="24" width="32.90625" bestFit="1" customWidth="1"/>
    <col min="25" max="25" width="21.6328125" bestFit="1" customWidth="1"/>
    <col min="26" max="26" width="31.26953125" bestFit="1" customWidth="1"/>
    <col min="27" max="27" width="25" bestFit="1" customWidth="1"/>
    <col min="28" max="28" width="36.453125" bestFit="1" customWidth="1"/>
    <col min="29" max="29" width="44.81640625" bestFit="1" customWidth="1"/>
    <col min="30" max="30" width="35.54296875" bestFit="1" customWidth="1"/>
    <col min="31" max="31" width="19.26953125" bestFit="1" customWidth="1"/>
    <col min="32" max="32" width="28.08984375" bestFit="1" customWidth="1"/>
    <col min="33" max="33" width="31.6328125" bestFit="1" customWidth="1"/>
    <col min="34" max="34" width="42.54296875" bestFit="1" customWidth="1"/>
    <col min="35" max="35" width="45" bestFit="1" customWidth="1"/>
    <col min="36" max="36" width="32.81640625" bestFit="1" customWidth="1"/>
    <col min="37" max="37" width="25.36328125" bestFit="1" customWidth="1"/>
    <col min="38" max="38" width="31.7265625" bestFit="1" customWidth="1"/>
    <col min="39" max="39" width="20.453125" bestFit="1" customWidth="1"/>
    <col min="40" max="40" width="21.54296875" bestFit="1" customWidth="1"/>
    <col min="41" max="41" width="28.54296875" bestFit="1" customWidth="1"/>
    <col min="42" max="42" width="29.90625" bestFit="1" customWidth="1"/>
    <col min="43" max="43" width="66.54296875" bestFit="1" customWidth="1"/>
    <col min="44" max="44" width="22.08984375" bestFit="1" customWidth="1"/>
    <col min="45" max="45" width="28.453125" bestFit="1" customWidth="1"/>
    <col min="46" max="46" width="28.7265625" bestFit="1" customWidth="1"/>
    <col min="47" max="47" width="40.90625" bestFit="1" customWidth="1"/>
    <col min="48" max="48" width="23.6328125" bestFit="1" customWidth="1"/>
    <col min="49" max="49" width="23.1796875" bestFit="1" customWidth="1"/>
    <col min="50" max="51" width="25.6328125" bestFit="1" customWidth="1"/>
    <col min="52" max="52" width="27.08984375" bestFit="1" customWidth="1"/>
    <col min="53" max="53" width="21.26953125" bestFit="1" customWidth="1"/>
    <col min="54" max="54" width="33.6328125" bestFit="1" customWidth="1"/>
    <col min="55" max="55" width="17.453125" bestFit="1" customWidth="1"/>
    <col min="56" max="56" width="4.81640625" bestFit="1" customWidth="1"/>
    <col min="57" max="57" width="22.7265625" bestFit="1" customWidth="1"/>
    <col min="58" max="58" width="39.36328125" bestFit="1" customWidth="1"/>
    <col min="59" max="59" width="44.36328125" bestFit="1" customWidth="1"/>
    <col min="60" max="60" width="16.7265625" bestFit="1" customWidth="1"/>
    <col min="61" max="61" width="22.54296875" bestFit="1" customWidth="1"/>
    <col min="62" max="62" width="23.7265625" bestFit="1" customWidth="1"/>
    <col min="63" max="64" width="20.81640625" bestFit="1" customWidth="1"/>
    <col min="65" max="65" width="47.7265625" bestFit="1" customWidth="1"/>
    <col min="66" max="66" width="29" bestFit="1" customWidth="1"/>
    <col min="67" max="67" width="24.6328125" bestFit="1" customWidth="1"/>
    <col min="68" max="68" width="46.54296875" bestFit="1" customWidth="1"/>
    <col min="69" max="69" width="20" bestFit="1" customWidth="1"/>
    <col min="70" max="70" width="34.453125" bestFit="1" customWidth="1"/>
    <col min="71" max="71" width="33.81640625" bestFit="1" customWidth="1"/>
    <col min="72" max="72" width="27.453125" bestFit="1" customWidth="1"/>
    <col min="73" max="73" width="23.81640625" bestFit="1" customWidth="1"/>
    <col min="74" max="74" width="11.81640625" bestFit="1" customWidth="1"/>
    <col min="75" max="75" width="26.26953125" bestFit="1" customWidth="1"/>
    <col min="76" max="76" width="27.6328125" bestFit="1" customWidth="1"/>
    <col min="77" max="77" width="19.7265625" bestFit="1" customWidth="1"/>
    <col min="78" max="78" width="17.36328125" bestFit="1" customWidth="1"/>
    <col min="79" max="79" width="36.36328125" bestFit="1" customWidth="1"/>
    <col min="80" max="80" width="45.453125" bestFit="1" customWidth="1"/>
    <col min="81" max="81" width="30.7265625" bestFit="1" customWidth="1"/>
    <col min="82" max="82" width="50.7265625" bestFit="1" customWidth="1"/>
    <col min="83" max="83" width="21.26953125" bestFit="1" customWidth="1"/>
    <col min="84" max="84" width="29.36328125" bestFit="1" customWidth="1"/>
    <col min="85" max="85" width="47.90625" bestFit="1" customWidth="1"/>
    <col min="86" max="86" width="47.26953125" bestFit="1" customWidth="1"/>
    <col min="87" max="87" width="30.36328125" bestFit="1" customWidth="1"/>
    <col min="88" max="88" width="23.08984375" bestFit="1" customWidth="1"/>
    <col min="89" max="89" width="15" bestFit="1" customWidth="1"/>
    <col min="90" max="90" width="36.453125" bestFit="1" customWidth="1"/>
    <col min="91" max="91" width="44.26953125" bestFit="1" customWidth="1"/>
    <col min="92" max="92" width="18.81640625" bestFit="1" customWidth="1"/>
    <col min="93" max="93" width="16.81640625" bestFit="1" customWidth="1"/>
    <col min="94" max="94" width="21.6328125" bestFit="1" customWidth="1"/>
    <col min="95" max="96" width="29.26953125" bestFit="1" customWidth="1"/>
    <col min="97" max="97" width="30.7265625" bestFit="1" customWidth="1"/>
    <col min="98" max="98" width="28" bestFit="1" customWidth="1"/>
    <col min="99" max="99" width="67.7265625" bestFit="1" customWidth="1"/>
    <col min="100" max="100" width="22.453125" bestFit="1" customWidth="1"/>
    <col min="101" max="101" width="48" bestFit="1" customWidth="1"/>
    <col min="102" max="102" width="51.7265625" bestFit="1" customWidth="1"/>
    <col min="103" max="103" width="18.08984375" bestFit="1" customWidth="1"/>
    <col min="104" max="104" width="23.36328125" bestFit="1" customWidth="1"/>
    <col min="105" max="105" width="20.90625" bestFit="1" customWidth="1"/>
    <col min="106" max="106" width="16.6328125" bestFit="1" customWidth="1"/>
    <col min="107" max="107" width="10.36328125" bestFit="1" customWidth="1"/>
  </cols>
  <sheetData>
    <row r="3" spans="1:2">
      <c r="A3" s="9" t="s">
        <v>7260</v>
      </c>
      <c r="B3" s="9" t="s">
        <v>7259</v>
      </c>
    </row>
    <row r="4" spans="1:2">
      <c r="A4" s="9" t="s">
        <v>7257</v>
      </c>
    </row>
    <row r="5" spans="1:2">
      <c r="A5" s="4" t="s">
        <v>1031</v>
      </c>
      <c r="B5">
        <v>106</v>
      </c>
    </row>
    <row r="6" spans="1:2">
      <c r="A6" s="4" t="s">
        <v>1076</v>
      </c>
      <c r="B6">
        <v>96</v>
      </c>
    </row>
    <row r="7" spans="1:2">
      <c r="A7" s="4" t="s">
        <v>1263</v>
      </c>
      <c r="B7">
        <v>2</v>
      </c>
    </row>
    <row r="8" spans="1:2">
      <c r="A8" s="4" t="s">
        <v>1043</v>
      </c>
      <c r="B8">
        <v>393</v>
      </c>
    </row>
    <row r="9" spans="1:2">
      <c r="A9" s="4" t="s">
        <v>1159</v>
      </c>
      <c r="B9">
        <v>192</v>
      </c>
    </row>
    <row r="10" spans="1:2">
      <c r="A10" s="4" t="s">
        <v>2173</v>
      </c>
      <c r="B10">
        <v>1</v>
      </c>
    </row>
    <row r="11" spans="1:2">
      <c r="A11" s="4" t="s">
        <v>1020</v>
      </c>
      <c r="B11">
        <v>1254</v>
      </c>
    </row>
    <row r="12" spans="1:2">
      <c r="A12" s="4" t="s">
        <v>7258</v>
      </c>
      <c r="B12">
        <v>2044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80BE6-82E1-4405-A4A4-5F46F26CB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patients</vt:lpstr>
      <vt:lpstr>encounters</vt:lpstr>
      <vt:lpstr>Data validation</vt:lpstr>
      <vt:lpstr>Missing Reason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Jayasree K</dc:creator>
  <cp:lastModifiedBy>Jayasree K</cp:lastModifiedBy>
  <dcterms:created xsi:type="dcterms:W3CDTF">2026-10-19T18:21:44Z</dcterms:created>
  <dcterms:modified xsi:type="dcterms:W3CDTF">2026-10-19T20:52:13Z</dcterms:modified>
</cp:coreProperties>
</file>